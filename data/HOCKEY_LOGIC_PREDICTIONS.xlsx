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\hockey_datacenter\hockey_dat.cenV2\data\"/>
    </mc:Choice>
  </mc:AlternateContent>
  <xr:revisionPtr revIDLastSave="0" documentId="13_ncr:1_{AB332820-96CF-44B5-8C53-9D3774BF42BE}" xr6:coauthVersionLast="47" xr6:coauthVersionMax="47" xr10:uidLastSave="{00000000-0000-0000-0000-000000000000}"/>
  <bookViews>
    <workbookView xWindow="-120" yWindow="-120" windowWidth="29040" windowHeight="17520" firstSheet="3" activeTab="4" xr2:uid="{65D9B626-47F1-4AA2-AE97-995CC6629F4F}"/>
  </bookViews>
  <sheets>
    <sheet name="PARAMETRY" sheetId="12" r:id="rId1"/>
    <sheet name="SERIE_INPUT" sheetId="19" r:id="rId2"/>
    <sheet name="PREDIKCE_ZAPASU" sheetId="13" r:id="rId3"/>
    <sheet name="MODEL_INPUT_PO" sheetId="15" r:id="rId4"/>
    <sheet name="MODEL_INPUT" sheetId="11" r:id="rId5"/>
    <sheet name="CALC_TEAMS_SEASON" sheetId="9" r:id="rId6"/>
    <sheet name="CALC_GAMES_BASE" sheetId="7" r:id="rId7"/>
    <sheet name="CALC_GOALIES" sheetId="8" r:id="rId8"/>
    <sheet name="CALC_GOALIES_FORM" sheetId="21" r:id="rId9"/>
    <sheet name="RAW_GAMES" sheetId="1" r:id="rId10"/>
    <sheet name="RAW_GOALIES_GAMES" sheetId="2" r:id="rId11"/>
    <sheet name="RAW_PP_PK" sheetId="3" r:id="rId12"/>
    <sheet name="CALC_FORM" sheetId="10" r:id="rId13"/>
    <sheet name="RAW_TEAMS" sheetId="4" r:id="rId14"/>
    <sheet name="RAW_SEASONS" sheetId="5" r:id="rId15"/>
    <sheet name="RAW_CONTEXT" sheetId="6" r:id="rId16"/>
  </sheets>
  <definedNames>
    <definedName name="_xlnm._FilterDatabase" localSheetId="7" hidden="1">CALC_GOALIES!$A$1:$N$35</definedName>
    <definedName name="_xlnm._FilterDatabase" localSheetId="5" hidden="1">CALC_TEAMS_SEASON!$A$1:$L$17</definedName>
    <definedName name="_xlnm._FilterDatabase" localSheetId="9" hidden="1">RAW_GAMES!$A$1:$V$729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1" i="3" l="1"/>
  <c r="C731" i="3"/>
  <c r="D731" i="3"/>
  <c r="E731" i="3"/>
  <c r="F731" i="3"/>
  <c r="G731" i="3"/>
  <c r="A730" i="3"/>
  <c r="C730" i="3"/>
  <c r="D730" i="3"/>
  <c r="E730" i="3"/>
  <c r="F730" i="3"/>
  <c r="G730" i="3"/>
  <c r="A730" i="2"/>
  <c r="C730" i="2"/>
  <c r="D730" i="2"/>
  <c r="F730" i="2"/>
  <c r="G730" i="2"/>
  <c r="H730" i="2"/>
  <c r="A731" i="2"/>
  <c r="C731" i="2"/>
  <c r="D731" i="2"/>
  <c r="F731" i="2"/>
  <c r="G731" i="2"/>
  <c r="H731" i="2"/>
  <c r="M731" i="11"/>
  <c r="A730" i="7"/>
  <c r="A730" i="11" s="1"/>
  <c r="C730" i="7"/>
  <c r="C730" i="11" s="1"/>
  <c r="D730" i="7"/>
  <c r="D730" i="11" s="1"/>
  <c r="E730" i="7"/>
  <c r="E730" i="11" s="1"/>
  <c r="F730" i="7"/>
  <c r="Y730" i="7" s="1"/>
  <c r="N730" i="11" s="1"/>
  <c r="G730" i="7"/>
  <c r="H730" i="7" s="1"/>
  <c r="I730" i="7"/>
  <c r="K730" i="7" s="1"/>
  <c r="G730" i="11" s="1"/>
  <c r="J730" i="7"/>
  <c r="L730" i="7"/>
  <c r="N730" i="7" s="1"/>
  <c r="F730" i="11" s="1"/>
  <c r="H730" i="11" s="1"/>
  <c r="M730" i="7"/>
  <c r="O730" i="7"/>
  <c r="Q730" i="7" s="1"/>
  <c r="P730" i="7"/>
  <c r="R730" i="7"/>
  <c r="T730" i="7" s="1"/>
  <c r="S730" i="7"/>
  <c r="W730" i="7"/>
  <c r="X730" i="7"/>
  <c r="Z730" i="7"/>
  <c r="M730" i="11" s="1"/>
  <c r="A731" i="7"/>
  <c r="A731" i="11" s="1"/>
  <c r="C731" i="7"/>
  <c r="C731" i="11" s="1"/>
  <c r="D731" i="7"/>
  <c r="D731" i="11" s="1"/>
  <c r="E731" i="7"/>
  <c r="E731" i="11" s="1"/>
  <c r="F731" i="7"/>
  <c r="G731" i="7"/>
  <c r="I731" i="7"/>
  <c r="J731" i="7"/>
  <c r="L731" i="7"/>
  <c r="M731" i="7"/>
  <c r="N731" i="7"/>
  <c r="F731" i="11" s="1"/>
  <c r="H731" i="11" s="1"/>
  <c r="O731" i="7"/>
  <c r="Q731" i="7" s="1"/>
  <c r="P731" i="7"/>
  <c r="R731" i="7"/>
  <c r="T731" i="7" s="1"/>
  <c r="S731" i="7"/>
  <c r="W731" i="7"/>
  <c r="X731" i="7"/>
  <c r="Z731" i="7"/>
  <c r="B731" i="1"/>
  <c r="B731" i="7" s="1"/>
  <c r="B731" i="11" s="1"/>
  <c r="B730" i="1"/>
  <c r="B730" i="7" s="1"/>
  <c r="B730" i="11" s="1"/>
  <c r="D8" i="11"/>
  <c r="D15" i="11"/>
  <c r="C21" i="11"/>
  <c r="W622" i="7"/>
  <c r="C37" i="8"/>
  <c r="D37" i="8"/>
  <c r="E37" i="8"/>
  <c r="F37" i="8"/>
  <c r="C36" i="8"/>
  <c r="E36" i="8"/>
  <c r="F36" i="8"/>
  <c r="D36" i="8"/>
  <c r="C31" i="8"/>
  <c r="D31" i="8"/>
  <c r="E31" i="8"/>
  <c r="F31" i="8"/>
  <c r="C15" i="8"/>
  <c r="D15" i="8"/>
  <c r="E15" i="8"/>
  <c r="F15" i="8"/>
  <c r="C21" i="8"/>
  <c r="D21" i="8"/>
  <c r="E21" i="8"/>
  <c r="F21" i="8"/>
  <c r="C28" i="8"/>
  <c r="D28" i="8"/>
  <c r="E28" i="8"/>
  <c r="F28" i="8"/>
  <c r="C6" i="8"/>
  <c r="D6" i="8"/>
  <c r="E6" i="8"/>
  <c r="F6" i="8"/>
  <c r="C19" i="8"/>
  <c r="D19" i="8"/>
  <c r="E19" i="8"/>
  <c r="F19" i="8"/>
  <c r="C26" i="8"/>
  <c r="D26" i="8"/>
  <c r="E26" i="8"/>
  <c r="F26" i="8"/>
  <c r="C24" i="8"/>
  <c r="D24" i="8"/>
  <c r="E24" i="8"/>
  <c r="F24" i="8"/>
  <c r="C35" i="8"/>
  <c r="D35" i="8"/>
  <c r="E35" i="8"/>
  <c r="F35" i="8"/>
  <c r="C33" i="8"/>
  <c r="D33" i="8"/>
  <c r="E33" i="8"/>
  <c r="F33" i="8"/>
  <c r="C10" i="8"/>
  <c r="D10" i="8"/>
  <c r="E10" i="8"/>
  <c r="F10" i="8"/>
  <c r="C13" i="8"/>
  <c r="D13" i="8"/>
  <c r="E13" i="8"/>
  <c r="F13" i="8"/>
  <c r="C4" i="8"/>
  <c r="D4" i="8"/>
  <c r="E4" i="8"/>
  <c r="F4" i="8"/>
  <c r="C22" i="8"/>
  <c r="D22" i="8"/>
  <c r="E22" i="8"/>
  <c r="F22" i="8"/>
  <c r="C11" i="8"/>
  <c r="D11" i="8"/>
  <c r="E11" i="8"/>
  <c r="F11" i="8"/>
  <c r="C18" i="8"/>
  <c r="D18" i="8"/>
  <c r="E18" i="8"/>
  <c r="F18" i="8"/>
  <c r="C23" i="8"/>
  <c r="D23" i="8"/>
  <c r="E23" i="8"/>
  <c r="F23" i="8"/>
  <c r="C32" i="8"/>
  <c r="D32" i="8"/>
  <c r="E32" i="8"/>
  <c r="F32" i="8"/>
  <c r="C5" i="8"/>
  <c r="D5" i="8"/>
  <c r="E5" i="8"/>
  <c r="F5" i="8"/>
  <c r="C27" i="8"/>
  <c r="D27" i="8"/>
  <c r="E27" i="8"/>
  <c r="F27" i="8"/>
  <c r="C17" i="8"/>
  <c r="D17" i="8"/>
  <c r="E17" i="8"/>
  <c r="F17" i="8"/>
  <c r="C3" i="8"/>
  <c r="D3" i="8"/>
  <c r="E3" i="8"/>
  <c r="F3" i="8"/>
  <c r="C34" i="8"/>
  <c r="D34" i="8"/>
  <c r="E34" i="8"/>
  <c r="F34" i="8"/>
  <c r="C2" i="8"/>
  <c r="D2" i="8"/>
  <c r="E2" i="8"/>
  <c r="F2" i="8"/>
  <c r="C14" i="8"/>
  <c r="D14" i="8"/>
  <c r="E14" i="8"/>
  <c r="F14" i="8"/>
  <c r="C12" i="8"/>
  <c r="D12" i="8"/>
  <c r="E12" i="8"/>
  <c r="F12" i="8"/>
  <c r="C30" i="8"/>
  <c r="D30" i="8"/>
  <c r="E30" i="8"/>
  <c r="F30" i="8"/>
  <c r="C8" i="8"/>
  <c r="D8" i="8"/>
  <c r="E8" i="8"/>
  <c r="F8" i="8"/>
  <c r="C29" i="8"/>
  <c r="D29" i="8"/>
  <c r="E29" i="8"/>
  <c r="F29" i="8"/>
  <c r="C16" i="8"/>
  <c r="D16" i="8"/>
  <c r="E16" i="8"/>
  <c r="F16" i="8"/>
  <c r="C25" i="8"/>
  <c r="D25" i="8"/>
  <c r="E25" i="8"/>
  <c r="F25" i="8"/>
  <c r="C9" i="8"/>
  <c r="D9" i="8"/>
  <c r="E9" i="8"/>
  <c r="F9" i="8"/>
  <c r="C20" i="8"/>
  <c r="D20" i="8"/>
  <c r="E20" i="8"/>
  <c r="F20" i="8"/>
  <c r="C7" i="8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37" i="21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68" i="21"/>
  <c r="I369" i="21"/>
  <c r="I370" i="21"/>
  <c r="I371" i="21"/>
  <c r="I372" i="21"/>
  <c r="I373" i="21"/>
  <c r="I374" i="21"/>
  <c r="I375" i="21"/>
  <c r="I376" i="21"/>
  <c r="I377" i="21"/>
  <c r="I378" i="21"/>
  <c r="I379" i="21"/>
  <c r="I380" i="21"/>
  <c r="I381" i="21"/>
  <c r="I382" i="21"/>
  <c r="I383" i="21"/>
  <c r="I384" i="21"/>
  <c r="I385" i="21"/>
  <c r="I386" i="21"/>
  <c r="I387" i="21"/>
  <c r="I388" i="21"/>
  <c r="I389" i="21"/>
  <c r="I390" i="21"/>
  <c r="I391" i="21"/>
  <c r="I392" i="21"/>
  <c r="I393" i="21"/>
  <c r="I394" i="21"/>
  <c r="I395" i="21"/>
  <c r="I396" i="21"/>
  <c r="I397" i="21"/>
  <c r="I398" i="21"/>
  <c r="I399" i="21"/>
  <c r="I400" i="21"/>
  <c r="I401" i="21"/>
  <c r="I402" i="21"/>
  <c r="I403" i="21"/>
  <c r="I404" i="21"/>
  <c r="I405" i="21"/>
  <c r="I406" i="21"/>
  <c r="I407" i="21"/>
  <c r="I408" i="21"/>
  <c r="I409" i="21"/>
  <c r="I410" i="21"/>
  <c r="I411" i="21"/>
  <c r="I412" i="21"/>
  <c r="I413" i="21"/>
  <c r="I414" i="21"/>
  <c r="I415" i="21"/>
  <c r="I416" i="21"/>
  <c r="I417" i="21"/>
  <c r="I418" i="21"/>
  <c r="I419" i="21"/>
  <c r="I420" i="21"/>
  <c r="I421" i="21"/>
  <c r="I422" i="21"/>
  <c r="I423" i="21"/>
  <c r="I424" i="21"/>
  <c r="I425" i="21"/>
  <c r="I426" i="21"/>
  <c r="I427" i="21"/>
  <c r="I428" i="21"/>
  <c r="I429" i="21"/>
  <c r="I430" i="21"/>
  <c r="I431" i="21"/>
  <c r="I432" i="21"/>
  <c r="I433" i="21"/>
  <c r="I434" i="21"/>
  <c r="I435" i="21"/>
  <c r="I436" i="21"/>
  <c r="I437" i="21"/>
  <c r="I438" i="21"/>
  <c r="I439" i="21"/>
  <c r="I440" i="21"/>
  <c r="I441" i="21"/>
  <c r="I442" i="21"/>
  <c r="I443" i="21"/>
  <c r="I444" i="21"/>
  <c r="I445" i="21"/>
  <c r="I446" i="21"/>
  <c r="I447" i="21"/>
  <c r="I448" i="21"/>
  <c r="I449" i="21"/>
  <c r="I450" i="21"/>
  <c r="I451" i="21"/>
  <c r="I452" i="21"/>
  <c r="I453" i="21"/>
  <c r="I454" i="21"/>
  <c r="I455" i="21"/>
  <c r="I456" i="21"/>
  <c r="I457" i="21"/>
  <c r="I458" i="21"/>
  <c r="I459" i="21"/>
  <c r="I460" i="21"/>
  <c r="I461" i="21"/>
  <c r="I462" i="21"/>
  <c r="I463" i="21"/>
  <c r="I464" i="21"/>
  <c r="I465" i="21"/>
  <c r="I466" i="21"/>
  <c r="I467" i="21"/>
  <c r="I468" i="21"/>
  <c r="I469" i="21"/>
  <c r="I470" i="21"/>
  <c r="I471" i="21"/>
  <c r="I472" i="21"/>
  <c r="I473" i="21"/>
  <c r="I474" i="21"/>
  <c r="I475" i="21"/>
  <c r="I476" i="21"/>
  <c r="I477" i="21"/>
  <c r="I478" i="21"/>
  <c r="I479" i="21"/>
  <c r="I480" i="21"/>
  <c r="I481" i="21"/>
  <c r="I482" i="21"/>
  <c r="I483" i="21"/>
  <c r="I484" i="21"/>
  <c r="I485" i="21"/>
  <c r="I486" i="21"/>
  <c r="I487" i="21"/>
  <c r="I488" i="21"/>
  <c r="I489" i="21"/>
  <c r="I490" i="21"/>
  <c r="I491" i="21"/>
  <c r="I492" i="21"/>
  <c r="I493" i="21"/>
  <c r="I494" i="21"/>
  <c r="I495" i="21"/>
  <c r="I496" i="21"/>
  <c r="I497" i="21"/>
  <c r="I498" i="21"/>
  <c r="I499" i="21"/>
  <c r="I500" i="21"/>
  <c r="I501" i="21"/>
  <c r="I502" i="21"/>
  <c r="I503" i="21"/>
  <c r="I504" i="21"/>
  <c r="I505" i="21"/>
  <c r="I506" i="21"/>
  <c r="I507" i="21"/>
  <c r="I508" i="21"/>
  <c r="I509" i="21"/>
  <c r="I510" i="21"/>
  <c r="I511" i="21"/>
  <c r="I512" i="21"/>
  <c r="I513" i="21"/>
  <c r="I514" i="21"/>
  <c r="I515" i="21"/>
  <c r="I516" i="21"/>
  <c r="I517" i="21"/>
  <c r="I518" i="21"/>
  <c r="I519" i="21"/>
  <c r="I520" i="21"/>
  <c r="I521" i="21"/>
  <c r="I522" i="21"/>
  <c r="I523" i="21"/>
  <c r="I524" i="21"/>
  <c r="I525" i="21"/>
  <c r="I526" i="21"/>
  <c r="I527" i="21"/>
  <c r="I528" i="21"/>
  <c r="I529" i="21"/>
  <c r="I530" i="21"/>
  <c r="I531" i="21"/>
  <c r="I532" i="21"/>
  <c r="I533" i="21"/>
  <c r="I534" i="21"/>
  <c r="I535" i="21"/>
  <c r="I536" i="21"/>
  <c r="I537" i="21"/>
  <c r="I538" i="21"/>
  <c r="I539" i="21"/>
  <c r="I540" i="21"/>
  <c r="I541" i="21"/>
  <c r="I542" i="21"/>
  <c r="I543" i="21"/>
  <c r="I544" i="21"/>
  <c r="I545" i="21"/>
  <c r="I546" i="21"/>
  <c r="I547" i="21"/>
  <c r="I548" i="21"/>
  <c r="I549" i="21"/>
  <c r="I550" i="21"/>
  <c r="I551" i="21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F406" i="2"/>
  <c r="G406" i="2"/>
  <c r="H406" i="2"/>
  <c r="A3" i="7"/>
  <c r="A3" i="11" s="1"/>
  <c r="B3" i="7"/>
  <c r="B3" i="11" s="1"/>
  <c r="C3" i="7"/>
  <c r="C3" i="11" s="1"/>
  <c r="D3" i="7"/>
  <c r="D3" i="11" s="1"/>
  <c r="E3" i="7"/>
  <c r="E3" i="11" s="1"/>
  <c r="F3" i="7"/>
  <c r="G3" i="7"/>
  <c r="I3" i="7"/>
  <c r="J3" i="7"/>
  <c r="L3" i="7"/>
  <c r="M3" i="7"/>
  <c r="O3" i="7"/>
  <c r="P3" i="7"/>
  <c r="R3" i="7"/>
  <c r="S3" i="7"/>
  <c r="W3" i="7"/>
  <c r="X3" i="7"/>
  <c r="Z3" i="7"/>
  <c r="A4" i="7"/>
  <c r="A4" i="11" s="1"/>
  <c r="B4" i="7"/>
  <c r="B4" i="11" s="1"/>
  <c r="C4" i="7"/>
  <c r="C4" i="11" s="1"/>
  <c r="D4" i="7"/>
  <c r="D4" i="11" s="1"/>
  <c r="E4" i="7"/>
  <c r="E4" i="11" s="1"/>
  <c r="F4" i="7"/>
  <c r="G4" i="7"/>
  <c r="I4" i="7"/>
  <c r="J4" i="7"/>
  <c r="L4" i="7"/>
  <c r="N4" i="7" s="1"/>
  <c r="F4" i="11" s="1"/>
  <c r="H4" i="11" s="1"/>
  <c r="M4" i="7"/>
  <c r="O4" i="7"/>
  <c r="P4" i="7"/>
  <c r="R4" i="7"/>
  <c r="S4" i="7"/>
  <c r="W4" i="7"/>
  <c r="X4" i="7"/>
  <c r="Z4" i="7"/>
  <c r="A5" i="7"/>
  <c r="A5" i="11" s="1"/>
  <c r="B5" i="7"/>
  <c r="B5" i="11" s="1"/>
  <c r="C5" i="7"/>
  <c r="C5" i="11" s="1"/>
  <c r="D5" i="7"/>
  <c r="D5" i="11" s="1"/>
  <c r="E5" i="7"/>
  <c r="E5" i="11" s="1"/>
  <c r="F5" i="7"/>
  <c r="G5" i="7"/>
  <c r="I5" i="7"/>
  <c r="J5" i="7"/>
  <c r="L5" i="7"/>
  <c r="M5" i="7"/>
  <c r="O5" i="7"/>
  <c r="P5" i="7"/>
  <c r="R5" i="7"/>
  <c r="S5" i="7"/>
  <c r="W5" i="7"/>
  <c r="X5" i="7"/>
  <c r="Z5" i="7"/>
  <c r="A6" i="7"/>
  <c r="A6" i="11" s="1"/>
  <c r="B6" i="7"/>
  <c r="B6" i="11" s="1"/>
  <c r="C6" i="7"/>
  <c r="C6" i="11" s="1"/>
  <c r="D6" i="7"/>
  <c r="D6" i="11" s="1"/>
  <c r="E6" i="7"/>
  <c r="E6" i="11" s="1"/>
  <c r="F6" i="7"/>
  <c r="G6" i="7"/>
  <c r="I6" i="7"/>
  <c r="J6" i="7"/>
  <c r="L6" i="7"/>
  <c r="N6" i="7" s="1"/>
  <c r="F6" i="11" s="1"/>
  <c r="H6" i="11" s="1"/>
  <c r="M6" i="7"/>
  <c r="O6" i="7"/>
  <c r="P6" i="7"/>
  <c r="R6" i="7"/>
  <c r="S6" i="7"/>
  <c r="W6" i="7"/>
  <c r="X6" i="7"/>
  <c r="Z6" i="7"/>
  <c r="A7" i="7"/>
  <c r="A7" i="11" s="1"/>
  <c r="B7" i="7"/>
  <c r="B7" i="11" s="1"/>
  <c r="C7" i="7"/>
  <c r="C7" i="11" s="1"/>
  <c r="D7" i="7"/>
  <c r="D7" i="11" s="1"/>
  <c r="E7" i="7"/>
  <c r="E7" i="11" s="1"/>
  <c r="F7" i="7"/>
  <c r="G7" i="7"/>
  <c r="I7" i="7"/>
  <c r="J7" i="7"/>
  <c r="L7" i="7"/>
  <c r="N7" i="7" s="1"/>
  <c r="F7" i="11" s="1"/>
  <c r="H7" i="11" s="1"/>
  <c r="M7" i="7"/>
  <c r="O7" i="7"/>
  <c r="P7" i="7"/>
  <c r="R7" i="7"/>
  <c r="S7" i="7"/>
  <c r="W7" i="7"/>
  <c r="X7" i="7"/>
  <c r="Z7" i="7"/>
  <c r="A8" i="7"/>
  <c r="A8" i="11" s="1"/>
  <c r="B8" i="7"/>
  <c r="B8" i="11" s="1"/>
  <c r="C8" i="7"/>
  <c r="C8" i="11" s="1"/>
  <c r="D8" i="7"/>
  <c r="E8" i="7"/>
  <c r="E8" i="11" s="1"/>
  <c r="F8" i="7"/>
  <c r="G8" i="7"/>
  <c r="I8" i="7"/>
  <c r="J8" i="7"/>
  <c r="L8" i="7"/>
  <c r="N8" i="7" s="1"/>
  <c r="F8" i="11" s="1"/>
  <c r="H8" i="11" s="1"/>
  <c r="M8" i="7"/>
  <c r="O8" i="7"/>
  <c r="P8" i="7"/>
  <c r="R8" i="7"/>
  <c r="S8" i="7"/>
  <c r="W8" i="7"/>
  <c r="X8" i="7"/>
  <c r="Z8" i="7"/>
  <c r="A9" i="7"/>
  <c r="A9" i="11" s="1"/>
  <c r="B9" i="7"/>
  <c r="B9" i="11" s="1"/>
  <c r="C9" i="7"/>
  <c r="C9" i="11" s="1"/>
  <c r="D9" i="7"/>
  <c r="D9" i="11" s="1"/>
  <c r="E9" i="7"/>
  <c r="E9" i="11" s="1"/>
  <c r="F9" i="7"/>
  <c r="G9" i="7"/>
  <c r="I9" i="7"/>
  <c r="J9" i="7"/>
  <c r="L9" i="7"/>
  <c r="N9" i="7" s="1"/>
  <c r="F9" i="11" s="1"/>
  <c r="H9" i="11" s="1"/>
  <c r="M9" i="7"/>
  <c r="O9" i="7"/>
  <c r="P9" i="7"/>
  <c r="R9" i="7"/>
  <c r="S9" i="7"/>
  <c r="W9" i="7"/>
  <c r="X9" i="7"/>
  <c r="Z9" i="7"/>
  <c r="A10" i="7"/>
  <c r="A10" i="11" s="1"/>
  <c r="B10" i="7"/>
  <c r="B10" i="11" s="1"/>
  <c r="C10" i="7"/>
  <c r="C10" i="11" s="1"/>
  <c r="D10" i="7"/>
  <c r="D10" i="11" s="1"/>
  <c r="E10" i="7"/>
  <c r="E10" i="11" s="1"/>
  <c r="F10" i="7"/>
  <c r="G10" i="7"/>
  <c r="I10" i="7"/>
  <c r="J10" i="7"/>
  <c r="L10" i="7"/>
  <c r="N10" i="7" s="1"/>
  <c r="F10" i="11" s="1"/>
  <c r="H10" i="11" s="1"/>
  <c r="M10" i="7"/>
  <c r="O10" i="7"/>
  <c r="P10" i="7"/>
  <c r="R10" i="7"/>
  <c r="S10" i="7"/>
  <c r="W10" i="7"/>
  <c r="X10" i="7"/>
  <c r="Z10" i="7"/>
  <c r="A11" i="7"/>
  <c r="A11" i="11" s="1"/>
  <c r="B11" i="7"/>
  <c r="B11" i="11" s="1"/>
  <c r="C11" i="7"/>
  <c r="C11" i="11" s="1"/>
  <c r="D11" i="7"/>
  <c r="D11" i="11" s="1"/>
  <c r="E11" i="7"/>
  <c r="E11" i="11" s="1"/>
  <c r="F11" i="7"/>
  <c r="G11" i="7"/>
  <c r="I11" i="7"/>
  <c r="J11" i="7"/>
  <c r="L11" i="7"/>
  <c r="N11" i="7" s="1"/>
  <c r="F11" i="11" s="1"/>
  <c r="H11" i="11" s="1"/>
  <c r="M11" i="7"/>
  <c r="O11" i="7"/>
  <c r="P11" i="7"/>
  <c r="R11" i="7"/>
  <c r="S11" i="7"/>
  <c r="W11" i="7"/>
  <c r="X11" i="7"/>
  <c r="Z11" i="7"/>
  <c r="A12" i="7"/>
  <c r="A12" i="11" s="1"/>
  <c r="B12" i="7"/>
  <c r="B12" i="11" s="1"/>
  <c r="C12" i="7"/>
  <c r="C12" i="11" s="1"/>
  <c r="D12" i="7"/>
  <c r="D12" i="11" s="1"/>
  <c r="E12" i="7"/>
  <c r="E12" i="11" s="1"/>
  <c r="F12" i="7"/>
  <c r="G12" i="7"/>
  <c r="I12" i="7"/>
  <c r="J12" i="7"/>
  <c r="L12" i="7"/>
  <c r="N12" i="7" s="1"/>
  <c r="F12" i="11" s="1"/>
  <c r="H12" i="11" s="1"/>
  <c r="M12" i="7"/>
  <c r="O12" i="7"/>
  <c r="P12" i="7"/>
  <c r="R12" i="7"/>
  <c r="S12" i="7"/>
  <c r="W12" i="7"/>
  <c r="X12" i="7"/>
  <c r="Z12" i="7"/>
  <c r="A13" i="7"/>
  <c r="A13" i="11" s="1"/>
  <c r="B13" i="7"/>
  <c r="B13" i="11" s="1"/>
  <c r="C13" i="7"/>
  <c r="C13" i="11" s="1"/>
  <c r="D13" i="7"/>
  <c r="D13" i="11" s="1"/>
  <c r="E13" i="7"/>
  <c r="E13" i="11" s="1"/>
  <c r="F13" i="7"/>
  <c r="G13" i="7"/>
  <c r="I13" i="7"/>
  <c r="J13" i="7"/>
  <c r="L13" i="7"/>
  <c r="M13" i="7"/>
  <c r="O13" i="7"/>
  <c r="P13" i="7"/>
  <c r="R13" i="7"/>
  <c r="S13" i="7"/>
  <c r="W13" i="7"/>
  <c r="X13" i="7"/>
  <c r="Z13" i="7"/>
  <c r="A14" i="7"/>
  <c r="A14" i="11" s="1"/>
  <c r="B14" i="7"/>
  <c r="B14" i="11" s="1"/>
  <c r="C14" i="7"/>
  <c r="C14" i="11" s="1"/>
  <c r="D14" i="7"/>
  <c r="D14" i="11" s="1"/>
  <c r="E14" i="7"/>
  <c r="E14" i="11" s="1"/>
  <c r="F14" i="7"/>
  <c r="G14" i="7"/>
  <c r="I14" i="7"/>
  <c r="J14" i="7"/>
  <c r="L14" i="7"/>
  <c r="N14" i="7" s="1"/>
  <c r="F14" i="11" s="1"/>
  <c r="H14" i="11" s="1"/>
  <c r="M14" i="7"/>
  <c r="O14" i="7"/>
  <c r="P14" i="7"/>
  <c r="R14" i="7"/>
  <c r="S14" i="7"/>
  <c r="W14" i="7"/>
  <c r="X14" i="7"/>
  <c r="Z14" i="7"/>
  <c r="A15" i="7"/>
  <c r="A15" i="11" s="1"/>
  <c r="B15" i="7"/>
  <c r="B15" i="11" s="1"/>
  <c r="C15" i="7"/>
  <c r="C15" i="11" s="1"/>
  <c r="D15" i="7"/>
  <c r="E15" i="7"/>
  <c r="E15" i="11" s="1"/>
  <c r="F15" i="7"/>
  <c r="G15" i="7"/>
  <c r="I15" i="7"/>
  <c r="J15" i="7"/>
  <c r="L15" i="7"/>
  <c r="N15" i="7" s="1"/>
  <c r="F15" i="11" s="1"/>
  <c r="H15" i="11" s="1"/>
  <c r="M15" i="7"/>
  <c r="O15" i="7"/>
  <c r="P15" i="7"/>
  <c r="R15" i="7"/>
  <c r="S15" i="7"/>
  <c r="W15" i="7"/>
  <c r="X15" i="7"/>
  <c r="Z15" i="7"/>
  <c r="A16" i="7"/>
  <c r="A16" i="11" s="1"/>
  <c r="B16" i="7"/>
  <c r="B16" i="11" s="1"/>
  <c r="C16" i="7"/>
  <c r="C16" i="11" s="1"/>
  <c r="D16" i="7"/>
  <c r="D16" i="11" s="1"/>
  <c r="E16" i="7"/>
  <c r="E16" i="11" s="1"/>
  <c r="F16" i="7"/>
  <c r="G16" i="7"/>
  <c r="I16" i="7"/>
  <c r="J16" i="7"/>
  <c r="L16" i="7"/>
  <c r="M16" i="7"/>
  <c r="O16" i="7"/>
  <c r="P16" i="7"/>
  <c r="R16" i="7"/>
  <c r="S16" i="7"/>
  <c r="W16" i="7"/>
  <c r="X16" i="7"/>
  <c r="Z16" i="7"/>
  <c r="A17" i="7"/>
  <c r="A17" i="11" s="1"/>
  <c r="B17" i="7"/>
  <c r="B17" i="11" s="1"/>
  <c r="C17" i="7"/>
  <c r="C17" i="11" s="1"/>
  <c r="D17" i="7"/>
  <c r="D17" i="11" s="1"/>
  <c r="E17" i="7"/>
  <c r="E17" i="11" s="1"/>
  <c r="F17" i="7"/>
  <c r="G17" i="7"/>
  <c r="I17" i="7"/>
  <c r="J17" i="7"/>
  <c r="L17" i="7"/>
  <c r="M17" i="7"/>
  <c r="O17" i="7"/>
  <c r="P17" i="7"/>
  <c r="R17" i="7"/>
  <c r="S17" i="7"/>
  <c r="W17" i="7"/>
  <c r="X17" i="7"/>
  <c r="Z17" i="7"/>
  <c r="A18" i="7"/>
  <c r="A18" i="11" s="1"/>
  <c r="B18" i="7"/>
  <c r="B18" i="11" s="1"/>
  <c r="C18" i="7"/>
  <c r="C18" i="11" s="1"/>
  <c r="D18" i="7"/>
  <c r="D18" i="11" s="1"/>
  <c r="E18" i="7"/>
  <c r="E18" i="11" s="1"/>
  <c r="F18" i="7"/>
  <c r="G18" i="7"/>
  <c r="I18" i="7"/>
  <c r="J18" i="7"/>
  <c r="L18" i="7"/>
  <c r="M18" i="7"/>
  <c r="O18" i="7"/>
  <c r="P18" i="7"/>
  <c r="R18" i="7"/>
  <c r="S18" i="7"/>
  <c r="W18" i="7"/>
  <c r="X18" i="7"/>
  <c r="Z18" i="7"/>
  <c r="A19" i="7"/>
  <c r="A19" i="11" s="1"/>
  <c r="B19" i="7"/>
  <c r="B19" i="11" s="1"/>
  <c r="C19" i="7"/>
  <c r="C19" i="11" s="1"/>
  <c r="D19" i="7"/>
  <c r="D19" i="11" s="1"/>
  <c r="E19" i="7"/>
  <c r="E19" i="11" s="1"/>
  <c r="F19" i="7"/>
  <c r="G19" i="7"/>
  <c r="I19" i="7"/>
  <c r="J19" i="7"/>
  <c r="L19" i="7"/>
  <c r="M19" i="7"/>
  <c r="O19" i="7"/>
  <c r="P19" i="7"/>
  <c r="R19" i="7"/>
  <c r="S19" i="7"/>
  <c r="W19" i="7"/>
  <c r="X19" i="7"/>
  <c r="Z19" i="7"/>
  <c r="A20" i="7"/>
  <c r="A20" i="11" s="1"/>
  <c r="B20" i="7"/>
  <c r="B20" i="11" s="1"/>
  <c r="C20" i="7"/>
  <c r="C20" i="11" s="1"/>
  <c r="D20" i="7"/>
  <c r="D20" i="11" s="1"/>
  <c r="E20" i="7"/>
  <c r="E20" i="11" s="1"/>
  <c r="F20" i="7"/>
  <c r="G20" i="7"/>
  <c r="I20" i="7"/>
  <c r="J20" i="7"/>
  <c r="L20" i="7"/>
  <c r="N20" i="7" s="1"/>
  <c r="F20" i="11" s="1"/>
  <c r="H20" i="11" s="1"/>
  <c r="M20" i="7"/>
  <c r="O20" i="7"/>
  <c r="P20" i="7"/>
  <c r="R20" i="7"/>
  <c r="S20" i="7"/>
  <c r="W20" i="7"/>
  <c r="X20" i="7"/>
  <c r="Z20" i="7"/>
  <c r="A21" i="7"/>
  <c r="A21" i="11" s="1"/>
  <c r="B21" i="7"/>
  <c r="B21" i="11" s="1"/>
  <c r="C21" i="7"/>
  <c r="D21" i="7"/>
  <c r="D21" i="11" s="1"/>
  <c r="E21" i="7"/>
  <c r="E21" i="11" s="1"/>
  <c r="F21" i="7"/>
  <c r="G21" i="7"/>
  <c r="I21" i="7"/>
  <c r="J21" i="7"/>
  <c r="L21" i="7"/>
  <c r="N21" i="7" s="1"/>
  <c r="F21" i="11" s="1"/>
  <c r="H21" i="11" s="1"/>
  <c r="M21" i="7"/>
  <c r="O21" i="7"/>
  <c r="P21" i="7"/>
  <c r="R21" i="7"/>
  <c r="S21" i="7"/>
  <c r="W21" i="7"/>
  <c r="X21" i="7"/>
  <c r="Z21" i="7"/>
  <c r="A22" i="7"/>
  <c r="A22" i="11" s="1"/>
  <c r="B22" i="7"/>
  <c r="B22" i="11" s="1"/>
  <c r="C22" i="7"/>
  <c r="C22" i="11" s="1"/>
  <c r="D22" i="7"/>
  <c r="D22" i="11" s="1"/>
  <c r="E22" i="7"/>
  <c r="E22" i="11" s="1"/>
  <c r="F22" i="7"/>
  <c r="G22" i="7"/>
  <c r="I22" i="7"/>
  <c r="J22" i="7"/>
  <c r="L22" i="7"/>
  <c r="N22" i="7" s="1"/>
  <c r="F22" i="11" s="1"/>
  <c r="H22" i="11" s="1"/>
  <c r="M22" i="7"/>
  <c r="O22" i="7"/>
  <c r="P22" i="7"/>
  <c r="R22" i="7"/>
  <c r="S22" i="7"/>
  <c r="W22" i="7"/>
  <c r="X22" i="7"/>
  <c r="Z22" i="7"/>
  <c r="A23" i="7"/>
  <c r="A23" i="11" s="1"/>
  <c r="B23" i="7"/>
  <c r="B23" i="11" s="1"/>
  <c r="C23" i="7"/>
  <c r="C23" i="11" s="1"/>
  <c r="D23" i="7"/>
  <c r="D23" i="11" s="1"/>
  <c r="E23" i="7"/>
  <c r="E23" i="11" s="1"/>
  <c r="F23" i="7"/>
  <c r="G23" i="7"/>
  <c r="I23" i="7"/>
  <c r="J23" i="7"/>
  <c r="L23" i="7"/>
  <c r="M23" i="7"/>
  <c r="O23" i="7"/>
  <c r="P23" i="7"/>
  <c r="R23" i="7"/>
  <c r="S23" i="7"/>
  <c r="W23" i="7"/>
  <c r="X23" i="7"/>
  <c r="Z23" i="7"/>
  <c r="A24" i="7"/>
  <c r="A24" i="11" s="1"/>
  <c r="B24" i="7"/>
  <c r="B24" i="11" s="1"/>
  <c r="C24" i="7"/>
  <c r="C24" i="11" s="1"/>
  <c r="D24" i="7"/>
  <c r="D24" i="11" s="1"/>
  <c r="E24" i="7"/>
  <c r="E24" i="11" s="1"/>
  <c r="F24" i="7"/>
  <c r="G24" i="7"/>
  <c r="I24" i="7"/>
  <c r="J24" i="7"/>
  <c r="L24" i="7"/>
  <c r="N24" i="7" s="1"/>
  <c r="F24" i="11" s="1"/>
  <c r="H24" i="11" s="1"/>
  <c r="M24" i="7"/>
  <c r="O24" i="7"/>
  <c r="P24" i="7"/>
  <c r="R24" i="7"/>
  <c r="S24" i="7"/>
  <c r="W24" i="7"/>
  <c r="X24" i="7"/>
  <c r="Z24" i="7"/>
  <c r="A25" i="7"/>
  <c r="A25" i="11" s="1"/>
  <c r="B25" i="7"/>
  <c r="B25" i="11" s="1"/>
  <c r="C25" i="7"/>
  <c r="C25" i="11" s="1"/>
  <c r="D25" i="7"/>
  <c r="D25" i="11" s="1"/>
  <c r="E25" i="7"/>
  <c r="E25" i="11" s="1"/>
  <c r="F25" i="7"/>
  <c r="G25" i="7"/>
  <c r="I25" i="7"/>
  <c r="J25" i="7"/>
  <c r="L25" i="7"/>
  <c r="M25" i="7"/>
  <c r="O25" i="7"/>
  <c r="P25" i="7"/>
  <c r="R25" i="7"/>
  <c r="S25" i="7"/>
  <c r="W25" i="7"/>
  <c r="X25" i="7"/>
  <c r="Z25" i="7"/>
  <c r="A26" i="7"/>
  <c r="A26" i="11" s="1"/>
  <c r="B26" i="7"/>
  <c r="B26" i="11" s="1"/>
  <c r="C26" i="7"/>
  <c r="C26" i="11" s="1"/>
  <c r="D26" i="7"/>
  <c r="D26" i="11" s="1"/>
  <c r="E26" i="7"/>
  <c r="E26" i="11" s="1"/>
  <c r="F26" i="7"/>
  <c r="G26" i="7"/>
  <c r="I26" i="7"/>
  <c r="J26" i="7"/>
  <c r="L26" i="7"/>
  <c r="N26" i="7" s="1"/>
  <c r="F26" i="11" s="1"/>
  <c r="H26" i="11" s="1"/>
  <c r="M26" i="7"/>
  <c r="O26" i="7"/>
  <c r="P26" i="7"/>
  <c r="R26" i="7"/>
  <c r="S26" i="7"/>
  <c r="W26" i="7"/>
  <c r="X26" i="7"/>
  <c r="Z26" i="7"/>
  <c r="A27" i="7"/>
  <c r="A27" i="11" s="1"/>
  <c r="B27" i="7"/>
  <c r="B27" i="11" s="1"/>
  <c r="C27" i="7"/>
  <c r="C27" i="11" s="1"/>
  <c r="D27" i="7"/>
  <c r="D27" i="11" s="1"/>
  <c r="E27" i="7"/>
  <c r="E27" i="11" s="1"/>
  <c r="F27" i="7"/>
  <c r="G27" i="7"/>
  <c r="I27" i="7"/>
  <c r="J27" i="7"/>
  <c r="L27" i="7"/>
  <c r="N27" i="7" s="1"/>
  <c r="F27" i="11" s="1"/>
  <c r="H27" i="11" s="1"/>
  <c r="M27" i="7"/>
  <c r="O27" i="7"/>
  <c r="P27" i="7"/>
  <c r="R27" i="7"/>
  <c r="S27" i="7"/>
  <c r="W27" i="7"/>
  <c r="X27" i="7"/>
  <c r="Z27" i="7"/>
  <c r="A28" i="7"/>
  <c r="A28" i="11" s="1"/>
  <c r="B28" i="7"/>
  <c r="B28" i="11" s="1"/>
  <c r="C28" i="7"/>
  <c r="C28" i="11" s="1"/>
  <c r="D28" i="7"/>
  <c r="D28" i="11" s="1"/>
  <c r="E28" i="7"/>
  <c r="E28" i="11" s="1"/>
  <c r="F28" i="7"/>
  <c r="G28" i="7"/>
  <c r="I28" i="7"/>
  <c r="J28" i="7"/>
  <c r="L28" i="7"/>
  <c r="N28" i="7" s="1"/>
  <c r="F28" i="11" s="1"/>
  <c r="H28" i="11" s="1"/>
  <c r="M28" i="7"/>
  <c r="O28" i="7"/>
  <c r="P28" i="7"/>
  <c r="R28" i="7"/>
  <c r="S28" i="7"/>
  <c r="W28" i="7"/>
  <c r="X28" i="7"/>
  <c r="Z28" i="7"/>
  <c r="A29" i="7"/>
  <c r="A29" i="11" s="1"/>
  <c r="B29" i="7"/>
  <c r="B29" i="11" s="1"/>
  <c r="C29" i="7"/>
  <c r="C29" i="11" s="1"/>
  <c r="D29" i="7"/>
  <c r="D29" i="11" s="1"/>
  <c r="E29" i="7"/>
  <c r="E29" i="11" s="1"/>
  <c r="F29" i="7"/>
  <c r="G29" i="7"/>
  <c r="I29" i="7"/>
  <c r="J29" i="7"/>
  <c r="L29" i="7"/>
  <c r="N29" i="7" s="1"/>
  <c r="F29" i="11" s="1"/>
  <c r="H29" i="11" s="1"/>
  <c r="M29" i="7"/>
  <c r="O29" i="7"/>
  <c r="P29" i="7"/>
  <c r="R29" i="7"/>
  <c r="S29" i="7"/>
  <c r="W29" i="7"/>
  <c r="X29" i="7"/>
  <c r="Z29" i="7"/>
  <c r="A30" i="7"/>
  <c r="A30" i="11" s="1"/>
  <c r="B30" i="7"/>
  <c r="B30" i="11" s="1"/>
  <c r="C30" i="7"/>
  <c r="C30" i="11" s="1"/>
  <c r="D30" i="7"/>
  <c r="D30" i="11" s="1"/>
  <c r="E30" i="7"/>
  <c r="E30" i="11" s="1"/>
  <c r="F30" i="7"/>
  <c r="G30" i="7"/>
  <c r="I30" i="7"/>
  <c r="J30" i="7"/>
  <c r="L30" i="7"/>
  <c r="M30" i="7"/>
  <c r="O30" i="7"/>
  <c r="P30" i="7"/>
  <c r="R30" i="7"/>
  <c r="S30" i="7"/>
  <c r="W30" i="7"/>
  <c r="X30" i="7"/>
  <c r="Z30" i="7"/>
  <c r="A31" i="7"/>
  <c r="A31" i="11" s="1"/>
  <c r="B31" i="7"/>
  <c r="B31" i="11" s="1"/>
  <c r="C31" i="7"/>
  <c r="C31" i="11" s="1"/>
  <c r="D31" i="7"/>
  <c r="D31" i="11" s="1"/>
  <c r="E31" i="7"/>
  <c r="E31" i="11" s="1"/>
  <c r="F31" i="7"/>
  <c r="G31" i="7"/>
  <c r="I31" i="7"/>
  <c r="J31" i="7"/>
  <c r="L31" i="7"/>
  <c r="M31" i="7"/>
  <c r="O31" i="7"/>
  <c r="P31" i="7"/>
  <c r="R31" i="7"/>
  <c r="S31" i="7"/>
  <c r="W31" i="7"/>
  <c r="X31" i="7"/>
  <c r="Z31" i="7"/>
  <c r="A32" i="7"/>
  <c r="A32" i="11" s="1"/>
  <c r="B32" i="7"/>
  <c r="B32" i="11" s="1"/>
  <c r="C32" i="7"/>
  <c r="C32" i="11" s="1"/>
  <c r="D32" i="7"/>
  <c r="D32" i="11" s="1"/>
  <c r="E32" i="7"/>
  <c r="E32" i="11" s="1"/>
  <c r="F32" i="7"/>
  <c r="G32" i="7"/>
  <c r="I32" i="7"/>
  <c r="J32" i="7"/>
  <c r="L32" i="7"/>
  <c r="M32" i="7"/>
  <c r="O32" i="7"/>
  <c r="P32" i="7"/>
  <c r="R32" i="7"/>
  <c r="S32" i="7"/>
  <c r="W32" i="7"/>
  <c r="X32" i="7"/>
  <c r="Z32" i="7"/>
  <c r="A33" i="7"/>
  <c r="A33" i="11" s="1"/>
  <c r="B33" i="7"/>
  <c r="B33" i="11" s="1"/>
  <c r="C33" i="7"/>
  <c r="C33" i="11" s="1"/>
  <c r="D33" i="7"/>
  <c r="D33" i="11" s="1"/>
  <c r="E33" i="7"/>
  <c r="E33" i="11" s="1"/>
  <c r="F33" i="7"/>
  <c r="G33" i="7"/>
  <c r="I33" i="7"/>
  <c r="J33" i="7"/>
  <c r="L33" i="7"/>
  <c r="M33" i="7"/>
  <c r="O33" i="7"/>
  <c r="P33" i="7"/>
  <c r="R33" i="7"/>
  <c r="S33" i="7"/>
  <c r="W33" i="7"/>
  <c r="X33" i="7"/>
  <c r="Z33" i="7"/>
  <c r="A34" i="7"/>
  <c r="A34" i="11" s="1"/>
  <c r="B34" i="7"/>
  <c r="B34" i="11" s="1"/>
  <c r="C34" i="7"/>
  <c r="C34" i="11" s="1"/>
  <c r="D34" i="7"/>
  <c r="D34" i="11" s="1"/>
  <c r="E34" i="7"/>
  <c r="E34" i="11" s="1"/>
  <c r="F34" i="7"/>
  <c r="G34" i="7"/>
  <c r="I34" i="7"/>
  <c r="J34" i="7"/>
  <c r="L34" i="7"/>
  <c r="N34" i="7" s="1"/>
  <c r="F34" i="11" s="1"/>
  <c r="H34" i="11" s="1"/>
  <c r="M34" i="7"/>
  <c r="O34" i="7"/>
  <c r="P34" i="7"/>
  <c r="R34" i="7"/>
  <c r="S34" i="7"/>
  <c r="W34" i="7"/>
  <c r="X34" i="7"/>
  <c r="Z34" i="7"/>
  <c r="A35" i="7"/>
  <c r="A35" i="11" s="1"/>
  <c r="B35" i="7"/>
  <c r="B35" i="11" s="1"/>
  <c r="C35" i="7"/>
  <c r="C35" i="11" s="1"/>
  <c r="D35" i="7"/>
  <c r="D35" i="11" s="1"/>
  <c r="E35" i="7"/>
  <c r="E35" i="11" s="1"/>
  <c r="F35" i="7"/>
  <c r="G35" i="7"/>
  <c r="I35" i="7"/>
  <c r="J35" i="7"/>
  <c r="L35" i="7"/>
  <c r="N35" i="7" s="1"/>
  <c r="F35" i="11" s="1"/>
  <c r="H35" i="11" s="1"/>
  <c r="M35" i="7"/>
  <c r="O35" i="7"/>
  <c r="P35" i="7"/>
  <c r="R35" i="7"/>
  <c r="S35" i="7"/>
  <c r="W35" i="7"/>
  <c r="X35" i="7"/>
  <c r="Z35" i="7"/>
  <c r="A36" i="7"/>
  <c r="A36" i="11" s="1"/>
  <c r="B36" i="7"/>
  <c r="B36" i="11" s="1"/>
  <c r="C36" i="7"/>
  <c r="C36" i="11" s="1"/>
  <c r="D36" i="7"/>
  <c r="D36" i="11" s="1"/>
  <c r="E36" i="7"/>
  <c r="E36" i="11" s="1"/>
  <c r="F36" i="7"/>
  <c r="G36" i="7"/>
  <c r="I36" i="7"/>
  <c r="J36" i="7"/>
  <c r="L36" i="7"/>
  <c r="N36" i="7" s="1"/>
  <c r="F36" i="11" s="1"/>
  <c r="H36" i="11" s="1"/>
  <c r="M36" i="7"/>
  <c r="O36" i="7"/>
  <c r="P36" i="7"/>
  <c r="R36" i="7"/>
  <c r="S36" i="7"/>
  <c r="W36" i="7"/>
  <c r="X36" i="7"/>
  <c r="Z36" i="7"/>
  <c r="A37" i="7"/>
  <c r="A37" i="11" s="1"/>
  <c r="B37" i="7"/>
  <c r="B37" i="11" s="1"/>
  <c r="C37" i="7"/>
  <c r="C37" i="11" s="1"/>
  <c r="D37" i="7"/>
  <c r="D37" i="11" s="1"/>
  <c r="E37" i="7"/>
  <c r="E37" i="11" s="1"/>
  <c r="F37" i="7"/>
  <c r="G37" i="7"/>
  <c r="I37" i="7"/>
  <c r="J37" i="7"/>
  <c r="L37" i="7"/>
  <c r="M37" i="7"/>
  <c r="O37" i="7"/>
  <c r="P37" i="7"/>
  <c r="R37" i="7"/>
  <c r="S37" i="7"/>
  <c r="W37" i="7"/>
  <c r="X37" i="7"/>
  <c r="Z37" i="7"/>
  <c r="A38" i="7"/>
  <c r="A38" i="11" s="1"/>
  <c r="B38" i="7"/>
  <c r="B38" i="11" s="1"/>
  <c r="C38" i="7"/>
  <c r="C38" i="11" s="1"/>
  <c r="D38" i="7"/>
  <c r="D38" i="11" s="1"/>
  <c r="E38" i="7"/>
  <c r="E38" i="11" s="1"/>
  <c r="F38" i="7"/>
  <c r="G38" i="7"/>
  <c r="I38" i="7"/>
  <c r="J38" i="7"/>
  <c r="L38" i="7"/>
  <c r="N38" i="7" s="1"/>
  <c r="F38" i="11" s="1"/>
  <c r="H38" i="11" s="1"/>
  <c r="M38" i="7"/>
  <c r="O38" i="7"/>
  <c r="P38" i="7"/>
  <c r="R38" i="7"/>
  <c r="S38" i="7"/>
  <c r="W38" i="7"/>
  <c r="X38" i="7"/>
  <c r="Z38" i="7"/>
  <c r="A39" i="7"/>
  <c r="A39" i="11" s="1"/>
  <c r="B39" i="7"/>
  <c r="B39" i="11" s="1"/>
  <c r="C39" i="7"/>
  <c r="C39" i="11" s="1"/>
  <c r="D39" i="7"/>
  <c r="D39" i="11" s="1"/>
  <c r="E39" i="7"/>
  <c r="E39" i="11" s="1"/>
  <c r="F39" i="7"/>
  <c r="G39" i="7"/>
  <c r="I39" i="7"/>
  <c r="J39" i="7"/>
  <c r="L39" i="7"/>
  <c r="M39" i="7"/>
  <c r="O39" i="7"/>
  <c r="P39" i="7"/>
  <c r="R39" i="7"/>
  <c r="S39" i="7"/>
  <c r="W39" i="7"/>
  <c r="X39" i="7"/>
  <c r="Z39" i="7"/>
  <c r="A40" i="7"/>
  <c r="A40" i="11" s="1"/>
  <c r="B40" i="7"/>
  <c r="B40" i="11" s="1"/>
  <c r="C40" i="7"/>
  <c r="C40" i="11" s="1"/>
  <c r="D40" i="7"/>
  <c r="D40" i="11" s="1"/>
  <c r="E40" i="7"/>
  <c r="E40" i="11" s="1"/>
  <c r="F40" i="7"/>
  <c r="G40" i="7"/>
  <c r="I40" i="7"/>
  <c r="J40" i="7"/>
  <c r="L40" i="7"/>
  <c r="N40" i="7" s="1"/>
  <c r="F40" i="11" s="1"/>
  <c r="H40" i="11" s="1"/>
  <c r="M40" i="7"/>
  <c r="O40" i="7"/>
  <c r="P40" i="7"/>
  <c r="R40" i="7"/>
  <c r="S40" i="7"/>
  <c r="W40" i="7"/>
  <c r="X40" i="7"/>
  <c r="Z40" i="7"/>
  <c r="A41" i="7"/>
  <c r="A41" i="11" s="1"/>
  <c r="B41" i="7"/>
  <c r="B41" i="11" s="1"/>
  <c r="C41" i="7"/>
  <c r="C41" i="11" s="1"/>
  <c r="D41" i="7"/>
  <c r="D41" i="11" s="1"/>
  <c r="E41" i="7"/>
  <c r="E41" i="11" s="1"/>
  <c r="F41" i="7"/>
  <c r="G41" i="7"/>
  <c r="I41" i="7"/>
  <c r="J41" i="7"/>
  <c r="L41" i="7"/>
  <c r="N41" i="7" s="1"/>
  <c r="F41" i="11" s="1"/>
  <c r="H41" i="11" s="1"/>
  <c r="M41" i="7"/>
  <c r="O41" i="7"/>
  <c r="P41" i="7"/>
  <c r="R41" i="7"/>
  <c r="S41" i="7"/>
  <c r="W41" i="7"/>
  <c r="X41" i="7"/>
  <c r="Z41" i="7"/>
  <c r="A42" i="7"/>
  <c r="A42" i="11" s="1"/>
  <c r="B42" i="7"/>
  <c r="B42" i="11" s="1"/>
  <c r="C42" i="7"/>
  <c r="C42" i="11" s="1"/>
  <c r="D42" i="7"/>
  <c r="D42" i="11" s="1"/>
  <c r="E42" i="7"/>
  <c r="E42" i="11" s="1"/>
  <c r="F42" i="7"/>
  <c r="G42" i="7"/>
  <c r="I42" i="7"/>
  <c r="J42" i="7"/>
  <c r="L42" i="7"/>
  <c r="N42" i="7" s="1"/>
  <c r="F42" i="11" s="1"/>
  <c r="H42" i="11" s="1"/>
  <c r="M42" i="7"/>
  <c r="O42" i="7"/>
  <c r="P42" i="7"/>
  <c r="R42" i="7"/>
  <c r="S42" i="7"/>
  <c r="W42" i="7"/>
  <c r="X42" i="7"/>
  <c r="Z42" i="7"/>
  <c r="A43" i="7"/>
  <c r="A43" i="11" s="1"/>
  <c r="B43" i="7"/>
  <c r="B43" i="11" s="1"/>
  <c r="C43" i="7"/>
  <c r="C43" i="11" s="1"/>
  <c r="D43" i="7"/>
  <c r="D43" i="11" s="1"/>
  <c r="E43" i="7"/>
  <c r="E43" i="11" s="1"/>
  <c r="F43" i="7"/>
  <c r="G43" i="7"/>
  <c r="I43" i="7"/>
  <c r="J43" i="7"/>
  <c r="L43" i="7"/>
  <c r="N43" i="7" s="1"/>
  <c r="F43" i="11" s="1"/>
  <c r="H43" i="11" s="1"/>
  <c r="M43" i="7"/>
  <c r="O43" i="7"/>
  <c r="P43" i="7"/>
  <c r="R43" i="7"/>
  <c r="S43" i="7"/>
  <c r="W43" i="7"/>
  <c r="X43" i="7"/>
  <c r="Z43" i="7"/>
  <c r="A44" i="7"/>
  <c r="A44" i="11" s="1"/>
  <c r="B44" i="7"/>
  <c r="B44" i="11" s="1"/>
  <c r="C44" i="7"/>
  <c r="C44" i="11" s="1"/>
  <c r="D44" i="7"/>
  <c r="D44" i="11" s="1"/>
  <c r="E44" i="7"/>
  <c r="E44" i="11" s="1"/>
  <c r="F44" i="7"/>
  <c r="G44" i="7"/>
  <c r="I44" i="7"/>
  <c r="J44" i="7"/>
  <c r="L44" i="7"/>
  <c r="M44" i="7"/>
  <c r="O44" i="7"/>
  <c r="P44" i="7"/>
  <c r="R44" i="7"/>
  <c r="S44" i="7"/>
  <c r="W44" i="7"/>
  <c r="X44" i="7"/>
  <c r="Z44" i="7"/>
  <c r="A45" i="7"/>
  <c r="A45" i="11" s="1"/>
  <c r="B45" i="7"/>
  <c r="B45" i="11" s="1"/>
  <c r="C45" i="7"/>
  <c r="C45" i="11" s="1"/>
  <c r="D45" i="7"/>
  <c r="D45" i="11" s="1"/>
  <c r="E45" i="7"/>
  <c r="E45" i="11" s="1"/>
  <c r="F45" i="7"/>
  <c r="G45" i="7"/>
  <c r="I45" i="7"/>
  <c r="J45" i="7"/>
  <c r="L45" i="7"/>
  <c r="M45" i="7"/>
  <c r="O45" i="7"/>
  <c r="P45" i="7"/>
  <c r="R45" i="7"/>
  <c r="S45" i="7"/>
  <c r="W45" i="7"/>
  <c r="X45" i="7"/>
  <c r="Z45" i="7"/>
  <c r="A46" i="7"/>
  <c r="A46" i="11" s="1"/>
  <c r="B46" i="7"/>
  <c r="B46" i="11" s="1"/>
  <c r="C46" i="7"/>
  <c r="C46" i="11" s="1"/>
  <c r="D46" i="7"/>
  <c r="D46" i="11" s="1"/>
  <c r="E46" i="7"/>
  <c r="E46" i="11" s="1"/>
  <c r="F46" i="7"/>
  <c r="G46" i="7"/>
  <c r="I46" i="7"/>
  <c r="J46" i="7"/>
  <c r="L46" i="7"/>
  <c r="M46" i="7"/>
  <c r="O46" i="7"/>
  <c r="P46" i="7"/>
  <c r="R46" i="7"/>
  <c r="S46" i="7"/>
  <c r="W46" i="7"/>
  <c r="X46" i="7"/>
  <c r="Z46" i="7"/>
  <c r="A47" i="7"/>
  <c r="A47" i="11" s="1"/>
  <c r="B47" i="7"/>
  <c r="B47" i="11" s="1"/>
  <c r="C47" i="7"/>
  <c r="C47" i="11" s="1"/>
  <c r="D47" i="7"/>
  <c r="D47" i="11" s="1"/>
  <c r="E47" i="7"/>
  <c r="E47" i="11" s="1"/>
  <c r="F47" i="7"/>
  <c r="G47" i="7"/>
  <c r="I47" i="7"/>
  <c r="J47" i="7"/>
  <c r="L47" i="7"/>
  <c r="M47" i="7"/>
  <c r="O47" i="7"/>
  <c r="P47" i="7"/>
  <c r="R47" i="7"/>
  <c r="S47" i="7"/>
  <c r="W47" i="7"/>
  <c r="X47" i="7"/>
  <c r="Z47" i="7"/>
  <c r="A48" i="7"/>
  <c r="A48" i="11" s="1"/>
  <c r="B48" i="7"/>
  <c r="B48" i="11" s="1"/>
  <c r="C48" i="7"/>
  <c r="C48" i="11" s="1"/>
  <c r="D48" i="7"/>
  <c r="D48" i="11" s="1"/>
  <c r="E48" i="7"/>
  <c r="E48" i="11" s="1"/>
  <c r="F48" i="7"/>
  <c r="G48" i="7"/>
  <c r="I48" i="7"/>
  <c r="J48" i="7"/>
  <c r="L48" i="7"/>
  <c r="M48" i="7"/>
  <c r="O48" i="7"/>
  <c r="P48" i="7"/>
  <c r="R48" i="7"/>
  <c r="S48" i="7"/>
  <c r="W48" i="7"/>
  <c r="X48" i="7"/>
  <c r="Z48" i="7"/>
  <c r="A49" i="7"/>
  <c r="A49" i="11" s="1"/>
  <c r="B49" i="7"/>
  <c r="B49" i="11" s="1"/>
  <c r="C49" i="7"/>
  <c r="C49" i="11" s="1"/>
  <c r="D49" i="7"/>
  <c r="D49" i="11" s="1"/>
  <c r="E49" i="7"/>
  <c r="E49" i="11" s="1"/>
  <c r="F49" i="7"/>
  <c r="G49" i="7"/>
  <c r="I49" i="7"/>
  <c r="J49" i="7"/>
  <c r="L49" i="7"/>
  <c r="M49" i="7"/>
  <c r="O49" i="7"/>
  <c r="P49" i="7"/>
  <c r="R49" i="7"/>
  <c r="S49" i="7"/>
  <c r="W49" i="7"/>
  <c r="X49" i="7"/>
  <c r="Z49" i="7"/>
  <c r="A50" i="7"/>
  <c r="A50" i="11" s="1"/>
  <c r="B50" i="7"/>
  <c r="B50" i="11" s="1"/>
  <c r="C50" i="7"/>
  <c r="C50" i="11" s="1"/>
  <c r="D50" i="7"/>
  <c r="D50" i="11" s="1"/>
  <c r="E50" i="7"/>
  <c r="E50" i="11" s="1"/>
  <c r="F50" i="7"/>
  <c r="G50" i="7"/>
  <c r="I50" i="7"/>
  <c r="J50" i="7"/>
  <c r="L50" i="7"/>
  <c r="N50" i="7" s="1"/>
  <c r="F50" i="11" s="1"/>
  <c r="H50" i="11" s="1"/>
  <c r="M50" i="7"/>
  <c r="O50" i="7"/>
  <c r="P50" i="7"/>
  <c r="R50" i="7"/>
  <c r="S50" i="7"/>
  <c r="W50" i="7"/>
  <c r="X50" i="7"/>
  <c r="Z50" i="7"/>
  <c r="A51" i="7"/>
  <c r="A51" i="11" s="1"/>
  <c r="B51" i="7"/>
  <c r="B51" i="11" s="1"/>
  <c r="C51" i="7"/>
  <c r="C51" i="11" s="1"/>
  <c r="D51" i="7"/>
  <c r="D51" i="11" s="1"/>
  <c r="E51" i="7"/>
  <c r="E51" i="11" s="1"/>
  <c r="F51" i="7"/>
  <c r="G51" i="7"/>
  <c r="I51" i="7"/>
  <c r="J51" i="7"/>
  <c r="L51" i="7"/>
  <c r="N51" i="7" s="1"/>
  <c r="F51" i="11" s="1"/>
  <c r="H51" i="11" s="1"/>
  <c r="M51" i="7"/>
  <c r="O51" i="7"/>
  <c r="P51" i="7"/>
  <c r="R51" i="7"/>
  <c r="S51" i="7"/>
  <c r="W51" i="7"/>
  <c r="X51" i="7"/>
  <c r="Z51" i="7"/>
  <c r="A52" i="7"/>
  <c r="A52" i="11" s="1"/>
  <c r="B52" i="7"/>
  <c r="B52" i="11" s="1"/>
  <c r="C52" i="7"/>
  <c r="C52" i="11" s="1"/>
  <c r="D52" i="7"/>
  <c r="D52" i="11" s="1"/>
  <c r="E52" i="7"/>
  <c r="E52" i="11" s="1"/>
  <c r="F52" i="7"/>
  <c r="G52" i="7"/>
  <c r="I52" i="7"/>
  <c r="J52" i="7"/>
  <c r="L52" i="7"/>
  <c r="M52" i="7"/>
  <c r="O52" i="7"/>
  <c r="P52" i="7"/>
  <c r="R52" i="7"/>
  <c r="S52" i="7"/>
  <c r="W52" i="7"/>
  <c r="X52" i="7"/>
  <c r="Z52" i="7"/>
  <c r="A53" i="7"/>
  <c r="A53" i="11" s="1"/>
  <c r="B53" i="7"/>
  <c r="B53" i="11" s="1"/>
  <c r="C53" i="7"/>
  <c r="C53" i="11" s="1"/>
  <c r="D53" i="7"/>
  <c r="D53" i="11" s="1"/>
  <c r="E53" i="7"/>
  <c r="E53" i="11" s="1"/>
  <c r="F53" i="7"/>
  <c r="G53" i="7"/>
  <c r="I53" i="7"/>
  <c r="J53" i="7"/>
  <c r="L53" i="7"/>
  <c r="N53" i="7" s="1"/>
  <c r="F53" i="11" s="1"/>
  <c r="H53" i="11" s="1"/>
  <c r="M53" i="7"/>
  <c r="O53" i="7"/>
  <c r="P53" i="7"/>
  <c r="R53" i="7"/>
  <c r="S53" i="7"/>
  <c r="W53" i="7"/>
  <c r="X53" i="7"/>
  <c r="Z53" i="7"/>
  <c r="A54" i="7"/>
  <c r="A54" i="11" s="1"/>
  <c r="B54" i="7"/>
  <c r="B54" i="11" s="1"/>
  <c r="C54" i="7"/>
  <c r="C54" i="11" s="1"/>
  <c r="D54" i="7"/>
  <c r="D54" i="11" s="1"/>
  <c r="E54" i="7"/>
  <c r="E54" i="11" s="1"/>
  <c r="F54" i="7"/>
  <c r="G54" i="7"/>
  <c r="I54" i="7"/>
  <c r="J54" i="7"/>
  <c r="L54" i="7"/>
  <c r="N54" i="7" s="1"/>
  <c r="F54" i="11" s="1"/>
  <c r="H54" i="11" s="1"/>
  <c r="M54" i="7"/>
  <c r="O54" i="7"/>
  <c r="P54" i="7"/>
  <c r="R54" i="7"/>
  <c r="S54" i="7"/>
  <c r="W54" i="7"/>
  <c r="X54" i="7"/>
  <c r="Z54" i="7"/>
  <c r="A55" i="7"/>
  <c r="A55" i="11" s="1"/>
  <c r="B55" i="7"/>
  <c r="B55" i="11" s="1"/>
  <c r="C55" i="7"/>
  <c r="C55" i="11" s="1"/>
  <c r="D55" i="7"/>
  <c r="D55" i="11" s="1"/>
  <c r="E55" i="7"/>
  <c r="E55" i="11" s="1"/>
  <c r="F55" i="7"/>
  <c r="G55" i="7"/>
  <c r="I55" i="7"/>
  <c r="J55" i="7"/>
  <c r="L55" i="7"/>
  <c r="M55" i="7"/>
  <c r="O55" i="7"/>
  <c r="P55" i="7"/>
  <c r="R55" i="7"/>
  <c r="S55" i="7"/>
  <c r="W55" i="7"/>
  <c r="X55" i="7"/>
  <c r="Z55" i="7"/>
  <c r="A56" i="7"/>
  <c r="A56" i="11" s="1"/>
  <c r="B56" i="7"/>
  <c r="B56" i="11" s="1"/>
  <c r="C56" i="7"/>
  <c r="C56" i="11" s="1"/>
  <c r="D56" i="7"/>
  <c r="D56" i="11" s="1"/>
  <c r="E56" i="7"/>
  <c r="E56" i="11" s="1"/>
  <c r="F56" i="7"/>
  <c r="G56" i="7"/>
  <c r="I56" i="7"/>
  <c r="J56" i="7"/>
  <c r="L56" i="7"/>
  <c r="N56" i="7" s="1"/>
  <c r="F56" i="11" s="1"/>
  <c r="H56" i="11" s="1"/>
  <c r="M56" i="7"/>
  <c r="O56" i="7"/>
  <c r="P56" i="7"/>
  <c r="R56" i="7"/>
  <c r="S56" i="7"/>
  <c r="W56" i="7"/>
  <c r="X56" i="7"/>
  <c r="Z56" i="7"/>
  <c r="A57" i="7"/>
  <c r="A57" i="11" s="1"/>
  <c r="B57" i="7"/>
  <c r="B57" i="11" s="1"/>
  <c r="C57" i="7"/>
  <c r="C57" i="11" s="1"/>
  <c r="D57" i="7"/>
  <c r="D57" i="11" s="1"/>
  <c r="E57" i="7"/>
  <c r="E57" i="11" s="1"/>
  <c r="F57" i="7"/>
  <c r="G57" i="7"/>
  <c r="I57" i="7"/>
  <c r="J57" i="7"/>
  <c r="L57" i="7"/>
  <c r="N57" i="7" s="1"/>
  <c r="F57" i="11" s="1"/>
  <c r="H57" i="11" s="1"/>
  <c r="M57" i="7"/>
  <c r="O57" i="7"/>
  <c r="P57" i="7"/>
  <c r="R57" i="7"/>
  <c r="S57" i="7"/>
  <c r="W57" i="7"/>
  <c r="X57" i="7"/>
  <c r="Z57" i="7"/>
  <c r="A58" i="7"/>
  <c r="A58" i="11" s="1"/>
  <c r="B58" i="7"/>
  <c r="B58" i="11" s="1"/>
  <c r="C58" i="7"/>
  <c r="C58" i="11" s="1"/>
  <c r="D58" i="7"/>
  <c r="D58" i="11" s="1"/>
  <c r="E58" i="7"/>
  <c r="E58" i="11" s="1"/>
  <c r="F58" i="7"/>
  <c r="G58" i="7"/>
  <c r="I58" i="7"/>
  <c r="J58" i="7"/>
  <c r="L58" i="7"/>
  <c r="M58" i="7"/>
  <c r="O58" i="7"/>
  <c r="P58" i="7"/>
  <c r="R58" i="7"/>
  <c r="S58" i="7"/>
  <c r="W58" i="7"/>
  <c r="X58" i="7"/>
  <c r="Z58" i="7"/>
  <c r="A59" i="7"/>
  <c r="A59" i="11" s="1"/>
  <c r="B59" i="7"/>
  <c r="B59" i="11" s="1"/>
  <c r="C59" i="7"/>
  <c r="C59" i="11" s="1"/>
  <c r="D59" i="7"/>
  <c r="D59" i="11" s="1"/>
  <c r="E59" i="7"/>
  <c r="E59" i="11" s="1"/>
  <c r="F59" i="7"/>
  <c r="G59" i="7"/>
  <c r="I59" i="7"/>
  <c r="J59" i="7"/>
  <c r="L59" i="7"/>
  <c r="M59" i="7"/>
  <c r="O59" i="7"/>
  <c r="P59" i="7"/>
  <c r="R59" i="7"/>
  <c r="S59" i="7"/>
  <c r="W59" i="7"/>
  <c r="X59" i="7"/>
  <c r="Z59" i="7"/>
  <c r="A60" i="7"/>
  <c r="A60" i="11" s="1"/>
  <c r="B60" i="7"/>
  <c r="B60" i="11" s="1"/>
  <c r="C60" i="7"/>
  <c r="C60" i="11" s="1"/>
  <c r="D60" i="7"/>
  <c r="D60" i="11" s="1"/>
  <c r="E60" i="7"/>
  <c r="E60" i="11" s="1"/>
  <c r="F60" i="7"/>
  <c r="G60" i="7"/>
  <c r="I60" i="7"/>
  <c r="J60" i="7"/>
  <c r="L60" i="7"/>
  <c r="M60" i="7"/>
  <c r="O60" i="7"/>
  <c r="P60" i="7"/>
  <c r="R60" i="7"/>
  <c r="S60" i="7"/>
  <c r="W60" i="7"/>
  <c r="X60" i="7"/>
  <c r="Z60" i="7"/>
  <c r="A61" i="7"/>
  <c r="A61" i="11" s="1"/>
  <c r="B61" i="7"/>
  <c r="B61" i="11" s="1"/>
  <c r="C61" i="7"/>
  <c r="C61" i="11" s="1"/>
  <c r="D61" i="7"/>
  <c r="D61" i="11" s="1"/>
  <c r="E61" i="7"/>
  <c r="E61" i="11" s="1"/>
  <c r="F61" i="7"/>
  <c r="G61" i="7"/>
  <c r="I61" i="7"/>
  <c r="J61" i="7"/>
  <c r="L61" i="7"/>
  <c r="M61" i="7"/>
  <c r="O61" i="7"/>
  <c r="P61" i="7"/>
  <c r="R61" i="7"/>
  <c r="S61" i="7"/>
  <c r="W61" i="7"/>
  <c r="X61" i="7"/>
  <c r="Z61" i="7"/>
  <c r="A62" i="7"/>
  <c r="A62" i="11" s="1"/>
  <c r="B62" i="7"/>
  <c r="B62" i="11" s="1"/>
  <c r="C62" i="7"/>
  <c r="C62" i="11" s="1"/>
  <c r="D62" i="7"/>
  <c r="D62" i="11" s="1"/>
  <c r="E62" i="7"/>
  <c r="E62" i="11" s="1"/>
  <c r="F62" i="7"/>
  <c r="G62" i="7"/>
  <c r="I62" i="7"/>
  <c r="J62" i="7"/>
  <c r="L62" i="7"/>
  <c r="N62" i="7" s="1"/>
  <c r="F62" i="11" s="1"/>
  <c r="H62" i="11" s="1"/>
  <c r="M62" i="7"/>
  <c r="O62" i="7"/>
  <c r="P62" i="7"/>
  <c r="R62" i="7"/>
  <c r="S62" i="7"/>
  <c r="W62" i="7"/>
  <c r="X62" i="7"/>
  <c r="Z62" i="7"/>
  <c r="A63" i="7"/>
  <c r="A63" i="11" s="1"/>
  <c r="B63" i="7"/>
  <c r="B63" i="11" s="1"/>
  <c r="C63" i="7"/>
  <c r="C63" i="11" s="1"/>
  <c r="D63" i="7"/>
  <c r="D63" i="11" s="1"/>
  <c r="E63" i="7"/>
  <c r="E63" i="11" s="1"/>
  <c r="F63" i="7"/>
  <c r="G63" i="7"/>
  <c r="I63" i="7"/>
  <c r="J63" i="7"/>
  <c r="L63" i="7"/>
  <c r="N63" i="7" s="1"/>
  <c r="F63" i="11" s="1"/>
  <c r="H63" i="11" s="1"/>
  <c r="M63" i="7"/>
  <c r="O63" i="7"/>
  <c r="P63" i="7"/>
  <c r="R63" i="7"/>
  <c r="S63" i="7"/>
  <c r="W63" i="7"/>
  <c r="X63" i="7"/>
  <c r="Z63" i="7"/>
  <c r="A64" i="7"/>
  <c r="A64" i="11" s="1"/>
  <c r="B64" i="7"/>
  <c r="B64" i="11" s="1"/>
  <c r="C64" i="7"/>
  <c r="C64" i="11" s="1"/>
  <c r="D64" i="7"/>
  <c r="D64" i="11" s="1"/>
  <c r="E64" i="7"/>
  <c r="E64" i="11" s="1"/>
  <c r="F64" i="7"/>
  <c r="G64" i="7"/>
  <c r="I64" i="7"/>
  <c r="J64" i="7"/>
  <c r="L64" i="7"/>
  <c r="N64" i="7" s="1"/>
  <c r="F64" i="11" s="1"/>
  <c r="H64" i="11" s="1"/>
  <c r="M64" i="7"/>
  <c r="O64" i="7"/>
  <c r="P64" i="7"/>
  <c r="R64" i="7"/>
  <c r="S64" i="7"/>
  <c r="W64" i="7"/>
  <c r="X64" i="7"/>
  <c r="Z64" i="7"/>
  <c r="A65" i="7"/>
  <c r="A65" i="11" s="1"/>
  <c r="B65" i="7"/>
  <c r="B65" i="11" s="1"/>
  <c r="C65" i="7"/>
  <c r="C65" i="11" s="1"/>
  <c r="D65" i="7"/>
  <c r="D65" i="11" s="1"/>
  <c r="E65" i="7"/>
  <c r="E65" i="11" s="1"/>
  <c r="F65" i="7"/>
  <c r="G65" i="7"/>
  <c r="I65" i="7"/>
  <c r="J65" i="7"/>
  <c r="L65" i="7"/>
  <c r="M65" i="7"/>
  <c r="O65" i="7"/>
  <c r="P65" i="7"/>
  <c r="R65" i="7"/>
  <c r="S65" i="7"/>
  <c r="W65" i="7"/>
  <c r="X65" i="7"/>
  <c r="Z65" i="7"/>
  <c r="A66" i="7"/>
  <c r="A66" i="11" s="1"/>
  <c r="B66" i="7"/>
  <c r="B66" i="11" s="1"/>
  <c r="C66" i="7"/>
  <c r="C66" i="11" s="1"/>
  <c r="D66" i="7"/>
  <c r="D66" i="11" s="1"/>
  <c r="E66" i="7"/>
  <c r="E66" i="11" s="1"/>
  <c r="F66" i="7"/>
  <c r="G66" i="7"/>
  <c r="I66" i="7"/>
  <c r="J66" i="7"/>
  <c r="L66" i="7"/>
  <c r="M66" i="7"/>
  <c r="O66" i="7"/>
  <c r="P66" i="7"/>
  <c r="R66" i="7"/>
  <c r="S66" i="7"/>
  <c r="W66" i="7"/>
  <c r="X66" i="7"/>
  <c r="Z66" i="7"/>
  <c r="A67" i="7"/>
  <c r="A67" i="11" s="1"/>
  <c r="B67" i="7"/>
  <c r="B67" i="11" s="1"/>
  <c r="C67" i="7"/>
  <c r="C67" i="11" s="1"/>
  <c r="D67" i="7"/>
  <c r="D67" i="11" s="1"/>
  <c r="E67" i="7"/>
  <c r="E67" i="11" s="1"/>
  <c r="F67" i="7"/>
  <c r="G67" i="7"/>
  <c r="I67" i="7"/>
  <c r="J67" i="7"/>
  <c r="L67" i="7"/>
  <c r="N67" i="7" s="1"/>
  <c r="F67" i="11" s="1"/>
  <c r="H67" i="11" s="1"/>
  <c r="M67" i="7"/>
  <c r="O67" i="7"/>
  <c r="P67" i="7"/>
  <c r="R67" i="7"/>
  <c r="S67" i="7"/>
  <c r="W67" i="7"/>
  <c r="X67" i="7"/>
  <c r="Z67" i="7"/>
  <c r="A68" i="7"/>
  <c r="A68" i="11" s="1"/>
  <c r="B68" i="7"/>
  <c r="B68" i="11" s="1"/>
  <c r="C68" i="7"/>
  <c r="C68" i="11" s="1"/>
  <c r="D68" i="7"/>
  <c r="D68" i="11" s="1"/>
  <c r="E68" i="7"/>
  <c r="E68" i="11" s="1"/>
  <c r="F68" i="7"/>
  <c r="G68" i="7"/>
  <c r="I68" i="7"/>
  <c r="J68" i="7"/>
  <c r="L68" i="7"/>
  <c r="N68" i="7" s="1"/>
  <c r="F68" i="11" s="1"/>
  <c r="H68" i="11" s="1"/>
  <c r="M68" i="7"/>
  <c r="O68" i="7"/>
  <c r="P68" i="7"/>
  <c r="R68" i="7"/>
  <c r="S68" i="7"/>
  <c r="W68" i="7"/>
  <c r="X68" i="7"/>
  <c r="Z68" i="7"/>
  <c r="A69" i="7"/>
  <c r="A69" i="11" s="1"/>
  <c r="B69" i="7"/>
  <c r="B69" i="11" s="1"/>
  <c r="C69" i="7"/>
  <c r="C69" i="11" s="1"/>
  <c r="D69" i="7"/>
  <c r="D69" i="11" s="1"/>
  <c r="E69" i="7"/>
  <c r="E69" i="11" s="1"/>
  <c r="F69" i="7"/>
  <c r="G69" i="7"/>
  <c r="I69" i="7"/>
  <c r="J69" i="7"/>
  <c r="L69" i="7"/>
  <c r="M69" i="7"/>
  <c r="O69" i="7"/>
  <c r="P69" i="7"/>
  <c r="R69" i="7"/>
  <c r="S69" i="7"/>
  <c r="W69" i="7"/>
  <c r="X69" i="7"/>
  <c r="Z69" i="7"/>
  <c r="A70" i="7"/>
  <c r="A70" i="11" s="1"/>
  <c r="B70" i="7"/>
  <c r="B70" i="11" s="1"/>
  <c r="C70" i="7"/>
  <c r="C70" i="11" s="1"/>
  <c r="D70" i="7"/>
  <c r="D70" i="11" s="1"/>
  <c r="E70" i="7"/>
  <c r="E70" i="11" s="1"/>
  <c r="F70" i="7"/>
  <c r="G70" i="7"/>
  <c r="I70" i="7"/>
  <c r="J70" i="7"/>
  <c r="L70" i="7"/>
  <c r="M70" i="7"/>
  <c r="O70" i="7"/>
  <c r="P70" i="7"/>
  <c r="R70" i="7"/>
  <c r="S70" i="7"/>
  <c r="W70" i="7"/>
  <c r="X70" i="7"/>
  <c r="Z70" i="7"/>
  <c r="A71" i="7"/>
  <c r="A71" i="11" s="1"/>
  <c r="B71" i="7"/>
  <c r="B71" i="11" s="1"/>
  <c r="C71" i="7"/>
  <c r="C71" i="11" s="1"/>
  <c r="D71" i="7"/>
  <c r="D71" i="11" s="1"/>
  <c r="E71" i="7"/>
  <c r="E71" i="11" s="1"/>
  <c r="F71" i="7"/>
  <c r="G71" i="7"/>
  <c r="I71" i="7"/>
  <c r="J71" i="7"/>
  <c r="L71" i="7"/>
  <c r="N71" i="7" s="1"/>
  <c r="F71" i="11" s="1"/>
  <c r="H71" i="11" s="1"/>
  <c r="M71" i="7"/>
  <c r="O71" i="7"/>
  <c r="P71" i="7"/>
  <c r="R71" i="7"/>
  <c r="S71" i="7"/>
  <c r="W71" i="7"/>
  <c r="X71" i="7"/>
  <c r="Z71" i="7"/>
  <c r="A72" i="7"/>
  <c r="A72" i="11" s="1"/>
  <c r="B72" i="7"/>
  <c r="B72" i="11" s="1"/>
  <c r="C72" i="7"/>
  <c r="C72" i="11" s="1"/>
  <c r="D72" i="7"/>
  <c r="D72" i="11" s="1"/>
  <c r="E72" i="7"/>
  <c r="E72" i="11" s="1"/>
  <c r="F72" i="7"/>
  <c r="G72" i="7"/>
  <c r="I72" i="7"/>
  <c r="J72" i="7"/>
  <c r="L72" i="7"/>
  <c r="M72" i="7"/>
  <c r="O72" i="7"/>
  <c r="P72" i="7"/>
  <c r="R72" i="7"/>
  <c r="S72" i="7"/>
  <c r="W72" i="7"/>
  <c r="X72" i="7"/>
  <c r="Z72" i="7"/>
  <c r="A73" i="7"/>
  <c r="A73" i="11" s="1"/>
  <c r="B73" i="7"/>
  <c r="B73" i="11" s="1"/>
  <c r="C73" i="7"/>
  <c r="C73" i="11" s="1"/>
  <c r="D73" i="7"/>
  <c r="D73" i="11" s="1"/>
  <c r="E73" i="7"/>
  <c r="E73" i="11" s="1"/>
  <c r="F73" i="7"/>
  <c r="G73" i="7"/>
  <c r="I73" i="7"/>
  <c r="J73" i="7"/>
  <c r="L73" i="7"/>
  <c r="M73" i="7"/>
  <c r="O73" i="7"/>
  <c r="P73" i="7"/>
  <c r="R73" i="7"/>
  <c r="S73" i="7"/>
  <c r="W73" i="7"/>
  <c r="X73" i="7"/>
  <c r="Z73" i="7"/>
  <c r="A74" i="7"/>
  <c r="A74" i="11" s="1"/>
  <c r="B74" i="7"/>
  <c r="B74" i="11" s="1"/>
  <c r="C74" i="7"/>
  <c r="C74" i="11" s="1"/>
  <c r="D74" i="7"/>
  <c r="D74" i="11" s="1"/>
  <c r="E74" i="7"/>
  <c r="E74" i="11" s="1"/>
  <c r="F74" i="7"/>
  <c r="G74" i="7"/>
  <c r="I74" i="7"/>
  <c r="J74" i="7"/>
  <c r="L74" i="7"/>
  <c r="M74" i="7"/>
  <c r="O74" i="7"/>
  <c r="P74" i="7"/>
  <c r="R74" i="7"/>
  <c r="S74" i="7"/>
  <c r="W74" i="7"/>
  <c r="X74" i="7"/>
  <c r="Z74" i="7"/>
  <c r="A75" i="7"/>
  <c r="A75" i="11" s="1"/>
  <c r="B75" i="7"/>
  <c r="B75" i="11" s="1"/>
  <c r="C75" i="7"/>
  <c r="C75" i="11" s="1"/>
  <c r="D75" i="7"/>
  <c r="D75" i="11" s="1"/>
  <c r="E75" i="7"/>
  <c r="E75" i="11" s="1"/>
  <c r="F75" i="7"/>
  <c r="G75" i="7"/>
  <c r="I75" i="7"/>
  <c r="J75" i="7"/>
  <c r="L75" i="7"/>
  <c r="M75" i="7"/>
  <c r="O75" i="7"/>
  <c r="P75" i="7"/>
  <c r="R75" i="7"/>
  <c r="S75" i="7"/>
  <c r="W75" i="7"/>
  <c r="X75" i="7"/>
  <c r="Z75" i="7"/>
  <c r="A76" i="7"/>
  <c r="A76" i="11" s="1"/>
  <c r="B76" i="7"/>
  <c r="B76" i="11" s="1"/>
  <c r="C76" i="7"/>
  <c r="C76" i="11" s="1"/>
  <c r="D76" i="7"/>
  <c r="D76" i="11" s="1"/>
  <c r="E76" i="7"/>
  <c r="E76" i="11" s="1"/>
  <c r="F76" i="7"/>
  <c r="G76" i="7"/>
  <c r="I76" i="7"/>
  <c r="J76" i="7"/>
  <c r="L76" i="7"/>
  <c r="M76" i="7"/>
  <c r="O76" i="7"/>
  <c r="P76" i="7"/>
  <c r="R76" i="7"/>
  <c r="S76" i="7"/>
  <c r="W76" i="7"/>
  <c r="X76" i="7"/>
  <c r="Z76" i="7"/>
  <c r="A77" i="7"/>
  <c r="A77" i="11" s="1"/>
  <c r="B77" i="7"/>
  <c r="B77" i="11" s="1"/>
  <c r="C77" i="7"/>
  <c r="C77" i="11" s="1"/>
  <c r="D77" i="7"/>
  <c r="D77" i="11" s="1"/>
  <c r="E77" i="7"/>
  <c r="E77" i="11" s="1"/>
  <c r="F77" i="7"/>
  <c r="G77" i="7"/>
  <c r="I77" i="7"/>
  <c r="J77" i="7"/>
  <c r="L77" i="7"/>
  <c r="N77" i="7" s="1"/>
  <c r="F77" i="11" s="1"/>
  <c r="H77" i="11" s="1"/>
  <c r="M77" i="7"/>
  <c r="O77" i="7"/>
  <c r="P77" i="7"/>
  <c r="R77" i="7"/>
  <c r="S77" i="7"/>
  <c r="W77" i="7"/>
  <c r="X77" i="7"/>
  <c r="Z77" i="7"/>
  <c r="A78" i="7"/>
  <c r="A78" i="11" s="1"/>
  <c r="B78" i="7"/>
  <c r="B78" i="11" s="1"/>
  <c r="C78" i="7"/>
  <c r="C78" i="11" s="1"/>
  <c r="D78" i="7"/>
  <c r="D78" i="11" s="1"/>
  <c r="E78" i="7"/>
  <c r="E78" i="11" s="1"/>
  <c r="F78" i="7"/>
  <c r="G78" i="7"/>
  <c r="I78" i="7"/>
  <c r="J78" i="7"/>
  <c r="L78" i="7"/>
  <c r="N78" i="7" s="1"/>
  <c r="F78" i="11" s="1"/>
  <c r="H78" i="11" s="1"/>
  <c r="M78" i="7"/>
  <c r="O78" i="7"/>
  <c r="P78" i="7"/>
  <c r="R78" i="7"/>
  <c r="S78" i="7"/>
  <c r="W78" i="7"/>
  <c r="X78" i="7"/>
  <c r="Z78" i="7"/>
  <c r="A79" i="7"/>
  <c r="A79" i="11" s="1"/>
  <c r="B79" i="7"/>
  <c r="B79" i="11" s="1"/>
  <c r="C79" i="7"/>
  <c r="C79" i="11" s="1"/>
  <c r="D79" i="7"/>
  <c r="D79" i="11" s="1"/>
  <c r="E79" i="7"/>
  <c r="E79" i="11" s="1"/>
  <c r="F79" i="7"/>
  <c r="G79" i="7"/>
  <c r="I79" i="7"/>
  <c r="J79" i="7"/>
  <c r="L79" i="7"/>
  <c r="N79" i="7" s="1"/>
  <c r="F79" i="11" s="1"/>
  <c r="H79" i="11" s="1"/>
  <c r="M79" i="7"/>
  <c r="O79" i="7"/>
  <c r="P79" i="7"/>
  <c r="R79" i="7"/>
  <c r="S79" i="7"/>
  <c r="W79" i="7"/>
  <c r="X79" i="7"/>
  <c r="Z79" i="7"/>
  <c r="A80" i="7"/>
  <c r="A80" i="11" s="1"/>
  <c r="B80" i="7"/>
  <c r="B80" i="11" s="1"/>
  <c r="C80" i="7"/>
  <c r="C80" i="11" s="1"/>
  <c r="D80" i="7"/>
  <c r="D80" i="11" s="1"/>
  <c r="E80" i="7"/>
  <c r="E80" i="11" s="1"/>
  <c r="F80" i="7"/>
  <c r="G80" i="7"/>
  <c r="I80" i="7"/>
  <c r="J80" i="7"/>
  <c r="L80" i="7"/>
  <c r="N80" i="7" s="1"/>
  <c r="F80" i="11" s="1"/>
  <c r="H80" i="11" s="1"/>
  <c r="M80" i="7"/>
  <c r="O80" i="7"/>
  <c r="P80" i="7"/>
  <c r="R80" i="7"/>
  <c r="S80" i="7"/>
  <c r="W80" i="7"/>
  <c r="X80" i="7"/>
  <c r="Z80" i="7"/>
  <c r="A81" i="7"/>
  <c r="A81" i="11" s="1"/>
  <c r="B81" i="7"/>
  <c r="B81" i="11" s="1"/>
  <c r="C81" i="7"/>
  <c r="C81" i="11" s="1"/>
  <c r="D81" i="7"/>
  <c r="D81" i="11" s="1"/>
  <c r="E81" i="7"/>
  <c r="E81" i="11" s="1"/>
  <c r="F81" i="7"/>
  <c r="G81" i="7"/>
  <c r="I81" i="7"/>
  <c r="J81" i="7"/>
  <c r="L81" i="7"/>
  <c r="M81" i="7"/>
  <c r="O81" i="7"/>
  <c r="P81" i="7"/>
  <c r="R81" i="7"/>
  <c r="S81" i="7"/>
  <c r="W81" i="7"/>
  <c r="X81" i="7"/>
  <c r="Z81" i="7"/>
  <c r="A82" i="7"/>
  <c r="A82" i="11" s="1"/>
  <c r="B82" i="7"/>
  <c r="B82" i="11" s="1"/>
  <c r="C82" i="7"/>
  <c r="C82" i="11" s="1"/>
  <c r="D82" i="7"/>
  <c r="D82" i="11" s="1"/>
  <c r="E82" i="7"/>
  <c r="E82" i="11" s="1"/>
  <c r="F82" i="7"/>
  <c r="G82" i="7"/>
  <c r="I82" i="7"/>
  <c r="J82" i="7"/>
  <c r="L82" i="7"/>
  <c r="M82" i="7"/>
  <c r="O82" i="7"/>
  <c r="P82" i="7"/>
  <c r="R82" i="7"/>
  <c r="S82" i="7"/>
  <c r="W82" i="7"/>
  <c r="X82" i="7"/>
  <c r="Z82" i="7"/>
  <c r="A83" i="7"/>
  <c r="A83" i="11" s="1"/>
  <c r="B83" i="7"/>
  <c r="B83" i="11" s="1"/>
  <c r="C83" i="7"/>
  <c r="C83" i="11" s="1"/>
  <c r="D83" i="7"/>
  <c r="D83" i="11" s="1"/>
  <c r="E83" i="7"/>
  <c r="E83" i="11" s="1"/>
  <c r="F83" i="7"/>
  <c r="G83" i="7"/>
  <c r="I83" i="7"/>
  <c r="J83" i="7"/>
  <c r="L83" i="7"/>
  <c r="M83" i="7"/>
  <c r="O83" i="7"/>
  <c r="P83" i="7"/>
  <c r="R83" i="7"/>
  <c r="S83" i="7"/>
  <c r="W83" i="7"/>
  <c r="X83" i="7"/>
  <c r="Z83" i="7"/>
  <c r="A84" i="7"/>
  <c r="A84" i="11" s="1"/>
  <c r="B84" i="7"/>
  <c r="B84" i="11" s="1"/>
  <c r="C84" i="7"/>
  <c r="C84" i="11" s="1"/>
  <c r="D84" i="7"/>
  <c r="D84" i="11" s="1"/>
  <c r="E84" i="7"/>
  <c r="E84" i="11" s="1"/>
  <c r="F84" i="7"/>
  <c r="G84" i="7"/>
  <c r="I84" i="7"/>
  <c r="J84" i="7"/>
  <c r="L84" i="7"/>
  <c r="M84" i="7"/>
  <c r="O84" i="7"/>
  <c r="P84" i="7"/>
  <c r="R84" i="7"/>
  <c r="S84" i="7"/>
  <c r="W84" i="7"/>
  <c r="X84" i="7"/>
  <c r="Z84" i="7"/>
  <c r="A85" i="7"/>
  <c r="A85" i="11" s="1"/>
  <c r="B85" i="7"/>
  <c r="B85" i="11" s="1"/>
  <c r="C85" i="7"/>
  <c r="C85" i="11" s="1"/>
  <c r="D85" i="7"/>
  <c r="D85" i="11" s="1"/>
  <c r="E85" i="7"/>
  <c r="E85" i="11" s="1"/>
  <c r="F85" i="7"/>
  <c r="G85" i="7"/>
  <c r="I85" i="7"/>
  <c r="J85" i="7"/>
  <c r="L85" i="7"/>
  <c r="M85" i="7"/>
  <c r="O85" i="7"/>
  <c r="P85" i="7"/>
  <c r="R85" i="7"/>
  <c r="S85" i="7"/>
  <c r="W85" i="7"/>
  <c r="X85" i="7"/>
  <c r="Z85" i="7"/>
  <c r="A86" i="7"/>
  <c r="A86" i="11" s="1"/>
  <c r="B86" i="7"/>
  <c r="B86" i="11" s="1"/>
  <c r="C86" i="7"/>
  <c r="C86" i="11" s="1"/>
  <c r="D86" i="7"/>
  <c r="D86" i="11" s="1"/>
  <c r="E86" i="7"/>
  <c r="E86" i="11" s="1"/>
  <c r="F86" i="7"/>
  <c r="G86" i="7"/>
  <c r="I86" i="7"/>
  <c r="J86" i="7"/>
  <c r="L86" i="7"/>
  <c r="M86" i="7"/>
  <c r="O86" i="7"/>
  <c r="P86" i="7"/>
  <c r="R86" i="7"/>
  <c r="S86" i="7"/>
  <c r="W86" i="7"/>
  <c r="X86" i="7"/>
  <c r="Z86" i="7"/>
  <c r="A87" i="7"/>
  <c r="A87" i="11" s="1"/>
  <c r="B87" i="7"/>
  <c r="B87" i="11" s="1"/>
  <c r="C87" i="7"/>
  <c r="C87" i="11" s="1"/>
  <c r="D87" i="7"/>
  <c r="D87" i="11" s="1"/>
  <c r="E87" i="7"/>
  <c r="E87" i="11" s="1"/>
  <c r="F87" i="7"/>
  <c r="G87" i="7"/>
  <c r="I87" i="7"/>
  <c r="J87" i="7"/>
  <c r="L87" i="7"/>
  <c r="N87" i="7" s="1"/>
  <c r="F87" i="11" s="1"/>
  <c r="H87" i="11" s="1"/>
  <c r="M87" i="7"/>
  <c r="O87" i="7"/>
  <c r="P87" i="7"/>
  <c r="R87" i="7"/>
  <c r="S87" i="7"/>
  <c r="W87" i="7"/>
  <c r="X87" i="7"/>
  <c r="Z87" i="7"/>
  <c r="A88" i="7"/>
  <c r="A88" i="11" s="1"/>
  <c r="B88" i="7"/>
  <c r="B88" i="11" s="1"/>
  <c r="C88" i="7"/>
  <c r="C88" i="11" s="1"/>
  <c r="D88" i="7"/>
  <c r="D88" i="11" s="1"/>
  <c r="E88" i="7"/>
  <c r="E88" i="11" s="1"/>
  <c r="F88" i="7"/>
  <c r="G88" i="7"/>
  <c r="I88" i="7"/>
  <c r="J88" i="7"/>
  <c r="L88" i="7"/>
  <c r="M88" i="7"/>
  <c r="O88" i="7"/>
  <c r="P88" i="7"/>
  <c r="R88" i="7"/>
  <c r="S88" i="7"/>
  <c r="W88" i="7"/>
  <c r="X88" i="7"/>
  <c r="Z88" i="7"/>
  <c r="A89" i="7"/>
  <c r="A89" i="11" s="1"/>
  <c r="B89" i="7"/>
  <c r="B89" i="11" s="1"/>
  <c r="C89" i="7"/>
  <c r="C89" i="11" s="1"/>
  <c r="D89" i="7"/>
  <c r="D89" i="11" s="1"/>
  <c r="E89" i="7"/>
  <c r="E89" i="11" s="1"/>
  <c r="F89" i="7"/>
  <c r="G89" i="7"/>
  <c r="I89" i="7"/>
  <c r="J89" i="7"/>
  <c r="L89" i="7"/>
  <c r="N89" i="7" s="1"/>
  <c r="F89" i="11" s="1"/>
  <c r="H89" i="11" s="1"/>
  <c r="M89" i="7"/>
  <c r="O89" i="7"/>
  <c r="P89" i="7"/>
  <c r="R89" i="7"/>
  <c r="S89" i="7"/>
  <c r="W89" i="7"/>
  <c r="X89" i="7"/>
  <c r="Z89" i="7"/>
  <c r="A90" i="7"/>
  <c r="A90" i="11" s="1"/>
  <c r="B90" i="7"/>
  <c r="B90" i="11" s="1"/>
  <c r="C90" i="7"/>
  <c r="C90" i="11" s="1"/>
  <c r="D90" i="7"/>
  <c r="D90" i="11" s="1"/>
  <c r="E90" i="7"/>
  <c r="E90" i="11" s="1"/>
  <c r="F90" i="7"/>
  <c r="G90" i="7"/>
  <c r="I90" i="7"/>
  <c r="J90" i="7"/>
  <c r="L90" i="7"/>
  <c r="N90" i="7" s="1"/>
  <c r="F90" i="11" s="1"/>
  <c r="H90" i="11" s="1"/>
  <c r="M90" i="7"/>
  <c r="O90" i="7"/>
  <c r="P90" i="7"/>
  <c r="R90" i="7"/>
  <c r="S90" i="7"/>
  <c r="W90" i="7"/>
  <c r="X90" i="7"/>
  <c r="Z90" i="7"/>
  <c r="A91" i="7"/>
  <c r="A91" i="11" s="1"/>
  <c r="B91" i="7"/>
  <c r="B91" i="11" s="1"/>
  <c r="C91" i="7"/>
  <c r="C91" i="11" s="1"/>
  <c r="D91" i="7"/>
  <c r="D91" i="11" s="1"/>
  <c r="E91" i="7"/>
  <c r="E91" i="11" s="1"/>
  <c r="F91" i="7"/>
  <c r="G91" i="7"/>
  <c r="I91" i="7"/>
  <c r="J91" i="7"/>
  <c r="L91" i="7"/>
  <c r="N91" i="7" s="1"/>
  <c r="F91" i="11" s="1"/>
  <c r="H91" i="11" s="1"/>
  <c r="M91" i="7"/>
  <c r="O91" i="7"/>
  <c r="P91" i="7"/>
  <c r="R91" i="7"/>
  <c r="S91" i="7"/>
  <c r="W91" i="7"/>
  <c r="X91" i="7"/>
  <c r="Z91" i="7"/>
  <c r="A92" i="7"/>
  <c r="A92" i="11" s="1"/>
  <c r="B92" i="7"/>
  <c r="B92" i="11" s="1"/>
  <c r="C92" i="7"/>
  <c r="C92" i="11" s="1"/>
  <c r="D92" i="7"/>
  <c r="D92" i="11" s="1"/>
  <c r="E92" i="7"/>
  <c r="E92" i="11" s="1"/>
  <c r="F92" i="7"/>
  <c r="G92" i="7"/>
  <c r="I92" i="7"/>
  <c r="J92" i="7"/>
  <c r="L92" i="7"/>
  <c r="N92" i="7" s="1"/>
  <c r="F92" i="11" s="1"/>
  <c r="H92" i="11" s="1"/>
  <c r="M92" i="7"/>
  <c r="O92" i="7"/>
  <c r="P92" i="7"/>
  <c r="R92" i="7"/>
  <c r="S92" i="7"/>
  <c r="W92" i="7"/>
  <c r="X92" i="7"/>
  <c r="Z92" i="7"/>
  <c r="A93" i="7"/>
  <c r="A93" i="11" s="1"/>
  <c r="B93" i="7"/>
  <c r="B93" i="11" s="1"/>
  <c r="C93" i="7"/>
  <c r="C93" i="11" s="1"/>
  <c r="D93" i="7"/>
  <c r="D93" i="11" s="1"/>
  <c r="E93" i="7"/>
  <c r="E93" i="11" s="1"/>
  <c r="F93" i="7"/>
  <c r="G93" i="7"/>
  <c r="I93" i="7"/>
  <c r="J93" i="7"/>
  <c r="L93" i="7"/>
  <c r="M93" i="7"/>
  <c r="O93" i="7"/>
  <c r="P93" i="7"/>
  <c r="R93" i="7"/>
  <c r="S93" i="7"/>
  <c r="W93" i="7"/>
  <c r="X93" i="7"/>
  <c r="Z93" i="7"/>
  <c r="A94" i="7"/>
  <c r="A94" i="11" s="1"/>
  <c r="B94" i="7"/>
  <c r="B94" i="11" s="1"/>
  <c r="C94" i="7"/>
  <c r="C94" i="11" s="1"/>
  <c r="D94" i="7"/>
  <c r="D94" i="11" s="1"/>
  <c r="E94" i="7"/>
  <c r="E94" i="11" s="1"/>
  <c r="F94" i="7"/>
  <c r="G94" i="7"/>
  <c r="I94" i="7"/>
  <c r="J94" i="7"/>
  <c r="L94" i="7"/>
  <c r="M94" i="7"/>
  <c r="O94" i="7"/>
  <c r="P94" i="7"/>
  <c r="R94" i="7"/>
  <c r="S94" i="7"/>
  <c r="W94" i="7"/>
  <c r="X94" i="7"/>
  <c r="Z94" i="7"/>
  <c r="A95" i="7"/>
  <c r="A95" i="11" s="1"/>
  <c r="B95" i="7"/>
  <c r="B95" i="11" s="1"/>
  <c r="C95" i="7"/>
  <c r="C95" i="11" s="1"/>
  <c r="D95" i="7"/>
  <c r="D95" i="11" s="1"/>
  <c r="E95" i="7"/>
  <c r="E95" i="11" s="1"/>
  <c r="F95" i="7"/>
  <c r="G95" i="7"/>
  <c r="I95" i="7"/>
  <c r="J95" i="7"/>
  <c r="L95" i="7"/>
  <c r="N95" i="7" s="1"/>
  <c r="F95" i="11" s="1"/>
  <c r="H95" i="11" s="1"/>
  <c r="M95" i="7"/>
  <c r="O95" i="7"/>
  <c r="P95" i="7"/>
  <c r="R95" i="7"/>
  <c r="S95" i="7"/>
  <c r="W95" i="7"/>
  <c r="X95" i="7"/>
  <c r="Z95" i="7"/>
  <c r="A96" i="7"/>
  <c r="A96" i="11" s="1"/>
  <c r="B96" i="7"/>
  <c r="B96" i="11" s="1"/>
  <c r="C96" i="7"/>
  <c r="C96" i="11" s="1"/>
  <c r="D96" i="7"/>
  <c r="D96" i="11" s="1"/>
  <c r="E96" i="7"/>
  <c r="E96" i="11" s="1"/>
  <c r="F96" i="7"/>
  <c r="G96" i="7"/>
  <c r="I96" i="7"/>
  <c r="J96" i="7"/>
  <c r="L96" i="7"/>
  <c r="M96" i="7"/>
  <c r="O96" i="7"/>
  <c r="P96" i="7"/>
  <c r="R96" i="7"/>
  <c r="S96" i="7"/>
  <c r="W96" i="7"/>
  <c r="X96" i="7"/>
  <c r="Z96" i="7"/>
  <c r="A97" i="7"/>
  <c r="A97" i="11" s="1"/>
  <c r="B97" i="7"/>
  <c r="B97" i="11" s="1"/>
  <c r="C97" i="7"/>
  <c r="C97" i="11" s="1"/>
  <c r="D97" i="7"/>
  <c r="D97" i="11" s="1"/>
  <c r="E97" i="7"/>
  <c r="E97" i="11" s="1"/>
  <c r="F97" i="7"/>
  <c r="G97" i="7"/>
  <c r="I97" i="7"/>
  <c r="J97" i="7"/>
  <c r="L97" i="7"/>
  <c r="M97" i="7"/>
  <c r="O97" i="7"/>
  <c r="P97" i="7"/>
  <c r="R97" i="7"/>
  <c r="S97" i="7"/>
  <c r="W97" i="7"/>
  <c r="X97" i="7"/>
  <c r="Z97" i="7"/>
  <c r="A98" i="7"/>
  <c r="A98" i="11" s="1"/>
  <c r="B98" i="7"/>
  <c r="B98" i="11" s="1"/>
  <c r="C98" i="7"/>
  <c r="C98" i="11" s="1"/>
  <c r="D98" i="7"/>
  <c r="D98" i="11" s="1"/>
  <c r="E98" i="7"/>
  <c r="E98" i="11" s="1"/>
  <c r="F98" i="7"/>
  <c r="G98" i="7"/>
  <c r="I98" i="7"/>
  <c r="J98" i="7"/>
  <c r="L98" i="7"/>
  <c r="M98" i="7"/>
  <c r="O98" i="7"/>
  <c r="P98" i="7"/>
  <c r="R98" i="7"/>
  <c r="S98" i="7"/>
  <c r="W98" i="7"/>
  <c r="X98" i="7"/>
  <c r="Z98" i="7"/>
  <c r="A99" i="7"/>
  <c r="A99" i="11" s="1"/>
  <c r="B99" i="7"/>
  <c r="B99" i="11" s="1"/>
  <c r="C99" i="7"/>
  <c r="C99" i="11" s="1"/>
  <c r="D99" i="7"/>
  <c r="D99" i="11" s="1"/>
  <c r="E99" i="7"/>
  <c r="E99" i="11" s="1"/>
  <c r="F99" i="7"/>
  <c r="G99" i="7"/>
  <c r="I99" i="7"/>
  <c r="J99" i="7"/>
  <c r="L99" i="7"/>
  <c r="M99" i="7"/>
  <c r="O99" i="7"/>
  <c r="P99" i="7"/>
  <c r="R99" i="7"/>
  <c r="S99" i="7"/>
  <c r="W99" i="7"/>
  <c r="X99" i="7"/>
  <c r="Z99" i="7"/>
  <c r="A100" i="7"/>
  <c r="A100" i="11" s="1"/>
  <c r="B100" i="7"/>
  <c r="B100" i="11" s="1"/>
  <c r="C100" i="7"/>
  <c r="C100" i="11" s="1"/>
  <c r="D100" i="7"/>
  <c r="D100" i="11" s="1"/>
  <c r="E100" i="7"/>
  <c r="E100" i="11" s="1"/>
  <c r="F100" i="7"/>
  <c r="G100" i="7"/>
  <c r="I100" i="7"/>
  <c r="J100" i="7"/>
  <c r="L100" i="7"/>
  <c r="M100" i="7"/>
  <c r="O100" i="7"/>
  <c r="P100" i="7"/>
  <c r="R100" i="7"/>
  <c r="S100" i="7"/>
  <c r="W100" i="7"/>
  <c r="X100" i="7"/>
  <c r="Z100" i="7"/>
  <c r="A101" i="7"/>
  <c r="A101" i="11" s="1"/>
  <c r="B101" i="7"/>
  <c r="B101" i="11" s="1"/>
  <c r="C101" i="7"/>
  <c r="C101" i="11" s="1"/>
  <c r="D101" i="7"/>
  <c r="D101" i="11" s="1"/>
  <c r="E101" i="7"/>
  <c r="E101" i="11" s="1"/>
  <c r="F101" i="7"/>
  <c r="G101" i="7"/>
  <c r="I101" i="7"/>
  <c r="J101" i="7"/>
  <c r="L101" i="7"/>
  <c r="N101" i="7" s="1"/>
  <c r="F101" i="11" s="1"/>
  <c r="H101" i="11" s="1"/>
  <c r="M101" i="7"/>
  <c r="O101" i="7"/>
  <c r="P101" i="7"/>
  <c r="R101" i="7"/>
  <c r="S101" i="7"/>
  <c r="W101" i="7"/>
  <c r="X101" i="7"/>
  <c r="Z101" i="7"/>
  <c r="A102" i="7"/>
  <c r="A102" i="11" s="1"/>
  <c r="B102" i="7"/>
  <c r="B102" i="11" s="1"/>
  <c r="C102" i="7"/>
  <c r="C102" i="11" s="1"/>
  <c r="D102" i="7"/>
  <c r="D102" i="11" s="1"/>
  <c r="E102" i="7"/>
  <c r="E102" i="11" s="1"/>
  <c r="F102" i="7"/>
  <c r="G102" i="7"/>
  <c r="I102" i="7"/>
  <c r="J102" i="7"/>
  <c r="L102" i="7"/>
  <c r="N102" i="7" s="1"/>
  <c r="F102" i="11" s="1"/>
  <c r="H102" i="11" s="1"/>
  <c r="M102" i="7"/>
  <c r="O102" i="7"/>
  <c r="P102" i="7"/>
  <c r="R102" i="7"/>
  <c r="S102" i="7"/>
  <c r="W102" i="7"/>
  <c r="X102" i="7"/>
  <c r="Z102" i="7"/>
  <c r="A103" i="7"/>
  <c r="A103" i="11" s="1"/>
  <c r="B103" i="7"/>
  <c r="B103" i="11" s="1"/>
  <c r="C103" i="7"/>
  <c r="C103" i="11" s="1"/>
  <c r="D103" i="7"/>
  <c r="D103" i="11" s="1"/>
  <c r="E103" i="7"/>
  <c r="E103" i="11" s="1"/>
  <c r="F103" i="7"/>
  <c r="G103" i="7"/>
  <c r="I103" i="7"/>
  <c r="J103" i="7"/>
  <c r="L103" i="7"/>
  <c r="N103" i="7" s="1"/>
  <c r="F103" i="11" s="1"/>
  <c r="H103" i="11" s="1"/>
  <c r="M103" i="7"/>
  <c r="O103" i="7"/>
  <c r="P103" i="7"/>
  <c r="R103" i="7"/>
  <c r="S103" i="7"/>
  <c r="W103" i="7"/>
  <c r="X103" i="7"/>
  <c r="Z103" i="7"/>
  <c r="A104" i="7"/>
  <c r="A104" i="11" s="1"/>
  <c r="B104" i="7"/>
  <c r="B104" i="11" s="1"/>
  <c r="C104" i="7"/>
  <c r="C104" i="11" s="1"/>
  <c r="D104" i="7"/>
  <c r="D104" i="11" s="1"/>
  <c r="E104" i="7"/>
  <c r="E104" i="11" s="1"/>
  <c r="F104" i="7"/>
  <c r="G104" i="7"/>
  <c r="I104" i="7"/>
  <c r="J104" i="7"/>
  <c r="L104" i="7"/>
  <c r="N104" i="7" s="1"/>
  <c r="F104" i="11" s="1"/>
  <c r="H104" i="11" s="1"/>
  <c r="M104" i="7"/>
  <c r="O104" i="7"/>
  <c r="P104" i="7"/>
  <c r="R104" i="7"/>
  <c r="S104" i="7"/>
  <c r="W104" i="7"/>
  <c r="X104" i="7"/>
  <c r="Z104" i="7"/>
  <c r="A105" i="7"/>
  <c r="A105" i="11" s="1"/>
  <c r="B105" i="7"/>
  <c r="B105" i="11" s="1"/>
  <c r="C105" i="7"/>
  <c r="C105" i="11" s="1"/>
  <c r="D105" i="7"/>
  <c r="D105" i="11" s="1"/>
  <c r="E105" i="7"/>
  <c r="E105" i="11" s="1"/>
  <c r="F105" i="7"/>
  <c r="G105" i="7"/>
  <c r="I105" i="7"/>
  <c r="J105" i="7"/>
  <c r="L105" i="7"/>
  <c r="M105" i="7"/>
  <c r="O105" i="7"/>
  <c r="P105" i="7"/>
  <c r="R105" i="7"/>
  <c r="S105" i="7"/>
  <c r="W105" i="7"/>
  <c r="X105" i="7"/>
  <c r="Z105" i="7"/>
  <c r="A106" i="7"/>
  <c r="A106" i="11" s="1"/>
  <c r="B106" i="7"/>
  <c r="B106" i="11" s="1"/>
  <c r="C106" i="7"/>
  <c r="C106" i="11" s="1"/>
  <c r="D106" i="7"/>
  <c r="D106" i="11" s="1"/>
  <c r="E106" i="7"/>
  <c r="E106" i="11" s="1"/>
  <c r="F106" i="7"/>
  <c r="G106" i="7"/>
  <c r="I106" i="7"/>
  <c r="J106" i="7"/>
  <c r="L106" i="7"/>
  <c r="N106" i="7" s="1"/>
  <c r="F106" i="11" s="1"/>
  <c r="H106" i="11" s="1"/>
  <c r="M106" i="7"/>
  <c r="O106" i="7"/>
  <c r="P106" i="7"/>
  <c r="R106" i="7"/>
  <c r="S106" i="7"/>
  <c r="W106" i="7"/>
  <c r="X106" i="7"/>
  <c r="Z106" i="7"/>
  <c r="A107" i="7"/>
  <c r="A107" i="11" s="1"/>
  <c r="B107" i="7"/>
  <c r="B107" i="11" s="1"/>
  <c r="C107" i="7"/>
  <c r="C107" i="11" s="1"/>
  <c r="D107" i="7"/>
  <c r="D107" i="11" s="1"/>
  <c r="E107" i="7"/>
  <c r="E107" i="11" s="1"/>
  <c r="F107" i="7"/>
  <c r="G107" i="7"/>
  <c r="I107" i="7"/>
  <c r="J107" i="7"/>
  <c r="L107" i="7"/>
  <c r="N107" i="7" s="1"/>
  <c r="F107" i="11" s="1"/>
  <c r="H107" i="11" s="1"/>
  <c r="M107" i="7"/>
  <c r="O107" i="7"/>
  <c r="P107" i="7"/>
  <c r="R107" i="7"/>
  <c r="S107" i="7"/>
  <c r="W107" i="7"/>
  <c r="X107" i="7"/>
  <c r="Z107" i="7"/>
  <c r="A108" i="7"/>
  <c r="A108" i="11" s="1"/>
  <c r="B108" i="7"/>
  <c r="B108" i="11" s="1"/>
  <c r="C108" i="7"/>
  <c r="C108" i="11" s="1"/>
  <c r="D108" i="7"/>
  <c r="D108" i="11" s="1"/>
  <c r="E108" i="7"/>
  <c r="E108" i="11" s="1"/>
  <c r="F108" i="7"/>
  <c r="G108" i="7"/>
  <c r="I108" i="7"/>
  <c r="J108" i="7"/>
  <c r="L108" i="7"/>
  <c r="N108" i="7" s="1"/>
  <c r="F108" i="11" s="1"/>
  <c r="H108" i="11" s="1"/>
  <c r="M108" i="7"/>
  <c r="O108" i="7"/>
  <c r="P108" i="7"/>
  <c r="R108" i="7"/>
  <c r="S108" i="7"/>
  <c r="W108" i="7"/>
  <c r="X108" i="7"/>
  <c r="Z108" i="7"/>
  <c r="A109" i="7"/>
  <c r="A109" i="11" s="1"/>
  <c r="B109" i="7"/>
  <c r="B109" i="11" s="1"/>
  <c r="C109" i="7"/>
  <c r="C109" i="11" s="1"/>
  <c r="D109" i="7"/>
  <c r="D109" i="11" s="1"/>
  <c r="E109" i="7"/>
  <c r="E109" i="11" s="1"/>
  <c r="F109" i="7"/>
  <c r="G109" i="7"/>
  <c r="I109" i="7"/>
  <c r="J109" i="7"/>
  <c r="L109" i="7"/>
  <c r="N109" i="7" s="1"/>
  <c r="F109" i="11" s="1"/>
  <c r="H109" i="11" s="1"/>
  <c r="M109" i="7"/>
  <c r="O109" i="7"/>
  <c r="P109" i="7"/>
  <c r="R109" i="7"/>
  <c r="S109" i="7"/>
  <c r="W109" i="7"/>
  <c r="X109" i="7"/>
  <c r="Z109" i="7"/>
  <c r="A110" i="7"/>
  <c r="A110" i="11" s="1"/>
  <c r="B110" i="7"/>
  <c r="B110" i="11" s="1"/>
  <c r="C110" i="7"/>
  <c r="C110" i="11" s="1"/>
  <c r="D110" i="7"/>
  <c r="D110" i="11" s="1"/>
  <c r="E110" i="7"/>
  <c r="E110" i="11" s="1"/>
  <c r="F110" i="7"/>
  <c r="G110" i="7"/>
  <c r="I110" i="7"/>
  <c r="J110" i="7"/>
  <c r="L110" i="7"/>
  <c r="M110" i="7"/>
  <c r="O110" i="7"/>
  <c r="P110" i="7"/>
  <c r="R110" i="7"/>
  <c r="S110" i="7"/>
  <c r="W110" i="7"/>
  <c r="X110" i="7"/>
  <c r="Z110" i="7"/>
  <c r="A111" i="7"/>
  <c r="A111" i="11" s="1"/>
  <c r="B111" i="7"/>
  <c r="B111" i="11" s="1"/>
  <c r="C111" i="7"/>
  <c r="C111" i="11" s="1"/>
  <c r="D111" i="7"/>
  <c r="D111" i="11" s="1"/>
  <c r="E111" i="7"/>
  <c r="E111" i="11" s="1"/>
  <c r="F111" i="7"/>
  <c r="G111" i="7"/>
  <c r="I111" i="7"/>
  <c r="J111" i="7"/>
  <c r="L111" i="7"/>
  <c r="M111" i="7"/>
  <c r="O111" i="7"/>
  <c r="P111" i="7"/>
  <c r="R111" i="7"/>
  <c r="S111" i="7"/>
  <c r="W111" i="7"/>
  <c r="X111" i="7"/>
  <c r="Z111" i="7"/>
  <c r="A112" i="7"/>
  <c r="A112" i="11" s="1"/>
  <c r="B112" i="7"/>
  <c r="B112" i="11" s="1"/>
  <c r="C112" i="7"/>
  <c r="C112" i="11" s="1"/>
  <c r="D112" i="7"/>
  <c r="D112" i="11" s="1"/>
  <c r="E112" i="7"/>
  <c r="E112" i="11" s="1"/>
  <c r="F112" i="7"/>
  <c r="G112" i="7"/>
  <c r="I112" i="7"/>
  <c r="J112" i="7"/>
  <c r="L112" i="7"/>
  <c r="M112" i="7"/>
  <c r="O112" i="7"/>
  <c r="P112" i="7"/>
  <c r="R112" i="7"/>
  <c r="S112" i="7"/>
  <c r="W112" i="7"/>
  <c r="X112" i="7"/>
  <c r="Z112" i="7"/>
  <c r="A113" i="7"/>
  <c r="A113" i="11" s="1"/>
  <c r="B113" i="7"/>
  <c r="B113" i="11" s="1"/>
  <c r="C113" i="7"/>
  <c r="C113" i="11" s="1"/>
  <c r="D113" i="7"/>
  <c r="D113" i="11" s="1"/>
  <c r="E113" i="7"/>
  <c r="E113" i="11" s="1"/>
  <c r="F113" i="7"/>
  <c r="G113" i="7"/>
  <c r="I113" i="7"/>
  <c r="J113" i="7"/>
  <c r="L113" i="7"/>
  <c r="M113" i="7"/>
  <c r="O113" i="7"/>
  <c r="P113" i="7"/>
  <c r="R113" i="7"/>
  <c r="S113" i="7"/>
  <c r="W113" i="7"/>
  <c r="X113" i="7"/>
  <c r="Z113" i="7"/>
  <c r="A114" i="7"/>
  <c r="A114" i="11" s="1"/>
  <c r="B114" i="7"/>
  <c r="B114" i="11" s="1"/>
  <c r="C114" i="7"/>
  <c r="C114" i="11" s="1"/>
  <c r="D114" i="7"/>
  <c r="D114" i="11" s="1"/>
  <c r="E114" i="7"/>
  <c r="E114" i="11" s="1"/>
  <c r="F114" i="7"/>
  <c r="G114" i="7"/>
  <c r="I114" i="7"/>
  <c r="J114" i="7"/>
  <c r="L114" i="7"/>
  <c r="N114" i="7" s="1"/>
  <c r="F114" i="11" s="1"/>
  <c r="H114" i="11" s="1"/>
  <c r="M114" i="7"/>
  <c r="O114" i="7"/>
  <c r="P114" i="7"/>
  <c r="R114" i="7"/>
  <c r="S114" i="7"/>
  <c r="W114" i="7"/>
  <c r="X114" i="7"/>
  <c r="Z114" i="7"/>
  <c r="A115" i="7"/>
  <c r="A115" i="11" s="1"/>
  <c r="B115" i="7"/>
  <c r="B115" i="11" s="1"/>
  <c r="C115" i="7"/>
  <c r="C115" i="11" s="1"/>
  <c r="D115" i="7"/>
  <c r="D115" i="11" s="1"/>
  <c r="E115" i="7"/>
  <c r="E115" i="11" s="1"/>
  <c r="F115" i="7"/>
  <c r="G115" i="7"/>
  <c r="I115" i="7"/>
  <c r="J115" i="7"/>
  <c r="L115" i="7"/>
  <c r="M115" i="7"/>
  <c r="O115" i="7"/>
  <c r="P115" i="7"/>
  <c r="R115" i="7"/>
  <c r="S115" i="7"/>
  <c r="W115" i="7"/>
  <c r="X115" i="7"/>
  <c r="Z115" i="7"/>
  <c r="A116" i="7"/>
  <c r="A116" i="11" s="1"/>
  <c r="B116" i="7"/>
  <c r="B116" i="11" s="1"/>
  <c r="C116" i="7"/>
  <c r="C116" i="11" s="1"/>
  <c r="D116" i="7"/>
  <c r="D116" i="11" s="1"/>
  <c r="E116" i="7"/>
  <c r="E116" i="11" s="1"/>
  <c r="F116" i="7"/>
  <c r="G116" i="7"/>
  <c r="I116" i="7"/>
  <c r="J116" i="7"/>
  <c r="L116" i="7"/>
  <c r="N116" i="7" s="1"/>
  <c r="F116" i="11" s="1"/>
  <c r="H116" i="11" s="1"/>
  <c r="M116" i="7"/>
  <c r="O116" i="7"/>
  <c r="P116" i="7"/>
  <c r="R116" i="7"/>
  <c r="S116" i="7"/>
  <c r="W116" i="7"/>
  <c r="X116" i="7"/>
  <c r="Z116" i="7"/>
  <c r="A117" i="7"/>
  <c r="A117" i="11" s="1"/>
  <c r="B117" i="7"/>
  <c r="B117" i="11" s="1"/>
  <c r="C117" i="7"/>
  <c r="C117" i="11" s="1"/>
  <c r="D117" i="7"/>
  <c r="D117" i="11" s="1"/>
  <c r="E117" i="7"/>
  <c r="E117" i="11" s="1"/>
  <c r="F117" i="7"/>
  <c r="G117" i="7"/>
  <c r="I117" i="7"/>
  <c r="J117" i="7"/>
  <c r="L117" i="7"/>
  <c r="M117" i="7"/>
  <c r="O117" i="7"/>
  <c r="P117" i="7"/>
  <c r="R117" i="7"/>
  <c r="S117" i="7"/>
  <c r="W117" i="7"/>
  <c r="X117" i="7"/>
  <c r="Z117" i="7"/>
  <c r="A118" i="7"/>
  <c r="A118" i="11" s="1"/>
  <c r="B118" i="7"/>
  <c r="B118" i="11" s="1"/>
  <c r="C118" i="7"/>
  <c r="C118" i="11" s="1"/>
  <c r="D118" i="7"/>
  <c r="D118" i="11" s="1"/>
  <c r="E118" i="7"/>
  <c r="E118" i="11" s="1"/>
  <c r="F118" i="7"/>
  <c r="G118" i="7"/>
  <c r="I118" i="7"/>
  <c r="J118" i="7"/>
  <c r="L118" i="7"/>
  <c r="N118" i="7" s="1"/>
  <c r="F118" i="11" s="1"/>
  <c r="H118" i="11" s="1"/>
  <c r="M118" i="7"/>
  <c r="O118" i="7"/>
  <c r="P118" i="7"/>
  <c r="R118" i="7"/>
  <c r="S118" i="7"/>
  <c r="W118" i="7"/>
  <c r="X118" i="7"/>
  <c r="Z118" i="7"/>
  <c r="A119" i="7"/>
  <c r="A119" i="11" s="1"/>
  <c r="B119" i="7"/>
  <c r="B119" i="11" s="1"/>
  <c r="C119" i="7"/>
  <c r="C119" i="11" s="1"/>
  <c r="D119" i="7"/>
  <c r="D119" i="11" s="1"/>
  <c r="E119" i="7"/>
  <c r="E119" i="11" s="1"/>
  <c r="F119" i="7"/>
  <c r="G119" i="7"/>
  <c r="I119" i="7"/>
  <c r="J119" i="7"/>
  <c r="L119" i="7"/>
  <c r="N119" i="7" s="1"/>
  <c r="F119" i="11" s="1"/>
  <c r="H119" i="11" s="1"/>
  <c r="M119" i="7"/>
  <c r="O119" i="7"/>
  <c r="P119" i="7"/>
  <c r="R119" i="7"/>
  <c r="S119" i="7"/>
  <c r="W119" i="7"/>
  <c r="X119" i="7"/>
  <c r="Z119" i="7"/>
  <c r="A120" i="7"/>
  <c r="A120" i="11" s="1"/>
  <c r="B120" i="7"/>
  <c r="B120" i="11" s="1"/>
  <c r="C120" i="7"/>
  <c r="C120" i="11" s="1"/>
  <c r="D120" i="7"/>
  <c r="D120" i="11" s="1"/>
  <c r="E120" i="7"/>
  <c r="E120" i="11" s="1"/>
  <c r="F120" i="7"/>
  <c r="G120" i="7"/>
  <c r="I120" i="7"/>
  <c r="J120" i="7"/>
  <c r="L120" i="7"/>
  <c r="N120" i="7" s="1"/>
  <c r="F120" i="11" s="1"/>
  <c r="H120" i="11" s="1"/>
  <c r="M120" i="7"/>
  <c r="O120" i="7"/>
  <c r="P120" i="7"/>
  <c r="R120" i="7"/>
  <c r="S120" i="7"/>
  <c r="W120" i="7"/>
  <c r="X120" i="7"/>
  <c r="Z120" i="7"/>
  <c r="A121" i="7"/>
  <c r="A121" i="11" s="1"/>
  <c r="B121" i="7"/>
  <c r="B121" i="11" s="1"/>
  <c r="C121" i="7"/>
  <c r="C121" i="11" s="1"/>
  <c r="D121" i="7"/>
  <c r="D121" i="11" s="1"/>
  <c r="E121" i="7"/>
  <c r="E121" i="11" s="1"/>
  <c r="F121" i="7"/>
  <c r="G121" i="7"/>
  <c r="I121" i="7"/>
  <c r="J121" i="7"/>
  <c r="L121" i="7"/>
  <c r="N121" i="7" s="1"/>
  <c r="F121" i="11" s="1"/>
  <c r="H121" i="11" s="1"/>
  <c r="M121" i="7"/>
  <c r="O121" i="7"/>
  <c r="P121" i="7"/>
  <c r="R121" i="7"/>
  <c r="S121" i="7"/>
  <c r="W121" i="7"/>
  <c r="X121" i="7"/>
  <c r="Z121" i="7"/>
  <c r="A122" i="7"/>
  <c r="A122" i="11" s="1"/>
  <c r="B122" i="7"/>
  <c r="B122" i="11" s="1"/>
  <c r="C122" i="7"/>
  <c r="C122" i="11" s="1"/>
  <c r="D122" i="7"/>
  <c r="D122" i="11" s="1"/>
  <c r="E122" i="7"/>
  <c r="E122" i="11" s="1"/>
  <c r="F122" i="7"/>
  <c r="G122" i="7"/>
  <c r="I122" i="7"/>
  <c r="J122" i="7"/>
  <c r="L122" i="7"/>
  <c r="N122" i="7" s="1"/>
  <c r="F122" i="11" s="1"/>
  <c r="H122" i="11" s="1"/>
  <c r="M122" i="7"/>
  <c r="O122" i="7"/>
  <c r="P122" i="7"/>
  <c r="R122" i="7"/>
  <c r="S122" i="7"/>
  <c r="W122" i="7"/>
  <c r="X122" i="7"/>
  <c r="Z122" i="7"/>
  <c r="A123" i="7"/>
  <c r="A123" i="11" s="1"/>
  <c r="B123" i="7"/>
  <c r="B123" i="11" s="1"/>
  <c r="C123" i="7"/>
  <c r="C123" i="11" s="1"/>
  <c r="D123" i="7"/>
  <c r="D123" i="11" s="1"/>
  <c r="E123" i="7"/>
  <c r="E123" i="11" s="1"/>
  <c r="F123" i="7"/>
  <c r="G123" i="7"/>
  <c r="I123" i="7"/>
  <c r="J123" i="7"/>
  <c r="L123" i="7"/>
  <c r="N123" i="7" s="1"/>
  <c r="F123" i="11" s="1"/>
  <c r="H123" i="11" s="1"/>
  <c r="M123" i="7"/>
  <c r="O123" i="7"/>
  <c r="P123" i="7"/>
  <c r="R123" i="7"/>
  <c r="S123" i="7"/>
  <c r="W123" i="7"/>
  <c r="X123" i="7"/>
  <c r="Z123" i="7"/>
  <c r="A124" i="7"/>
  <c r="A124" i="11" s="1"/>
  <c r="B124" i="7"/>
  <c r="B124" i="11" s="1"/>
  <c r="C124" i="7"/>
  <c r="C124" i="11" s="1"/>
  <c r="D124" i="7"/>
  <c r="D124" i="11" s="1"/>
  <c r="E124" i="7"/>
  <c r="E124" i="11" s="1"/>
  <c r="F124" i="7"/>
  <c r="G124" i="7"/>
  <c r="I124" i="7"/>
  <c r="J124" i="7"/>
  <c r="L124" i="7"/>
  <c r="M124" i="7"/>
  <c r="O124" i="7"/>
  <c r="P124" i="7"/>
  <c r="R124" i="7"/>
  <c r="S124" i="7"/>
  <c r="W124" i="7"/>
  <c r="X124" i="7"/>
  <c r="Z124" i="7"/>
  <c r="A125" i="7"/>
  <c r="A125" i="11" s="1"/>
  <c r="B125" i="7"/>
  <c r="B125" i="11" s="1"/>
  <c r="C125" i="7"/>
  <c r="C125" i="11" s="1"/>
  <c r="D125" i="7"/>
  <c r="D125" i="11" s="1"/>
  <c r="E125" i="7"/>
  <c r="E125" i="11" s="1"/>
  <c r="F125" i="7"/>
  <c r="G125" i="7"/>
  <c r="I125" i="7"/>
  <c r="J125" i="7"/>
  <c r="L125" i="7"/>
  <c r="M125" i="7"/>
  <c r="O125" i="7"/>
  <c r="P125" i="7"/>
  <c r="R125" i="7"/>
  <c r="S125" i="7"/>
  <c r="W125" i="7"/>
  <c r="X125" i="7"/>
  <c r="Z125" i="7"/>
  <c r="A126" i="7"/>
  <c r="A126" i="11" s="1"/>
  <c r="B126" i="7"/>
  <c r="B126" i="11" s="1"/>
  <c r="C126" i="7"/>
  <c r="C126" i="11" s="1"/>
  <c r="D126" i="7"/>
  <c r="D126" i="11" s="1"/>
  <c r="E126" i="7"/>
  <c r="E126" i="11" s="1"/>
  <c r="F126" i="7"/>
  <c r="G126" i="7"/>
  <c r="I126" i="7"/>
  <c r="J126" i="7"/>
  <c r="L126" i="7"/>
  <c r="M126" i="7"/>
  <c r="O126" i="7"/>
  <c r="P126" i="7"/>
  <c r="R126" i="7"/>
  <c r="S126" i="7"/>
  <c r="W126" i="7"/>
  <c r="X126" i="7"/>
  <c r="Z126" i="7"/>
  <c r="A127" i="7"/>
  <c r="A127" i="11" s="1"/>
  <c r="B127" i="7"/>
  <c r="B127" i="11" s="1"/>
  <c r="C127" i="7"/>
  <c r="C127" i="11" s="1"/>
  <c r="D127" i="7"/>
  <c r="D127" i="11" s="1"/>
  <c r="E127" i="7"/>
  <c r="E127" i="11" s="1"/>
  <c r="F127" i="7"/>
  <c r="G127" i="7"/>
  <c r="I127" i="7"/>
  <c r="J127" i="7"/>
  <c r="L127" i="7"/>
  <c r="M127" i="7"/>
  <c r="O127" i="7"/>
  <c r="P127" i="7"/>
  <c r="R127" i="7"/>
  <c r="S127" i="7"/>
  <c r="W127" i="7"/>
  <c r="X127" i="7"/>
  <c r="Z127" i="7"/>
  <c r="A128" i="7"/>
  <c r="A128" i="11" s="1"/>
  <c r="B128" i="7"/>
  <c r="B128" i="11" s="1"/>
  <c r="C128" i="7"/>
  <c r="C128" i="11" s="1"/>
  <c r="D128" i="7"/>
  <c r="D128" i="11" s="1"/>
  <c r="E128" i="7"/>
  <c r="E128" i="11" s="1"/>
  <c r="F128" i="7"/>
  <c r="G128" i="7"/>
  <c r="I128" i="7"/>
  <c r="J128" i="7"/>
  <c r="L128" i="7"/>
  <c r="N128" i="7" s="1"/>
  <c r="F128" i="11" s="1"/>
  <c r="H128" i="11" s="1"/>
  <c r="M128" i="7"/>
  <c r="O128" i="7"/>
  <c r="P128" i="7"/>
  <c r="R128" i="7"/>
  <c r="S128" i="7"/>
  <c r="W128" i="7"/>
  <c r="X128" i="7"/>
  <c r="Z128" i="7"/>
  <c r="A129" i="7"/>
  <c r="A129" i="11" s="1"/>
  <c r="B129" i="7"/>
  <c r="B129" i="11" s="1"/>
  <c r="C129" i="7"/>
  <c r="C129" i="11" s="1"/>
  <c r="D129" i="7"/>
  <c r="D129" i="11" s="1"/>
  <c r="E129" i="7"/>
  <c r="E129" i="11" s="1"/>
  <c r="F129" i="7"/>
  <c r="G129" i="7"/>
  <c r="I129" i="7"/>
  <c r="J129" i="7"/>
  <c r="L129" i="7"/>
  <c r="N129" i="7" s="1"/>
  <c r="F129" i="11" s="1"/>
  <c r="H129" i="11" s="1"/>
  <c r="M129" i="7"/>
  <c r="O129" i="7"/>
  <c r="P129" i="7"/>
  <c r="R129" i="7"/>
  <c r="S129" i="7"/>
  <c r="W129" i="7"/>
  <c r="X129" i="7"/>
  <c r="Z129" i="7"/>
  <c r="A130" i="7"/>
  <c r="A130" i="11" s="1"/>
  <c r="B130" i="7"/>
  <c r="B130" i="11" s="1"/>
  <c r="C130" i="7"/>
  <c r="C130" i="11" s="1"/>
  <c r="D130" i="7"/>
  <c r="D130" i="11" s="1"/>
  <c r="E130" i="7"/>
  <c r="E130" i="11" s="1"/>
  <c r="F130" i="7"/>
  <c r="G130" i="7"/>
  <c r="I130" i="7"/>
  <c r="J130" i="7"/>
  <c r="L130" i="7"/>
  <c r="N130" i="7" s="1"/>
  <c r="F130" i="11" s="1"/>
  <c r="H130" i="11" s="1"/>
  <c r="M130" i="7"/>
  <c r="O130" i="7"/>
  <c r="P130" i="7"/>
  <c r="R130" i="7"/>
  <c r="S130" i="7"/>
  <c r="W130" i="7"/>
  <c r="X130" i="7"/>
  <c r="Z130" i="7"/>
  <c r="A131" i="7"/>
  <c r="A131" i="11" s="1"/>
  <c r="B131" i="7"/>
  <c r="B131" i="11" s="1"/>
  <c r="C131" i="7"/>
  <c r="C131" i="11" s="1"/>
  <c r="D131" i="7"/>
  <c r="D131" i="11" s="1"/>
  <c r="E131" i="7"/>
  <c r="E131" i="11" s="1"/>
  <c r="F131" i="7"/>
  <c r="G131" i="7"/>
  <c r="I131" i="7"/>
  <c r="J131" i="7"/>
  <c r="L131" i="7"/>
  <c r="N131" i="7" s="1"/>
  <c r="F131" i="11" s="1"/>
  <c r="H131" i="11" s="1"/>
  <c r="M131" i="7"/>
  <c r="O131" i="7"/>
  <c r="P131" i="7"/>
  <c r="R131" i="7"/>
  <c r="S131" i="7"/>
  <c r="W131" i="7"/>
  <c r="X131" i="7"/>
  <c r="Z131" i="7"/>
  <c r="A132" i="7"/>
  <c r="A132" i="11" s="1"/>
  <c r="B132" i="7"/>
  <c r="B132" i="11" s="1"/>
  <c r="C132" i="7"/>
  <c r="C132" i="11" s="1"/>
  <c r="D132" i="7"/>
  <c r="D132" i="11" s="1"/>
  <c r="E132" i="7"/>
  <c r="E132" i="11" s="1"/>
  <c r="F132" i="7"/>
  <c r="G132" i="7"/>
  <c r="I132" i="7"/>
  <c r="J132" i="7"/>
  <c r="L132" i="7"/>
  <c r="M132" i="7"/>
  <c r="O132" i="7"/>
  <c r="P132" i="7"/>
  <c r="R132" i="7"/>
  <c r="S132" i="7"/>
  <c r="W132" i="7"/>
  <c r="X132" i="7"/>
  <c r="Z132" i="7"/>
  <c r="A133" i="7"/>
  <c r="A133" i="11" s="1"/>
  <c r="B133" i="7"/>
  <c r="B133" i="11" s="1"/>
  <c r="C133" i="7"/>
  <c r="C133" i="11" s="1"/>
  <c r="D133" i="7"/>
  <c r="D133" i="11" s="1"/>
  <c r="E133" i="7"/>
  <c r="E133" i="11" s="1"/>
  <c r="F133" i="7"/>
  <c r="G133" i="7"/>
  <c r="I133" i="7"/>
  <c r="J133" i="7"/>
  <c r="L133" i="7"/>
  <c r="N133" i="7" s="1"/>
  <c r="F133" i="11" s="1"/>
  <c r="H133" i="11" s="1"/>
  <c r="M133" i="7"/>
  <c r="O133" i="7"/>
  <c r="P133" i="7"/>
  <c r="R133" i="7"/>
  <c r="S133" i="7"/>
  <c r="W133" i="7"/>
  <c r="X133" i="7"/>
  <c r="Z133" i="7"/>
  <c r="A134" i="7"/>
  <c r="A134" i="11" s="1"/>
  <c r="B134" i="7"/>
  <c r="B134" i="11" s="1"/>
  <c r="C134" i="7"/>
  <c r="C134" i="11" s="1"/>
  <c r="D134" i="7"/>
  <c r="D134" i="11" s="1"/>
  <c r="E134" i="7"/>
  <c r="E134" i="11" s="1"/>
  <c r="F134" i="7"/>
  <c r="G134" i="7"/>
  <c r="I134" i="7"/>
  <c r="J134" i="7"/>
  <c r="L134" i="7"/>
  <c r="N134" i="7" s="1"/>
  <c r="F134" i="11" s="1"/>
  <c r="H134" i="11" s="1"/>
  <c r="M134" i="7"/>
  <c r="O134" i="7"/>
  <c r="P134" i="7"/>
  <c r="R134" i="7"/>
  <c r="S134" i="7"/>
  <c r="W134" i="7"/>
  <c r="X134" i="7"/>
  <c r="Z134" i="7"/>
  <c r="A135" i="7"/>
  <c r="A135" i="11" s="1"/>
  <c r="B135" i="7"/>
  <c r="B135" i="11" s="1"/>
  <c r="C135" i="7"/>
  <c r="C135" i="11" s="1"/>
  <c r="D135" i="7"/>
  <c r="D135" i="11" s="1"/>
  <c r="E135" i="7"/>
  <c r="E135" i="11" s="1"/>
  <c r="F135" i="7"/>
  <c r="G135" i="7"/>
  <c r="I135" i="7"/>
  <c r="J135" i="7"/>
  <c r="L135" i="7"/>
  <c r="N135" i="7" s="1"/>
  <c r="F135" i="11" s="1"/>
  <c r="H135" i="11" s="1"/>
  <c r="M135" i="7"/>
  <c r="O135" i="7"/>
  <c r="P135" i="7"/>
  <c r="R135" i="7"/>
  <c r="S135" i="7"/>
  <c r="W135" i="7"/>
  <c r="X135" i="7"/>
  <c r="Z135" i="7"/>
  <c r="A136" i="7"/>
  <c r="A136" i="11" s="1"/>
  <c r="B136" i="7"/>
  <c r="B136" i="11" s="1"/>
  <c r="C136" i="7"/>
  <c r="C136" i="11" s="1"/>
  <c r="D136" i="7"/>
  <c r="D136" i="11" s="1"/>
  <c r="E136" i="7"/>
  <c r="E136" i="11" s="1"/>
  <c r="F136" i="7"/>
  <c r="G136" i="7"/>
  <c r="I136" i="7"/>
  <c r="J136" i="7"/>
  <c r="L136" i="7"/>
  <c r="M136" i="7"/>
  <c r="O136" i="7"/>
  <c r="P136" i="7"/>
  <c r="R136" i="7"/>
  <c r="S136" i="7"/>
  <c r="W136" i="7"/>
  <c r="X136" i="7"/>
  <c r="Z136" i="7"/>
  <c r="A137" i="7"/>
  <c r="A137" i="11" s="1"/>
  <c r="B137" i="7"/>
  <c r="B137" i="11" s="1"/>
  <c r="C137" i="7"/>
  <c r="C137" i="11" s="1"/>
  <c r="D137" i="7"/>
  <c r="D137" i="11" s="1"/>
  <c r="E137" i="7"/>
  <c r="E137" i="11" s="1"/>
  <c r="F137" i="7"/>
  <c r="G137" i="7"/>
  <c r="I137" i="7"/>
  <c r="J137" i="7"/>
  <c r="L137" i="7"/>
  <c r="N137" i="7" s="1"/>
  <c r="F137" i="11" s="1"/>
  <c r="H137" i="11" s="1"/>
  <c r="M137" i="7"/>
  <c r="O137" i="7"/>
  <c r="P137" i="7"/>
  <c r="R137" i="7"/>
  <c r="S137" i="7"/>
  <c r="W137" i="7"/>
  <c r="X137" i="7"/>
  <c r="Z137" i="7"/>
  <c r="A138" i="7"/>
  <c r="A138" i="11" s="1"/>
  <c r="B138" i="7"/>
  <c r="B138" i="11" s="1"/>
  <c r="C138" i="7"/>
  <c r="C138" i="11" s="1"/>
  <c r="D138" i="7"/>
  <c r="D138" i="11" s="1"/>
  <c r="E138" i="7"/>
  <c r="E138" i="11" s="1"/>
  <c r="F138" i="7"/>
  <c r="G138" i="7"/>
  <c r="I138" i="7"/>
  <c r="J138" i="7"/>
  <c r="L138" i="7"/>
  <c r="M138" i="7"/>
  <c r="O138" i="7"/>
  <c r="P138" i="7"/>
  <c r="R138" i="7"/>
  <c r="S138" i="7"/>
  <c r="W138" i="7"/>
  <c r="X138" i="7"/>
  <c r="Z138" i="7"/>
  <c r="A139" i="7"/>
  <c r="A139" i="11" s="1"/>
  <c r="B139" i="7"/>
  <c r="B139" i="11" s="1"/>
  <c r="C139" i="7"/>
  <c r="C139" i="11" s="1"/>
  <c r="D139" i="7"/>
  <c r="D139" i="11" s="1"/>
  <c r="E139" i="7"/>
  <c r="E139" i="11" s="1"/>
  <c r="F139" i="7"/>
  <c r="G139" i="7"/>
  <c r="I139" i="7"/>
  <c r="J139" i="7"/>
  <c r="L139" i="7"/>
  <c r="M139" i="7"/>
  <c r="O139" i="7"/>
  <c r="P139" i="7"/>
  <c r="R139" i="7"/>
  <c r="S139" i="7"/>
  <c r="W139" i="7"/>
  <c r="X139" i="7"/>
  <c r="Z139" i="7"/>
  <c r="A140" i="7"/>
  <c r="A140" i="11" s="1"/>
  <c r="B140" i="7"/>
  <c r="B140" i="11" s="1"/>
  <c r="C140" i="7"/>
  <c r="C140" i="11" s="1"/>
  <c r="D140" i="7"/>
  <c r="D140" i="11" s="1"/>
  <c r="E140" i="7"/>
  <c r="E140" i="11" s="1"/>
  <c r="F140" i="7"/>
  <c r="G140" i="7"/>
  <c r="I140" i="7"/>
  <c r="J140" i="7"/>
  <c r="L140" i="7"/>
  <c r="M140" i="7"/>
  <c r="O140" i="7"/>
  <c r="P140" i="7"/>
  <c r="R140" i="7"/>
  <c r="S140" i="7"/>
  <c r="W140" i="7"/>
  <c r="X140" i="7"/>
  <c r="Z140" i="7"/>
  <c r="A141" i="7"/>
  <c r="A141" i="11" s="1"/>
  <c r="B141" i="7"/>
  <c r="B141" i="11" s="1"/>
  <c r="C141" i="7"/>
  <c r="C141" i="11" s="1"/>
  <c r="D141" i="7"/>
  <c r="D141" i="11" s="1"/>
  <c r="E141" i="7"/>
  <c r="E141" i="11" s="1"/>
  <c r="F141" i="7"/>
  <c r="G141" i="7"/>
  <c r="I141" i="7"/>
  <c r="J141" i="7"/>
  <c r="L141" i="7"/>
  <c r="M141" i="7"/>
  <c r="O141" i="7"/>
  <c r="P141" i="7"/>
  <c r="R141" i="7"/>
  <c r="S141" i="7"/>
  <c r="W141" i="7"/>
  <c r="X141" i="7"/>
  <c r="Z141" i="7"/>
  <c r="A142" i="7"/>
  <c r="A142" i="11" s="1"/>
  <c r="B142" i="7"/>
  <c r="B142" i="11" s="1"/>
  <c r="C142" i="7"/>
  <c r="C142" i="11" s="1"/>
  <c r="D142" i="7"/>
  <c r="D142" i="11" s="1"/>
  <c r="E142" i="7"/>
  <c r="E142" i="11" s="1"/>
  <c r="F142" i="7"/>
  <c r="G142" i="7"/>
  <c r="I142" i="7"/>
  <c r="J142" i="7"/>
  <c r="L142" i="7"/>
  <c r="N142" i="7" s="1"/>
  <c r="F142" i="11" s="1"/>
  <c r="H142" i="11" s="1"/>
  <c r="M142" i="7"/>
  <c r="O142" i="7"/>
  <c r="P142" i="7"/>
  <c r="R142" i="7"/>
  <c r="S142" i="7"/>
  <c r="W142" i="7"/>
  <c r="X142" i="7"/>
  <c r="Z142" i="7"/>
  <c r="A143" i="7"/>
  <c r="A143" i="11" s="1"/>
  <c r="B143" i="7"/>
  <c r="B143" i="11" s="1"/>
  <c r="C143" i="7"/>
  <c r="C143" i="11" s="1"/>
  <c r="D143" i="7"/>
  <c r="D143" i="11" s="1"/>
  <c r="E143" i="7"/>
  <c r="E143" i="11" s="1"/>
  <c r="F143" i="7"/>
  <c r="G143" i="7"/>
  <c r="I143" i="7"/>
  <c r="J143" i="7"/>
  <c r="L143" i="7"/>
  <c r="M143" i="7"/>
  <c r="O143" i="7"/>
  <c r="P143" i="7"/>
  <c r="R143" i="7"/>
  <c r="S143" i="7"/>
  <c r="W143" i="7"/>
  <c r="X143" i="7"/>
  <c r="Z143" i="7"/>
  <c r="A144" i="7"/>
  <c r="A144" i="11" s="1"/>
  <c r="B144" i="7"/>
  <c r="B144" i="11" s="1"/>
  <c r="C144" i="7"/>
  <c r="C144" i="11" s="1"/>
  <c r="D144" i="7"/>
  <c r="D144" i="11" s="1"/>
  <c r="E144" i="7"/>
  <c r="E144" i="11" s="1"/>
  <c r="F144" i="7"/>
  <c r="G144" i="7"/>
  <c r="I144" i="7"/>
  <c r="J144" i="7"/>
  <c r="L144" i="7"/>
  <c r="M144" i="7"/>
  <c r="O144" i="7"/>
  <c r="P144" i="7"/>
  <c r="R144" i="7"/>
  <c r="S144" i="7"/>
  <c r="W144" i="7"/>
  <c r="X144" i="7"/>
  <c r="Z144" i="7"/>
  <c r="A145" i="7"/>
  <c r="A145" i="11" s="1"/>
  <c r="B145" i="7"/>
  <c r="B145" i="11" s="1"/>
  <c r="C145" i="7"/>
  <c r="C145" i="11" s="1"/>
  <c r="D145" i="7"/>
  <c r="D145" i="11" s="1"/>
  <c r="E145" i="7"/>
  <c r="E145" i="11" s="1"/>
  <c r="F145" i="7"/>
  <c r="G145" i="7"/>
  <c r="I145" i="7"/>
  <c r="J145" i="7"/>
  <c r="L145" i="7"/>
  <c r="N145" i="7" s="1"/>
  <c r="F145" i="11" s="1"/>
  <c r="H145" i="11" s="1"/>
  <c r="M145" i="7"/>
  <c r="O145" i="7"/>
  <c r="P145" i="7"/>
  <c r="R145" i="7"/>
  <c r="S145" i="7"/>
  <c r="W145" i="7"/>
  <c r="X145" i="7"/>
  <c r="Z145" i="7"/>
  <c r="A146" i="7"/>
  <c r="A146" i="11" s="1"/>
  <c r="B146" i="7"/>
  <c r="B146" i="11" s="1"/>
  <c r="C146" i="7"/>
  <c r="C146" i="11" s="1"/>
  <c r="D146" i="7"/>
  <c r="D146" i="11" s="1"/>
  <c r="E146" i="7"/>
  <c r="E146" i="11" s="1"/>
  <c r="F146" i="7"/>
  <c r="G146" i="7"/>
  <c r="I146" i="7"/>
  <c r="J146" i="7"/>
  <c r="L146" i="7"/>
  <c r="N146" i="7" s="1"/>
  <c r="F146" i="11" s="1"/>
  <c r="H146" i="11" s="1"/>
  <c r="M146" i="7"/>
  <c r="O146" i="7"/>
  <c r="P146" i="7"/>
  <c r="R146" i="7"/>
  <c r="S146" i="7"/>
  <c r="W146" i="7"/>
  <c r="X146" i="7"/>
  <c r="Z146" i="7"/>
  <c r="A147" i="7"/>
  <c r="A147" i="11" s="1"/>
  <c r="B147" i="7"/>
  <c r="B147" i="11" s="1"/>
  <c r="C147" i="7"/>
  <c r="C147" i="11" s="1"/>
  <c r="D147" i="7"/>
  <c r="D147" i="11" s="1"/>
  <c r="E147" i="7"/>
  <c r="E147" i="11" s="1"/>
  <c r="F147" i="7"/>
  <c r="G147" i="7"/>
  <c r="I147" i="7"/>
  <c r="J147" i="7"/>
  <c r="L147" i="7"/>
  <c r="N147" i="7" s="1"/>
  <c r="F147" i="11" s="1"/>
  <c r="H147" i="11" s="1"/>
  <c r="M147" i="7"/>
  <c r="O147" i="7"/>
  <c r="P147" i="7"/>
  <c r="R147" i="7"/>
  <c r="S147" i="7"/>
  <c r="W147" i="7"/>
  <c r="X147" i="7"/>
  <c r="Z147" i="7"/>
  <c r="A148" i="7"/>
  <c r="A148" i="11" s="1"/>
  <c r="B148" i="7"/>
  <c r="B148" i="11" s="1"/>
  <c r="C148" i="7"/>
  <c r="C148" i="11" s="1"/>
  <c r="D148" i="7"/>
  <c r="D148" i="11" s="1"/>
  <c r="E148" i="7"/>
  <c r="E148" i="11" s="1"/>
  <c r="F148" i="7"/>
  <c r="G148" i="7"/>
  <c r="I148" i="7"/>
  <c r="J148" i="7"/>
  <c r="L148" i="7"/>
  <c r="M148" i="7"/>
  <c r="O148" i="7"/>
  <c r="P148" i="7"/>
  <c r="R148" i="7"/>
  <c r="S148" i="7"/>
  <c r="W148" i="7"/>
  <c r="X148" i="7"/>
  <c r="Z148" i="7"/>
  <c r="A149" i="7"/>
  <c r="A149" i="11" s="1"/>
  <c r="B149" i="7"/>
  <c r="B149" i="11" s="1"/>
  <c r="C149" i="7"/>
  <c r="C149" i="11" s="1"/>
  <c r="D149" i="7"/>
  <c r="D149" i="11" s="1"/>
  <c r="E149" i="7"/>
  <c r="E149" i="11" s="1"/>
  <c r="F149" i="7"/>
  <c r="G149" i="7"/>
  <c r="I149" i="7"/>
  <c r="J149" i="7"/>
  <c r="L149" i="7"/>
  <c r="N149" i="7" s="1"/>
  <c r="F149" i="11" s="1"/>
  <c r="H149" i="11" s="1"/>
  <c r="M149" i="7"/>
  <c r="O149" i="7"/>
  <c r="P149" i="7"/>
  <c r="R149" i="7"/>
  <c r="S149" i="7"/>
  <c r="W149" i="7"/>
  <c r="X149" i="7"/>
  <c r="Z149" i="7"/>
  <c r="A150" i="7"/>
  <c r="A150" i="11" s="1"/>
  <c r="B150" i="7"/>
  <c r="B150" i="11" s="1"/>
  <c r="C150" i="7"/>
  <c r="C150" i="11" s="1"/>
  <c r="D150" i="7"/>
  <c r="D150" i="11" s="1"/>
  <c r="E150" i="7"/>
  <c r="E150" i="11" s="1"/>
  <c r="F150" i="7"/>
  <c r="G150" i="7"/>
  <c r="I150" i="7"/>
  <c r="J150" i="7"/>
  <c r="L150" i="7"/>
  <c r="N150" i="7" s="1"/>
  <c r="F150" i="11" s="1"/>
  <c r="H150" i="11" s="1"/>
  <c r="M150" i="7"/>
  <c r="O150" i="7"/>
  <c r="P150" i="7"/>
  <c r="R150" i="7"/>
  <c r="S150" i="7"/>
  <c r="W150" i="7"/>
  <c r="X150" i="7"/>
  <c r="Z150" i="7"/>
  <c r="A151" i="7"/>
  <c r="A151" i="11" s="1"/>
  <c r="B151" i="7"/>
  <c r="B151" i="11" s="1"/>
  <c r="C151" i="7"/>
  <c r="C151" i="11" s="1"/>
  <c r="D151" i="7"/>
  <c r="D151" i="11" s="1"/>
  <c r="E151" i="7"/>
  <c r="E151" i="11" s="1"/>
  <c r="F151" i="7"/>
  <c r="G151" i="7"/>
  <c r="I151" i="7"/>
  <c r="J151" i="7"/>
  <c r="L151" i="7"/>
  <c r="M151" i="7"/>
  <c r="O151" i="7"/>
  <c r="P151" i="7"/>
  <c r="R151" i="7"/>
  <c r="S151" i="7"/>
  <c r="W151" i="7"/>
  <c r="X151" i="7"/>
  <c r="Z151" i="7"/>
  <c r="A152" i="7"/>
  <c r="A152" i="11" s="1"/>
  <c r="B152" i="7"/>
  <c r="B152" i="11" s="1"/>
  <c r="C152" i="7"/>
  <c r="C152" i="11" s="1"/>
  <c r="D152" i="7"/>
  <c r="D152" i="11" s="1"/>
  <c r="E152" i="7"/>
  <c r="E152" i="11" s="1"/>
  <c r="F152" i="7"/>
  <c r="G152" i="7"/>
  <c r="I152" i="7"/>
  <c r="J152" i="7"/>
  <c r="L152" i="7"/>
  <c r="M152" i="7"/>
  <c r="O152" i="7"/>
  <c r="P152" i="7"/>
  <c r="R152" i="7"/>
  <c r="S152" i="7"/>
  <c r="W152" i="7"/>
  <c r="X152" i="7"/>
  <c r="Z152" i="7"/>
  <c r="A153" i="7"/>
  <c r="A153" i="11" s="1"/>
  <c r="B153" i="7"/>
  <c r="B153" i="11" s="1"/>
  <c r="C153" i="7"/>
  <c r="C153" i="11" s="1"/>
  <c r="D153" i="7"/>
  <c r="D153" i="11" s="1"/>
  <c r="E153" i="7"/>
  <c r="E153" i="11" s="1"/>
  <c r="F153" i="7"/>
  <c r="G153" i="7"/>
  <c r="I153" i="7"/>
  <c r="J153" i="7"/>
  <c r="L153" i="7"/>
  <c r="M153" i="7"/>
  <c r="O153" i="7"/>
  <c r="P153" i="7"/>
  <c r="R153" i="7"/>
  <c r="S153" i="7"/>
  <c r="W153" i="7"/>
  <c r="X153" i="7"/>
  <c r="Z153" i="7"/>
  <c r="A154" i="7"/>
  <c r="A154" i="11" s="1"/>
  <c r="B154" i="7"/>
  <c r="B154" i="11" s="1"/>
  <c r="C154" i="7"/>
  <c r="C154" i="11" s="1"/>
  <c r="D154" i="7"/>
  <c r="D154" i="11" s="1"/>
  <c r="E154" i="7"/>
  <c r="E154" i="11" s="1"/>
  <c r="F154" i="7"/>
  <c r="G154" i="7"/>
  <c r="I154" i="7"/>
  <c r="J154" i="7"/>
  <c r="L154" i="7"/>
  <c r="M154" i="7"/>
  <c r="O154" i="7"/>
  <c r="P154" i="7"/>
  <c r="R154" i="7"/>
  <c r="S154" i="7"/>
  <c r="W154" i="7"/>
  <c r="X154" i="7"/>
  <c r="Z154" i="7"/>
  <c r="A155" i="7"/>
  <c r="A155" i="11" s="1"/>
  <c r="B155" i="7"/>
  <c r="B155" i="11" s="1"/>
  <c r="C155" i="7"/>
  <c r="C155" i="11" s="1"/>
  <c r="D155" i="7"/>
  <c r="D155" i="11" s="1"/>
  <c r="E155" i="7"/>
  <c r="E155" i="11" s="1"/>
  <c r="F155" i="7"/>
  <c r="G155" i="7"/>
  <c r="I155" i="7"/>
  <c r="J155" i="7"/>
  <c r="L155" i="7"/>
  <c r="M155" i="7"/>
  <c r="O155" i="7"/>
  <c r="P155" i="7"/>
  <c r="R155" i="7"/>
  <c r="T155" i="7" s="1"/>
  <c r="S155" i="7"/>
  <c r="W155" i="7"/>
  <c r="X155" i="7"/>
  <c r="Z155" i="7"/>
  <c r="A156" i="7"/>
  <c r="A156" i="11" s="1"/>
  <c r="B156" i="7"/>
  <c r="B156" i="11" s="1"/>
  <c r="C156" i="7"/>
  <c r="C156" i="11" s="1"/>
  <c r="D156" i="7"/>
  <c r="D156" i="11" s="1"/>
  <c r="E156" i="7"/>
  <c r="E156" i="11" s="1"/>
  <c r="F156" i="7"/>
  <c r="G156" i="7"/>
  <c r="I156" i="7"/>
  <c r="J156" i="7"/>
  <c r="L156" i="7"/>
  <c r="N156" i="7" s="1"/>
  <c r="F156" i="11" s="1"/>
  <c r="H156" i="11" s="1"/>
  <c r="M156" i="7"/>
  <c r="O156" i="7"/>
  <c r="P156" i="7"/>
  <c r="R156" i="7"/>
  <c r="S156" i="7"/>
  <c r="W156" i="7"/>
  <c r="X156" i="7"/>
  <c r="Z156" i="7"/>
  <c r="A157" i="7"/>
  <c r="A157" i="11" s="1"/>
  <c r="B157" i="7"/>
  <c r="B157" i="11" s="1"/>
  <c r="C157" i="7"/>
  <c r="C157" i="11" s="1"/>
  <c r="D157" i="7"/>
  <c r="D157" i="11" s="1"/>
  <c r="E157" i="7"/>
  <c r="E157" i="11" s="1"/>
  <c r="F157" i="7"/>
  <c r="G157" i="7"/>
  <c r="I157" i="7"/>
  <c r="J157" i="7"/>
  <c r="L157" i="7"/>
  <c r="M157" i="7"/>
  <c r="O157" i="7"/>
  <c r="P157" i="7"/>
  <c r="R157" i="7"/>
  <c r="S157" i="7"/>
  <c r="W157" i="7"/>
  <c r="X157" i="7"/>
  <c r="Z157" i="7"/>
  <c r="A158" i="7"/>
  <c r="A158" i="11" s="1"/>
  <c r="B158" i="7"/>
  <c r="B158" i="11" s="1"/>
  <c r="C158" i="7"/>
  <c r="C158" i="11" s="1"/>
  <c r="D158" i="7"/>
  <c r="D158" i="11" s="1"/>
  <c r="E158" i="7"/>
  <c r="E158" i="11" s="1"/>
  <c r="F158" i="7"/>
  <c r="G158" i="7"/>
  <c r="I158" i="7"/>
  <c r="J158" i="7"/>
  <c r="L158" i="7"/>
  <c r="M158" i="7"/>
  <c r="O158" i="7"/>
  <c r="Q158" i="7" s="1"/>
  <c r="P158" i="7"/>
  <c r="R158" i="7"/>
  <c r="S158" i="7"/>
  <c r="W158" i="7"/>
  <c r="X158" i="7"/>
  <c r="Z158" i="7"/>
  <c r="A159" i="7"/>
  <c r="A159" i="11" s="1"/>
  <c r="B159" i="7"/>
  <c r="B159" i="11" s="1"/>
  <c r="C159" i="7"/>
  <c r="C159" i="11" s="1"/>
  <c r="D159" i="7"/>
  <c r="D159" i="11" s="1"/>
  <c r="E159" i="7"/>
  <c r="E159" i="11" s="1"/>
  <c r="F159" i="7"/>
  <c r="G159" i="7"/>
  <c r="I159" i="7"/>
  <c r="J159" i="7"/>
  <c r="L159" i="7"/>
  <c r="N159" i="7" s="1"/>
  <c r="F159" i="11" s="1"/>
  <c r="H159" i="11" s="1"/>
  <c r="M159" i="7"/>
  <c r="O159" i="7"/>
  <c r="P159" i="7"/>
  <c r="R159" i="7"/>
  <c r="S159" i="7"/>
  <c r="W159" i="7"/>
  <c r="X159" i="7"/>
  <c r="Z159" i="7"/>
  <c r="A160" i="7"/>
  <c r="A160" i="11" s="1"/>
  <c r="B160" i="7"/>
  <c r="B160" i="11" s="1"/>
  <c r="C160" i="7"/>
  <c r="C160" i="11" s="1"/>
  <c r="D160" i="7"/>
  <c r="D160" i="11" s="1"/>
  <c r="E160" i="7"/>
  <c r="E160" i="11" s="1"/>
  <c r="F160" i="7"/>
  <c r="G160" i="7"/>
  <c r="I160" i="7"/>
  <c r="J160" i="7"/>
  <c r="L160" i="7"/>
  <c r="M160" i="7"/>
  <c r="O160" i="7"/>
  <c r="P160" i="7"/>
  <c r="R160" i="7"/>
  <c r="S160" i="7"/>
  <c r="W160" i="7"/>
  <c r="X160" i="7"/>
  <c r="Z160" i="7"/>
  <c r="A161" i="7"/>
  <c r="A161" i="11" s="1"/>
  <c r="B161" i="7"/>
  <c r="B161" i="11" s="1"/>
  <c r="C161" i="7"/>
  <c r="C161" i="11" s="1"/>
  <c r="D161" i="7"/>
  <c r="D161" i="11" s="1"/>
  <c r="E161" i="7"/>
  <c r="E161" i="11" s="1"/>
  <c r="F161" i="7"/>
  <c r="G161" i="7"/>
  <c r="I161" i="7"/>
  <c r="J161" i="7"/>
  <c r="L161" i="7"/>
  <c r="N161" i="7" s="1"/>
  <c r="F161" i="11" s="1"/>
  <c r="H161" i="11" s="1"/>
  <c r="M161" i="7"/>
  <c r="O161" i="7"/>
  <c r="P161" i="7"/>
  <c r="R161" i="7"/>
  <c r="S161" i="7"/>
  <c r="W161" i="7"/>
  <c r="X161" i="7"/>
  <c r="Z161" i="7"/>
  <c r="A162" i="7"/>
  <c r="A162" i="11" s="1"/>
  <c r="B162" i="7"/>
  <c r="B162" i="11" s="1"/>
  <c r="C162" i="7"/>
  <c r="C162" i="11" s="1"/>
  <c r="D162" i="7"/>
  <c r="D162" i="11" s="1"/>
  <c r="E162" i="7"/>
  <c r="E162" i="11" s="1"/>
  <c r="F162" i="7"/>
  <c r="G162" i="7"/>
  <c r="I162" i="7"/>
  <c r="J162" i="7"/>
  <c r="L162" i="7"/>
  <c r="N162" i="7" s="1"/>
  <c r="F162" i="11" s="1"/>
  <c r="H162" i="11" s="1"/>
  <c r="M162" i="7"/>
  <c r="O162" i="7"/>
  <c r="P162" i="7"/>
  <c r="R162" i="7"/>
  <c r="S162" i="7"/>
  <c r="W162" i="7"/>
  <c r="X162" i="7"/>
  <c r="Z162" i="7"/>
  <c r="A163" i="7"/>
  <c r="A163" i="11" s="1"/>
  <c r="B163" i="7"/>
  <c r="B163" i="11" s="1"/>
  <c r="C163" i="7"/>
  <c r="C163" i="11" s="1"/>
  <c r="D163" i="7"/>
  <c r="D163" i="11" s="1"/>
  <c r="E163" i="7"/>
  <c r="E163" i="11" s="1"/>
  <c r="F163" i="7"/>
  <c r="G163" i="7"/>
  <c r="I163" i="7"/>
  <c r="J163" i="7"/>
  <c r="L163" i="7"/>
  <c r="M163" i="7"/>
  <c r="O163" i="7"/>
  <c r="P163" i="7"/>
  <c r="R163" i="7"/>
  <c r="S163" i="7"/>
  <c r="W163" i="7"/>
  <c r="X163" i="7"/>
  <c r="Z163" i="7"/>
  <c r="A164" i="7"/>
  <c r="A164" i="11" s="1"/>
  <c r="B164" i="7"/>
  <c r="B164" i="11" s="1"/>
  <c r="C164" i="7"/>
  <c r="C164" i="11" s="1"/>
  <c r="D164" i="7"/>
  <c r="D164" i="11" s="1"/>
  <c r="E164" i="7"/>
  <c r="E164" i="11" s="1"/>
  <c r="F164" i="7"/>
  <c r="G164" i="7"/>
  <c r="I164" i="7"/>
  <c r="J164" i="7"/>
  <c r="L164" i="7"/>
  <c r="N164" i="7" s="1"/>
  <c r="F164" i="11" s="1"/>
  <c r="H164" i="11" s="1"/>
  <c r="M164" i="7"/>
  <c r="O164" i="7"/>
  <c r="P164" i="7"/>
  <c r="R164" i="7"/>
  <c r="S164" i="7"/>
  <c r="W164" i="7"/>
  <c r="X164" i="7"/>
  <c r="Z164" i="7"/>
  <c r="A165" i="7"/>
  <c r="A165" i="11" s="1"/>
  <c r="B165" i="7"/>
  <c r="B165" i="11" s="1"/>
  <c r="C165" i="7"/>
  <c r="C165" i="11" s="1"/>
  <c r="D165" i="7"/>
  <c r="D165" i="11" s="1"/>
  <c r="E165" i="7"/>
  <c r="E165" i="11" s="1"/>
  <c r="F165" i="7"/>
  <c r="G165" i="7"/>
  <c r="I165" i="7"/>
  <c r="J165" i="7"/>
  <c r="L165" i="7"/>
  <c r="N165" i="7" s="1"/>
  <c r="F165" i="11" s="1"/>
  <c r="H165" i="11" s="1"/>
  <c r="M165" i="7"/>
  <c r="O165" i="7"/>
  <c r="P165" i="7"/>
  <c r="R165" i="7"/>
  <c r="S165" i="7"/>
  <c r="W165" i="7"/>
  <c r="X165" i="7"/>
  <c r="Z165" i="7"/>
  <c r="A166" i="7"/>
  <c r="A166" i="11" s="1"/>
  <c r="B166" i="7"/>
  <c r="B166" i="11" s="1"/>
  <c r="C166" i="7"/>
  <c r="C166" i="11" s="1"/>
  <c r="D166" i="7"/>
  <c r="D166" i="11" s="1"/>
  <c r="E166" i="7"/>
  <c r="E166" i="11" s="1"/>
  <c r="F166" i="7"/>
  <c r="G166" i="7"/>
  <c r="I166" i="7"/>
  <c r="J166" i="7"/>
  <c r="L166" i="7"/>
  <c r="M166" i="7"/>
  <c r="O166" i="7"/>
  <c r="P166" i="7"/>
  <c r="R166" i="7"/>
  <c r="S166" i="7"/>
  <c r="W166" i="7"/>
  <c r="X166" i="7"/>
  <c r="Z166" i="7"/>
  <c r="A167" i="7"/>
  <c r="A167" i="11" s="1"/>
  <c r="B167" i="7"/>
  <c r="B167" i="11" s="1"/>
  <c r="C167" i="7"/>
  <c r="C167" i="11" s="1"/>
  <c r="D167" i="7"/>
  <c r="D167" i="11" s="1"/>
  <c r="E167" i="7"/>
  <c r="E167" i="11" s="1"/>
  <c r="F167" i="7"/>
  <c r="G167" i="7"/>
  <c r="I167" i="7"/>
  <c r="J167" i="7"/>
  <c r="L167" i="7"/>
  <c r="M167" i="7"/>
  <c r="O167" i="7"/>
  <c r="P167" i="7"/>
  <c r="R167" i="7"/>
  <c r="S167" i="7"/>
  <c r="W167" i="7"/>
  <c r="X167" i="7"/>
  <c r="Z167" i="7"/>
  <c r="A168" i="7"/>
  <c r="A168" i="11" s="1"/>
  <c r="B168" i="7"/>
  <c r="B168" i="11" s="1"/>
  <c r="C168" i="7"/>
  <c r="C168" i="11" s="1"/>
  <c r="D168" i="7"/>
  <c r="D168" i="11" s="1"/>
  <c r="E168" i="7"/>
  <c r="E168" i="11" s="1"/>
  <c r="F168" i="7"/>
  <c r="G168" i="7"/>
  <c r="I168" i="7"/>
  <c r="J168" i="7"/>
  <c r="L168" i="7"/>
  <c r="M168" i="7"/>
  <c r="O168" i="7"/>
  <c r="P168" i="7"/>
  <c r="R168" i="7"/>
  <c r="S168" i="7"/>
  <c r="W168" i="7"/>
  <c r="X168" i="7"/>
  <c r="Z168" i="7"/>
  <c r="A169" i="7"/>
  <c r="A169" i="11" s="1"/>
  <c r="B169" i="7"/>
  <c r="B169" i="11" s="1"/>
  <c r="C169" i="7"/>
  <c r="C169" i="11" s="1"/>
  <c r="D169" i="7"/>
  <c r="D169" i="11" s="1"/>
  <c r="E169" i="7"/>
  <c r="E169" i="11" s="1"/>
  <c r="F169" i="7"/>
  <c r="G169" i="7"/>
  <c r="I169" i="7"/>
  <c r="J169" i="7"/>
  <c r="L169" i="7"/>
  <c r="M169" i="7"/>
  <c r="O169" i="7"/>
  <c r="P169" i="7"/>
  <c r="R169" i="7"/>
  <c r="S169" i="7"/>
  <c r="W169" i="7"/>
  <c r="X169" i="7"/>
  <c r="Z169" i="7"/>
  <c r="A170" i="7"/>
  <c r="A170" i="11" s="1"/>
  <c r="B170" i="7"/>
  <c r="B170" i="11" s="1"/>
  <c r="C170" i="7"/>
  <c r="C170" i="11" s="1"/>
  <c r="D170" i="7"/>
  <c r="D170" i="11" s="1"/>
  <c r="E170" i="7"/>
  <c r="E170" i="11" s="1"/>
  <c r="F170" i="7"/>
  <c r="G170" i="7"/>
  <c r="I170" i="7"/>
  <c r="J170" i="7"/>
  <c r="L170" i="7"/>
  <c r="N170" i="7" s="1"/>
  <c r="F170" i="11" s="1"/>
  <c r="H170" i="11" s="1"/>
  <c r="M170" i="7"/>
  <c r="O170" i="7"/>
  <c r="P170" i="7"/>
  <c r="R170" i="7"/>
  <c r="S170" i="7"/>
  <c r="W170" i="7"/>
  <c r="X170" i="7"/>
  <c r="Z170" i="7"/>
  <c r="A171" i="7"/>
  <c r="A171" i="11" s="1"/>
  <c r="B171" i="7"/>
  <c r="B171" i="11" s="1"/>
  <c r="C171" i="7"/>
  <c r="C171" i="11" s="1"/>
  <c r="D171" i="7"/>
  <c r="D171" i="11" s="1"/>
  <c r="E171" i="7"/>
  <c r="E171" i="11" s="1"/>
  <c r="F171" i="7"/>
  <c r="G171" i="7"/>
  <c r="I171" i="7"/>
  <c r="J171" i="7"/>
  <c r="L171" i="7"/>
  <c r="N171" i="7" s="1"/>
  <c r="F171" i="11" s="1"/>
  <c r="H171" i="11" s="1"/>
  <c r="M171" i="7"/>
  <c r="O171" i="7"/>
  <c r="P171" i="7"/>
  <c r="R171" i="7"/>
  <c r="S171" i="7"/>
  <c r="W171" i="7"/>
  <c r="X171" i="7"/>
  <c r="Z171" i="7"/>
  <c r="A172" i="7"/>
  <c r="A172" i="11" s="1"/>
  <c r="B172" i="7"/>
  <c r="B172" i="11" s="1"/>
  <c r="C172" i="7"/>
  <c r="C172" i="11" s="1"/>
  <c r="D172" i="7"/>
  <c r="D172" i="11" s="1"/>
  <c r="E172" i="7"/>
  <c r="E172" i="11" s="1"/>
  <c r="F172" i="7"/>
  <c r="G172" i="7"/>
  <c r="I172" i="7"/>
  <c r="J172" i="7"/>
  <c r="L172" i="7"/>
  <c r="M172" i="7"/>
  <c r="O172" i="7"/>
  <c r="P172" i="7"/>
  <c r="R172" i="7"/>
  <c r="S172" i="7"/>
  <c r="W172" i="7"/>
  <c r="X172" i="7"/>
  <c r="Z172" i="7"/>
  <c r="A173" i="7"/>
  <c r="A173" i="11" s="1"/>
  <c r="B173" i="7"/>
  <c r="B173" i="11" s="1"/>
  <c r="C173" i="7"/>
  <c r="C173" i="11" s="1"/>
  <c r="D173" i="7"/>
  <c r="D173" i="11" s="1"/>
  <c r="E173" i="7"/>
  <c r="E173" i="11" s="1"/>
  <c r="F173" i="7"/>
  <c r="G173" i="7"/>
  <c r="I173" i="7"/>
  <c r="J173" i="7"/>
  <c r="L173" i="7"/>
  <c r="N173" i="7" s="1"/>
  <c r="F173" i="11" s="1"/>
  <c r="H173" i="11" s="1"/>
  <c r="M173" i="7"/>
  <c r="O173" i="7"/>
  <c r="P173" i="7"/>
  <c r="R173" i="7"/>
  <c r="S173" i="7"/>
  <c r="W173" i="7"/>
  <c r="X173" i="7"/>
  <c r="Z173" i="7"/>
  <c r="A174" i="7"/>
  <c r="A174" i="11" s="1"/>
  <c r="B174" i="7"/>
  <c r="B174" i="11" s="1"/>
  <c r="C174" i="7"/>
  <c r="C174" i="11" s="1"/>
  <c r="D174" i="7"/>
  <c r="D174" i="11" s="1"/>
  <c r="E174" i="7"/>
  <c r="E174" i="11" s="1"/>
  <c r="F174" i="7"/>
  <c r="G174" i="7"/>
  <c r="I174" i="7"/>
  <c r="J174" i="7"/>
  <c r="L174" i="7"/>
  <c r="N174" i="7" s="1"/>
  <c r="F174" i="11" s="1"/>
  <c r="H174" i="11" s="1"/>
  <c r="M174" i="7"/>
  <c r="O174" i="7"/>
  <c r="P174" i="7"/>
  <c r="R174" i="7"/>
  <c r="S174" i="7"/>
  <c r="W174" i="7"/>
  <c r="X174" i="7"/>
  <c r="Z174" i="7"/>
  <c r="A175" i="7"/>
  <c r="A175" i="11" s="1"/>
  <c r="B175" i="7"/>
  <c r="B175" i="11" s="1"/>
  <c r="C175" i="7"/>
  <c r="C175" i="11" s="1"/>
  <c r="D175" i="7"/>
  <c r="D175" i="11" s="1"/>
  <c r="E175" i="7"/>
  <c r="E175" i="11" s="1"/>
  <c r="F175" i="7"/>
  <c r="G175" i="7"/>
  <c r="I175" i="7"/>
  <c r="J175" i="7"/>
  <c r="L175" i="7"/>
  <c r="N175" i="7" s="1"/>
  <c r="F175" i="11" s="1"/>
  <c r="H175" i="11" s="1"/>
  <c r="M175" i="7"/>
  <c r="O175" i="7"/>
  <c r="P175" i="7"/>
  <c r="R175" i="7"/>
  <c r="S175" i="7"/>
  <c r="W175" i="7"/>
  <c r="X175" i="7"/>
  <c r="Z175" i="7"/>
  <c r="A176" i="7"/>
  <c r="A176" i="11" s="1"/>
  <c r="B176" i="7"/>
  <c r="B176" i="11" s="1"/>
  <c r="C176" i="7"/>
  <c r="C176" i="11" s="1"/>
  <c r="D176" i="7"/>
  <c r="D176" i="11" s="1"/>
  <c r="E176" i="7"/>
  <c r="E176" i="11" s="1"/>
  <c r="F176" i="7"/>
  <c r="G176" i="7"/>
  <c r="I176" i="7"/>
  <c r="J176" i="7"/>
  <c r="L176" i="7"/>
  <c r="N176" i="7" s="1"/>
  <c r="F176" i="11" s="1"/>
  <c r="H176" i="11" s="1"/>
  <c r="M176" i="7"/>
  <c r="O176" i="7"/>
  <c r="P176" i="7"/>
  <c r="R176" i="7"/>
  <c r="S176" i="7"/>
  <c r="W176" i="7"/>
  <c r="X176" i="7"/>
  <c r="Z176" i="7"/>
  <c r="A177" i="7"/>
  <c r="A177" i="11" s="1"/>
  <c r="B177" i="7"/>
  <c r="B177" i="11" s="1"/>
  <c r="C177" i="7"/>
  <c r="C177" i="11" s="1"/>
  <c r="D177" i="7"/>
  <c r="D177" i="11" s="1"/>
  <c r="E177" i="7"/>
  <c r="E177" i="11" s="1"/>
  <c r="F177" i="7"/>
  <c r="G177" i="7"/>
  <c r="I177" i="7"/>
  <c r="J177" i="7"/>
  <c r="L177" i="7"/>
  <c r="M177" i="7"/>
  <c r="O177" i="7"/>
  <c r="P177" i="7"/>
  <c r="R177" i="7"/>
  <c r="S177" i="7"/>
  <c r="W177" i="7"/>
  <c r="X177" i="7"/>
  <c r="Z177" i="7"/>
  <c r="A178" i="7"/>
  <c r="A178" i="11" s="1"/>
  <c r="B178" i="7"/>
  <c r="B178" i="11" s="1"/>
  <c r="C178" i="7"/>
  <c r="C178" i="11" s="1"/>
  <c r="D178" i="7"/>
  <c r="D178" i="11" s="1"/>
  <c r="E178" i="7"/>
  <c r="E178" i="11" s="1"/>
  <c r="F178" i="7"/>
  <c r="G178" i="7"/>
  <c r="I178" i="7"/>
  <c r="J178" i="7"/>
  <c r="L178" i="7"/>
  <c r="M178" i="7"/>
  <c r="O178" i="7"/>
  <c r="P178" i="7"/>
  <c r="R178" i="7"/>
  <c r="S178" i="7"/>
  <c r="W178" i="7"/>
  <c r="X178" i="7"/>
  <c r="Z178" i="7"/>
  <c r="A179" i="7"/>
  <c r="A179" i="11" s="1"/>
  <c r="B179" i="7"/>
  <c r="B179" i="11" s="1"/>
  <c r="C179" i="7"/>
  <c r="C179" i="11" s="1"/>
  <c r="D179" i="7"/>
  <c r="D179" i="11" s="1"/>
  <c r="E179" i="7"/>
  <c r="E179" i="11" s="1"/>
  <c r="F179" i="7"/>
  <c r="G179" i="7"/>
  <c r="I179" i="7"/>
  <c r="J179" i="7"/>
  <c r="L179" i="7"/>
  <c r="M179" i="7"/>
  <c r="O179" i="7"/>
  <c r="P179" i="7"/>
  <c r="R179" i="7"/>
  <c r="S179" i="7"/>
  <c r="W179" i="7"/>
  <c r="X179" i="7"/>
  <c r="Z179" i="7"/>
  <c r="A180" i="7"/>
  <c r="A180" i="11" s="1"/>
  <c r="B180" i="7"/>
  <c r="B180" i="11" s="1"/>
  <c r="C180" i="7"/>
  <c r="C180" i="11" s="1"/>
  <c r="D180" i="7"/>
  <c r="D180" i="11" s="1"/>
  <c r="E180" i="7"/>
  <c r="E180" i="11" s="1"/>
  <c r="F180" i="7"/>
  <c r="G180" i="7"/>
  <c r="I180" i="7"/>
  <c r="J180" i="7"/>
  <c r="L180" i="7"/>
  <c r="M180" i="7"/>
  <c r="O180" i="7"/>
  <c r="P180" i="7"/>
  <c r="R180" i="7"/>
  <c r="S180" i="7"/>
  <c r="W180" i="7"/>
  <c r="X180" i="7"/>
  <c r="Z180" i="7"/>
  <c r="A181" i="7"/>
  <c r="A181" i="11" s="1"/>
  <c r="B181" i="7"/>
  <c r="B181" i="11" s="1"/>
  <c r="C181" i="7"/>
  <c r="C181" i="11" s="1"/>
  <c r="D181" i="7"/>
  <c r="D181" i="11" s="1"/>
  <c r="E181" i="7"/>
  <c r="E181" i="11" s="1"/>
  <c r="F181" i="7"/>
  <c r="G181" i="7"/>
  <c r="I181" i="7"/>
  <c r="J181" i="7"/>
  <c r="L181" i="7"/>
  <c r="M181" i="7"/>
  <c r="O181" i="7"/>
  <c r="P181" i="7"/>
  <c r="R181" i="7"/>
  <c r="S181" i="7"/>
  <c r="W181" i="7"/>
  <c r="X181" i="7"/>
  <c r="Z181" i="7"/>
  <c r="A182" i="7"/>
  <c r="A182" i="11" s="1"/>
  <c r="B182" i="7"/>
  <c r="B182" i="11" s="1"/>
  <c r="C182" i="7"/>
  <c r="C182" i="11" s="1"/>
  <c r="D182" i="7"/>
  <c r="D182" i="11" s="1"/>
  <c r="E182" i="7"/>
  <c r="E182" i="11" s="1"/>
  <c r="F182" i="7"/>
  <c r="G182" i="7"/>
  <c r="I182" i="7"/>
  <c r="J182" i="7"/>
  <c r="L182" i="7"/>
  <c r="M182" i="7"/>
  <c r="O182" i="7"/>
  <c r="P182" i="7"/>
  <c r="R182" i="7"/>
  <c r="S182" i="7"/>
  <c r="W182" i="7"/>
  <c r="X182" i="7"/>
  <c r="Z182" i="7"/>
  <c r="A183" i="7"/>
  <c r="A183" i="11" s="1"/>
  <c r="B183" i="7"/>
  <c r="B183" i="11" s="1"/>
  <c r="C183" i="7"/>
  <c r="C183" i="11" s="1"/>
  <c r="D183" i="7"/>
  <c r="D183" i="11" s="1"/>
  <c r="E183" i="7"/>
  <c r="E183" i="11" s="1"/>
  <c r="F183" i="7"/>
  <c r="G183" i="7"/>
  <c r="I183" i="7"/>
  <c r="J183" i="7"/>
  <c r="L183" i="7"/>
  <c r="N183" i="7" s="1"/>
  <c r="F183" i="11" s="1"/>
  <c r="H183" i="11" s="1"/>
  <c r="M183" i="7"/>
  <c r="O183" i="7"/>
  <c r="P183" i="7"/>
  <c r="R183" i="7"/>
  <c r="S183" i="7"/>
  <c r="W183" i="7"/>
  <c r="X183" i="7"/>
  <c r="Z183" i="7"/>
  <c r="A184" i="7"/>
  <c r="A184" i="11" s="1"/>
  <c r="B184" i="7"/>
  <c r="B184" i="11" s="1"/>
  <c r="C184" i="7"/>
  <c r="C184" i="11" s="1"/>
  <c r="D184" i="7"/>
  <c r="D184" i="11" s="1"/>
  <c r="E184" i="7"/>
  <c r="E184" i="11" s="1"/>
  <c r="F184" i="7"/>
  <c r="G184" i="7"/>
  <c r="I184" i="7"/>
  <c r="J184" i="7"/>
  <c r="L184" i="7"/>
  <c r="N184" i="7" s="1"/>
  <c r="F184" i="11" s="1"/>
  <c r="H184" i="11" s="1"/>
  <c r="M184" i="7"/>
  <c r="O184" i="7"/>
  <c r="P184" i="7"/>
  <c r="R184" i="7"/>
  <c r="S184" i="7"/>
  <c r="W184" i="7"/>
  <c r="X184" i="7"/>
  <c r="Z184" i="7"/>
  <c r="A185" i="7"/>
  <c r="A185" i="11" s="1"/>
  <c r="B185" i="7"/>
  <c r="B185" i="11" s="1"/>
  <c r="C185" i="7"/>
  <c r="C185" i="11" s="1"/>
  <c r="D185" i="7"/>
  <c r="D185" i="11" s="1"/>
  <c r="E185" i="7"/>
  <c r="E185" i="11" s="1"/>
  <c r="F185" i="7"/>
  <c r="G185" i="7"/>
  <c r="I185" i="7"/>
  <c r="J185" i="7"/>
  <c r="L185" i="7"/>
  <c r="N185" i="7" s="1"/>
  <c r="F185" i="11" s="1"/>
  <c r="H185" i="11" s="1"/>
  <c r="M185" i="7"/>
  <c r="O185" i="7"/>
  <c r="P185" i="7"/>
  <c r="R185" i="7"/>
  <c r="S185" i="7"/>
  <c r="W185" i="7"/>
  <c r="X185" i="7"/>
  <c r="Z185" i="7"/>
  <c r="A186" i="7"/>
  <c r="A186" i="11" s="1"/>
  <c r="B186" i="7"/>
  <c r="B186" i="11" s="1"/>
  <c r="C186" i="7"/>
  <c r="C186" i="11" s="1"/>
  <c r="D186" i="7"/>
  <c r="D186" i="11" s="1"/>
  <c r="E186" i="7"/>
  <c r="E186" i="11" s="1"/>
  <c r="F186" i="7"/>
  <c r="G186" i="7"/>
  <c r="I186" i="7"/>
  <c r="J186" i="7"/>
  <c r="L186" i="7"/>
  <c r="M186" i="7"/>
  <c r="O186" i="7"/>
  <c r="P186" i="7"/>
  <c r="R186" i="7"/>
  <c r="S186" i="7"/>
  <c r="W186" i="7"/>
  <c r="X186" i="7"/>
  <c r="Z186" i="7"/>
  <c r="A187" i="7"/>
  <c r="A187" i="11" s="1"/>
  <c r="B187" i="7"/>
  <c r="B187" i="11" s="1"/>
  <c r="C187" i="7"/>
  <c r="C187" i="11" s="1"/>
  <c r="D187" i="7"/>
  <c r="D187" i="11" s="1"/>
  <c r="E187" i="7"/>
  <c r="E187" i="11" s="1"/>
  <c r="F187" i="7"/>
  <c r="G187" i="7"/>
  <c r="I187" i="7"/>
  <c r="J187" i="7"/>
  <c r="L187" i="7"/>
  <c r="N187" i="7" s="1"/>
  <c r="F187" i="11" s="1"/>
  <c r="H187" i="11" s="1"/>
  <c r="M187" i="7"/>
  <c r="O187" i="7"/>
  <c r="P187" i="7"/>
  <c r="R187" i="7"/>
  <c r="S187" i="7"/>
  <c r="W187" i="7"/>
  <c r="X187" i="7"/>
  <c r="Z187" i="7"/>
  <c r="A188" i="7"/>
  <c r="A188" i="11" s="1"/>
  <c r="B188" i="7"/>
  <c r="B188" i="11" s="1"/>
  <c r="C188" i="7"/>
  <c r="C188" i="11" s="1"/>
  <c r="D188" i="7"/>
  <c r="D188" i="11" s="1"/>
  <c r="E188" i="7"/>
  <c r="E188" i="11" s="1"/>
  <c r="F188" i="7"/>
  <c r="G188" i="7"/>
  <c r="I188" i="7"/>
  <c r="J188" i="7"/>
  <c r="L188" i="7"/>
  <c r="M188" i="7"/>
  <c r="O188" i="7"/>
  <c r="P188" i="7"/>
  <c r="R188" i="7"/>
  <c r="S188" i="7"/>
  <c r="W188" i="7"/>
  <c r="X188" i="7"/>
  <c r="Z188" i="7"/>
  <c r="A189" i="7"/>
  <c r="A189" i="11" s="1"/>
  <c r="B189" i="7"/>
  <c r="B189" i="11" s="1"/>
  <c r="C189" i="7"/>
  <c r="C189" i="11" s="1"/>
  <c r="D189" i="7"/>
  <c r="D189" i="11" s="1"/>
  <c r="E189" i="7"/>
  <c r="E189" i="11" s="1"/>
  <c r="F189" i="7"/>
  <c r="G189" i="7"/>
  <c r="I189" i="7"/>
  <c r="J189" i="7"/>
  <c r="L189" i="7"/>
  <c r="M189" i="7"/>
  <c r="O189" i="7"/>
  <c r="P189" i="7"/>
  <c r="R189" i="7"/>
  <c r="S189" i="7"/>
  <c r="W189" i="7"/>
  <c r="X189" i="7"/>
  <c r="Z189" i="7"/>
  <c r="M189" i="11" s="1"/>
  <c r="A190" i="7"/>
  <c r="A190" i="11" s="1"/>
  <c r="B190" i="7"/>
  <c r="B190" i="11" s="1"/>
  <c r="C190" i="7"/>
  <c r="C190" i="11" s="1"/>
  <c r="D190" i="7"/>
  <c r="D190" i="11" s="1"/>
  <c r="E190" i="7"/>
  <c r="E190" i="11" s="1"/>
  <c r="F190" i="7"/>
  <c r="G190" i="7"/>
  <c r="I190" i="7"/>
  <c r="J190" i="7"/>
  <c r="L190" i="7"/>
  <c r="N190" i="7" s="1"/>
  <c r="F190" i="11" s="1"/>
  <c r="H190" i="11" s="1"/>
  <c r="M190" i="7"/>
  <c r="O190" i="7"/>
  <c r="P190" i="7"/>
  <c r="R190" i="7"/>
  <c r="S190" i="7"/>
  <c r="W190" i="7"/>
  <c r="X190" i="7"/>
  <c r="Z190" i="7"/>
  <c r="M190" i="11" s="1"/>
  <c r="A191" i="7"/>
  <c r="A191" i="11" s="1"/>
  <c r="B191" i="7"/>
  <c r="B191" i="11" s="1"/>
  <c r="C191" i="7"/>
  <c r="C191" i="11" s="1"/>
  <c r="D191" i="7"/>
  <c r="D191" i="11" s="1"/>
  <c r="E191" i="7"/>
  <c r="E191" i="11" s="1"/>
  <c r="F191" i="7"/>
  <c r="G191" i="7"/>
  <c r="I191" i="7"/>
  <c r="J191" i="7"/>
  <c r="L191" i="7"/>
  <c r="N191" i="7" s="1"/>
  <c r="F191" i="11" s="1"/>
  <c r="H191" i="11" s="1"/>
  <c r="M191" i="7"/>
  <c r="O191" i="7"/>
  <c r="P191" i="7"/>
  <c r="R191" i="7"/>
  <c r="S191" i="7"/>
  <c r="W191" i="7"/>
  <c r="X191" i="7"/>
  <c r="Z191" i="7"/>
  <c r="M191" i="11" s="1"/>
  <c r="A192" i="7"/>
  <c r="A192" i="11" s="1"/>
  <c r="B192" i="7"/>
  <c r="B192" i="11" s="1"/>
  <c r="C192" i="7"/>
  <c r="C192" i="11" s="1"/>
  <c r="D192" i="7"/>
  <c r="D192" i="11" s="1"/>
  <c r="E192" i="7"/>
  <c r="E192" i="11" s="1"/>
  <c r="F192" i="7"/>
  <c r="G192" i="7"/>
  <c r="I192" i="7"/>
  <c r="J192" i="7"/>
  <c r="L192" i="7"/>
  <c r="N192" i="7" s="1"/>
  <c r="F192" i="11" s="1"/>
  <c r="H192" i="11" s="1"/>
  <c r="M192" i="7"/>
  <c r="O192" i="7"/>
  <c r="P192" i="7"/>
  <c r="R192" i="7"/>
  <c r="S192" i="7"/>
  <c r="W192" i="7"/>
  <c r="X192" i="7"/>
  <c r="Z192" i="7"/>
  <c r="M192" i="11" s="1"/>
  <c r="A193" i="7"/>
  <c r="A193" i="11" s="1"/>
  <c r="B193" i="7"/>
  <c r="B193" i="11" s="1"/>
  <c r="C193" i="7"/>
  <c r="C193" i="11" s="1"/>
  <c r="D193" i="7"/>
  <c r="D193" i="11" s="1"/>
  <c r="E193" i="7"/>
  <c r="E193" i="11" s="1"/>
  <c r="F193" i="7"/>
  <c r="G193" i="7"/>
  <c r="I193" i="7"/>
  <c r="J193" i="7"/>
  <c r="L193" i="7"/>
  <c r="N193" i="7" s="1"/>
  <c r="F193" i="11" s="1"/>
  <c r="H193" i="11" s="1"/>
  <c r="M193" i="7"/>
  <c r="O193" i="7"/>
  <c r="P193" i="7"/>
  <c r="R193" i="7"/>
  <c r="S193" i="7"/>
  <c r="W193" i="7"/>
  <c r="X193" i="7"/>
  <c r="Z193" i="7"/>
  <c r="M193" i="11" s="1"/>
  <c r="A194" i="7"/>
  <c r="A194" i="11" s="1"/>
  <c r="B194" i="7"/>
  <c r="B194" i="11" s="1"/>
  <c r="C194" i="7"/>
  <c r="C194" i="11" s="1"/>
  <c r="D194" i="7"/>
  <c r="D194" i="11" s="1"/>
  <c r="E194" i="7"/>
  <c r="E194" i="11" s="1"/>
  <c r="F194" i="7"/>
  <c r="G194" i="7"/>
  <c r="I194" i="7"/>
  <c r="J194" i="7"/>
  <c r="L194" i="7"/>
  <c r="N194" i="7" s="1"/>
  <c r="F194" i="11" s="1"/>
  <c r="H194" i="11" s="1"/>
  <c r="M194" i="7"/>
  <c r="O194" i="7"/>
  <c r="P194" i="7"/>
  <c r="R194" i="7"/>
  <c r="S194" i="7"/>
  <c r="W194" i="7"/>
  <c r="X194" i="7"/>
  <c r="Z194" i="7"/>
  <c r="M194" i="11" s="1"/>
  <c r="A195" i="7"/>
  <c r="A195" i="11" s="1"/>
  <c r="B195" i="7"/>
  <c r="B195" i="11" s="1"/>
  <c r="C195" i="7"/>
  <c r="C195" i="11" s="1"/>
  <c r="D195" i="7"/>
  <c r="D195" i="11" s="1"/>
  <c r="E195" i="7"/>
  <c r="E195" i="11" s="1"/>
  <c r="F195" i="7"/>
  <c r="G195" i="7"/>
  <c r="I195" i="7"/>
  <c r="J195" i="7"/>
  <c r="L195" i="7"/>
  <c r="N195" i="7" s="1"/>
  <c r="F195" i="11" s="1"/>
  <c r="H195" i="11" s="1"/>
  <c r="M195" i="7"/>
  <c r="O195" i="7"/>
  <c r="P195" i="7"/>
  <c r="R195" i="7"/>
  <c r="S195" i="7"/>
  <c r="W195" i="7"/>
  <c r="X195" i="7"/>
  <c r="Z195" i="7"/>
  <c r="M195" i="11" s="1"/>
  <c r="A196" i="7"/>
  <c r="A196" i="11" s="1"/>
  <c r="B196" i="7"/>
  <c r="B196" i="11" s="1"/>
  <c r="C196" i="7"/>
  <c r="C196" i="11" s="1"/>
  <c r="D196" i="7"/>
  <c r="D196" i="11" s="1"/>
  <c r="E196" i="7"/>
  <c r="E196" i="11" s="1"/>
  <c r="F196" i="7"/>
  <c r="G196" i="7"/>
  <c r="I196" i="7"/>
  <c r="J196" i="7"/>
  <c r="L196" i="7"/>
  <c r="M196" i="7"/>
  <c r="O196" i="7"/>
  <c r="P196" i="7"/>
  <c r="R196" i="7"/>
  <c r="S196" i="7"/>
  <c r="W196" i="7"/>
  <c r="X196" i="7"/>
  <c r="Z196" i="7"/>
  <c r="M196" i="11" s="1"/>
  <c r="A197" i="7"/>
  <c r="A197" i="11" s="1"/>
  <c r="B197" i="7"/>
  <c r="B197" i="11" s="1"/>
  <c r="C197" i="7"/>
  <c r="C197" i="11" s="1"/>
  <c r="D197" i="7"/>
  <c r="D197" i="11" s="1"/>
  <c r="E197" i="7"/>
  <c r="E197" i="11" s="1"/>
  <c r="F197" i="7"/>
  <c r="G197" i="7"/>
  <c r="I197" i="7"/>
  <c r="J197" i="7"/>
  <c r="L197" i="7"/>
  <c r="M197" i="7"/>
  <c r="O197" i="7"/>
  <c r="P197" i="7"/>
  <c r="R197" i="7"/>
  <c r="S197" i="7"/>
  <c r="W197" i="7"/>
  <c r="X197" i="7"/>
  <c r="Z197" i="7"/>
  <c r="M197" i="11" s="1"/>
  <c r="A198" i="7"/>
  <c r="A198" i="11" s="1"/>
  <c r="B198" i="7"/>
  <c r="B198" i="11" s="1"/>
  <c r="C198" i="7"/>
  <c r="C198" i="11" s="1"/>
  <c r="D198" i="7"/>
  <c r="D198" i="11" s="1"/>
  <c r="E198" i="7"/>
  <c r="E198" i="11" s="1"/>
  <c r="F198" i="7"/>
  <c r="G198" i="7"/>
  <c r="I198" i="7"/>
  <c r="J198" i="7"/>
  <c r="L198" i="7"/>
  <c r="N198" i="7" s="1"/>
  <c r="F198" i="11" s="1"/>
  <c r="H198" i="11" s="1"/>
  <c r="M198" i="7"/>
  <c r="O198" i="7"/>
  <c r="P198" i="7"/>
  <c r="R198" i="7"/>
  <c r="S198" i="7"/>
  <c r="W198" i="7"/>
  <c r="X198" i="7"/>
  <c r="Z198" i="7"/>
  <c r="M198" i="11" s="1"/>
  <c r="A199" i="7"/>
  <c r="A199" i="11" s="1"/>
  <c r="B199" i="7"/>
  <c r="B199" i="11" s="1"/>
  <c r="C199" i="7"/>
  <c r="C199" i="11" s="1"/>
  <c r="D199" i="7"/>
  <c r="D199" i="11" s="1"/>
  <c r="E199" i="7"/>
  <c r="E199" i="11" s="1"/>
  <c r="F199" i="7"/>
  <c r="G199" i="7"/>
  <c r="I199" i="7"/>
  <c r="J199" i="7"/>
  <c r="L199" i="7"/>
  <c r="N199" i="7" s="1"/>
  <c r="F199" i="11" s="1"/>
  <c r="H199" i="11" s="1"/>
  <c r="M199" i="7"/>
  <c r="O199" i="7"/>
  <c r="P199" i="7"/>
  <c r="R199" i="7"/>
  <c r="S199" i="7"/>
  <c r="W199" i="7"/>
  <c r="X199" i="7"/>
  <c r="Z199" i="7"/>
  <c r="M199" i="11" s="1"/>
  <c r="A200" i="7"/>
  <c r="A200" i="11" s="1"/>
  <c r="B200" i="7"/>
  <c r="B200" i="11" s="1"/>
  <c r="C200" i="7"/>
  <c r="C200" i="11" s="1"/>
  <c r="D200" i="7"/>
  <c r="D200" i="11" s="1"/>
  <c r="E200" i="7"/>
  <c r="E200" i="11" s="1"/>
  <c r="F200" i="7"/>
  <c r="G200" i="7"/>
  <c r="I200" i="7"/>
  <c r="J200" i="7"/>
  <c r="L200" i="7"/>
  <c r="M200" i="7"/>
  <c r="O200" i="7"/>
  <c r="P200" i="7"/>
  <c r="R200" i="7"/>
  <c r="S200" i="7"/>
  <c r="W200" i="7"/>
  <c r="X200" i="7"/>
  <c r="Z200" i="7"/>
  <c r="M200" i="11" s="1"/>
  <c r="A201" i="7"/>
  <c r="A201" i="11" s="1"/>
  <c r="B201" i="7"/>
  <c r="B201" i="11" s="1"/>
  <c r="C201" i="7"/>
  <c r="C201" i="11" s="1"/>
  <c r="D201" i="7"/>
  <c r="D201" i="11" s="1"/>
  <c r="E201" i="7"/>
  <c r="E201" i="11" s="1"/>
  <c r="F201" i="7"/>
  <c r="G201" i="7"/>
  <c r="I201" i="7"/>
  <c r="J201" i="7"/>
  <c r="L201" i="7"/>
  <c r="N201" i="7" s="1"/>
  <c r="F201" i="11" s="1"/>
  <c r="H201" i="11" s="1"/>
  <c r="M201" i="7"/>
  <c r="O201" i="7"/>
  <c r="P201" i="7"/>
  <c r="R201" i="7"/>
  <c r="S201" i="7"/>
  <c r="W201" i="7"/>
  <c r="X201" i="7"/>
  <c r="Z201" i="7"/>
  <c r="M201" i="11" s="1"/>
  <c r="A202" i="7"/>
  <c r="A202" i="11" s="1"/>
  <c r="B202" i="7"/>
  <c r="B202" i="11" s="1"/>
  <c r="C202" i="7"/>
  <c r="C202" i="11" s="1"/>
  <c r="D202" i="7"/>
  <c r="D202" i="11" s="1"/>
  <c r="E202" i="7"/>
  <c r="E202" i="11" s="1"/>
  <c r="F202" i="7"/>
  <c r="G202" i="7"/>
  <c r="I202" i="7"/>
  <c r="J202" i="7"/>
  <c r="L202" i="7"/>
  <c r="M202" i="7"/>
  <c r="O202" i="7"/>
  <c r="P202" i="7"/>
  <c r="R202" i="7"/>
  <c r="S202" i="7"/>
  <c r="W202" i="7"/>
  <c r="X202" i="7"/>
  <c r="Z202" i="7"/>
  <c r="M202" i="11" s="1"/>
  <c r="A203" i="7"/>
  <c r="A203" i="11" s="1"/>
  <c r="B203" i="7"/>
  <c r="B203" i="11" s="1"/>
  <c r="C203" i="7"/>
  <c r="C203" i="11" s="1"/>
  <c r="D203" i="7"/>
  <c r="D203" i="11" s="1"/>
  <c r="E203" i="7"/>
  <c r="E203" i="11" s="1"/>
  <c r="F203" i="7"/>
  <c r="G203" i="7"/>
  <c r="I203" i="7"/>
  <c r="J203" i="7"/>
  <c r="L203" i="7"/>
  <c r="N203" i="7" s="1"/>
  <c r="F203" i="11" s="1"/>
  <c r="H203" i="11" s="1"/>
  <c r="M203" i="7"/>
  <c r="O203" i="7"/>
  <c r="P203" i="7"/>
  <c r="R203" i="7"/>
  <c r="S203" i="7"/>
  <c r="W203" i="7"/>
  <c r="X203" i="7"/>
  <c r="Z203" i="7"/>
  <c r="M203" i="11" s="1"/>
  <c r="A204" i="7"/>
  <c r="A204" i="11" s="1"/>
  <c r="B204" i="7"/>
  <c r="B204" i="11" s="1"/>
  <c r="C204" i="7"/>
  <c r="C204" i="11" s="1"/>
  <c r="D204" i="7"/>
  <c r="D204" i="11" s="1"/>
  <c r="E204" i="7"/>
  <c r="E204" i="11" s="1"/>
  <c r="F204" i="7"/>
  <c r="G204" i="7"/>
  <c r="I204" i="7"/>
  <c r="J204" i="7"/>
  <c r="L204" i="7"/>
  <c r="M204" i="7"/>
  <c r="O204" i="7"/>
  <c r="P204" i="7"/>
  <c r="R204" i="7"/>
  <c r="S204" i="7"/>
  <c r="W204" i="7"/>
  <c r="X204" i="7"/>
  <c r="Z204" i="7"/>
  <c r="M204" i="11" s="1"/>
  <c r="A205" i="7"/>
  <c r="A205" i="11" s="1"/>
  <c r="B205" i="7"/>
  <c r="B205" i="11" s="1"/>
  <c r="C205" i="7"/>
  <c r="C205" i="11" s="1"/>
  <c r="D205" i="7"/>
  <c r="D205" i="11" s="1"/>
  <c r="E205" i="7"/>
  <c r="E205" i="11" s="1"/>
  <c r="F205" i="7"/>
  <c r="G205" i="7"/>
  <c r="I205" i="7"/>
  <c r="J205" i="7"/>
  <c r="L205" i="7"/>
  <c r="M205" i="7"/>
  <c r="O205" i="7"/>
  <c r="P205" i="7"/>
  <c r="R205" i="7"/>
  <c r="S205" i="7"/>
  <c r="W205" i="7"/>
  <c r="X205" i="7"/>
  <c r="Z205" i="7"/>
  <c r="M205" i="11" s="1"/>
  <c r="A206" i="7"/>
  <c r="A206" i="11" s="1"/>
  <c r="B206" i="7"/>
  <c r="B206" i="11" s="1"/>
  <c r="C206" i="7"/>
  <c r="C206" i="11" s="1"/>
  <c r="D206" i="7"/>
  <c r="D206" i="11" s="1"/>
  <c r="E206" i="7"/>
  <c r="E206" i="11" s="1"/>
  <c r="F206" i="7"/>
  <c r="G206" i="7"/>
  <c r="I206" i="7"/>
  <c r="J206" i="7"/>
  <c r="L206" i="7"/>
  <c r="M206" i="7"/>
  <c r="O206" i="7"/>
  <c r="P206" i="7"/>
  <c r="R206" i="7"/>
  <c r="S206" i="7"/>
  <c r="W206" i="7"/>
  <c r="X206" i="7"/>
  <c r="Z206" i="7"/>
  <c r="M206" i="11" s="1"/>
  <c r="A207" i="7"/>
  <c r="A207" i="11" s="1"/>
  <c r="B207" i="7"/>
  <c r="B207" i="11" s="1"/>
  <c r="C207" i="7"/>
  <c r="C207" i="11" s="1"/>
  <c r="D207" i="7"/>
  <c r="D207" i="11" s="1"/>
  <c r="E207" i="7"/>
  <c r="E207" i="11" s="1"/>
  <c r="F207" i="7"/>
  <c r="G207" i="7"/>
  <c r="I207" i="7"/>
  <c r="J207" i="7"/>
  <c r="L207" i="7"/>
  <c r="M207" i="7"/>
  <c r="O207" i="7"/>
  <c r="P207" i="7"/>
  <c r="R207" i="7"/>
  <c r="S207" i="7"/>
  <c r="W207" i="7"/>
  <c r="X207" i="7"/>
  <c r="Z207" i="7"/>
  <c r="M207" i="11" s="1"/>
  <c r="A208" i="7"/>
  <c r="A208" i="11" s="1"/>
  <c r="B208" i="7"/>
  <c r="B208" i="11" s="1"/>
  <c r="C208" i="7"/>
  <c r="C208" i="11" s="1"/>
  <c r="D208" i="7"/>
  <c r="D208" i="11" s="1"/>
  <c r="E208" i="7"/>
  <c r="E208" i="11" s="1"/>
  <c r="F208" i="7"/>
  <c r="G208" i="7"/>
  <c r="I208" i="7"/>
  <c r="J208" i="7"/>
  <c r="L208" i="7"/>
  <c r="N208" i="7" s="1"/>
  <c r="F208" i="11" s="1"/>
  <c r="H208" i="11" s="1"/>
  <c r="M208" i="7"/>
  <c r="O208" i="7"/>
  <c r="P208" i="7"/>
  <c r="R208" i="7"/>
  <c r="S208" i="7"/>
  <c r="W208" i="7"/>
  <c r="X208" i="7"/>
  <c r="Z208" i="7"/>
  <c r="M208" i="11" s="1"/>
  <c r="A209" i="7"/>
  <c r="A209" i="11" s="1"/>
  <c r="B209" i="7"/>
  <c r="B209" i="11" s="1"/>
  <c r="C209" i="7"/>
  <c r="C209" i="11" s="1"/>
  <c r="D209" i="7"/>
  <c r="D209" i="11" s="1"/>
  <c r="E209" i="7"/>
  <c r="E209" i="11" s="1"/>
  <c r="F209" i="7"/>
  <c r="G209" i="7"/>
  <c r="I209" i="7"/>
  <c r="J209" i="7"/>
  <c r="L209" i="7"/>
  <c r="N209" i="7" s="1"/>
  <c r="F209" i="11" s="1"/>
  <c r="H209" i="11" s="1"/>
  <c r="M209" i="7"/>
  <c r="O209" i="7"/>
  <c r="P209" i="7"/>
  <c r="R209" i="7"/>
  <c r="S209" i="7"/>
  <c r="W209" i="7"/>
  <c r="X209" i="7"/>
  <c r="Z209" i="7"/>
  <c r="M209" i="11" s="1"/>
  <c r="A210" i="7"/>
  <c r="A210" i="11" s="1"/>
  <c r="B210" i="7"/>
  <c r="B210" i="11" s="1"/>
  <c r="C210" i="7"/>
  <c r="C210" i="11" s="1"/>
  <c r="D210" i="7"/>
  <c r="D210" i="11" s="1"/>
  <c r="E210" i="7"/>
  <c r="E210" i="11" s="1"/>
  <c r="F210" i="7"/>
  <c r="G210" i="7"/>
  <c r="I210" i="7"/>
  <c r="J210" i="7"/>
  <c r="L210" i="7"/>
  <c r="N210" i="7" s="1"/>
  <c r="F210" i="11" s="1"/>
  <c r="H210" i="11" s="1"/>
  <c r="M210" i="7"/>
  <c r="O210" i="7"/>
  <c r="P210" i="7"/>
  <c r="R210" i="7"/>
  <c r="S210" i="7"/>
  <c r="W210" i="7"/>
  <c r="X210" i="7"/>
  <c r="Z210" i="7"/>
  <c r="M210" i="11" s="1"/>
  <c r="A211" i="7"/>
  <c r="A211" i="11" s="1"/>
  <c r="B211" i="7"/>
  <c r="B211" i="11" s="1"/>
  <c r="C211" i="7"/>
  <c r="C211" i="11" s="1"/>
  <c r="D211" i="7"/>
  <c r="D211" i="11" s="1"/>
  <c r="E211" i="7"/>
  <c r="E211" i="11" s="1"/>
  <c r="F211" i="7"/>
  <c r="G211" i="7"/>
  <c r="I211" i="7"/>
  <c r="J211" i="7"/>
  <c r="L211" i="7"/>
  <c r="M211" i="7"/>
  <c r="O211" i="7"/>
  <c r="P211" i="7"/>
  <c r="R211" i="7"/>
  <c r="S211" i="7"/>
  <c r="W211" i="7"/>
  <c r="X211" i="7"/>
  <c r="Z211" i="7"/>
  <c r="M211" i="11" s="1"/>
  <c r="A212" i="7"/>
  <c r="A212" i="11" s="1"/>
  <c r="B212" i="7"/>
  <c r="B212" i="11" s="1"/>
  <c r="C212" i="7"/>
  <c r="C212" i="11" s="1"/>
  <c r="D212" i="7"/>
  <c r="D212" i="11" s="1"/>
  <c r="E212" i="7"/>
  <c r="E212" i="11" s="1"/>
  <c r="F212" i="7"/>
  <c r="G212" i="7"/>
  <c r="I212" i="7"/>
  <c r="J212" i="7"/>
  <c r="L212" i="7"/>
  <c r="M212" i="7"/>
  <c r="O212" i="7"/>
  <c r="P212" i="7"/>
  <c r="R212" i="7"/>
  <c r="S212" i="7"/>
  <c r="W212" i="7"/>
  <c r="X212" i="7"/>
  <c r="Z212" i="7"/>
  <c r="M212" i="11" s="1"/>
  <c r="A213" i="7"/>
  <c r="A213" i="11" s="1"/>
  <c r="B213" i="7"/>
  <c r="B213" i="11" s="1"/>
  <c r="C213" i="7"/>
  <c r="C213" i="11" s="1"/>
  <c r="D213" i="7"/>
  <c r="D213" i="11" s="1"/>
  <c r="E213" i="7"/>
  <c r="E213" i="11" s="1"/>
  <c r="F213" i="7"/>
  <c r="G213" i="7"/>
  <c r="I213" i="7"/>
  <c r="J213" i="7"/>
  <c r="L213" i="7"/>
  <c r="N213" i="7" s="1"/>
  <c r="F213" i="11" s="1"/>
  <c r="H213" i="11" s="1"/>
  <c r="M213" i="7"/>
  <c r="O213" i="7"/>
  <c r="P213" i="7"/>
  <c r="R213" i="7"/>
  <c r="S213" i="7"/>
  <c r="W213" i="7"/>
  <c r="X213" i="7"/>
  <c r="Z213" i="7"/>
  <c r="M213" i="11" s="1"/>
  <c r="A214" i="7"/>
  <c r="A214" i="11" s="1"/>
  <c r="B214" i="7"/>
  <c r="B214" i="11" s="1"/>
  <c r="C214" i="7"/>
  <c r="C214" i="11" s="1"/>
  <c r="D214" i="7"/>
  <c r="D214" i="11" s="1"/>
  <c r="E214" i="7"/>
  <c r="E214" i="11" s="1"/>
  <c r="F214" i="7"/>
  <c r="G214" i="7"/>
  <c r="I214" i="7"/>
  <c r="J214" i="7"/>
  <c r="L214" i="7"/>
  <c r="N214" i="7" s="1"/>
  <c r="F214" i="11" s="1"/>
  <c r="H214" i="11" s="1"/>
  <c r="M214" i="7"/>
  <c r="O214" i="7"/>
  <c r="P214" i="7"/>
  <c r="R214" i="7"/>
  <c r="S214" i="7"/>
  <c r="W214" i="7"/>
  <c r="X214" i="7"/>
  <c r="Z214" i="7"/>
  <c r="M214" i="11" s="1"/>
  <c r="A215" i="7"/>
  <c r="A215" i="11" s="1"/>
  <c r="B215" i="7"/>
  <c r="B215" i="11" s="1"/>
  <c r="C215" i="7"/>
  <c r="C215" i="11" s="1"/>
  <c r="D215" i="7"/>
  <c r="D215" i="11" s="1"/>
  <c r="E215" i="7"/>
  <c r="E215" i="11" s="1"/>
  <c r="F215" i="7"/>
  <c r="G215" i="7"/>
  <c r="I215" i="7"/>
  <c r="J215" i="7"/>
  <c r="L215" i="7"/>
  <c r="N215" i="7" s="1"/>
  <c r="F215" i="11" s="1"/>
  <c r="H215" i="11" s="1"/>
  <c r="M215" i="7"/>
  <c r="O215" i="7"/>
  <c r="P215" i="7"/>
  <c r="R215" i="7"/>
  <c r="S215" i="7"/>
  <c r="W215" i="7"/>
  <c r="X215" i="7"/>
  <c r="Z215" i="7"/>
  <c r="M215" i="11" s="1"/>
  <c r="A216" i="7"/>
  <c r="A216" i="11" s="1"/>
  <c r="B216" i="7"/>
  <c r="B216" i="11" s="1"/>
  <c r="C216" i="7"/>
  <c r="C216" i="11" s="1"/>
  <c r="D216" i="7"/>
  <c r="D216" i="11" s="1"/>
  <c r="E216" i="7"/>
  <c r="E216" i="11" s="1"/>
  <c r="F216" i="7"/>
  <c r="G216" i="7"/>
  <c r="I216" i="7"/>
  <c r="J216" i="7"/>
  <c r="L216" i="7"/>
  <c r="M216" i="7"/>
  <c r="O216" i="7"/>
  <c r="P216" i="7"/>
  <c r="R216" i="7"/>
  <c r="S216" i="7"/>
  <c r="W216" i="7"/>
  <c r="X216" i="7"/>
  <c r="Z216" i="7"/>
  <c r="M216" i="11" s="1"/>
  <c r="A217" i="7"/>
  <c r="A217" i="11" s="1"/>
  <c r="B217" i="7"/>
  <c r="B217" i="11" s="1"/>
  <c r="C217" i="7"/>
  <c r="C217" i="11" s="1"/>
  <c r="D217" i="7"/>
  <c r="D217" i="11" s="1"/>
  <c r="E217" i="7"/>
  <c r="E217" i="11" s="1"/>
  <c r="F217" i="7"/>
  <c r="G217" i="7"/>
  <c r="I217" i="7"/>
  <c r="J217" i="7"/>
  <c r="L217" i="7"/>
  <c r="M217" i="7"/>
  <c r="O217" i="7"/>
  <c r="P217" i="7"/>
  <c r="R217" i="7"/>
  <c r="S217" i="7"/>
  <c r="W217" i="7"/>
  <c r="X217" i="7"/>
  <c r="Z217" i="7"/>
  <c r="M217" i="11" s="1"/>
  <c r="A218" i="7"/>
  <c r="A218" i="11" s="1"/>
  <c r="B218" i="7"/>
  <c r="B218" i="11" s="1"/>
  <c r="C218" i="7"/>
  <c r="C218" i="11" s="1"/>
  <c r="D218" i="7"/>
  <c r="D218" i="11" s="1"/>
  <c r="E218" i="7"/>
  <c r="E218" i="11" s="1"/>
  <c r="F218" i="7"/>
  <c r="G218" i="7"/>
  <c r="I218" i="7"/>
  <c r="J218" i="7"/>
  <c r="L218" i="7"/>
  <c r="N218" i="7" s="1"/>
  <c r="F218" i="11" s="1"/>
  <c r="H218" i="11" s="1"/>
  <c r="M218" i="7"/>
  <c r="O218" i="7"/>
  <c r="P218" i="7"/>
  <c r="R218" i="7"/>
  <c r="S218" i="7"/>
  <c r="W218" i="7"/>
  <c r="X218" i="7"/>
  <c r="Z218" i="7"/>
  <c r="M218" i="11" s="1"/>
  <c r="A219" i="7"/>
  <c r="A219" i="11" s="1"/>
  <c r="B219" i="7"/>
  <c r="B219" i="11" s="1"/>
  <c r="C219" i="7"/>
  <c r="C219" i="11" s="1"/>
  <c r="D219" i="7"/>
  <c r="D219" i="11" s="1"/>
  <c r="E219" i="7"/>
  <c r="E219" i="11" s="1"/>
  <c r="F219" i="7"/>
  <c r="G219" i="7"/>
  <c r="I219" i="7"/>
  <c r="J219" i="7"/>
  <c r="L219" i="7"/>
  <c r="N219" i="7" s="1"/>
  <c r="F219" i="11" s="1"/>
  <c r="H219" i="11" s="1"/>
  <c r="M219" i="7"/>
  <c r="O219" i="7"/>
  <c r="P219" i="7"/>
  <c r="R219" i="7"/>
  <c r="S219" i="7"/>
  <c r="W219" i="7"/>
  <c r="X219" i="7"/>
  <c r="Z219" i="7"/>
  <c r="M219" i="11" s="1"/>
  <c r="A220" i="7"/>
  <c r="A220" i="11" s="1"/>
  <c r="B220" i="7"/>
  <c r="B220" i="11" s="1"/>
  <c r="C220" i="7"/>
  <c r="C220" i="11" s="1"/>
  <c r="D220" i="7"/>
  <c r="D220" i="11" s="1"/>
  <c r="E220" i="7"/>
  <c r="E220" i="11" s="1"/>
  <c r="F220" i="7"/>
  <c r="G220" i="7"/>
  <c r="I220" i="7"/>
  <c r="J220" i="7"/>
  <c r="L220" i="7"/>
  <c r="N220" i="7" s="1"/>
  <c r="F220" i="11" s="1"/>
  <c r="H220" i="11" s="1"/>
  <c r="M220" i="7"/>
  <c r="O220" i="7"/>
  <c r="P220" i="7"/>
  <c r="R220" i="7"/>
  <c r="S220" i="7"/>
  <c r="W220" i="7"/>
  <c r="X220" i="7"/>
  <c r="Z220" i="7"/>
  <c r="M220" i="11" s="1"/>
  <c r="A221" i="7"/>
  <c r="A221" i="11" s="1"/>
  <c r="B221" i="7"/>
  <c r="B221" i="11" s="1"/>
  <c r="C221" i="7"/>
  <c r="C221" i="11" s="1"/>
  <c r="D221" i="7"/>
  <c r="D221" i="11" s="1"/>
  <c r="E221" i="7"/>
  <c r="E221" i="11" s="1"/>
  <c r="F221" i="7"/>
  <c r="G221" i="7"/>
  <c r="I221" i="7"/>
  <c r="J221" i="7"/>
  <c r="L221" i="7"/>
  <c r="N221" i="7" s="1"/>
  <c r="F221" i="11" s="1"/>
  <c r="H221" i="11" s="1"/>
  <c r="M221" i="7"/>
  <c r="O221" i="7"/>
  <c r="P221" i="7"/>
  <c r="R221" i="7"/>
  <c r="S221" i="7"/>
  <c r="W221" i="7"/>
  <c r="X221" i="7"/>
  <c r="Z221" i="7"/>
  <c r="M221" i="11" s="1"/>
  <c r="A222" i="7"/>
  <c r="A222" i="11" s="1"/>
  <c r="B222" i="7"/>
  <c r="B222" i="11" s="1"/>
  <c r="C222" i="7"/>
  <c r="C222" i="11" s="1"/>
  <c r="D222" i="7"/>
  <c r="D222" i="11" s="1"/>
  <c r="E222" i="7"/>
  <c r="E222" i="11" s="1"/>
  <c r="F222" i="7"/>
  <c r="G222" i="7"/>
  <c r="I222" i="7"/>
  <c r="J222" i="7"/>
  <c r="L222" i="7"/>
  <c r="M222" i="7"/>
  <c r="O222" i="7"/>
  <c r="P222" i="7"/>
  <c r="R222" i="7"/>
  <c r="S222" i="7"/>
  <c r="W222" i="7"/>
  <c r="X222" i="7"/>
  <c r="Z222" i="7"/>
  <c r="M222" i="11" s="1"/>
  <c r="A223" i="7"/>
  <c r="A223" i="11" s="1"/>
  <c r="B223" i="7"/>
  <c r="B223" i="11" s="1"/>
  <c r="C223" i="7"/>
  <c r="C223" i="11" s="1"/>
  <c r="D223" i="7"/>
  <c r="D223" i="11" s="1"/>
  <c r="E223" i="7"/>
  <c r="E223" i="11" s="1"/>
  <c r="F223" i="7"/>
  <c r="G223" i="7"/>
  <c r="I223" i="7"/>
  <c r="J223" i="7"/>
  <c r="L223" i="7"/>
  <c r="M223" i="7"/>
  <c r="O223" i="7"/>
  <c r="P223" i="7"/>
  <c r="R223" i="7"/>
  <c r="S223" i="7"/>
  <c r="W223" i="7"/>
  <c r="X223" i="7"/>
  <c r="Z223" i="7"/>
  <c r="M223" i="11" s="1"/>
  <c r="A224" i="7"/>
  <c r="A224" i="11" s="1"/>
  <c r="B224" i="7"/>
  <c r="B224" i="11" s="1"/>
  <c r="C224" i="7"/>
  <c r="C224" i="11" s="1"/>
  <c r="D224" i="7"/>
  <c r="D224" i="11" s="1"/>
  <c r="E224" i="7"/>
  <c r="E224" i="11" s="1"/>
  <c r="F224" i="7"/>
  <c r="G224" i="7"/>
  <c r="I224" i="7"/>
  <c r="J224" i="7"/>
  <c r="L224" i="7"/>
  <c r="M224" i="7"/>
  <c r="O224" i="7"/>
  <c r="P224" i="7"/>
  <c r="R224" i="7"/>
  <c r="S224" i="7"/>
  <c r="W224" i="7"/>
  <c r="X224" i="7"/>
  <c r="Z224" i="7"/>
  <c r="M224" i="11" s="1"/>
  <c r="A225" i="7"/>
  <c r="A225" i="11" s="1"/>
  <c r="B225" i="7"/>
  <c r="B225" i="11" s="1"/>
  <c r="C225" i="7"/>
  <c r="C225" i="11" s="1"/>
  <c r="D225" i="7"/>
  <c r="D225" i="11" s="1"/>
  <c r="E225" i="7"/>
  <c r="E225" i="11" s="1"/>
  <c r="F225" i="7"/>
  <c r="G225" i="7"/>
  <c r="I225" i="7"/>
  <c r="J225" i="7"/>
  <c r="L225" i="7"/>
  <c r="M225" i="7"/>
  <c r="O225" i="7"/>
  <c r="P225" i="7"/>
  <c r="R225" i="7"/>
  <c r="S225" i="7"/>
  <c r="W225" i="7"/>
  <c r="X225" i="7"/>
  <c r="Z225" i="7"/>
  <c r="M225" i="11" s="1"/>
  <c r="A226" i="7"/>
  <c r="A226" i="11" s="1"/>
  <c r="B226" i="7"/>
  <c r="B226" i="11" s="1"/>
  <c r="C226" i="7"/>
  <c r="C226" i="11" s="1"/>
  <c r="D226" i="7"/>
  <c r="D226" i="11" s="1"/>
  <c r="E226" i="7"/>
  <c r="E226" i="11" s="1"/>
  <c r="F226" i="7"/>
  <c r="G226" i="7"/>
  <c r="I226" i="7"/>
  <c r="J226" i="7"/>
  <c r="L226" i="7"/>
  <c r="M226" i="7"/>
  <c r="O226" i="7"/>
  <c r="P226" i="7"/>
  <c r="R226" i="7"/>
  <c r="S226" i="7"/>
  <c r="W226" i="7"/>
  <c r="X226" i="7"/>
  <c r="Z226" i="7"/>
  <c r="M226" i="11" s="1"/>
  <c r="A227" i="7"/>
  <c r="A227" i="11" s="1"/>
  <c r="B227" i="7"/>
  <c r="B227" i="11" s="1"/>
  <c r="C227" i="7"/>
  <c r="C227" i="11" s="1"/>
  <c r="D227" i="7"/>
  <c r="D227" i="11" s="1"/>
  <c r="E227" i="7"/>
  <c r="E227" i="11" s="1"/>
  <c r="F227" i="7"/>
  <c r="G227" i="7"/>
  <c r="I227" i="7"/>
  <c r="J227" i="7"/>
  <c r="L227" i="7"/>
  <c r="M227" i="7"/>
  <c r="O227" i="7"/>
  <c r="P227" i="7"/>
  <c r="R227" i="7"/>
  <c r="S227" i="7"/>
  <c r="W227" i="7"/>
  <c r="X227" i="7"/>
  <c r="Z227" i="7"/>
  <c r="M227" i="11" s="1"/>
  <c r="A228" i="7"/>
  <c r="A228" i="11" s="1"/>
  <c r="B228" i="7"/>
  <c r="B228" i="11" s="1"/>
  <c r="C228" i="7"/>
  <c r="C228" i="11" s="1"/>
  <c r="D228" i="7"/>
  <c r="D228" i="11" s="1"/>
  <c r="E228" i="7"/>
  <c r="E228" i="11" s="1"/>
  <c r="F228" i="7"/>
  <c r="G228" i="7"/>
  <c r="I228" i="7"/>
  <c r="J228" i="7"/>
  <c r="L228" i="7"/>
  <c r="M228" i="7"/>
  <c r="O228" i="7"/>
  <c r="P228" i="7"/>
  <c r="R228" i="7"/>
  <c r="S228" i="7"/>
  <c r="W228" i="7"/>
  <c r="X228" i="7"/>
  <c r="Z228" i="7"/>
  <c r="M228" i="11" s="1"/>
  <c r="A229" i="7"/>
  <c r="A229" i="11" s="1"/>
  <c r="B229" i="7"/>
  <c r="B229" i="11" s="1"/>
  <c r="C229" i="7"/>
  <c r="C229" i="11" s="1"/>
  <c r="D229" i="7"/>
  <c r="D229" i="11" s="1"/>
  <c r="E229" i="7"/>
  <c r="E229" i="11" s="1"/>
  <c r="F229" i="7"/>
  <c r="G229" i="7"/>
  <c r="I229" i="7"/>
  <c r="J229" i="7"/>
  <c r="L229" i="7"/>
  <c r="M229" i="7"/>
  <c r="O229" i="7"/>
  <c r="P229" i="7"/>
  <c r="R229" i="7"/>
  <c r="S229" i="7"/>
  <c r="W229" i="7"/>
  <c r="X229" i="7"/>
  <c r="Z229" i="7"/>
  <c r="M229" i="11" s="1"/>
  <c r="A230" i="7"/>
  <c r="A230" i="11" s="1"/>
  <c r="B230" i="7"/>
  <c r="B230" i="11" s="1"/>
  <c r="C230" i="7"/>
  <c r="C230" i="11" s="1"/>
  <c r="D230" i="7"/>
  <c r="D230" i="11" s="1"/>
  <c r="E230" i="7"/>
  <c r="E230" i="11" s="1"/>
  <c r="F230" i="7"/>
  <c r="G230" i="7"/>
  <c r="I230" i="7"/>
  <c r="J230" i="7"/>
  <c r="L230" i="7"/>
  <c r="N230" i="7" s="1"/>
  <c r="F230" i="11" s="1"/>
  <c r="H230" i="11" s="1"/>
  <c r="M230" i="7"/>
  <c r="O230" i="7"/>
  <c r="P230" i="7"/>
  <c r="R230" i="7"/>
  <c r="S230" i="7"/>
  <c r="W230" i="7"/>
  <c r="X230" i="7"/>
  <c r="Z230" i="7"/>
  <c r="M230" i="11" s="1"/>
  <c r="A231" i="7"/>
  <c r="A231" i="11" s="1"/>
  <c r="B231" i="7"/>
  <c r="B231" i="11" s="1"/>
  <c r="C231" i="7"/>
  <c r="C231" i="11" s="1"/>
  <c r="D231" i="7"/>
  <c r="D231" i="11" s="1"/>
  <c r="E231" i="7"/>
  <c r="E231" i="11" s="1"/>
  <c r="F231" i="7"/>
  <c r="G231" i="7"/>
  <c r="I231" i="7"/>
  <c r="J231" i="7"/>
  <c r="L231" i="7"/>
  <c r="N231" i="7" s="1"/>
  <c r="F231" i="11" s="1"/>
  <c r="H231" i="11" s="1"/>
  <c r="M231" i="7"/>
  <c r="O231" i="7"/>
  <c r="P231" i="7"/>
  <c r="R231" i="7"/>
  <c r="S231" i="7"/>
  <c r="W231" i="7"/>
  <c r="X231" i="7"/>
  <c r="Z231" i="7"/>
  <c r="M231" i="11" s="1"/>
  <c r="A232" i="7"/>
  <c r="A232" i="11" s="1"/>
  <c r="B232" i="7"/>
  <c r="B232" i="11" s="1"/>
  <c r="C232" i="7"/>
  <c r="C232" i="11" s="1"/>
  <c r="D232" i="7"/>
  <c r="D232" i="11" s="1"/>
  <c r="E232" i="7"/>
  <c r="E232" i="11" s="1"/>
  <c r="F232" i="7"/>
  <c r="G232" i="7"/>
  <c r="I232" i="7"/>
  <c r="J232" i="7"/>
  <c r="L232" i="7"/>
  <c r="N232" i="7" s="1"/>
  <c r="F232" i="11" s="1"/>
  <c r="H232" i="11" s="1"/>
  <c r="M232" i="7"/>
  <c r="O232" i="7"/>
  <c r="P232" i="7"/>
  <c r="R232" i="7"/>
  <c r="S232" i="7"/>
  <c r="W232" i="7"/>
  <c r="X232" i="7"/>
  <c r="Z232" i="7"/>
  <c r="M232" i="11" s="1"/>
  <c r="A233" i="7"/>
  <c r="A233" i="11" s="1"/>
  <c r="B233" i="7"/>
  <c r="B233" i="11" s="1"/>
  <c r="C233" i="7"/>
  <c r="C233" i="11" s="1"/>
  <c r="D233" i="7"/>
  <c r="D233" i="11" s="1"/>
  <c r="E233" i="7"/>
  <c r="E233" i="11" s="1"/>
  <c r="F233" i="7"/>
  <c r="G233" i="7"/>
  <c r="I233" i="7"/>
  <c r="J233" i="7"/>
  <c r="L233" i="7"/>
  <c r="M233" i="7"/>
  <c r="O233" i="7"/>
  <c r="Q233" i="7" s="1"/>
  <c r="P233" i="7"/>
  <c r="R233" i="7"/>
  <c r="S233" i="7"/>
  <c r="W233" i="7"/>
  <c r="X233" i="7"/>
  <c r="Z233" i="7"/>
  <c r="M233" i="11" s="1"/>
  <c r="A234" i="7"/>
  <c r="A234" i="11" s="1"/>
  <c r="B234" i="7"/>
  <c r="B234" i="11" s="1"/>
  <c r="C234" i="7"/>
  <c r="C234" i="11" s="1"/>
  <c r="D234" i="7"/>
  <c r="D234" i="11" s="1"/>
  <c r="E234" i="7"/>
  <c r="E234" i="11" s="1"/>
  <c r="F234" i="7"/>
  <c r="G234" i="7"/>
  <c r="I234" i="7"/>
  <c r="J234" i="7"/>
  <c r="L234" i="7"/>
  <c r="N234" i="7" s="1"/>
  <c r="F234" i="11" s="1"/>
  <c r="H234" i="11" s="1"/>
  <c r="M234" i="7"/>
  <c r="O234" i="7"/>
  <c r="P234" i="7"/>
  <c r="R234" i="7"/>
  <c r="T234" i="7" s="1"/>
  <c r="S234" i="7"/>
  <c r="W234" i="7"/>
  <c r="X234" i="7"/>
  <c r="Z234" i="7"/>
  <c r="M234" i="11" s="1"/>
  <c r="A235" i="7"/>
  <c r="A235" i="11" s="1"/>
  <c r="B235" i="7"/>
  <c r="B235" i="11" s="1"/>
  <c r="C235" i="7"/>
  <c r="C235" i="11" s="1"/>
  <c r="D235" i="7"/>
  <c r="D235" i="11" s="1"/>
  <c r="E235" i="7"/>
  <c r="E235" i="11" s="1"/>
  <c r="F235" i="7"/>
  <c r="G235" i="7"/>
  <c r="I235" i="7"/>
  <c r="J235" i="7"/>
  <c r="L235" i="7"/>
  <c r="N235" i="7" s="1"/>
  <c r="F235" i="11" s="1"/>
  <c r="H235" i="11" s="1"/>
  <c r="M235" i="7"/>
  <c r="O235" i="7"/>
  <c r="P235" i="7"/>
  <c r="R235" i="7"/>
  <c r="S235" i="7"/>
  <c r="W235" i="7"/>
  <c r="X235" i="7"/>
  <c r="Z235" i="7"/>
  <c r="M235" i="11" s="1"/>
  <c r="A236" i="7"/>
  <c r="A236" i="11" s="1"/>
  <c r="B236" i="7"/>
  <c r="B236" i="11" s="1"/>
  <c r="C236" i="7"/>
  <c r="C236" i="11" s="1"/>
  <c r="D236" i="7"/>
  <c r="D236" i="11" s="1"/>
  <c r="E236" i="7"/>
  <c r="E236" i="11" s="1"/>
  <c r="F236" i="7"/>
  <c r="G236" i="7"/>
  <c r="I236" i="7"/>
  <c r="J236" i="7"/>
  <c r="L236" i="7"/>
  <c r="N236" i="7" s="1"/>
  <c r="F236" i="11" s="1"/>
  <c r="H236" i="11" s="1"/>
  <c r="M236" i="7"/>
  <c r="O236" i="7"/>
  <c r="P236" i="7"/>
  <c r="R236" i="7"/>
  <c r="S236" i="7"/>
  <c r="W236" i="7"/>
  <c r="X236" i="7"/>
  <c r="Z236" i="7"/>
  <c r="M236" i="11" s="1"/>
  <c r="A237" i="7"/>
  <c r="A237" i="11" s="1"/>
  <c r="B237" i="7"/>
  <c r="B237" i="11" s="1"/>
  <c r="C237" i="7"/>
  <c r="C237" i="11" s="1"/>
  <c r="D237" i="7"/>
  <c r="D237" i="11" s="1"/>
  <c r="E237" i="7"/>
  <c r="E237" i="11" s="1"/>
  <c r="F237" i="7"/>
  <c r="G237" i="7"/>
  <c r="I237" i="7"/>
  <c r="J237" i="7"/>
  <c r="L237" i="7"/>
  <c r="M237" i="7"/>
  <c r="O237" i="7"/>
  <c r="P237" i="7"/>
  <c r="R237" i="7"/>
  <c r="S237" i="7"/>
  <c r="W237" i="7"/>
  <c r="X237" i="7"/>
  <c r="Z237" i="7"/>
  <c r="M237" i="11" s="1"/>
  <c r="A238" i="7"/>
  <c r="A238" i="11" s="1"/>
  <c r="B238" i="7"/>
  <c r="B238" i="11" s="1"/>
  <c r="C238" i="7"/>
  <c r="C238" i="11" s="1"/>
  <c r="D238" i="7"/>
  <c r="D238" i="11" s="1"/>
  <c r="E238" i="7"/>
  <c r="E238" i="11" s="1"/>
  <c r="F238" i="7"/>
  <c r="G238" i="7"/>
  <c r="I238" i="7"/>
  <c r="J238" i="7"/>
  <c r="L238" i="7"/>
  <c r="M238" i="7"/>
  <c r="O238" i="7"/>
  <c r="P238" i="7"/>
  <c r="R238" i="7"/>
  <c r="S238" i="7"/>
  <c r="W238" i="7"/>
  <c r="X238" i="7"/>
  <c r="Z238" i="7"/>
  <c r="M238" i="11" s="1"/>
  <c r="A239" i="7"/>
  <c r="A239" i="11" s="1"/>
  <c r="B239" i="7"/>
  <c r="B239" i="11" s="1"/>
  <c r="C239" i="7"/>
  <c r="C239" i="11" s="1"/>
  <c r="D239" i="7"/>
  <c r="D239" i="11" s="1"/>
  <c r="E239" i="7"/>
  <c r="E239" i="11" s="1"/>
  <c r="F239" i="7"/>
  <c r="G239" i="7"/>
  <c r="I239" i="7"/>
  <c r="J239" i="7"/>
  <c r="L239" i="7"/>
  <c r="M239" i="7"/>
  <c r="O239" i="7"/>
  <c r="P239" i="7"/>
  <c r="R239" i="7"/>
  <c r="S239" i="7"/>
  <c r="W239" i="7"/>
  <c r="X239" i="7"/>
  <c r="Z239" i="7"/>
  <c r="M239" i="11" s="1"/>
  <c r="A240" i="7"/>
  <c r="A240" i="11" s="1"/>
  <c r="B240" i="7"/>
  <c r="B240" i="11" s="1"/>
  <c r="C240" i="7"/>
  <c r="C240" i="11" s="1"/>
  <c r="D240" i="7"/>
  <c r="D240" i="11" s="1"/>
  <c r="E240" i="7"/>
  <c r="E240" i="11" s="1"/>
  <c r="F240" i="7"/>
  <c r="G240" i="7"/>
  <c r="I240" i="7"/>
  <c r="J240" i="7"/>
  <c r="L240" i="7"/>
  <c r="M240" i="7"/>
  <c r="O240" i="7"/>
  <c r="P240" i="7"/>
  <c r="R240" i="7"/>
  <c r="S240" i="7"/>
  <c r="W240" i="7"/>
  <c r="X240" i="7"/>
  <c r="Z240" i="7"/>
  <c r="M240" i="11" s="1"/>
  <c r="A241" i="7"/>
  <c r="A241" i="11" s="1"/>
  <c r="B241" i="7"/>
  <c r="B241" i="11" s="1"/>
  <c r="C241" i="7"/>
  <c r="C241" i="11" s="1"/>
  <c r="D241" i="7"/>
  <c r="D241" i="11" s="1"/>
  <c r="E241" i="7"/>
  <c r="E241" i="11" s="1"/>
  <c r="F241" i="7"/>
  <c r="G241" i="7"/>
  <c r="I241" i="7"/>
  <c r="J241" i="7"/>
  <c r="L241" i="7"/>
  <c r="M241" i="7"/>
  <c r="O241" i="7"/>
  <c r="P241" i="7"/>
  <c r="R241" i="7"/>
  <c r="S241" i="7"/>
  <c r="W241" i="7"/>
  <c r="X241" i="7"/>
  <c r="Z241" i="7"/>
  <c r="M241" i="11" s="1"/>
  <c r="A242" i="7"/>
  <c r="A242" i="11" s="1"/>
  <c r="B242" i="7"/>
  <c r="B242" i="11" s="1"/>
  <c r="C242" i="7"/>
  <c r="C242" i="11" s="1"/>
  <c r="D242" i="7"/>
  <c r="D242" i="11" s="1"/>
  <c r="E242" i="7"/>
  <c r="E242" i="11" s="1"/>
  <c r="F242" i="7"/>
  <c r="G242" i="7"/>
  <c r="I242" i="7"/>
  <c r="J242" i="7"/>
  <c r="L242" i="7"/>
  <c r="N242" i="7" s="1"/>
  <c r="F242" i="11" s="1"/>
  <c r="H242" i="11" s="1"/>
  <c r="M242" i="7"/>
  <c r="O242" i="7"/>
  <c r="P242" i="7"/>
  <c r="R242" i="7"/>
  <c r="S242" i="7"/>
  <c r="W242" i="7"/>
  <c r="X242" i="7"/>
  <c r="Z242" i="7"/>
  <c r="M242" i="11" s="1"/>
  <c r="A243" i="7"/>
  <c r="A243" i="11" s="1"/>
  <c r="B243" i="7"/>
  <c r="B243" i="11" s="1"/>
  <c r="C243" i="7"/>
  <c r="C243" i="11" s="1"/>
  <c r="D243" i="7"/>
  <c r="D243" i="11" s="1"/>
  <c r="E243" i="7"/>
  <c r="E243" i="11" s="1"/>
  <c r="F243" i="7"/>
  <c r="G243" i="7"/>
  <c r="I243" i="7"/>
  <c r="J243" i="7"/>
  <c r="L243" i="7"/>
  <c r="N243" i="7" s="1"/>
  <c r="F243" i="11" s="1"/>
  <c r="H243" i="11" s="1"/>
  <c r="M243" i="7"/>
  <c r="O243" i="7"/>
  <c r="Q243" i="7" s="1"/>
  <c r="P243" i="7"/>
  <c r="R243" i="7"/>
  <c r="S243" i="7"/>
  <c r="W243" i="7"/>
  <c r="X243" i="7"/>
  <c r="Z243" i="7"/>
  <c r="M243" i="11" s="1"/>
  <c r="A244" i="7"/>
  <c r="A244" i="11" s="1"/>
  <c r="B244" i="7"/>
  <c r="B244" i="11" s="1"/>
  <c r="C244" i="7"/>
  <c r="C244" i="11" s="1"/>
  <c r="D244" i="7"/>
  <c r="D244" i="11" s="1"/>
  <c r="E244" i="7"/>
  <c r="E244" i="11" s="1"/>
  <c r="F244" i="7"/>
  <c r="G244" i="7"/>
  <c r="I244" i="7"/>
  <c r="J244" i="7"/>
  <c r="L244" i="7"/>
  <c r="N244" i="7" s="1"/>
  <c r="F244" i="11" s="1"/>
  <c r="H244" i="11" s="1"/>
  <c r="M244" i="7"/>
  <c r="O244" i="7"/>
  <c r="P244" i="7"/>
  <c r="R244" i="7"/>
  <c r="T244" i="7" s="1"/>
  <c r="S244" i="7"/>
  <c r="W244" i="7"/>
  <c r="X244" i="7"/>
  <c r="Z244" i="7"/>
  <c r="M244" i="11" s="1"/>
  <c r="A245" i="7"/>
  <c r="A245" i="11" s="1"/>
  <c r="B245" i="7"/>
  <c r="B245" i="11" s="1"/>
  <c r="C245" i="7"/>
  <c r="C245" i="11" s="1"/>
  <c r="D245" i="7"/>
  <c r="D245" i="11" s="1"/>
  <c r="E245" i="7"/>
  <c r="E245" i="11" s="1"/>
  <c r="F245" i="7"/>
  <c r="G245" i="7"/>
  <c r="I245" i="7"/>
  <c r="J245" i="7"/>
  <c r="L245" i="7"/>
  <c r="M245" i="7"/>
  <c r="O245" i="7"/>
  <c r="P245" i="7"/>
  <c r="R245" i="7"/>
  <c r="S245" i="7"/>
  <c r="W245" i="7"/>
  <c r="X245" i="7"/>
  <c r="Z245" i="7"/>
  <c r="M245" i="11" s="1"/>
  <c r="A246" i="7"/>
  <c r="A246" i="11" s="1"/>
  <c r="B246" i="7"/>
  <c r="B246" i="11" s="1"/>
  <c r="C246" i="7"/>
  <c r="C246" i="11" s="1"/>
  <c r="D246" i="7"/>
  <c r="D246" i="11" s="1"/>
  <c r="E246" i="7"/>
  <c r="E246" i="11" s="1"/>
  <c r="F246" i="7"/>
  <c r="G246" i="7"/>
  <c r="I246" i="7"/>
  <c r="J246" i="7"/>
  <c r="L246" i="7"/>
  <c r="M246" i="7"/>
  <c r="O246" i="7"/>
  <c r="P246" i="7"/>
  <c r="R246" i="7"/>
  <c r="S246" i="7"/>
  <c r="W246" i="7"/>
  <c r="X246" i="7"/>
  <c r="Z246" i="7"/>
  <c r="M246" i="11" s="1"/>
  <c r="A247" i="7"/>
  <c r="A247" i="11" s="1"/>
  <c r="B247" i="7"/>
  <c r="B247" i="11" s="1"/>
  <c r="C247" i="7"/>
  <c r="C247" i="11" s="1"/>
  <c r="D247" i="7"/>
  <c r="D247" i="11" s="1"/>
  <c r="E247" i="7"/>
  <c r="E247" i="11" s="1"/>
  <c r="F247" i="7"/>
  <c r="G247" i="7"/>
  <c r="I247" i="7"/>
  <c r="J247" i="7"/>
  <c r="L247" i="7"/>
  <c r="N247" i="7" s="1"/>
  <c r="F247" i="11" s="1"/>
  <c r="H247" i="11" s="1"/>
  <c r="M247" i="7"/>
  <c r="O247" i="7"/>
  <c r="P247" i="7"/>
  <c r="R247" i="7"/>
  <c r="S247" i="7"/>
  <c r="W247" i="7"/>
  <c r="X247" i="7"/>
  <c r="Z247" i="7"/>
  <c r="M247" i="11" s="1"/>
  <c r="A248" i="7"/>
  <c r="A248" i="11" s="1"/>
  <c r="B248" i="7"/>
  <c r="B248" i="11" s="1"/>
  <c r="C248" i="7"/>
  <c r="C248" i="11" s="1"/>
  <c r="D248" i="7"/>
  <c r="D248" i="11" s="1"/>
  <c r="E248" i="7"/>
  <c r="E248" i="11" s="1"/>
  <c r="F248" i="7"/>
  <c r="G248" i="7"/>
  <c r="I248" i="7"/>
  <c r="J248" i="7"/>
  <c r="L248" i="7"/>
  <c r="N248" i="7" s="1"/>
  <c r="F248" i="11" s="1"/>
  <c r="H248" i="11" s="1"/>
  <c r="M248" i="7"/>
  <c r="O248" i="7"/>
  <c r="P248" i="7"/>
  <c r="R248" i="7"/>
  <c r="S248" i="7"/>
  <c r="W248" i="7"/>
  <c r="X248" i="7"/>
  <c r="Z248" i="7"/>
  <c r="M248" i="11" s="1"/>
  <c r="A249" i="7"/>
  <c r="A249" i="11" s="1"/>
  <c r="B249" i="7"/>
  <c r="B249" i="11" s="1"/>
  <c r="C249" i="7"/>
  <c r="C249" i="11" s="1"/>
  <c r="D249" i="7"/>
  <c r="D249" i="11" s="1"/>
  <c r="E249" i="7"/>
  <c r="E249" i="11" s="1"/>
  <c r="F249" i="7"/>
  <c r="G249" i="7"/>
  <c r="I249" i="7"/>
  <c r="J249" i="7"/>
  <c r="L249" i="7"/>
  <c r="M249" i="7"/>
  <c r="O249" i="7"/>
  <c r="P249" i="7"/>
  <c r="R249" i="7"/>
  <c r="S249" i="7"/>
  <c r="W249" i="7"/>
  <c r="X249" i="7"/>
  <c r="Z249" i="7"/>
  <c r="M249" i="11" s="1"/>
  <c r="A250" i="7"/>
  <c r="A250" i="11" s="1"/>
  <c r="B250" i="7"/>
  <c r="B250" i="11" s="1"/>
  <c r="C250" i="7"/>
  <c r="C250" i="11" s="1"/>
  <c r="D250" i="7"/>
  <c r="D250" i="11" s="1"/>
  <c r="E250" i="7"/>
  <c r="E250" i="11" s="1"/>
  <c r="F250" i="7"/>
  <c r="G250" i="7"/>
  <c r="I250" i="7"/>
  <c r="J250" i="7"/>
  <c r="L250" i="7"/>
  <c r="M250" i="7"/>
  <c r="O250" i="7"/>
  <c r="P250" i="7"/>
  <c r="R250" i="7"/>
  <c r="S250" i="7"/>
  <c r="W250" i="7"/>
  <c r="X250" i="7"/>
  <c r="Z250" i="7"/>
  <c r="M250" i="11" s="1"/>
  <c r="A251" i="7"/>
  <c r="A251" i="11" s="1"/>
  <c r="B251" i="7"/>
  <c r="B251" i="11" s="1"/>
  <c r="C251" i="7"/>
  <c r="C251" i="11" s="1"/>
  <c r="D251" i="7"/>
  <c r="D251" i="11" s="1"/>
  <c r="E251" i="7"/>
  <c r="E251" i="11" s="1"/>
  <c r="F251" i="7"/>
  <c r="G251" i="7"/>
  <c r="I251" i="7"/>
  <c r="J251" i="7"/>
  <c r="L251" i="7"/>
  <c r="N251" i="7" s="1"/>
  <c r="F251" i="11" s="1"/>
  <c r="H251" i="11" s="1"/>
  <c r="M251" i="7"/>
  <c r="O251" i="7"/>
  <c r="P251" i="7"/>
  <c r="R251" i="7"/>
  <c r="S251" i="7"/>
  <c r="W251" i="7"/>
  <c r="X251" i="7"/>
  <c r="Z251" i="7"/>
  <c r="M251" i="11" s="1"/>
  <c r="A252" i="7"/>
  <c r="A252" i="11" s="1"/>
  <c r="B252" i="7"/>
  <c r="B252" i="11" s="1"/>
  <c r="C252" i="7"/>
  <c r="C252" i="11" s="1"/>
  <c r="D252" i="7"/>
  <c r="D252" i="11" s="1"/>
  <c r="E252" i="7"/>
  <c r="E252" i="11" s="1"/>
  <c r="F252" i="7"/>
  <c r="G252" i="7"/>
  <c r="I252" i="7"/>
  <c r="J252" i="7"/>
  <c r="L252" i="7"/>
  <c r="M252" i="7"/>
  <c r="O252" i="7"/>
  <c r="P252" i="7"/>
  <c r="R252" i="7"/>
  <c r="S252" i="7"/>
  <c r="W252" i="7"/>
  <c r="X252" i="7"/>
  <c r="Z252" i="7"/>
  <c r="M252" i="11" s="1"/>
  <c r="A253" i="7"/>
  <c r="A253" i="11" s="1"/>
  <c r="B253" i="7"/>
  <c r="B253" i="11" s="1"/>
  <c r="C253" i="7"/>
  <c r="C253" i="11" s="1"/>
  <c r="D253" i="7"/>
  <c r="D253" i="11" s="1"/>
  <c r="E253" i="7"/>
  <c r="E253" i="11" s="1"/>
  <c r="F253" i="7"/>
  <c r="G253" i="7"/>
  <c r="I253" i="7"/>
  <c r="J253" i="7"/>
  <c r="L253" i="7"/>
  <c r="M253" i="7"/>
  <c r="O253" i="7"/>
  <c r="P253" i="7"/>
  <c r="R253" i="7"/>
  <c r="S253" i="7"/>
  <c r="W253" i="7"/>
  <c r="X253" i="7"/>
  <c r="Z253" i="7"/>
  <c r="M253" i="11" s="1"/>
  <c r="A254" i="7"/>
  <c r="A254" i="11" s="1"/>
  <c r="B254" i="7"/>
  <c r="B254" i="11" s="1"/>
  <c r="C254" i="7"/>
  <c r="C254" i="11" s="1"/>
  <c r="D254" i="7"/>
  <c r="D254" i="11" s="1"/>
  <c r="E254" i="7"/>
  <c r="E254" i="11" s="1"/>
  <c r="F254" i="7"/>
  <c r="G254" i="7"/>
  <c r="I254" i="7"/>
  <c r="J254" i="7"/>
  <c r="L254" i="7"/>
  <c r="M254" i="7"/>
  <c r="O254" i="7"/>
  <c r="P254" i="7"/>
  <c r="R254" i="7"/>
  <c r="T254" i="7" s="1"/>
  <c r="S254" i="7"/>
  <c r="W254" i="7"/>
  <c r="X254" i="7"/>
  <c r="Z254" i="7"/>
  <c r="M254" i="11" s="1"/>
  <c r="A255" i="7"/>
  <c r="A255" i="11" s="1"/>
  <c r="B255" i="7"/>
  <c r="B255" i="11" s="1"/>
  <c r="C255" i="7"/>
  <c r="C255" i="11" s="1"/>
  <c r="D255" i="7"/>
  <c r="D255" i="11" s="1"/>
  <c r="E255" i="7"/>
  <c r="E255" i="11" s="1"/>
  <c r="F255" i="7"/>
  <c r="G255" i="7"/>
  <c r="I255" i="7"/>
  <c r="J255" i="7"/>
  <c r="L255" i="7"/>
  <c r="M255" i="7"/>
  <c r="O255" i="7"/>
  <c r="P255" i="7"/>
  <c r="R255" i="7"/>
  <c r="S255" i="7"/>
  <c r="W255" i="7"/>
  <c r="X255" i="7"/>
  <c r="Z255" i="7"/>
  <c r="M255" i="11" s="1"/>
  <c r="A256" i="7"/>
  <c r="A256" i="11" s="1"/>
  <c r="B256" i="7"/>
  <c r="B256" i="11" s="1"/>
  <c r="C256" i="7"/>
  <c r="C256" i="11" s="1"/>
  <c r="D256" i="7"/>
  <c r="D256" i="11" s="1"/>
  <c r="E256" i="7"/>
  <c r="E256" i="11" s="1"/>
  <c r="F256" i="7"/>
  <c r="G256" i="7"/>
  <c r="I256" i="7"/>
  <c r="J256" i="7"/>
  <c r="L256" i="7"/>
  <c r="N256" i="7" s="1"/>
  <c r="F256" i="11" s="1"/>
  <c r="H256" i="11" s="1"/>
  <c r="M256" i="7"/>
  <c r="O256" i="7"/>
  <c r="P256" i="7"/>
  <c r="R256" i="7"/>
  <c r="S256" i="7"/>
  <c r="W256" i="7"/>
  <c r="X256" i="7"/>
  <c r="Z256" i="7"/>
  <c r="M256" i="11" s="1"/>
  <c r="A257" i="7"/>
  <c r="A257" i="11" s="1"/>
  <c r="B257" i="7"/>
  <c r="B257" i="11" s="1"/>
  <c r="C257" i="7"/>
  <c r="C257" i="11" s="1"/>
  <c r="D257" i="7"/>
  <c r="D257" i="11" s="1"/>
  <c r="E257" i="7"/>
  <c r="E257" i="11" s="1"/>
  <c r="F257" i="7"/>
  <c r="G257" i="7"/>
  <c r="I257" i="7"/>
  <c r="J257" i="7"/>
  <c r="L257" i="7"/>
  <c r="N257" i="7" s="1"/>
  <c r="F257" i="11" s="1"/>
  <c r="H257" i="11" s="1"/>
  <c r="M257" i="7"/>
  <c r="O257" i="7"/>
  <c r="P257" i="7"/>
  <c r="R257" i="7"/>
  <c r="S257" i="7"/>
  <c r="W257" i="7"/>
  <c r="X257" i="7"/>
  <c r="Z257" i="7"/>
  <c r="M257" i="11" s="1"/>
  <c r="A258" i="7"/>
  <c r="A258" i="11" s="1"/>
  <c r="B258" i="7"/>
  <c r="B258" i="11" s="1"/>
  <c r="C258" i="7"/>
  <c r="C258" i="11" s="1"/>
  <c r="D258" i="7"/>
  <c r="D258" i="11" s="1"/>
  <c r="E258" i="7"/>
  <c r="E258" i="11" s="1"/>
  <c r="F258" i="7"/>
  <c r="G258" i="7"/>
  <c r="I258" i="7"/>
  <c r="J258" i="7"/>
  <c r="L258" i="7"/>
  <c r="N258" i="7" s="1"/>
  <c r="F258" i="11" s="1"/>
  <c r="H258" i="11" s="1"/>
  <c r="M258" i="7"/>
  <c r="O258" i="7"/>
  <c r="P258" i="7"/>
  <c r="R258" i="7"/>
  <c r="S258" i="7"/>
  <c r="W258" i="7"/>
  <c r="X258" i="7"/>
  <c r="Z258" i="7"/>
  <c r="M258" i="11" s="1"/>
  <c r="A259" i="7"/>
  <c r="A259" i="11" s="1"/>
  <c r="B259" i="7"/>
  <c r="B259" i="11" s="1"/>
  <c r="C259" i="7"/>
  <c r="C259" i="11" s="1"/>
  <c r="D259" i="7"/>
  <c r="D259" i="11" s="1"/>
  <c r="E259" i="7"/>
  <c r="E259" i="11" s="1"/>
  <c r="F259" i="7"/>
  <c r="G259" i="7"/>
  <c r="I259" i="7"/>
  <c r="J259" i="7"/>
  <c r="L259" i="7"/>
  <c r="N259" i="7" s="1"/>
  <c r="F259" i="11" s="1"/>
  <c r="H259" i="11" s="1"/>
  <c r="M259" i="7"/>
  <c r="O259" i="7"/>
  <c r="P259" i="7"/>
  <c r="R259" i="7"/>
  <c r="S259" i="7"/>
  <c r="W259" i="7"/>
  <c r="X259" i="7"/>
  <c r="Z259" i="7"/>
  <c r="M259" i="11" s="1"/>
  <c r="A260" i="7"/>
  <c r="A260" i="11" s="1"/>
  <c r="B260" i="7"/>
  <c r="B260" i="11" s="1"/>
  <c r="C260" i="7"/>
  <c r="C260" i="11" s="1"/>
  <c r="D260" i="7"/>
  <c r="D260" i="11" s="1"/>
  <c r="E260" i="7"/>
  <c r="E260" i="11" s="1"/>
  <c r="F260" i="7"/>
  <c r="G260" i="7"/>
  <c r="I260" i="7"/>
  <c r="J260" i="7"/>
  <c r="L260" i="7"/>
  <c r="N260" i="7" s="1"/>
  <c r="F260" i="11" s="1"/>
  <c r="H260" i="11" s="1"/>
  <c r="M260" i="7"/>
  <c r="O260" i="7"/>
  <c r="P260" i="7"/>
  <c r="R260" i="7"/>
  <c r="S260" i="7"/>
  <c r="W260" i="7"/>
  <c r="X260" i="7"/>
  <c r="Z260" i="7"/>
  <c r="M260" i="11" s="1"/>
  <c r="A261" i="7"/>
  <c r="A261" i="11" s="1"/>
  <c r="B261" i="7"/>
  <c r="B261" i="11" s="1"/>
  <c r="C261" i="7"/>
  <c r="C261" i="11" s="1"/>
  <c r="D261" i="7"/>
  <c r="D261" i="11" s="1"/>
  <c r="E261" i="7"/>
  <c r="E261" i="11" s="1"/>
  <c r="F261" i="7"/>
  <c r="G261" i="7"/>
  <c r="I261" i="7"/>
  <c r="J261" i="7"/>
  <c r="L261" i="7"/>
  <c r="M261" i="7"/>
  <c r="O261" i="7"/>
  <c r="P261" i="7"/>
  <c r="R261" i="7"/>
  <c r="S261" i="7"/>
  <c r="W261" i="7"/>
  <c r="X261" i="7"/>
  <c r="Z261" i="7"/>
  <c r="M261" i="11" s="1"/>
  <c r="A262" i="7"/>
  <c r="A262" i="11" s="1"/>
  <c r="B262" i="7"/>
  <c r="B262" i="11" s="1"/>
  <c r="C262" i="7"/>
  <c r="C262" i="11" s="1"/>
  <c r="D262" i="7"/>
  <c r="D262" i="11" s="1"/>
  <c r="E262" i="7"/>
  <c r="E262" i="11" s="1"/>
  <c r="F262" i="7"/>
  <c r="G262" i="7"/>
  <c r="I262" i="7"/>
  <c r="J262" i="7"/>
  <c r="L262" i="7"/>
  <c r="N262" i="7" s="1"/>
  <c r="F262" i="11" s="1"/>
  <c r="H262" i="11" s="1"/>
  <c r="M262" i="7"/>
  <c r="O262" i="7"/>
  <c r="P262" i="7"/>
  <c r="R262" i="7"/>
  <c r="S262" i="7"/>
  <c r="W262" i="7"/>
  <c r="X262" i="7"/>
  <c r="Z262" i="7"/>
  <c r="M262" i="11" s="1"/>
  <c r="A263" i="7"/>
  <c r="A263" i="11" s="1"/>
  <c r="B263" i="7"/>
  <c r="B263" i="11" s="1"/>
  <c r="C263" i="7"/>
  <c r="C263" i="11" s="1"/>
  <c r="D263" i="7"/>
  <c r="D263" i="11" s="1"/>
  <c r="E263" i="7"/>
  <c r="E263" i="11" s="1"/>
  <c r="F263" i="7"/>
  <c r="G263" i="7"/>
  <c r="I263" i="7"/>
  <c r="J263" i="7"/>
  <c r="L263" i="7"/>
  <c r="M263" i="7"/>
  <c r="O263" i="7"/>
  <c r="P263" i="7"/>
  <c r="R263" i="7"/>
  <c r="S263" i="7"/>
  <c r="W263" i="7"/>
  <c r="X263" i="7"/>
  <c r="Z263" i="7"/>
  <c r="M263" i="11" s="1"/>
  <c r="A264" i="7"/>
  <c r="A264" i="11" s="1"/>
  <c r="B264" i="7"/>
  <c r="B264" i="11" s="1"/>
  <c r="C264" i="7"/>
  <c r="C264" i="11" s="1"/>
  <c r="D264" i="7"/>
  <c r="D264" i="11" s="1"/>
  <c r="E264" i="7"/>
  <c r="E264" i="11" s="1"/>
  <c r="F264" i="7"/>
  <c r="G264" i="7"/>
  <c r="I264" i="7"/>
  <c r="J264" i="7"/>
  <c r="L264" i="7"/>
  <c r="M264" i="7"/>
  <c r="O264" i="7"/>
  <c r="P264" i="7"/>
  <c r="R264" i="7"/>
  <c r="S264" i="7"/>
  <c r="W264" i="7"/>
  <c r="X264" i="7"/>
  <c r="Z264" i="7"/>
  <c r="M264" i="11" s="1"/>
  <c r="A265" i="7"/>
  <c r="A265" i="11" s="1"/>
  <c r="B265" i="7"/>
  <c r="B265" i="11" s="1"/>
  <c r="C265" i="7"/>
  <c r="C265" i="11" s="1"/>
  <c r="D265" i="7"/>
  <c r="D265" i="11" s="1"/>
  <c r="E265" i="7"/>
  <c r="E265" i="11" s="1"/>
  <c r="F265" i="7"/>
  <c r="G265" i="7"/>
  <c r="I265" i="7"/>
  <c r="J265" i="7"/>
  <c r="L265" i="7"/>
  <c r="M265" i="7"/>
  <c r="O265" i="7"/>
  <c r="P265" i="7"/>
  <c r="R265" i="7"/>
  <c r="S265" i="7"/>
  <c r="W265" i="7"/>
  <c r="X265" i="7"/>
  <c r="Z265" i="7"/>
  <c r="M265" i="11" s="1"/>
  <c r="A266" i="7"/>
  <c r="A266" i="11" s="1"/>
  <c r="B266" i="7"/>
  <c r="B266" i="11" s="1"/>
  <c r="C266" i="7"/>
  <c r="C266" i="11" s="1"/>
  <c r="D266" i="7"/>
  <c r="D266" i="11" s="1"/>
  <c r="E266" i="7"/>
  <c r="E266" i="11" s="1"/>
  <c r="F266" i="7"/>
  <c r="G266" i="7"/>
  <c r="I266" i="7"/>
  <c r="J266" i="7"/>
  <c r="L266" i="7"/>
  <c r="M266" i="7"/>
  <c r="O266" i="7"/>
  <c r="P266" i="7"/>
  <c r="R266" i="7"/>
  <c r="S266" i="7"/>
  <c r="W266" i="7"/>
  <c r="X266" i="7"/>
  <c r="Z266" i="7"/>
  <c r="M266" i="11" s="1"/>
  <c r="A267" i="7"/>
  <c r="A267" i="11" s="1"/>
  <c r="B267" i="7"/>
  <c r="B267" i="11" s="1"/>
  <c r="C267" i="7"/>
  <c r="C267" i="11" s="1"/>
  <c r="D267" i="7"/>
  <c r="D267" i="11" s="1"/>
  <c r="E267" i="7"/>
  <c r="E267" i="11" s="1"/>
  <c r="F267" i="7"/>
  <c r="G267" i="7"/>
  <c r="I267" i="7"/>
  <c r="J267" i="7"/>
  <c r="L267" i="7"/>
  <c r="M267" i="7"/>
  <c r="O267" i="7"/>
  <c r="P267" i="7"/>
  <c r="R267" i="7"/>
  <c r="S267" i="7"/>
  <c r="W267" i="7"/>
  <c r="X267" i="7"/>
  <c r="Z267" i="7"/>
  <c r="M267" i="11" s="1"/>
  <c r="A268" i="7"/>
  <c r="A268" i="11" s="1"/>
  <c r="B268" i="7"/>
  <c r="B268" i="11" s="1"/>
  <c r="C268" i="7"/>
  <c r="C268" i="11" s="1"/>
  <c r="D268" i="7"/>
  <c r="D268" i="11" s="1"/>
  <c r="E268" i="7"/>
  <c r="E268" i="11" s="1"/>
  <c r="F268" i="7"/>
  <c r="G268" i="7"/>
  <c r="I268" i="7"/>
  <c r="J268" i="7"/>
  <c r="L268" i="7"/>
  <c r="M268" i="7"/>
  <c r="O268" i="7"/>
  <c r="P268" i="7"/>
  <c r="R268" i="7"/>
  <c r="S268" i="7"/>
  <c r="W268" i="7"/>
  <c r="X268" i="7"/>
  <c r="Z268" i="7"/>
  <c r="M268" i="11" s="1"/>
  <c r="A269" i="7"/>
  <c r="A269" i="11" s="1"/>
  <c r="B269" i="7"/>
  <c r="B269" i="11" s="1"/>
  <c r="C269" i="7"/>
  <c r="C269" i="11" s="1"/>
  <c r="D269" i="7"/>
  <c r="D269" i="11" s="1"/>
  <c r="E269" i="7"/>
  <c r="E269" i="11" s="1"/>
  <c r="F269" i="7"/>
  <c r="G269" i="7"/>
  <c r="I269" i="7"/>
  <c r="J269" i="7"/>
  <c r="L269" i="7"/>
  <c r="M269" i="7"/>
  <c r="O269" i="7"/>
  <c r="P269" i="7"/>
  <c r="R269" i="7"/>
  <c r="S269" i="7"/>
  <c r="W269" i="7"/>
  <c r="X269" i="7"/>
  <c r="Z269" i="7"/>
  <c r="M269" i="11" s="1"/>
  <c r="A270" i="7"/>
  <c r="A270" i="11" s="1"/>
  <c r="B270" i="7"/>
  <c r="B270" i="11" s="1"/>
  <c r="C270" i="7"/>
  <c r="C270" i="11" s="1"/>
  <c r="D270" i="7"/>
  <c r="D270" i="11" s="1"/>
  <c r="E270" i="7"/>
  <c r="E270" i="11" s="1"/>
  <c r="F270" i="7"/>
  <c r="G270" i="7"/>
  <c r="I270" i="7"/>
  <c r="J270" i="7"/>
  <c r="L270" i="7"/>
  <c r="M270" i="7"/>
  <c r="O270" i="7"/>
  <c r="P270" i="7"/>
  <c r="R270" i="7"/>
  <c r="S270" i="7"/>
  <c r="W270" i="7"/>
  <c r="X270" i="7"/>
  <c r="Z270" i="7"/>
  <c r="M270" i="11" s="1"/>
  <c r="A271" i="7"/>
  <c r="A271" i="11" s="1"/>
  <c r="B271" i="7"/>
  <c r="B271" i="11" s="1"/>
  <c r="C271" i="7"/>
  <c r="C271" i="11" s="1"/>
  <c r="D271" i="7"/>
  <c r="D271" i="11" s="1"/>
  <c r="E271" i="7"/>
  <c r="E271" i="11" s="1"/>
  <c r="F271" i="7"/>
  <c r="G271" i="7"/>
  <c r="I271" i="7"/>
  <c r="J271" i="7"/>
  <c r="L271" i="7"/>
  <c r="M271" i="7"/>
  <c r="O271" i="7"/>
  <c r="P271" i="7"/>
  <c r="R271" i="7"/>
  <c r="S271" i="7"/>
  <c r="W271" i="7"/>
  <c r="X271" i="7"/>
  <c r="Z271" i="7"/>
  <c r="M271" i="11" s="1"/>
  <c r="A272" i="7"/>
  <c r="A272" i="11" s="1"/>
  <c r="B272" i="7"/>
  <c r="B272" i="11" s="1"/>
  <c r="C272" i="7"/>
  <c r="C272" i="11" s="1"/>
  <c r="D272" i="7"/>
  <c r="D272" i="11" s="1"/>
  <c r="E272" i="7"/>
  <c r="E272" i="11" s="1"/>
  <c r="F272" i="7"/>
  <c r="G272" i="7"/>
  <c r="I272" i="7"/>
  <c r="J272" i="7"/>
  <c r="L272" i="7"/>
  <c r="N272" i="7" s="1"/>
  <c r="F272" i="11" s="1"/>
  <c r="H272" i="11" s="1"/>
  <c r="M272" i="7"/>
  <c r="O272" i="7"/>
  <c r="P272" i="7"/>
  <c r="R272" i="7"/>
  <c r="S272" i="7"/>
  <c r="W272" i="7"/>
  <c r="X272" i="7"/>
  <c r="Z272" i="7"/>
  <c r="M272" i="11" s="1"/>
  <c r="A273" i="7"/>
  <c r="A273" i="11" s="1"/>
  <c r="B273" i="7"/>
  <c r="B273" i="11" s="1"/>
  <c r="C273" i="7"/>
  <c r="C273" i="11" s="1"/>
  <c r="D273" i="7"/>
  <c r="D273" i="11" s="1"/>
  <c r="E273" i="7"/>
  <c r="E273" i="11" s="1"/>
  <c r="F273" i="7"/>
  <c r="G273" i="7"/>
  <c r="I273" i="7"/>
  <c r="J273" i="7"/>
  <c r="L273" i="7"/>
  <c r="M273" i="7"/>
  <c r="O273" i="7"/>
  <c r="Q273" i="7" s="1"/>
  <c r="P273" i="7"/>
  <c r="R273" i="7"/>
  <c r="S273" i="7"/>
  <c r="W273" i="7"/>
  <c r="X273" i="7"/>
  <c r="Z273" i="7"/>
  <c r="M273" i="11" s="1"/>
  <c r="A274" i="7"/>
  <c r="A274" i="11" s="1"/>
  <c r="B274" i="7"/>
  <c r="B274" i="11" s="1"/>
  <c r="C274" i="7"/>
  <c r="C274" i="11" s="1"/>
  <c r="D274" i="7"/>
  <c r="D274" i="11" s="1"/>
  <c r="E274" i="7"/>
  <c r="E274" i="11" s="1"/>
  <c r="F274" i="7"/>
  <c r="G274" i="7"/>
  <c r="I274" i="7"/>
  <c r="J274" i="7"/>
  <c r="L274" i="7"/>
  <c r="M274" i="7"/>
  <c r="O274" i="7"/>
  <c r="P274" i="7"/>
  <c r="R274" i="7"/>
  <c r="T274" i="7" s="1"/>
  <c r="S274" i="7"/>
  <c r="W274" i="7"/>
  <c r="X274" i="7"/>
  <c r="Z274" i="7"/>
  <c r="M274" i="11" s="1"/>
  <c r="A275" i="7"/>
  <c r="A275" i="11" s="1"/>
  <c r="B275" i="7"/>
  <c r="B275" i="11" s="1"/>
  <c r="C275" i="7"/>
  <c r="C275" i="11" s="1"/>
  <c r="D275" i="7"/>
  <c r="D275" i="11" s="1"/>
  <c r="E275" i="7"/>
  <c r="E275" i="11" s="1"/>
  <c r="F275" i="7"/>
  <c r="G275" i="7"/>
  <c r="I275" i="7"/>
  <c r="J275" i="7"/>
  <c r="L275" i="7"/>
  <c r="M275" i="7"/>
  <c r="O275" i="7"/>
  <c r="P275" i="7"/>
  <c r="R275" i="7"/>
  <c r="S275" i="7"/>
  <c r="W275" i="7"/>
  <c r="X275" i="7"/>
  <c r="Z275" i="7"/>
  <c r="M275" i="11" s="1"/>
  <c r="A276" i="7"/>
  <c r="A276" i="11" s="1"/>
  <c r="B276" i="7"/>
  <c r="B276" i="11" s="1"/>
  <c r="C276" i="7"/>
  <c r="C276" i="11" s="1"/>
  <c r="D276" i="7"/>
  <c r="D276" i="11" s="1"/>
  <c r="E276" i="7"/>
  <c r="E276" i="11" s="1"/>
  <c r="F276" i="7"/>
  <c r="G276" i="7"/>
  <c r="I276" i="7"/>
  <c r="J276" i="7"/>
  <c r="L276" i="7"/>
  <c r="M276" i="7"/>
  <c r="O276" i="7"/>
  <c r="P276" i="7"/>
  <c r="R276" i="7"/>
  <c r="S276" i="7"/>
  <c r="W276" i="7"/>
  <c r="X276" i="7"/>
  <c r="Z276" i="7"/>
  <c r="M276" i="11" s="1"/>
  <c r="A277" i="7"/>
  <c r="A277" i="11" s="1"/>
  <c r="B277" i="7"/>
  <c r="B277" i="11" s="1"/>
  <c r="C277" i="7"/>
  <c r="C277" i="11" s="1"/>
  <c r="D277" i="7"/>
  <c r="D277" i="11" s="1"/>
  <c r="E277" i="7"/>
  <c r="E277" i="11" s="1"/>
  <c r="F277" i="7"/>
  <c r="G277" i="7"/>
  <c r="I277" i="7"/>
  <c r="J277" i="7"/>
  <c r="L277" i="7"/>
  <c r="M277" i="7"/>
  <c r="O277" i="7"/>
  <c r="P277" i="7"/>
  <c r="R277" i="7"/>
  <c r="S277" i="7"/>
  <c r="W277" i="7"/>
  <c r="X277" i="7"/>
  <c r="Z277" i="7"/>
  <c r="M277" i="11" s="1"/>
  <c r="A278" i="7"/>
  <c r="A278" i="11" s="1"/>
  <c r="B278" i="7"/>
  <c r="B278" i="11" s="1"/>
  <c r="C278" i="7"/>
  <c r="C278" i="11" s="1"/>
  <c r="D278" i="7"/>
  <c r="D278" i="11" s="1"/>
  <c r="E278" i="7"/>
  <c r="E278" i="11" s="1"/>
  <c r="F278" i="7"/>
  <c r="G278" i="7"/>
  <c r="I278" i="7"/>
  <c r="J278" i="7"/>
  <c r="L278" i="7"/>
  <c r="M278" i="7"/>
  <c r="O278" i="7"/>
  <c r="P278" i="7"/>
  <c r="R278" i="7"/>
  <c r="S278" i="7"/>
  <c r="W278" i="7"/>
  <c r="X278" i="7"/>
  <c r="Z278" i="7"/>
  <c r="M278" i="11" s="1"/>
  <c r="A279" i="7"/>
  <c r="A279" i="11" s="1"/>
  <c r="B279" i="7"/>
  <c r="B279" i="11" s="1"/>
  <c r="C279" i="7"/>
  <c r="C279" i="11" s="1"/>
  <c r="D279" i="7"/>
  <c r="D279" i="11" s="1"/>
  <c r="E279" i="7"/>
  <c r="E279" i="11" s="1"/>
  <c r="F279" i="7"/>
  <c r="G279" i="7"/>
  <c r="I279" i="7"/>
  <c r="J279" i="7"/>
  <c r="L279" i="7"/>
  <c r="N279" i="7" s="1"/>
  <c r="F279" i="11" s="1"/>
  <c r="H279" i="11" s="1"/>
  <c r="M279" i="7"/>
  <c r="O279" i="7"/>
  <c r="P279" i="7"/>
  <c r="R279" i="7"/>
  <c r="S279" i="7"/>
  <c r="W279" i="7"/>
  <c r="X279" i="7"/>
  <c r="Z279" i="7"/>
  <c r="M279" i="11" s="1"/>
  <c r="A280" i="7"/>
  <c r="A280" i="11" s="1"/>
  <c r="B280" i="7"/>
  <c r="B280" i="11" s="1"/>
  <c r="C280" i="7"/>
  <c r="C280" i="11" s="1"/>
  <c r="D280" i="7"/>
  <c r="D280" i="11" s="1"/>
  <c r="E280" i="7"/>
  <c r="E280" i="11" s="1"/>
  <c r="F280" i="7"/>
  <c r="G280" i="7"/>
  <c r="I280" i="7"/>
  <c r="J280" i="7"/>
  <c r="L280" i="7"/>
  <c r="M280" i="7"/>
  <c r="O280" i="7"/>
  <c r="P280" i="7"/>
  <c r="R280" i="7"/>
  <c r="S280" i="7"/>
  <c r="W280" i="7"/>
  <c r="X280" i="7"/>
  <c r="Z280" i="7"/>
  <c r="M280" i="11" s="1"/>
  <c r="A281" i="7"/>
  <c r="A281" i="11" s="1"/>
  <c r="B281" i="7"/>
  <c r="B281" i="11" s="1"/>
  <c r="C281" i="7"/>
  <c r="C281" i="11" s="1"/>
  <c r="D281" i="7"/>
  <c r="D281" i="11" s="1"/>
  <c r="E281" i="7"/>
  <c r="E281" i="11" s="1"/>
  <c r="F281" i="7"/>
  <c r="G281" i="7"/>
  <c r="I281" i="7"/>
  <c r="J281" i="7"/>
  <c r="L281" i="7"/>
  <c r="M281" i="7"/>
  <c r="O281" i="7"/>
  <c r="P281" i="7"/>
  <c r="R281" i="7"/>
  <c r="S281" i="7"/>
  <c r="W281" i="7"/>
  <c r="X281" i="7"/>
  <c r="Z281" i="7"/>
  <c r="M281" i="11" s="1"/>
  <c r="A282" i="7"/>
  <c r="A282" i="11" s="1"/>
  <c r="B282" i="7"/>
  <c r="B282" i="11" s="1"/>
  <c r="C282" i="7"/>
  <c r="C282" i="11" s="1"/>
  <c r="D282" i="7"/>
  <c r="D282" i="11" s="1"/>
  <c r="E282" i="7"/>
  <c r="E282" i="11" s="1"/>
  <c r="F282" i="7"/>
  <c r="G282" i="7"/>
  <c r="I282" i="7"/>
  <c r="J282" i="7"/>
  <c r="L282" i="7"/>
  <c r="M282" i="7"/>
  <c r="O282" i="7"/>
  <c r="P282" i="7"/>
  <c r="R282" i="7"/>
  <c r="S282" i="7"/>
  <c r="W282" i="7"/>
  <c r="X282" i="7"/>
  <c r="Z282" i="7"/>
  <c r="M282" i="11" s="1"/>
  <c r="A283" i="7"/>
  <c r="A283" i="11" s="1"/>
  <c r="B283" i="7"/>
  <c r="B283" i="11" s="1"/>
  <c r="C283" i="7"/>
  <c r="C283" i="11" s="1"/>
  <c r="D283" i="7"/>
  <c r="D283" i="11" s="1"/>
  <c r="E283" i="7"/>
  <c r="E283" i="11" s="1"/>
  <c r="F283" i="7"/>
  <c r="G283" i="7"/>
  <c r="I283" i="7"/>
  <c r="J283" i="7"/>
  <c r="L283" i="7"/>
  <c r="M283" i="7"/>
  <c r="O283" i="7"/>
  <c r="Q283" i="7" s="1"/>
  <c r="P283" i="7"/>
  <c r="R283" i="7"/>
  <c r="S283" i="7"/>
  <c r="W283" i="7"/>
  <c r="X283" i="7"/>
  <c r="Z283" i="7"/>
  <c r="M283" i="11" s="1"/>
  <c r="A284" i="7"/>
  <c r="A284" i="11" s="1"/>
  <c r="B284" i="7"/>
  <c r="B284" i="11" s="1"/>
  <c r="C284" i="7"/>
  <c r="C284" i="11" s="1"/>
  <c r="D284" i="7"/>
  <c r="D284" i="11" s="1"/>
  <c r="E284" i="7"/>
  <c r="E284" i="11" s="1"/>
  <c r="F284" i="7"/>
  <c r="G284" i="7"/>
  <c r="I284" i="7"/>
  <c r="J284" i="7"/>
  <c r="L284" i="7"/>
  <c r="M284" i="7"/>
  <c r="O284" i="7"/>
  <c r="P284" i="7"/>
  <c r="R284" i="7"/>
  <c r="T284" i="7" s="1"/>
  <c r="S284" i="7"/>
  <c r="W284" i="7"/>
  <c r="X284" i="7"/>
  <c r="Z284" i="7"/>
  <c r="M284" i="11" s="1"/>
  <c r="A285" i="7"/>
  <c r="A285" i="11" s="1"/>
  <c r="B285" i="7"/>
  <c r="B285" i="11" s="1"/>
  <c r="C285" i="7"/>
  <c r="C285" i="11" s="1"/>
  <c r="D285" i="7"/>
  <c r="D285" i="11" s="1"/>
  <c r="E285" i="7"/>
  <c r="E285" i="11" s="1"/>
  <c r="F285" i="7"/>
  <c r="G285" i="7"/>
  <c r="I285" i="7"/>
  <c r="J285" i="7"/>
  <c r="L285" i="7"/>
  <c r="N285" i="7" s="1"/>
  <c r="F285" i="11" s="1"/>
  <c r="H285" i="11" s="1"/>
  <c r="M285" i="7"/>
  <c r="O285" i="7"/>
  <c r="P285" i="7"/>
  <c r="R285" i="7"/>
  <c r="S285" i="7"/>
  <c r="W285" i="7"/>
  <c r="X285" i="7"/>
  <c r="Z285" i="7"/>
  <c r="M285" i="11" s="1"/>
  <c r="A286" i="7"/>
  <c r="A286" i="11" s="1"/>
  <c r="B286" i="7"/>
  <c r="B286" i="11" s="1"/>
  <c r="C286" i="7"/>
  <c r="C286" i="11" s="1"/>
  <c r="D286" i="7"/>
  <c r="D286" i="11" s="1"/>
  <c r="E286" i="7"/>
  <c r="E286" i="11" s="1"/>
  <c r="F286" i="7"/>
  <c r="G286" i="7"/>
  <c r="I286" i="7"/>
  <c r="J286" i="7"/>
  <c r="L286" i="7"/>
  <c r="M286" i="7"/>
  <c r="O286" i="7"/>
  <c r="P286" i="7"/>
  <c r="R286" i="7"/>
  <c r="S286" i="7"/>
  <c r="W286" i="7"/>
  <c r="X286" i="7"/>
  <c r="Z286" i="7"/>
  <c r="M286" i="11" s="1"/>
  <c r="A287" i="7"/>
  <c r="A287" i="11" s="1"/>
  <c r="B287" i="7"/>
  <c r="B287" i="11" s="1"/>
  <c r="C287" i="7"/>
  <c r="C287" i="11" s="1"/>
  <c r="D287" i="7"/>
  <c r="D287" i="11" s="1"/>
  <c r="E287" i="7"/>
  <c r="E287" i="11" s="1"/>
  <c r="F287" i="7"/>
  <c r="G287" i="7"/>
  <c r="I287" i="7"/>
  <c r="J287" i="7"/>
  <c r="L287" i="7"/>
  <c r="M287" i="7"/>
  <c r="O287" i="7"/>
  <c r="P287" i="7"/>
  <c r="R287" i="7"/>
  <c r="S287" i="7"/>
  <c r="W287" i="7"/>
  <c r="X287" i="7"/>
  <c r="Z287" i="7"/>
  <c r="M287" i="11" s="1"/>
  <c r="A288" i="7"/>
  <c r="A288" i="11" s="1"/>
  <c r="B288" i="7"/>
  <c r="B288" i="11" s="1"/>
  <c r="C288" i="7"/>
  <c r="C288" i="11" s="1"/>
  <c r="D288" i="7"/>
  <c r="D288" i="11" s="1"/>
  <c r="E288" i="7"/>
  <c r="E288" i="11" s="1"/>
  <c r="F288" i="7"/>
  <c r="G288" i="7"/>
  <c r="I288" i="7"/>
  <c r="J288" i="7"/>
  <c r="L288" i="7"/>
  <c r="M288" i="7"/>
  <c r="O288" i="7"/>
  <c r="P288" i="7"/>
  <c r="R288" i="7"/>
  <c r="S288" i="7"/>
  <c r="W288" i="7"/>
  <c r="X288" i="7"/>
  <c r="Z288" i="7"/>
  <c r="M288" i="11" s="1"/>
  <c r="A289" i="7"/>
  <c r="A289" i="11" s="1"/>
  <c r="B289" i="7"/>
  <c r="B289" i="11" s="1"/>
  <c r="C289" i="7"/>
  <c r="C289" i="11" s="1"/>
  <c r="D289" i="7"/>
  <c r="D289" i="11" s="1"/>
  <c r="E289" i="7"/>
  <c r="E289" i="11" s="1"/>
  <c r="F289" i="7"/>
  <c r="G289" i="7"/>
  <c r="I289" i="7"/>
  <c r="J289" i="7"/>
  <c r="L289" i="7"/>
  <c r="N289" i="7" s="1"/>
  <c r="F289" i="11" s="1"/>
  <c r="H289" i="11" s="1"/>
  <c r="M289" i="7"/>
  <c r="O289" i="7"/>
  <c r="P289" i="7"/>
  <c r="R289" i="7"/>
  <c r="S289" i="7"/>
  <c r="W289" i="7"/>
  <c r="X289" i="7"/>
  <c r="Z289" i="7"/>
  <c r="M289" i="11" s="1"/>
  <c r="A290" i="7"/>
  <c r="A290" i="11" s="1"/>
  <c r="B290" i="7"/>
  <c r="B290" i="11" s="1"/>
  <c r="C290" i="7"/>
  <c r="C290" i="11" s="1"/>
  <c r="D290" i="7"/>
  <c r="D290" i="11" s="1"/>
  <c r="E290" i="7"/>
  <c r="E290" i="11" s="1"/>
  <c r="F290" i="7"/>
  <c r="G290" i="7"/>
  <c r="I290" i="7"/>
  <c r="J290" i="7"/>
  <c r="L290" i="7"/>
  <c r="N290" i="7" s="1"/>
  <c r="F290" i="11" s="1"/>
  <c r="H290" i="11" s="1"/>
  <c r="M290" i="7"/>
  <c r="O290" i="7"/>
  <c r="P290" i="7"/>
  <c r="R290" i="7"/>
  <c r="S290" i="7"/>
  <c r="W290" i="7"/>
  <c r="X290" i="7"/>
  <c r="Z290" i="7"/>
  <c r="M290" i="11" s="1"/>
  <c r="A291" i="7"/>
  <c r="A291" i="11" s="1"/>
  <c r="B291" i="7"/>
  <c r="B291" i="11" s="1"/>
  <c r="C291" i="7"/>
  <c r="C291" i="11" s="1"/>
  <c r="D291" i="7"/>
  <c r="D291" i="11" s="1"/>
  <c r="E291" i="7"/>
  <c r="E291" i="11" s="1"/>
  <c r="F291" i="7"/>
  <c r="G291" i="7"/>
  <c r="I291" i="7"/>
  <c r="J291" i="7"/>
  <c r="L291" i="7"/>
  <c r="N291" i="7" s="1"/>
  <c r="F291" i="11" s="1"/>
  <c r="H291" i="11" s="1"/>
  <c r="M291" i="7"/>
  <c r="O291" i="7"/>
  <c r="P291" i="7"/>
  <c r="R291" i="7"/>
  <c r="S291" i="7"/>
  <c r="W291" i="7"/>
  <c r="X291" i="7"/>
  <c r="Z291" i="7"/>
  <c r="M291" i="11" s="1"/>
  <c r="A292" i="7"/>
  <c r="A292" i="11" s="1"/>
  <c r="B292" i="7"/>
  <c r="B292" i="11" s="1"/>
  <c r="C292" i="7"/>
  <c r="C292" i="11" s="1"/>
  <c r="D292" i="7"/>
  <c r="D292" i="11" s="1"/>
  <c r="E292" i="7"/>
  <c r="E292" i="11" s="1"/>
  <c r="F292" i="7"/>
  <c r="G292" i="7"/>
  <c r="I292" i="7"/>
  <c r="J292" i="7"/>
  <c r="L292" i="7"/>
  <c r="M292" i="7"/>
  <c r="O292" i="7"/>
  <c r="P292" i="7"/>
  <c r="R292" i="7"/>
  <c r="S292" i="7"/>
  <c r="W292" i="7"/>
  <c r="X292" i="7"/>
  <c r="Z292" i="7"/>
  <c r="M292" i="11" s="1"/>
  <c r="A293" i="7"/>
  <c r="A293" i="11" s="1"/>
  <c r="B293" i="7"/>
  <c r="B293" i="11" s="1"/>
  <c r="C293" i="7"/>
  <c r="C293" i="11" s="1"/>
  <c r="D293" i="7"/>
  <c r="D293" i="11" s="1"/>
  <c r="E293" i="7"/>
  <c r="E293" i="11" s="1"/>
  <c r="F293" i="7"/>
  <c r="G293" i="7"/>
  <c r="I293" i="7"/>
  <c r="J293" i="7"/>
  <c r="L293" i="7"/>
  <c r="M293" i="7"/>
  <c r="O293" i="7"/>
  <c r="P293" i="7"/>
  <c r="R293" i="7"/>
  <c r="S293" i="7"/>
  <c r="W293" i="7"/>
  <c r="X293" i="7"/>
  <c r="Z293" i="7"/>
  <c r="M293" i="11" s="1"/>
  <c r="A294" i="7"/>
  <c r="A294" i="11" s="1"/>
  <c r="B294" i="7"/>
  <c r="B294" i="11" s="1"/>
  <c r="C294" i="7"/>
  <c r="C294" i="11" s="1"/>
  <c r="D294" i="7"/>
  <c r="D294" i="11" s="1"/>
  <c r="E294" i="7"/>
  <c r="E294" i="11" s="1"/>
  <c r="F294" i="7"/>
  <c r="G294" i="7"/>
  <c r="I294" i="7"/>
  <c r="J294" i="7"/>
  <c r="L294" i="7"/>
  <c r="N294" i="7" s="1"/>
  <c r="F294" i="11" s="1"/>
  <c r="H294" i="11" s="1"/>
  <c r="M294" i="7"/>
  <c r="O294" i="7"/>
  <c r="P294" i="7"/>
  <c r="R294" i="7"/>
  <c r="T294" i="7" s="1"/>
  <c r="S294" i="7"/>
  <c r="W294" i="7"/>
  <c r="X294" i="7"/>
  <c r="Z294" i="7"/>
  <c r="M294" i="11" s="1"/>
  <c r="A295" i="7"/>
  <c r="A295" i="11" s="1"/>
  <c r="B295" i="7"/>
  <c r="B295" i="11" s="1"/>
  <c r="C295" i="7"/>
  <c r="C295" i="11" s="1"/>
  <c r="D295" i="7"/>
  <c r="D295" i="11" s="1"/>
  <c r="E295" i="7"/>
  <c r="E295" i="11" s="1"/>
  <c r="F295" i="7"/>
  <c r="G295" i="7"/>
  <c r="I295" i="7"/>
  <c r="J295" i="7"/>
  <c r="L295" i="7"/>
  <c r="N295" i="7" s="1"/>
  <c r="F295" i="11" s="1"/>
  <c r="H295" i="11" s="1"/>
  <c r="M295" i="7"/>
  <c r="O295" i="7"/>
  <c r="P295" i="7"/>
  <c r="R295" i="7"/>
  <c r="S295" i="7"/>
  <c r="W295" i="7"/>
  <c r="X295" i="7"/>
  <c r="Z295" i="7"/>
  <c r="M295" i="11" s="1"/>
  <c r="A296" i="7"/>
  <c r="A296" i="11" s="1"/>
  <c r="B296" i="7"/>
  <c r="B296" i="11" s="1"/>
  <c r="C296" i="7"/>
  <c r="C296" i="11" s="1"/>
  <c r="D296" i="7"/>
  <c r="D296" i="11" s="1"/>
  <c r="E296" i="7"/>
  <c r="E296" i="11" s="1"/>
  <c r="F296" i="7"/>
  <c r="G296" i="7"/>
  <c r="I296" i="7"/>
  <c r="J296" i="7"/>
  <c r="L296" i="7"/>
  <c r="N296" i="7" s="1"/>
  <c r="F296" i="11" s="1"/>
  <c r="H296" i="11" s="1"/>
  <c r="M296" i="7"/>
  <c r="O296" i="7"/>
  <c r="P296" i="7"/>
  <c r="R296" i="7"/>
  <c r="S296" i="7"/>
  <c r="W296" i="7"/>
  <c r="X296" i="7"/>
  <c r="Z296" i="7"/>
  <c r="M296" i="11" s="1"/>
  <c r="A297" i="7"/>
  <c r="A297" i="11" s="1"/>
  <c r="B297" i="7"/>
  <c r="B297" i="11" s="1"/>
  <c r="C297" i="7"/>
  <c r="C297" i="11" s="1"/>
  <c r="D297" i="7"/>
  <c r="D297" i="11" s="1"/>
  <c r="E297" i="7"/>
  <c r="E297" i="11" s="1"/>
  <c r="F297" i="7"/>
  <c r="G297" i="7"/>
  <c r="I297" i="7"/>
  <c r="J297" i="7"/>
  <c r="L297" i="7"/>
  <c r="N297" i="7" s="1"/>
  <c r="F297" i="11" s="1"/>
  <c r="H297" i="11" s="1"/>
  <c r="M297" i="7"/>
  <c r="O297" i="7"/>
  <c r="P297" i="7"/>
  <c r="R297" i="7"/>
  <c r="S297" i="7"/>
  <c r="W297" i="7"/>
  <c r="X297" i="7"/>
  <c r="Z297" i="7"/>
  <c r="M297" i="11" s="1"/>
  <c r="A298" i="7"/>
  <c r="A298" i="11" s="1"/>
  <c r="B298" i="7"/>
  <c r="B298" i="11" s="1"/>
  <c r="C298" i="7"/>
  <c r="C298" i="11" s="1"/>
  <c r="D298" i="7"/>
  <c r="D298" i="11" s="1"/>
  <c r="E298" i="7"/>
  <c r="E298" i="11" s="1"/>
  <c r="F298" i="7"/>
  <c r="G298" i="7"/>
  <c r="I298" i="7"/>
  <c r="J298" i="7"/>
  <c r="L298" i="7"/>
  <c r="M298" i="7"/>
  <c r="O298" i="7"/>
  <c r="P298" i="7"/>
  <c r="R298" i="7"/>
  <c r="S298" i="7"/>
  <c r="W298" i="7"/>
  <c r="X298" i="7"/>
  <c r="Z298" i="7"/>
  <c r="M298" i="11" s="1"/>
  <c r="A299" i="7"/>
  <c r="A299" i="11" s="1"/>
  <c r="B299" i="7"/>
  <c r="B299" i="11" s="1"/>
  <c r="C299" i="7"/>
  <c r="C299" i="11" s="1"/>
  <c r="D299" i="7"/>
  <c r="D299" i="11" s="1"/>
  <c r="E299" i="7"/>
  <c r="E299" i="11" s="1"/>
  <c r="F299" i="7"/>
  <c r="G299" i="7"/>
  <c r="I299" i="7"/>
  <c r="J299" i="7"/>
  <c r="L299" i="7"/>
  <c r="M299" i="7"/>
  <c r="O299" i="7"/>
  <c r="P299" i="7"/>
  <c r="R299" i="7"/>
  <c r="S299" i="7"/>
  <c r="W299" i="7"/>
  <c r="X299" i="7"/>
  <c r="Z299" i="7"/>
  <c r="M299" i="11" s="1"/>
  <c r="A300" i="7"/>
  <c r="A300" i="11" s="1"/>
  <c r="B300" i="7"/>
  <c r="B300" i="11" s="1"/>
  <c r="C300" i="7"/>
  <c r="C300" i="11" s="1"/>
  <c r="D300" i="7"/>
  <c r="D300" i="11" s="1"/>
  <c r="E300" i="7"/>
  <c r="E300" i="11" s="1"/>
  <c r="F300" i="7"/>
  <c r="G300" i="7"/>
  <c r="I300" i="7"/>
  <c r="J300" i="7"/>
  <c r="L300" i="7"/>
  <c r="N300" i="7" s="1"/>
  <c r="F300" i="11" s="1"/>
  <c r="H300" i="11" s="1"/>
  <c r="M300" i="7"/>
  <c r="O300" i="7"/>
  <c r="P300" i="7"/>
  <c r="R300" i="7"/>
  <c r="S300" i="7"/>
  <c r="W300" i="7"/>
  <c r="X300" i="7"/>
  <c r="Z300" i="7"/>
  <c r="M300" i="11" s="1"/>
  <c r="A301" i="7"/>
  <c r="A301" i="11" s="1"/>
  <c r="B301" i="7"/>
  <c r="B301" i="11" s="1"/>
  <c r="C301" i="7"/>
  <c r="C301" i="11" s="1"/>
  <c r="D301" i="7"/>
  <c r="D301" i="11" s="1"/>
  <c r="E301" i="7"/>
  <c r="E301" i="11" s="1"/>
  <c r="F301" i="7"/>
  <c r="G301" i="7"/>
  <c r="I301" i="7"/>
  <c r="J301" i="7"/>
  <c r="L301" i="7"/>
  <c r="M301" i="7"/>
  <c r="O301" i="7"/>
  <c r="P301" i="7"/>
  <c r="R301" i="7"/>
  <c r="S301" i="7"/>
  <c r="W301" i="7"/>
  <c r="X301" i="7"/>
  <c r="Z301" i="7"/>
  <c r="M301" i="11" s="1"/>
  <c r="A302" i="7"/>
  <c r="A302" i="11" s="1"/>
  <c r="B302" i="7"/>
  <c r="B302" i="11" s="1"/>
  <c r="C302" i="7"/>
  <c r="C302" i="11" s="1"/>
  <c r="D302" i="7"/>
  <c r="D302" i="11" s="1"/>
  <c r="E302" i="7"/>
  <c r="E302" i="11" s="1"/>
  <c r="F302" i="7"/>
  <c r="G302" i="7"/>
  <c r="I302" i="7"/>
  <c r="J302" i="7"/>
  <c r="L302" i="7"/>
  <c r="N302" i="7" s="1"/>
  <c r="F302" i="11" s="1"/>
  <c r="H302" i="11" s="1"/>
  <c r="M302" i="7"/>
  <c r="O302" i="7"/>
  <c r="P302" i="7"/>
  <c r="R302" i="7"/>
  <c r="S302" i="7"/>
  <c r="W302" i="7"/>
  <c r="X302" i="7"/>
  <c r="Z302" i="7"/>
  <c r="M302" i="11" s="1"/>
  <c r="A303" i="7"/>
  <c r="A303" i="11" s="1"/>
  <c r="B303" i="7"/>
  <c r="B303" i="11" s="1"/>
  <c r="C303" i="7"/>
  <c r="C303" i="11" s="1"/>
  <c r="D303" i="7"/>
  <c r="D303" i="11" s="1"/>
  <c r="E303" i="7"/>
  <c r="E303" i="11" s="1"/>
  <c r="F303" i="7"/>
  <c r="G303" i="7"/>
  <c r="I303" i="7"/>
  <c r="J303" i="7"/>
  <c r="L303" i="7"/>
  <c r="M303" i="7"/>
  <c r="O303" i="7"/>
  <c r="P303" i="7"/>
  <c r="R303" i="7"/>
  <c r="S303" i="7"/>
  <c r="W303" i="7"/>
  <c r="X303" i="7"/>
  <c r="Z303" i="7"/>
  <c r="M303" i="11" s="1"/>
  <c r="A304" i="7"/>
  <c r="A304" i="11" s="1"/>
  <c r="B304" i="7"/>
  <c r="B304" i="11" s="1"/>
  <c r="C304" i="7"/>
  <c r="C304" i="11" s="1"/>
  <c r="D304" i="7"/>
  <c r="D304" i="11" s="1"/>
  <c r="E304" i="7"/>
  <c r="E304" i="11" s="1"/>
  <c r="F304" i="7"/>
  <c r="G304" i="7"/>
  <c r="I304" i="7"/>
  <c r="J304" i="7"/>
  <c r="L304" i="7"/>
  <c r="N304" i="7" s="1"/>
  <c r="F304" i="11" s="1"/>
  <c r="H304" i="11" s="1"/>
  <c r="M304" i="7"/>
  <c r="O304" i="7"/>
  <c r="P304" i="7"/>
  <c r="R304" i="7"/>
  <c r="T304" i="7" s="1"/>
  <c r="S304" i="7"/>
  <c r="W304" i="7"/>
  <c r="X304" i="7"/>
  <c r="Z304" i="7"/>
  <c r="M304" i="11" s="1"/>
  <c r="A305" i="7"/>
  <c r="A305" i="11" s="1"/>
  <c r="B305" i="7"/>
  <c r="B305" i="11" s="1"/>
  <c r="C305" i="7"/>
  <c r="C305" i="11" s="1"/>
  <c r="D305" i="7"/>
  <c r="D305" i="11" s="1"/>
  <c r="E305" i="7"/>
  <c r="E305" i="11" s="1"/>
  <c r="F305" i="7"/>
  <c r="G305" i="7"/>
  <c r="I305" i="7"/>
  <c r="J305" i="7"/>
  <c r="L305" i="7"/>
  <c r="N305" i="7" s="1"/>
  <c r="F305" i="11" s="1"/>
  <c r="H305" i="11" s="1"/>
  <c r="M305" i="7"/>
  <c r="O305" i="7"/>
  <c r="P305" i="7"/>
  <c r="R305" i="7"/>
  <c r="S305" i="7"/>
  <c r="W305" i="7"/>
  <c r="X305" i="7"/>
  <c r="Z305" i="7"/>
  <c r="M305" i="11" s="1"/>
  <c r="A306" i="7"/>
  <c r="A306" i="11" s="1"/>
  <c r="B306" i="7"/>
  <c r="B306" i="11" s="1"/>
  <c r="C306" i="7"/>
  <c r="C306" i="11" s="1"/>
  <c r="D306" i="7"/>
  <c r="D306" i="11" s="1"/>
  <c r="E306" i="7"/>
  <c r="E306" i="11" s="1"/>
  <c r="F306" i="7"/>
  <c r="G306" i="7"/>
  <c r="I306" i="7"/>
  <c r="J306" i="7"/>
  <c r="L306" i="7"/>
  <c r="N306" i="7" s="1"/>
  <c r="F306" i="11" s="1"/>
  <c r="H306" i="11" s="1"/>
  <c r="M306" i="7"/>
  <c r="O306" i="7"/>
  <c r="P306" i="7"/>
  <c r="R306" i="7"/>
  <c r="S306" i="7"/>
  <c r="W306" i="7"/>
  <c r="X306" i="7"/>
  <c r="Z306" i="7"/>
  <c r="M306" i="11" s="1"/>
  <c r="A307" i="7"/>
  <c r="A307" i="11" s="1"/>
  <c r="B307" i="7"/>
  <c r="B307" i="11" s="1"/>
  <c r="C307" i="7"/>
  <c r="C307" i="11" s="1"/>
  <c r="D307" i="7"/>
  <c r="D307" i="11" s="1"/>
  <c r="E307" i="7"/>
  <c r="E307" i="11" s="1"/>
  <c r="F307" i="7"/>
  <c r="G307" i="7"/>
  <c r="I307" i="7"/>
  <c r="J307" i="7"/>
  <c r="L307" i="7"/>
  <c r="N307" i="7" s="1"/>
  <c r="F307" i="11" s="1"/>
  <c r="H307" i="11" s="1"/>
  <c r="M307" i="7"/>
  <c r="O307" i="7"/>
  <c r="P307" i="7"/>
  <c r="R307" i="7"/>
  <c r="S307" i="7"/>
  <c r="W307" i="7"/>
  <c r="X307" i="7"/>
  <c r="Z307" i="7"/>
  <c r="M307" i="11" s="1"/>
  <c r="A308" i="7"/>
  <c r="A308" i="11" s="1"/>
  <c r="B308" i="7"/>
  <c r="B308" i="11" s="1"/>
  <c r="C308" i="7"/>
  <c r="C308" i="11" s="1"/>
  <c r="D308" i="7"/>
  <c r="D308" i="11" s="1"/>
  <c r="E308" i="7"/>
  <c r="E308" i="11" s="1"/>
  <c r="F308" i="7"/>
  <c r="G308" i="7"/>
  <c r="I308" i="7"/>
  <c r="J308" i="7"/>
  <c r="L308" i="7"/>
  <c r="N308" i="7" s="1"/>
  <c r="F308" i="11" s="1"/>
  <c r="H308" i="11" s="1"/>
  <c r="M308" i="7"/>
  <c r="O308" i="7"/>
  <c r="P308" i="7"/>
  <c r="R308" i="7"/>
  <c r="S308" i="7"/>
  <c r="W308" i="7"/>
  <c r="X308" i="7"/>
  <c r="Z308" i="7"/>
  <c r="M308" i="11" s="1"/>
  <c r="A309" i="7"/>
  <c r="A309" i="11" s="1"/>
  <c r="B309" i="7"/>
  <c r="B309" i="11" s="1"/>
  <c r="C309" i="7"/>
  <c r="C309" i="11" s="1"/>
  <c r="D309" i="7"/>
  <c r="D309" i="11" s="1"/>
  <c r="E309" i="7"/>
  <c r="E309" i="11" s="1"/>
  <c r="F309" i="7"/>
  <c r="G309" i="7"/>
  <c r="I309" i="7"/>
  <c r="J309" i="7"/>
  <c r="L309" i="7"/>
  <c r="N309" i="7" s="1"/>
  <c r="F309" i="11" s="1"/>
  <c r="H309" i="11" s="1"/>
  <c r="M309" i="7"/>
  <c r="O309" i="7"/>
  <c r="P309" i="7"/>
  <c r="R309" i="7"/>
  <c r="S309" i="7"/>
  <c r="W309" i="7"/>
  <c r="X309" i="7"/>
  <c r="Z309" i="7"/>
  <c r="M309" i="11" s="1"/>
  <c r="A310" i="7"/>
  <c r="A310" i="11" s="1"/>
  <c r="B310" i="7"/>
  <c r="B310" i="11" s="1"/>
  <c r="C310" i="7"/>
  <c r="C310" i="11" s="1"/>
  <c r="D310" i="7"/>
  <c r="D310" i="11" s="1"/>
  <c r="E310" i="7"/>
  <c r="E310" i="11" s="1"/>
  <c r="F310" i="7"/>
  <c r="G310" i="7"/>
  <c r="I310" i="7"/>
  <c r="J310" i="7"/>
  <c r="L310" i="7"/>
  <c r="M310" i="7"/>
  <c r="O310" i="7"/>
  <c r="P310" i="7"/>
  <c r="R310" i="7"/>
  <c r="S310" i="7"/>
  <c r="W310" i="7"/>
  <c r="X310" i="7"/>
  <c r="Z310" i="7"/>
  <c r="M310" i="11" s="1"/>
  <c r="A311" i="7"/>
  <c r="A311" i="11" s="1"/>
  <c r="B311" i="7"/>
  <c r="B311" i="11" s="1"/>
  <c r="C311" i="7"/>
  <c r="C311" i="11" s="1"/>
  <c r="D311" i="7"/>
  <c r="D311" i="11" s="1"/>
  <c r="E311" i="7"/>
  <c r="E311" i="11" s="1"/>
  <c r="F311" i="7"/>
  <c r="G311" i="7"/>
  <c r="I311" i="7"/>
  <c r="J311" i="7"/>
  <c r="L311" i="7"/>
  <c r="M311" i="7"/>
  <c r="O311" i="7"/>
  <c r="P311" i="7"/>
  <c r="R311" i="7"/>
  <c r="S311" i="7"/>
  <c r="W311" i="7"/>
  <c r="X311" i="7"/>
  <c r="Z311" i="7"/>
  <c r="M311" i="11" s="1"/>
  <c r="A312" i="7"/>
  <c r="A312" i="11" s="1"/>
  <c r="B312" i="7"/>
  <c r="B312" i="11" s="1"/>
  <c r="C312" i="7"/>
  <c r="C312" i="11" s="1"/>
  <c r="D312" i="7"/>
  <c r="D312" i="11" s="1"/>
  <c r="E312" i="7"/>
  <c r="E312" i="11" s="1"/>
  <c r="F312" i="7"/>
  <c r="G312" i="7"/>
  <c r="I312" i="7"/>
  <c r="J312" i="7"/>
  <c r="L312" i="7"/>
  <c r="M312" i="7"/>
  <c r="O312" i="7"/>
  <c r="P312" i="7"/>
  <c r="R312" i="7"/>
  <c r="S312" i="7"/>
  <c r="W312" i="7"/>
  <c r="X312" i="7"/>
  <c r="Z312" i="7"/>
  <c r="M312" i="11" s="1"/>
  <c r="A313" i="7"/>
  <c r="A313" i="11" s="1"/>
  <c r="B313" i="7"/>
  <c r="B313" i="11" s="1"/>
  <c r="C313" i="7"/>
  <c r="C313" i="11" s="1"/>
  <c r="D313" i="7"/>
  <c r="D313" i="11" s="1"/>
  <c r="E313" i="7"/>
  <c r="E313" i="11" s="1"/>
  <c r="F313" i="7"/>
  <c r="G313" i="7"/>
  <c r="I313" i="7"/>
  <c r="J313" i="7"/>
  <c r="L313" i="7"/>
  <c r="M313" i="7"/>
  <c r="O313" i="7"/>
  <c r="P313" i="7"/>
  <c r="R313" i="7"/>
  <c r="S313" i="7"/>
  <c r="W313" i="7"/>
  <c r="X313" i="7"/>
  <c r="Z313" i="7"/>
  <c r="M313" i="11" s="1"/>
  <c r="A314" i="7"/>
  <c r="A314" i="11" s="1"/>
  <c r="B314" i="7"/>
  <c r="B314" i="11" s="1"/>
  <c r="C314" i="7"/>
  <c r="C314" i="11" s="1"/>
  <c r="D314" i="7"/>
  <c r="D314" i="11" s="1"/>
  <c r="E314" i="7"/>
  <c r="E314" i="11" s="1"/>
  <c r="F314" i="7"/>
  <c r="G314" i="7"/>
  <c r="I314" i="7"/>
  <c r="J314" i="7"/>
  <c r="L314" i="7"/>
  <c r="N314" i="7" s="1"/>
  <c r="F314" i="11" s="1"/>
  <c r="H314" i="11" s="1"/>
  <c r="M314" i="7"/>
  <c r="O314" i="7"/>
  <c r="P314" i="7"/>
  <c r="R314" i="7"/>
  <c r="T314" i="7" s="1"/>
  <c r="S314" i="7"/>
  <c r="W314" i="7"/>
  <c r="X314" i="7"/>
  <c r="Z314" i="7"/>
  <c r="M314" i="11" s="1"/>
  <c r="A315" i="7"/>
  <c r="A315" i="11" s="1"/>
  <c r="B315" i="7"/>
  <c r="B315" i="11" s="1"/>
  <c r="C315" i="7"/>
  <c r="C315" i="11" s="1"/>
  <c r="D315" i="7"/>
  <c r="D315" i="11" s="1"/>
  <c r="E315" i="7"/>
  <c r="E315" i="11" s="1"/>
  <c r="F315" i="7"/>
  <c r="G315" i="7"/>
  <c r="I315" i="7"/>
  <c r="J315" i="7"/>
  <c r="L315" i="7"/>
  <c r="N315" i="7" s="1"/>
  <c r="F315" i="11" s="1"/>
  <c r="H315" i="11" s="1"/>
  <c r="M315" i="7"/>
  <c r="O315" i="7"/>
  <c r="P315" i="7"/>
  <c r="R315" i="7"/>
  <c r="S315" i="7"/>
  <c r="W315" i="7"/>
  <c r="X315" i="7"/>
  <c r="Z315" i="7"/>
  <c r="M315" i="11" s="1"/>
  <c r="A316" i="7"/>
  <c r="A316" i="11" s="1"/>
  <c r="B316" i="7"/>
  <c r="B316" i="11" s="1"/>
  <c r="C316" i="7"/>
  <c r="C316" i="11" s="1"/>
  <c r="D316" i="7"/>
  <c r="D316" i="11" s="1"/>
  <c r="E316" i="7"/>
  <c r="E316" i="11" s="1"/>
  <c r="F316" i="7"/>
  <c r="G316" i="7"/>
  <c r="I316" i="7"/>
  <c r="J316" i="7"/>
  <c r="L316" i="7"/>
  <c r="N316" i="7" s="1"/>
  <c r="F316" i="11" s="1"/>
  <c r="H316" i="11" s="1"/>
  <c r="M316" i="7"/>
  <c r="O316" i="7"/>
  <c r="P316" i="7"/>
  <c r="R316" i="7"/>
  <c r="S316" i="7"/>
  <c r="W316" i="7"/>
  <c r="X316" i="7"/>
  <c r="Z316" i="7"/>
  <c r="M316" i="11" s="1"/>
  <c r="A317" i="7"/>
  <c r="A317" i="11" s="1"/>
  <c r="B317" i="7"/>
  <c r="B317" i="11" s="1"/>
  <c r="C317" i="7"/>
  <c r="C317" i="11" s="1"/>
  <c r="D317" i="7"/>
  <c r="D317" i="11" s="1"/>
  <c r="E317" i="7"/>
  <c r="E317" i="11" s="1"/>
  <c r="F317" i="7"/>
  <c r="G317" i="7"/>
  <c r="I317" i="7"/>
  <c r="J317" i="7"/>
  <c r="L317" i="7"/>
  <c r="M317" i="7"/>
  <c r="O317" i="7"/>
  <c r="P317" i="7"/>
  <c r="R317" i="7"/>
  <c r="S317" i="7"/>
  <c r="W317" i="7"/>
  <c r="X317" i="7"/>
  <c r="Z317" i="7"/>
  <c r="M317" i="11" s="1"/>
  <c r="A318" i="7"/>
  <c r="A318" i="11" s="1"/>
  <c r="B318" i="7"/>
  <c r="B318" i="11" s="1"/>
  <c r="C318" i="7"/>
  <c r="C318" i="11" s="1"/>
  <c r="D318" i="7"/>
  <c r="D318" i="11" s="1"/>
  <c r="E318" i="7"/>
  <c r="E318" i="11" s="1"/>
  <c r="F318" i="7"/>
  <c r="G318" i="7"/>
  <c r="I318" i="7"/>
  <c r="J318" i="7"/>
  <c r="L318" i="7"/>
  <c r="N318" i="7" s="1"/>
  <c r="F318" i="11" s="1"/>
  <c r="H318" i="11" s="1"/>
  <c r="M318" i="7"/>
  <c r="O318" i="7"/>
  <c r="P318" i="7"/>
  <c r="R318" i="7"/>
  <c r="S318" i="7"/>
  <c r="W318" i="7"/>
  <c r="X318" i="7"/>
  <c r="Z318" i="7"/>
  <c r="M318" i="11" s="1"/>
  <c r="A319" i="7"/>
  <c r="A319" i="11" s="1"/>
  <c r="B319" i="7"/>
  <c r="B319" i="11" s="1"/>
  <c r="C319" i="7"/>
  <c r="C319" i="11" s="1"/>
  <c r="D319" i="7"/>
  <c r="D319" i="11" s="1"/>
  <c r="E319" i="7"/>
  <c r="E319" i="11" s="1"/>
  <c r="F319" i="7"/>
  <c r="G319" i="7"/>
  <c r="I319" i="7"/>
  <c r="J319" i="7"/>
  <c r="L319" i="7"/>
  <c r="M319" i="7"/>
  <c r="O319" i="7"/>
  <c r="P319" i="7"/>
  <c r="R319" i="7"/>
  <c r="S319" i="7"/>
  <c r="W319" i="7"/>
  <c r="X319" i="7"/>
  <c r="Z319" i="7"/>
  <c r="M319" i="11" s="1"/>
  <c r="A320" i="7"/>
  <c r="A320" i="11" s="1"/>
  <c r="B320" i="7"/>
  <c r="B320" i="11" s="1"/>
  <c r="C320" i="7"/>
  <c r="C320" i="11" s="1"/>
  <c r="D320" i="7"/>
  <c r="D320" i="11" s="1"/>
  <c r="E320" i="7"/>
  <c r="E320" i="11" s="1"/>
  <c r="F320" i="7"/>
  <c r="G320" i="7"/>
  <c r="I320" i="7"/>
  <c r="J320" i="7"/>
  <c r="L320" i="7"/>
  <c r="N320" i="7" s="1"/>
  <c r="F320" i="11" s="1"/>
  <c r="H320" i="11" s="1"/>
  <c r="M320" i="7"/>
  <c r="O320" i="7"/>
  <c r="P320" i="7"/>
  <c r="R320" i="7"/>
  <c r="S320" i="7"/>
  <c r="W320" i="7"/>
  <c r="X320" i="7"/>
  <c r="Z320" i="7"/>
  <c r="M320" i="11" s="1"/>
  <c r="A321" i="7"/>
  <c r="A321" i="11" s="1"/>
  <c r="B321" i="7"/>
  <c r="B321" i="11" s="1"/>
  <c r="C321" i="7"/>
  <c r="C321" i="11" s="1"/>
  <c r="D321" i="7"/>
  <c r="D321" i="11" s="1"/>
  <c r="E321" i="7"/>
  <c r="E321" i="11" s="1"/>
  <c r="F321" i="7"/>
  <c r="G321" i="7"/>
  <c r="I321" i="7"/>
  <c r="J321" i="7"/>
  <c r="L321" i="7"/>
  <c r="N321" i="7" s="1"/>
  <c r="F321" i="11" s="1"/>
  <c r="H321" i="11" s="1"/>
  <c r="M321" i="7"/>
  <c r="O321" i="7"/>
  <c r="P321" i="7"/>
  <c r="R321" i="7"/>
  <c r="S321" i="7"/>
  <c r="W321" i="7"/>
  <c r="X321" i="7"/>
  <c r="Z321" i="7"/>
  <c r="M321" i="11" s="1"/>
  <c r="A322" i="7"/>
  <c r="A322" i="11" s="1"/>
  <c r="B322" i="7"/>
  <c r="B322" i="11" s="1"/>
  <c r="C322" i="7"/>
  <c r="C322" i="11" s="1"/>
  <c r="D322" i="7"/>
  <c r="D322" i="11" s="1"/>
  <c r="E322" i="7"/>
  <c r="E322" i="11" s="1"/>
  <c r="F322" i="7"/>
  <c r="G322" i="7"/>
  <c r="I322" i="7"/>
  <c r="J322" i="7"/>
  <c r="L322" i="7"/>
  <c r="M322" i="7"/>
  <c r="O322" i="7"/>
  <c r="P322" i="7"/>
  <c r="R322" i="7"/>
  <c r="S322" i="7"/>
  <c r="W322" i="7"/>
  <c r="X322" i="7"/>
  <c r="Z322" i="7"/>
  <c r="M322" i="11" s="1"/>
  <c r="A323" i="7"/>
  <c r="A323" i="11" s="1"/>
  <c r="B323" i="7"/>
  <c r="B323" i="11" s="1"/>
  <c r="C323" i="7"/>
  <c r="C323" i="11" s="1"/>
  <c r="D323" i="7"/>
  <c r="D323" i="11" s="1"/>
  <c r="E323" i="7"/>
  <c r="E323" i="11" s="1"/>
  <c r="F323" i="7"/>
  <c r="G323" i="7"/>
  <c r="I323" i="7"/>
  <c r="J323" i="7"/>
  <c r="L323" i="7"/>
  <c r="M323" i="7"/>
  <c r="O323" i="7"/>
  <c r="P323" i="7"/>
  <c r="R323" i="7"/>
  <c r="S323" i="7"/>
  <c r="W323" i="7"/>
  <c r="X323" i="7"/>
  <c r="Z323" i="7"/>
  <c r="M323" i="11" s="1"/>
  <c r="A324" i="7"/>
  <c r="A324" i="11" s="1"/>
  <c r="B324" i="7"/>
  <c r="B324" i="11" s="1"/>
  <c r="C324" i="7"/>
  <c r="C324" i="11" s="1"/>
  <c r="D324" i="7"/>
  <c r="D324" i="11" s="1"/>
  <c r="E324" i="7"/>
  <c r="E324" i="11" s="1"/>
  <c r="F324" i="7"/>
  <c r="G324" i="7"/>
  <c r="I324" i="7"/>
  <c r="J324" i="7"/>
  <c r="L324" i="7"/>
  <c r="M324" i="7"/>
  <c r="O324" i="7"/>
  <c r="P324" i="7"/>
  <c r="R324" i="7"/>
  <c r="S324" i="7"/>
  <c r="W324" i="7"/>
  <c r="X324" i="7"/>
  <c r="Z324" i="7"/>
  <c r="M324" i="11" s="1"/>
  <c r="A325" i="7"/>
  <c r="A325" i="11" s="1"/>
  <c r="B325" i="7"/>
  <c r="B325" i="11" s="1"/>
  <c r="C325" i="7"/>
  <c r="C325" i="11" s="1"/>
  <c r="D325" i="7"/>
  <c r="D325" i="11" s="1"/>
  <c r="E325" i="7"/>
  <c r="E325" i="11" s="1"/>
  <c r="F325" i="7"/>
  <c r="G325" i="7"/>
  <c r="I325" i="7"/>
  <c r="J325" i="7"/>
  <c r="L325" i="7"/>
  <c r="N325" i="7" s="1"/>
  <c r="F325" i="11" s="1"/>
  <c r="H325" i="11" s="1"/>
  <c r="M325" i="7"/>
  <c r="O325" i="7"/>
  <c r="P325" i="7"/>
  <c r="R325" i="7"/>
  <c r="S325" i="7"/>
  <c r="W325" i="7"/>
  <c r="X325" i="7"/>
  <c r="Z325" i="7"/>
  <c r="M325" i="11" s="1"/>
  <c r="A326" i="7"/>
  <c r="A326" i="11" s="1"/>
  <c r="B326" i="7"/>
  <c r="B326" i="11" s="1"/>
  <c r="C326" i="7"/>
  <c r="C326" i="11" s="1"/>
  <c r="D326" i="7"/>
  <c r="D326" i="11" s="1"/>
  <c r="E326" i="7"/>
  <c r="E326" i="11" s="1"/>
  <c r="F326" i="7"/>
  <c r="G326" i="7"/>
  <c r="I326" i="7"/>
  <c r="J326" i="7"/>
  <c r="L326" i="7"/>
  <c r="N326" i="7" s="1"/>
  <c r="F326" i="11" s="1"/>
  <c r="H326" i="11" s="1"/>
  <c r="M326" i="7"/>
  <c r="O326" i="7"/>
  <c r="P326" i="7"/>
  <c r="R326" i="7"/>
  <c r="S326" i="7"/>
  <c r="W326" i="7"/>
  <c r="X326" i="7"/>
  <c r="Z326" i="7"/>
  <c r="M326" i="11" s="1"/>
  <c r="A327" i="7"/>
  <c r="A327" i="11" s="1"/>
  <c r="B327" i="7"/>
  <c r="B327" i="11" s="1"/>
  <c r="C327" i="7"/>
  <c r="C327" i="11" s="1"/>
  <c r="D327" i="7"/>
  <c r="D327" i="11" s="1"/>
  <c r="E327" i="7"/>
  <c r="E327" i="11" s="1"/>
  <c r="F327" i="7"/>
  <c r="G327" i="7"/>
  <c r="I327" i="7"/>
  <c r="J327" i="7"/>
  <c r="L327" i="7"/>
  <c r="M327" i="7"/>
  <c r="O327" i="7"/>
  <c r="P327" i="7"/>
  <c r="R327" i="7"/>
  <c r="S327" i="7"/>
  <c r="W327" i="7"/>
  <c r="X327" i="7"/>
  <c r="Z327" i="7"/>
  <c r="M327" i="11" s="1"/>
  <c r="A328" i="7"/>
  <c r="A328" i="11" s="1"/>
  <c r="B328" i="7"/>
  <c r="B328" i="11" s="1"/>
  <c r="C328" i="7"/>
  <c r="C328" i="11" s="1"/>
  <c r="D328" i="7"/>
  <c r="D328" i="11" s="1"/>
  <c r="E328" i="7"/>
  <c r="E328" i="11" s="1"/>
  <c r="F328" i="7"/>
  <c r="G328" i="7"/>
  <c r="I328" i="7"/>
  <c r="J328" i="7"/>
  <c r="L328" i="7"/>
  <c r="M328" i="7"/>
  <c r="O328" i="7"/>
  <c r="P328" i="7"/>
  <c r="R328" i="7"/>
  <c r="S328" i="7"/>
  <c r="W328" i="7"/>
  <c r="X328" i="7"/>
  <c r="Z328" i="7"/>
  <c r="M328" i="11" s="1"/>
  <c r="A329" i="7"/>
  <c r="A329" i="11" s="1"/>
  <c r="B329" i="7"/>
  <c r="B329" i="11" s="1"/>
  <c r="C329" i="7"/>
  <c r="C329" i="11" s="1"/>
  <c r="D329" i="7"/>
  <c r="D329" i="11" s="1"/>
  <c r="E329" i="7"/>
  <c r="E329" i="11" s="1"/>
  <c r="F329" i="7"/>
  <c r="G329" i="7"/>
  <c r="I329" i="7"/>
  <c r="J329" i="7"/>
  <c r="L329" i="7"/>
  <c r="M329" i="7"/>
  <c r="O329" i="7"/>
  <c r="P329" i="7"/>
  <c r="R329" i="7"/>
  <c r="S329" i="7"/>
  <c r="W329" i="7"/>
  <c r="X329" i="7"/>
  <c r="Z329" i="7"/>
  <c r="M329" i="11" s="1"/>
  <c r="A330" i="7"/>
  <c r="A330" i="11" s="1"/>
  <c r="B330" i="7"/>
  <c r="B330" i="11" s="1"/>
  <c r="C330" i="7"/>
  <c r="C330" i="11" s="1"/>
  <c r="D330" i="7"/>
  <c r="D330" i="11" s="1"/>
  <c r="E330" i="7"/>
  <c r="E330" i="11" s="1"/>
  <c r="F330" i="7"/>
  <c r="G330" i="7"/>
  <c r="I330" i="7"/>
  <c r="J330" i="7"/>
  <c r="L330" i="7"/>
  <c r="N330" i="7" s="1"/>
  <c r="F330" i="11" s="1"/>
  <c r="H330" i="11" s="1"/>
  <c r="M330" i="7"/>
  <c r="O330" i="7"/>
  <c r="P330" i="7"/>
  <c r="R330" i="7"/>
  <c r="S330" i="7"/>
  <c r="W330" i="7"/>
  <c r="X330" i="7"/>
  <c r="Z330" i="7"/>
  <c r="M330" i="11" s="1"/>
  <c r="A331" i="7"/>
  <c r="A331" i="11" s="1"/>
  <c r="B331" i="7"/>
  <c r="B331" i="11" s="1"/>
  <c r="C331" i="7"/>
  <c r="C331" i="11" s="1"/>
  <c r="D331" i="7"/>
  <c r="D331" i="11" s="1"/>
  <c r="E331" i="7"/>
  <c r="E331" i="11" s="1"/>
  <c r="F331" i="7"/>
  <c r="G331" i="7"/>
  <c r="I331" i="7"/>
  <c r="J331" i="7"/>
  <c r="L331" i="7"/>
  <c r="M331" i="7"/>
  <c r="O331" i="7"/>
  <c r="P331" i="7"/>
  <c r="R331" i="7"/>
  <c r="S331" i="7"/>
  <c r="W331" i="7"/>
  <c r="X331" i="7"/>
  <c r="Z331" i="7"/>
  <c r="M331" i="11" s="1"/>
  <c r="A332" i="7"/>
  <c r="A332" i="11" s="1"/>
  <c r="B332" i="7"/>
  <c r="B332" i="11" s="1"/>
  <c r="C332" i="7"/>
  <c r="C332" i="11" s="1"/>
  <c r="D332" i="7"/>
  <c r="D332" i="11" s="1"/>
  <c r="E332" i="7"/>
  <c r="E332" i="11" s="1"/>
  <c r="F332" i="7"/>
  <c r="G332" i="7"/>
  <c r="I332" i="7"/>
  <c r="J332" i="7"/>
  <c r="L332" i="7"/>
  <c r="N332" i="7" s="1"/>
  <c r="F332" i="11" s="1"/>
  <c r="H332" i="11" s="1"/>
  <c r="M332" i="7"/>
  <c r="O332" i="7"/>
  <c r="P332" i="7"/>
  <c r="R332" i="7"/>
  <c r="S332" i="7"/>
  <c r="W332" i="7"/>
  <c r="X332" i="7"/>
  <c r="Z332" i="7"/>
  <c r="M332" i="11" s="1"/>
  <c r="A333" i="7"/>
  <c r="A333" i="11" s="1"/>
  <c r="B333" i="7"/>
  <c r="B333" i="11" s="1"/>
  <c r="C333" i="7"/>
  <c r="C333" i="11" s="1"/>
  <c r="D333" i="7"/>
  <c r="D333" i="11" s="1"/>
  <c r="E333" i="7"/>
  <c r="E333" i="11" s="1"/>
  <c r="F333" i="7"/>
  <c r="G333" i="7"/>
  <c r="I333" i="7"/>
  <c r="J333" i="7"/>
  <c r="L333" i="7"/>
  <c r="M333" i="7"/>
  <c r="O333" i="7"/>
  <c r="Q333" i="7" s="1"/>
  <c r="P333" i="7"/>
  <c r="R333" i="7"/>
  <c r="S333" i="7"/>
  <c r="W333" i="7"/>
  <c r="X333" i="7"/>
  <c r="Z333" i="7"/>
  <c r="M333" i="11" s="1"/>
  <c r="A334" i="7"/>
  <c r="A334" i="11" s="1"/>
  <c r="B334" i="7"/>
  <c r="B334" i="11" s="1"/>
  <c r="C334" i="7"/>
  <c r="C334" i="11" s="1"/>
  <c r="D334" i="7"/>
  <c r="D334" i="11" s="1"/>
  <c r="E334" i="7"/>
  <c r="E334" i="11" s="1"/>
  <c r="F334" i="7"/>
  <c r="G334" i="7"/>
  <c r="I334" i="7"/>
  <c r="J334" i="7"/>
  <c r="L334" i="7"/>
  <c r="M334" i="7"/>
  <c r="O334" i="7"/>
  <c r="P334" i="7"/>
  <c r="R334" i="7"/>
  <c r="S334" i="7"/>
  <c r="W334" i="7"/>
  <c r="X334" i="7"/>
  <c r="Z334" i="7"/>
  <c r="M334" i="11" s="1"/>
  <c r="A335" i="7"/>
  <c r="A335" i="11" s="1"/>
  <c r="B335" i="7"/>
  <c r="B335" i="11" s="1"/>
  <c r="C335" i="7"/>
  <c r="C335" i="11" s="1"/>
  <c r="D335" i="7"/>
  <c r="D335" i="11" s="1"/>
  <c r="E335" i="7"/>
  <c r="E335" i="11" s="1"/>
  <c r="F335" i="7"/>
  <c r="G335" i="7"/>
  <c r="I335" i="7"/>
  <c r="J335" i="7"/>
  <c r="L335" i="7"/>
  <c r="M335" i="7"/>
  <c r="O335" i="7"/>
  <c r="P335" i="7"/>
  <c r="R335" i="7"/>
  <c r="S335" i="7"/>
  <c r="W335" i="7"/>
  <c r="X335" i="7"/>
  <c r="Z335" i="7"/>
  <c r="M335" i="11" s="1"/>
  <c r="A336" i="7"/>
  <c r="A336" i="11" s="1"/>
  <c r="B336" i="7"/>
  <c r="B336" i="11" s="1"/>
  <c r="C336" i="7"/>
  <c r="C336" i="11" s="1"/>
  <c r="D336" i="7"/>
  <c r="D336" i="11" s="1"/>
  <c r="E336" i="7"/>
  <c r="E336" i="11" s="1"/>
  <c r="F336" i="7"/>
  <c r="G336" i="7"/>
  <c r="I336" i="7"/>
  <c r="J336" i="7"/>
  <c r="L336" i="7"/>
  <c r="M336" i="7"/>
  <c r="O336" i="7"/>
  <c r="P336" i="7"/>
  <c r="R336" i="7"/>
  <c r="S336" i="7"/>
  <c r="W336" i="7"/>
  <c r="X336" i="7"/>
  <c r="Z336" i="7"/>
  <c r="M336" i="11" s="1"/>
  <c r="A337" i="7"/>
  <c r="A337" i="11" s="1"/>
  <c r="B337" i="7"/>
  <c r="B337" i="11" s="1"/>
  <c r="C337" i="7"/>
  <c r="C337" i="11" s="1"/>
  <c r="D337" i="7"/>
  <c r="D337" i="11" s="1"/>
  <c r="E337" i="7"/>
  <c r="E337" i="11" s="1"/>
  <c r="F337" i="7"/>
  <c r="G337" i="7"/>
  <c r="I337" i="7"/>
  <c r="J337" i="7"/>
  <c r="L337" i="7"/>
  <c r="M337" i="7"/>
  <c r="O337" i="7"/>
  <c r="P337" i="7"/>
  <c r="R337" i="7"/>
  <c r="S337" i="7"/>
  <c r="W337" i="7"/>
  <c r="X337" i="7"/>
  <c r="Z337" i="7"/>
  <c r="M337" i="11" s="1"/>
  <c r="A338" i="7"/>
  <c r="A338" i="11" s="1"/>
  <c r="B338" i="7"/>
  <c r="B338" i="11" s="1"/>
  <c r="C338" i="7"/>
  <c r="C338" i="11" s="1"/>
  <c r="D338" i="7"/>
  <c r="D338" i="11" s="1"/>
  <c r="E338" i="7"/>
  <c r="E338" i="11" s="1"/>
  <c r="F338" i="7"/>
  <c r="G338" i="7"/>
  <c r="I338" i="7"/>
  <c r="J338" i="7"/>
  <c r="L338" i="7"/>
  <c r="N338" i="7" s="1"/>
  <c r="F338" i="11" s="1"/>
  <c r="H338" i="11" s="1"/>
  <c r="M338" i="7"/>
  <c r="O338" i="7"/>
  <c r="P338" i="7"/>
  <c r="R338" i="7"/>
  <c r="S338" i="7"/>
  <c r="W338" i="7"/>
  <c r="X338" i="7"/>
  <c r="Z338" i="7"/>
  <c r="M338" i="11" s="1"/>
  <c r="A339" i="7"/>
  <c r="A339" i="11" s="1"/>
  <c r="B339" i="7"/>
  <c r="B339" i="11" s="1"/>
  <c r="C339" i="7"/>
  <c r="C339" i="11" s="1"/>
  <c r="D339" i="7"/>
  <c r="D339" i="11" s="1"/>
  <c r="E339" i="7"/>
  <c r="E339" i="11" s="1"/>
  <c r="F339" i="7"/>
  <c r="G339" i="7"/>
  <c r="I339" i="7"/>
  <c r="J339" i="7"/>
  <c r="L339" i="7"/>
  <c r="M339" i="7"/>
  <c r="O339" i="7"/>
  <c r="P339" i="7"/>
  <c r="R339" i="7"/>
  <c r="S339" i="7"/>
  <c r="W339" i="7"/>
  <c r="X339" i="7"/>
  <c r="Z339" i="7"/>
  <c r="M339" i="11" s="1"/>
  <c r="A340" i="7"/>
  <c r="A340" i="11" s="1"/>
  <c r="B340" i="7"/>
  <c r="B340" i="11" s="1"/>
  <c r="C340" i="7"/>
  <c r="C340" i="11" s="1"/>
  <c r="D340" i="7"/>
  <c r="D340" i="11" s="1"/>
  <c r="E340" i="7"/>
  <c r="E340" i="11" s="1"/>
  <c r="F340" i="7"/>
  <c r="G340" i="7"/>
  <c r="I340" i="7"/>
  <c r="J340" i="7"/>
  <c r="L340" i="7"/>
  <c r="M340" i="7"/>
  <c r="O340" i="7"/>
  <c r="Q340" i="7" s="1"/>
  <c r="P340" i="7"/>
  <c r="R340" i="7"/>
  <c r="S340" i="7"/>
  <c r="W340" i="7"/>
  <c r="X340" i="7"/>
  <c r="Z340" i="7"/>
  <c r="M340" i="11" s="1"/>
  <c r="A341" i="7"/>
  <c r="A341" i="11" s="1"/>
  <c r="B341" i="7"/>
  <c r="B341" i="11" s="1"/>
  <c r="C341" i="7"/>
  <c r="C341" i="11" s="1"/>
  <c r="D341" i="7"/>
  <c r="D341" i="11" s="1"/>
  <c r="E341" i="7"/>
  <c r="E341" i="11" s="1"/>
  <c r="F341" i="7"/>
  <c r="G341" i="7"/>
  <c r="I341" i="7"/>
  <c r="J341" i="7"/>
  <c r="L341" i="7"/>
  <c r="N341" i="7" s="1"/>
  <c r="F341" i="11" s="1"/>
  <c r="H341" i="11" s="1"/>
  <c r="M341" i="7"/>
  <c r="O341" i="7"/>
  <c r="P341" i="7"/>
  <c r="R341" i="7"/>
  <c r="T341" i="7" s="1"/>
  <c r="S341" i="7"/>
  <c r="W341" i="7"/>
  <c r="X341" i="7"/>
  <c r="Z341" i="7"/>
  <c r="M341" i="11" s="1"/>
  <c r="A342" i="7"/>
  <c r="A342" i="11" s="1"/>
  <c r="B342" i="7"/>
  <c r="B342" i="11" s="1"/>
  <c r="C342" i="7"/>
  <c r="C342" i="11" s="1"/>
  <c r="D342" i="7"/>
  <c r="D342" i="11" s="1"/>
  <c r="E342" i="7"/>
  <c r="E342" i="11" s="1"/>
  <c r="F342" i="7"/>
  <c r="G342" i="7"/>
  <c r="I342" i="7"/>
  <c r="J342" i="7"/>
  <c r="L342" i="7"/>
  <c r="N342" i="7" s="1"/>
  <c r="F342" i="11" s="1"/>
  <c r="H342" i="11" s="1"/>
  <c r="I342" i="11" s="1"/>
  <c r="M342" i="7"/>
  <c r="O342" i="7"/>
  <c r="P342" i="7"/>
  <c r="R342" i="7"/>
  <c r="S342" i="7"/>
  <c r="W342" i="7"/>
  <c r="X342" i="7"/>
  <c r="Z342" i="7"/>
  <c r="M342" i="11" s="1"/>
  <c r="A343" i="7"/>
  <c r="A343" i="11" s="1"/>
  <c r="B343" i="7"/>
  <c r="B343" i="11" s="1"/>
  <c r="C343" i="7"/>
  <c r="C343" i="11" s="1"/>
  <c r="D343" i="7"/>
  <c r="D343" i="11" s="1"/>
  <c r="E343" i="7"/>
  <c r="E343" i="11" s="1"/>
  <c r="F343" i="7"/>
  <c r="G343" i="7"/>
  <c r="I343" i="7"/>
  <c r="J343" i="7"/>
  <c r="L343" i="7"/>
  <c r="N343" i="7" s="1"/>
  <c r="F343" i="11" s="1"/>
  <c r="H343" i="11" s="1"/>
  <c r="M343" i="7"/>
  <c r="O343" i="7"/>
  <c r="Q343" i="7" s="1"/>
  <c r="P343" i="7"/>
  <c r="R343" i="7"/>
  <c r="S343" i="7"/>
  <c r="W343" i="7"/>
  <c r="X343" i="7"/>
  <c r="Z343" i="7"/>
  <c r="M343" i="11" s="1"/>
  <c r="A344" i="7"/>
  <c r="A344" i="11" s="1"/>
  <c r="B344" i="7"/>
  <c r="B344" i="11" s="1"/>
  <c r="C344" i="7"/>
  <c r="C344" i="11" s="1"/>
  <c r="D344" i="7"/>
  <c r="D344" i="11" s="1"/>
  <c r="E344" i="7"/>
  <c r="E344" i="11" s="1"/>
  <c r="F344" i="7"/>
  <c r="G344" i="7"/>
  <c r="I344" i="7"/>
  <c r="J344" i="7"/>
  <c r="L344" i="7"/>
  <c r="N344" i="7" s="1"/>
  <c r="F344" i="11" s="1"/>
  <c r="H344" i="11" s="1"/>
  <c r="M344" i="7"/>
  <c r="O344" i="7"/>
  <c r="P344" i="7"/>
  <c r="R344" i="7"/>
  <c r="T344" i="7" s="1"/>
  <c r="S344" i="7"/>
  <c r="W344" i="7"/>
  <c r="X344" i="7"/>
  <c r="Z344" i="7"/>
  <c r="M344" i="11" s="1"/>
  <c r="A345" i="7"/>
  <c r="A345" i="11" s="1"/>
  <c r="B345" i="7"/>
  <c r="B345" i="11" s="1"/>
  <c r="C345" i="7"/>
  <c r="C345" i="11" s="1"/>
  <c r="D345" i="7"/>
  <c r="D345" i="11" s="1"/>
  <c r="E345" i="7"/>
  <c r="E345" i="11" s="1"/>
  <c r="F345" i="7"/>
  <c r="G345" i="7"/>
  <c r="I345" i="7"/>
  <c r="J345" i="7"/>
  <c r="L345" i="7"/>
  <c r="N345" i="7" s="1"/>
  <c r="F345" i="11" s="1"/>
  <c r="H345" i="11" s="1"/>
  <c r="M345" i="7"/>
  <c r="O345" i="7"/>
  <c r="P345" i="7"/>
  <c r="R345" i="7"/>
  <c r="S345" i="7"/>
  <c r="W345" i="7"/>
  <c r="X345" i="7"/>
  <c r="Z345" i="7"/>
  <c r="M345" i="11" s="1"/>
  <c r="A346" i="7"/>
  <c r="A346" i="11" s="1"/>
  <c r="B346" i="7"/>
  <c r="B346" i="11" s="1"/>
  <c r="C346" i="7"/>
  <c r="C346" i="11" s="1"/>
  <c r="D346" i="7"/>
  <c r="D346" i="11" s="1"/>
  <c r="E346" i="7"/>
  <c r="E346" i="11" s="1"/>
  <c r="F346" i="7"/>
  <c r="G346" i="7"/>
  <c r="I346" i="7"/>
  <c r="J346" i="7"/>
  <c r="L346" i="7"/>
  <c r="N346" i="7" s="1"/>
  <c r="F346" i="11" s="1"/>
  <c r="H346" i="11" s="1"/>
  <c r="M346" i="7"/>
  <c r="O346" i="7"/>
  <c r="P346" i="7"/>
  <c r="R346" i="7"/>
  <c r="S346" i="7"/>
  <c r="W346" i="7"/>
  <c r="X346" i="7"/>
  <c r="Z346" i="7"/>
  <c r="M346" i="11" s="1"/>
  <c r="A347" i="7"/>
  <c r="A347" i="11" s="1"/>
  <c r="B347" i="7"/>
  <c r="B347" i="11" s="1"/>
  <c r="C347" i="7"/>
  <c r="C347" i="11" s="1"/>
  <c r="D347" i="7"/>
  <c r="D347" i="11" s="1"/>
  <c r="E347" i="7"/>
  <c r="E347" i="11" s="1"/>
  <c r="F347" i="7"/>
  <c r="G347" i="7"/>
  <c r="I347" i="7"/>
  <c r="J347" i="7"/>
  <c r="L347" i="7"/>
  <c r="M347" i="7"/>
  <c r="O347" i="7"/>
  <c r="P347" i="7"/>
  <c r="R347" i="7"/>
  <c r="S347" i="7"/>
  <c r="W347" i="7"/>
  <c r="X347" i="7"/>
  <c r="Z347" i="7"/>
  <c r="M347" i="11" s="1"/>
  <c r="A348" i="7"/>
  <c r="A348" i="11" s="1"/>
  <c r="B348" i="7"/>
  <c r="B348" i="11" s="1"/>
  <c r="C348" i="7"/>
  <c r="C348" i="11" s="1"/>
  <c r="D348" i="7"/>
  <c r="D348" i="11" s="1"/>
  <c r="E348" i="7"/>
  <c r="E348" i="11" s="1"/>
  <c r="F348" i="7"/>
  <c r="G348" i="7"/>
  <c r="I348" i="7"/>
  <c r="J348" i="7"/>
  <c r="L348" i="7"/>
  <c r="M348" i="7"/>
  <c r="O348" i="7"/>
  <c r="P348" i="7"/>
  <c r="R348" i="7"/>
  <c r="S348" i="7"/>
  <c r="W348" i="7"/>
  <c r="X348" i="7"/>
  <c r="Z348" i="7"/>
  <c r="M348" i="11" s="1"/>
  <c r="A349" i="7"/>
  <c r="A349" i="11" s="1"/>
  <c r="B349" i="7"/>
  <c r="B349" i="11" s="1"/>
  <c r="C349" i="7"/>
  <c r="C349" i="11" s="1"/>
  <c r="D349" i="7"/>
  <c r="D349" i="11" s="1"/>
  <c r="E349" i="7"/>
  <c r="E349" i="11" s="1"/>
  <c r="F349" i="7"/>
  <c r="G349" i="7"/>
  <c r="I349" i="7"/>
  <c r="J349" i="7"/>
  <c r="L349" i="7"/>
  <c r="M349" i="7"/>
  <c r="O349" i="7"/>
  <c r="P349" i="7"/>
  <c r="R349" i="7"/>
  <c r="S349" i="7"/>
  <c r="W349" i="7"/>
  <c r="X349" i="7"/>
  <c r="Z349" i="7"/>
  <c r="M349" i="11" s="1"/>
  <c r="A350" i="7"/>
  <c r="A350" i="11" s="1"/>
  <c r="B350" i="7"/>
  <c r="B350" i="11" s="1"/>
  <c r="C350" i="7"/>
  <c r="C350" i="11" s="1"/>
  <c r="D350" i="7"/>
  <c r="D350" i="11" s="1"/>
  <c r="E350" i="7"/>
  <c r="E350" i="11" s="1"/>
  <c r="F350" i="7"/>
  <c r="G350" i="7"/>
  <c r="I350" i="7"/>
  <c r="J350" i="7"/>
  <c r="L350" i="7"/>
  <c r="M350" i="7"/>
  <c r="O350" i="7"/>
  <c r="P350" i="7"/>
  <c r="R350" i="7"/>
  <c r="S350" i="7"/>
  <c r="W350" i="7"/>
  <c r="X350" i="7"/>
  <c r="Z350" i="7"/>
  <c r="M350" i="11" s="1"/>
  <c r="A351" i="7"/>
  <c r="A351" i="11" s="1"/>
  <c r="B351" i="7"/>
  <c r="B351" i="11" s="1"/>
  <c r="C351" i="7"/>
  <c r="C351" i="11" s="1"/>
  <c r="D351" i="7"/>
  <c r="D351" i="11" s="1"/>
  <c r="E351" i="7"/>
  <c r="E351" i="11" s="1"/>
  <c r="F351" i="7"/>
  <c r="G351" i="7"/>
  <c r="I351" i="7"/>
  <c r="J351" i="7"/>
  <c r="L351" i="7"/>
  <c r="M351" i="7"/>
  <c r="O351" i="7"/>
  <c r="P351" i="7"/>
  <c r="R351" i="7"/>
  <c r="T351" i="7" s="1"/>
  <c r="S351" i="7"/>
  <c r="W351" i="7"/>
  <c r="X351" i="7"/>
  <c r="Z351" i="7"/>
  <c r="M351" i="11" s="1"/>
  <c r="A352" i="7"/>
  <c r="A352" i="11" s="1"/>
  <c r="B352" i="7"/>
  <c r="B352" i="11" s="1"/>
  <c r="C352" i="7"/>
  <c r="C352" i="11" s="1"/>
  <c r="D352" i="7"/>
  <c r="D352" i="11" s="1"/>
  <c r="E352" i="7"/>
  <c r="E352" i="11" s="1"/>
  <c r="F352" i="7"/>
  <c r="G352" i="7"/>
  <c r="I352" i="7"/>
  <c r="J352" i="7"/>
  <c r="L352" i="7"/>
  <c r="N352" i="7" s="1"/>
  <c r="F352" i="11" s="1"/>
  <c r="H352" i="11" s="1"/>
  <c r="M352" i="7"/>
  <c r="O352" i="7"/>
  <c r="P352" i="7"/>
  <c r="R352" i="7"/>
  <c r="S352" i="7"/>
  <c r="W352" i="7"/>
  <c r="X352" i="7"/>
  <c r="Z352" i="7"/>
  <c r="M352" i="11" s="1"/>
  <c r="A353" i="7"/>
  <c r="A353" i="11" s="1"/>
  <c r="B353" i="7"/>
  <c r="B353" i="11" s="1"/>
  <c r="C353" i="7"/>
  <c r="C353" i="11" s="1"/>
  <c r="D353" i="7"/>
  <c r="D353" i="11" s="1"/>
  <c r="E353" i="7"/>
  <c r="E353" i="11" s="1"/>
  <c r="F353" i="7"/>
  <c r="G353" i="7"/>
  <c r="I353" i="7"/>
  <c r="J353" i="7"/>
  <c r="L353" i="7"/>
  <c r="N353" i="7" s="1"/>
  <c r="F353" i="11" s="1"/>
  <c r="H353" i="11" s="1"/>
  <c r="M353" i="7"/>
  <c r="O353" i="7"/>
  <c r="Q353" i="7" s="1"/>
  <c r="P353" i="7"/>
  <c r="R353" i="7"/>
  <c r="S353" i="7"/>
  <c r="W353" i="7"/>
  <c r="X353" i="7"/>
  <c r="Z353" i="7"/>
  <c r="M353" i="11" s="1"/>
  <c r="A354" i="7"/>
  <c r="A354" i="11" s="1"/>
  <c r="B354" i="7"/>
  <c r="B354" i="11" s="1"/>
  <c r="C354" i="7"/>
  <c r="C354" i="11" s="1"/>
  <c r="D354" i="7"/>
  <c r="D354" i="11" s="1"/>
  <c r="E354" i="7"/>
  <c r="E354" i="11" s="1"/>
  <c r="F354" i="7"/>
  <c r="G354" i="7"/>
  <c r="I354" i="7"/>
  <c r="J354" i="7"/>
  <c r="L354" i="7"/>
  <c r="M354" i="7"/>
  <c r="O354" i="7"/>
  <c r="P354" i="7"/>
  <c r="R354" i="7"/>
  <c r="T354" i="7" s="1"/>
  <c r="S354" i="7"/>
  <c r="W354" i="7"/>
  <c r="X354" i="7"/>
  <c r="Z354" i="7"/>
  <c r="M354" i="11" s="1"/>
  <c r="A355" i="7"/>
  <c r="A355" i="11" s="1"/>
  <c r="B355" i="7"/>
  <c r="B355" i="11" s="1"/>
  <c r="C355" i="7"/>
  <c r="C355" i="11" s="1"/>
  <c r="D355" i="7"/>
  <c r="D355" i="11" s="1"/>
  <c r="E355" i="7"/>
  <c r="E355" i="11" s="1"/>
  <c r="F355" i="7"/>
  <c r="G355" i="7"/>
  <c r="I355" i="7"/>
  <c r="J355" i="7"/>
  <c r="L355" i="7"/>
  <c r="N355" i="7" s="1"/>
  <c r="F355" i="11" s="1"/>
  <c r="H355" i="11" s="1"/>
  <c r="M355" i="7"/>
  <c r="O355" i="7"/>
  <c r="P355" i="7"/>
  <c r="R355" i="7"/>
  <c r="S355" i="7"/>
  <c r="W355" i="7"/>
  <c r="X355" i="7"/>
  <c r="Z355" i="7"/>
  <c r="M355" i="11" s="1"/>
  <c r="A356" i="7"/>
  <c r="A356" i="11" s="1"/>
  <c r="B356" i="7"/>
  <c r="B356" i="11" s="1"/>
  <c r="C356" i="7"/>
  <c r="C356" i="11" s="1"/>
  <c r="D356" i="7"/>
  <c r="D356" i="11" s="1"/>
  <c r="E356" i="7"/>
  <c r="E356" i="11" s="1"/>
  <c r="F356" i="7"/>
  <c r="G356" i="7"/>
  <c r="I356" i="7"/>
  <c r="J356" i="7"/>
  <c r="L356" i="7"/>
  <c r="N356" i="7" s="1"/>
  <c r="F356" i="11" s="1"/>
  <c r="H356" i="11" s="1"/>
  <c r="M356" i="7"/>
  <c r="O356" i="7"/>
  <c r="P356" i="7"/>
  <c r="R356" i="7"/>
  <c r="S356" i="7"/>
  <c r="W356" i="7"/>
  <c r="X356" i="7"/>
  <c r="Z356" i="7"/>
  <c r="M356" i="11" s="1"/>
  <c r="A357" i="7"/>
  <c r="A357" i="11" s="1"/>
  <c r="B357" i="7"/>
  <c r="B357" i="11" s="1"/>
  <c r="C357" i="7"/>
  <c r="C357" i="11" s="1"/>
  <c r="D357" i="7"/>
  <c r="D357" i="11" s="1"/>
  <c r="E357" i="7"/>
  <c r="E357" i="11" s="1"/>
  <c r="F357" i="7"/>
  <c r="G357" i="7"/>
  <c r="I357" i="7"/>
  <c r="J357" i="7"/>
  <c r="L357" i="7"/>
  <c r="N357" i="7" s="1"/>
  <c r="F357" i="11" s="1"/>
  <c r="H357" i="11" s="1"/>
  <c r="M357" i="7"/>
  <c r="O357" i="7"/>
  <c r="P357" i="7"/>
  <c r="R357" i="7"/>
  <c r="S357" i="7"/>
  <c r="W357" i="7"/>
  <c r="X357" i="7"/>
  <c r="Z357" i="7"/>
  <c r="M357" i="11" s="1"/>
  <c r="A358" i="7"/>
  <c r="A358" i="11" s="1"/>
  <c r="B358" i="7"/>
  <c r="B358" i="11" s="1"/>
  <c r="C358" i="7"/>
  <c r="C358" i="11" s="1"/>
  <c r="D358" i="7"/>
  <c r="D358" i="11" s="1"/>
  <c r="E358" i="7"/>
  <c r="E358" i="11" s="1"/>
  <c r="F358" i="7"/>
  <c r="G358" i="7"/>
  <c r="I358" i="7"/>
  <c r="J358" i="7"/>
  <c r="L358" i="7"/>
  <c r="N358" i="7" s="1"/>
  <c r="F358" i="11" s="1"/>
  <c r="H358" i="11" s="1"/>
  <c r="M358" i="7"/>
  <c r="O358" i="7"/>
  <c r="P358" i="7"/>
  <c r="R358" i="7"/>
  <c r="S358" i="7"/>
  <c r="W358" i="7"/>
  <c r="X358" i="7"/>
  <c r="Z358" i="7"/>
  <c r="M358" i="11" s="1"/>
  <c r="A359" i="7"/>
  <c r="A359" i="11" s="1"/>
  <c r="B359" i="7"/>
  <c r="B359" i="11" s="1"/>
  <c r="C359" i="7"/>
  <c r="C359" i="11" s="1"/>
  <c r="D359" i="7"/>
  <c r="D359" i="11" s="1"/>
  <c r="E359" i="7"/>
  <c r="E359" i="11" s="1"/>
  <c r="F359" i="7"/>
  <c r="G359" i="7"/>
  <c r="I359" i="7"/>
  <c r="J359" i="7"/>
  <c r="L359" i="7"/>
  <c r="M359" i="7"/>
  <c r="O359" i="7"/>
  <c r="P359" i="7"/>
  <c r="R359" i="7"/>
  <c r="S359" i="7"/>
  <c r="W359" i="7"/>
  <c r="X359" i="7"/>
  <c r="Z359" i="7"/>
  <c r="M359" i="11" s="1"/>
  <c r="A360" i="7"/>
  <c r="A360" i="11" s="1"/>
  <c r="B360" i="7"/>
  <c r="B360" i="11" s="1"/>
  <c r="C360" i="7"/>
  <c r="C360" i="11" s="1"/>
  <c r="D360" i="7"/>
  <c r="D360" i="11" s="1"/>
  <c r="E360" i="7"/>
  <c r="E360" i="11" s="1"/>
  <c r="F360" i="7"/>
  <c r="G360" i="7"/>
  <c r="I360" i="7"/>
  <c r="J360" i="7"/>
  <c r="L360" i="7"/>
  <c r="N360" i="7" s="1"/>
  <c r="F360" i="11" s="1"/>
  <c r="H360" i="11" s="1"/>
  <c r="M360" i="7"/>
  <c r="O360" i="7"/>
  <c r="Q360" i="7" s="1"/>
  <c r="P360" i="7"/>
  <c r="R360" i="7"/>
  <c r="S360" i="7"/>
  <c r="W360" i="7"/>
  <c r="X360" i="7"/>
  <c r="Z360" i="7"/>
  <c r="M360" i="11" s="1"/>
  <c r="A361" i="7"/>
  <c r="A361" i="11" s="1"/>
  <c r="B361" i="7"/>
  <c r="B361" i="11" s="1"/>
  <c r="C361" i="7"/>
  <c r="C361" i="11" s="1"/>
  <c r="D361" i="7"/>
  <c r="D361" i="11" s="1"/>
  <c r="E361" i="7"/>
  <c r="E361" i="11" s="1"/>
  <c r="F361" i="7"/>
  <c r="G361" i="7"/>
  <c r="I361" i="7"/>
  <c r="J361" i="7"/>
  <c r="L361" i="7"/>
  <c r="N361" i="7" s="1"/>
  <c r="F361" i="11" s="1"/>
  <c r="H361" i="11" s="1"/>
  <c r="M361" i="7"/>
  <c r="O361" i="7"/>
  <c r="P361" i="7"/>
  <c r="R361" i="7"/>
  <c r="T361" i="7" s="1"/>
  <c r="S361" i="7"/>
  <c r="W361" i="7"/>
  <c r="X361" i="7"/>
  <c r="Z361" i="7"/>
  <c r="M361" i="11" s="1"/>
  <c r="A362" i="7"/>
  <c r="A362" i="11" s="1"/>
  <c r="B362" i="7"/>
  <c r="B362" i="11" s="1"/>
  <c r="C362" i="7"/>
  <c r="C362" i="11" s="1"/>
  <c r="D362" i="7"/>
  <c r="D362" i="11" s="1"/>
  <c r="E362" i="7"/>
  <c r="E362" i="11" s="1"/>
  <c r="F362" i="7"/>
  <c r="G362" i="7"/>
  <c r="I362" i="7"/>
  <c r="J362" i="7"/>
  <c r="L362" i="7"/>
  <c r="M362" i="7"/>
  <c r="O362" i="7"/>
  <c r="P362" i="7"/>
  <c r="R362" i="7"/>
  <c r="S362" i="7"/>
  <c r="W362" i="7"/>
  <c r="X362" i="7"/>
  <c r="Z362" i="7"/>
  <c r="M362" i="11" s="1"/>
  <c r="A363" i="7"/>
  <c r="A363" i="11" s="1"/>
  <c r="B363" i="7"/>
  <c r="B363" i="11" s="1"/>
  <c r="C363" i="7"/>
  <c r="C363" i="11" s="1"/>
  <c r="D363" i="7"/>
  <c r="D363" i="11" s="1"/>
  <c r="E363" i="7"/>
  <c r="E363" i="11" s="1"/>
  <c r="F363" i="7"/>
  <c r="G363" i="7"/>
  <c r="I363" i="7"/>
  <c r="J363" i="7"/>
  <c r="L363" i="7"/>
  <c r="M363" i="7"/>
  <c r="O363" i="7"/>
  <c r="P363" i="7"/>
  <c r="R363" i="7"/>
  <c r="S363" i="7"/>
  <c r="W363" i="7"/>
  <c r="X363" i="7"/>
  <c r="Z363" i="7"/>
  <c r="M363" i="11" s="1"/>
  <c r="A364" i="7"/>
  <c r="A364" i="11" s="1"/>
  <c r="B364" i="7"/>
  <c r="B364" i="11" s="1"/>
  <c r="C364" i="7"/>
  <c r="C364" i="11" s="1"/>
  <c r="D364" i="7"/>
  <c r="D364" i="11" s="1"/>
  <c r="E364" i="7"/>
  <c r="E364" i="11" s="1"/>
  <c r="F364" i="7"/>
  <c r="G364" i="7"/>
  <c r="I364" i="7"/>
  <c r="J364" i="7"/>
  <c r="L364" i="7"/>
  <c r="M364" i="7"/>
  <c r="O364" i="7"/>
  <c r="P364" i="7"/>
  <c r="R364" i="7"/>
  <c r="S364" i="7"/>
  <c r="W364" i="7"/>
  <c r="X364" i="7"/>
  <c r="Z364" i="7"/>
  <c r="M364" i="11" s="1"/>
  <c r="A365" i="7"/>
  <c r="A365" i="11" s="1"/>
  <c r="B365" i="7"/>
  <c r="B365" i="11" s="1"/>
  <c r="C365" i="7"/>
  <c r="C365" i="11" s="1"/>
  <c r="D365" i="7"/>
  <c r="D365" i="11" s="1"/>
  <c r="E365" i="7"/>
  <c r="E365" i="11" s="1"/>
  <c r="F365" i="7"/>
  <c r="G365" i="7"/>
  <c r="I365" i="7"/>
  <c r="J365" i="7"/>
  <c r="L365" i="7"/>
  <c r="M365" i="7"/>
  <c r="O365" i="7"/>
  <c r="P365" i="7"/>
  <c r="R365" i="7"/>
  <c r="S365" i="7"/>
  <c r="W365" i="7"/>
  <c r="X365" i="7"/>
  <c r="Z365" i="7"/>
  <c r="M365" i="11" s="1"/>
  <c r="A366" i="7"/>
  <c r="A366" i="11" s="1"/>
  <c r="B366" i="7"/>
  <c r="B366" i="11" s="1"/>
  <c r="C366" i="7"/>
  <c r="C366" i="11" s="1"/>
  <c r="D366" i="7"/>
  <c r="D366" i="11" s="1"/>
  <c r="E366" i="7"/>
  <c r="E366" i="11" s="1"/>
  <c r="F366" i="7"/>
  <c r="G366" i="7"/>
  <c r="I366" i="7"/>
  <c r="J366" i="7"/>
  <c r="L366" i="7"/>
  <c r="M366" i="7"/>
  <c r="O366" i="7"/>
  <c r="P366" i="7"/>
  <c r="R366" i="7"/>
  <c r="S366" i="7"/>
  <c r="W366" i="7"/>
  <c r="X366" i="7"/>
  <c r="Z366" i="7"/>
  <c r="M366" i="11" s="1"/>
  <c r="A367" i="7"/>
  <c r="A367" i="11" s="1"/>
  <c r="B367" i="7"/>
  <c r="B367" i="11" s="1"/>
  <c r="C367" i="7"/>
  <c r="C367" i="11" s="1"/>
  <c r="D367" i="7"/>
  <c r="D367" i="11" s="1"/>
  <c r="E367" i="7"/>
  <c r="E367" i="11" s="1"/>
  <c r="F367" i="7"/>
  <c r="G367" i="7"/>
  <c r="I367" i="7"/>
  <c r="J367" i="7"/>
  <c r="L367" i="7"/>
  <c r="N367" i="7" s="1"/>
  <c r="F367" i="11" s="1"/>
  <c r="H367" i="11" s="1"/>
  <c r="M367" i="7"/>
  <c r="O367" i="7"/>
  <c r="P367" i="7"/>
  <c r="R367" i="7"/>
  <c r="S367" i="7"/>
  <c r="W367" i="7"/>
  <c r="X367" i="7"/>
  <c r="Z367" i="7"/>
  <c r="M367" i="11" s="1"/>
  <c r="A368" i="7"/>
  <c r="A368" i="11" s="1"/>
  <c r="B368" i="7"/>
  <c r="B368" i="11" s="1"/>
  <c r="C368" i="7"/>
  <c r="C368" i="11" s="1"/>
  <c r="D368" i="7"/>
  <c r="D368" i="11" s="1"/>
  <c r="E368" i="7"/>
  <c r="E368" i="11" s="1"/>
  <c r="F368" i="7"/>
  <c r="G368" i="7"/>
  <c r="I368" i="7"/>
  <c r="J368" i="7"/>
  <c r="L368" i="7"/>
  <c r="N368" i="7" s="1"/>
  <c r="F368" i="11" s="1"/>
  <c r="H368" i="11" s="1"/>
  <c r="M368" i="7"/>
  <c r="O368" i="7"/>
  <c r="P368" i="7"/>
  <c r="R368" i="7"/>
  <c r="S368" i="7"/>
  <c r="W368" i="7"/>
  <c r="X368" i="7"/>
  <c r="Z368" i="7"/>
  <c r="M368" i="11" s="1"/>
  <c r="A369" i="7"/>
  <c r="A369" i="11" s="1"/>
  <c r="B369" i="7"/>
  <c r="B369" i="11" s="1"/>
  <c r="C369" i="7"/>
  <c r="C369" i="11" s="1"/>
  <c r="D369" i="7"/>
  <c r="D369" i="11" s="1"/>
  <c r="E369" i="7"/>
  <c r="E369" i="11" s="1"/>
  <c r="F369" i="7"/>
  <c r="G369" i="7"/>
  <c r="I369" i="7"/>
  <c r="J369" i="7"/>
  <c r="L369" i="7"/>
  <c r="N369" i="7" s="1"/>
  <c r="F369" i="11" s="1"/>
  <c r="H369" i="11" s="1"/>
  <c r="M369" i="7"/>
  <c r="O369" i="7"/>
  <c r="P369" i="7"/>
  <c r="R369" i="7"/>
  <c r="S369" i="7"/>
  <c r="W369" i="7"/>
  <c r="X369" i="7"/>
  <c r="Z369" i="7"/>
  <c r="M369" i="11" s="1"/>
  <c r="A370" i="7"/>
  <c r="A370" i="11" s="1"/>
  <c r="B370" i="7"/>
  <c r="B370" i="11" s="1"/>
  <c r="C370" i="7"/>
  <c r="C370" i="11" s="1"/>
  <c r="D370" i="7"/>
  <c r="D370" i="11" s="1"/>
  <c r="E370" i="7"/>
  <c r="E370" i="11" s="1"/>
  <c r="F370" i="7"/>
  <c r="G370" i="7"/>
  <c r="I370" i="7"/>
  <c r="J370" i="7"/>
  <c r="L370" i="7"/>
  <c r="M370" i="7"/>
  <c r="O370" i="7"/>
  <c r="Q370" i="7" s="1"/>
  <c r="P370" i="7"/>
  <c r="R370" i="7"/>
  <c r="S370" i="7"/>
  <c r="W370" i="7"/>
  <c r="X370" i="7"/>
  <c r="Z370" i="7"/>
  <c r="M370" i="11" s="1"/>
  <c r="A371" i="7"/>
  <c r="A371" i="11" s="1"/>
  <c r="B371" i="7"/>
  <c r="B371" i="11" s="1"/>
  <c r="C371" i="7"/>
  <c r="C371" i="11" s="1"/>
  <c r="D371" i="7"/>
  <c r="D371" i="11" s="1"/>
  <c r="E371" i="7"/>
  <c r="E371" i="11" s="1"/>
  <c r="F371" i="7"/>
  <c r="G371" i="7"/>
  <c r="I371" i="7"/>
  <c r="J371" i="7"/>
  <c r="L371" i="7"/>
  <c r="N371" i="7" s="1"/>
  <c r="F371" i="11" s="1"/>
  <c r="H371" i="11" s="1"/>
  <c r="M371" i="7"/>
  <c r="O371" i="7"/>
  <c r="P371" i="7"/>
  <c r="R371" i="7"/>
  <c r="T371" i="7" s="1"/>
  <c r="S371" i="7"/>
  <c r="W371" i="7"/>
  <c r="X371" i="7"/>
  <c r="Z371" i="7"/>
  <c r="M371" i="11" s="1"/>
  <c r="A372" i="7"/>
  <c r="A372" i="11" s="1"/>
  <c r="B372" i="7"/>
  <c r="B372" i="11" s="1"/>
  <c r="C372" i="7"/>
  <c r="C372" i="11" s="1"/>
  <c r="D372" i="7"/>
  <c r="D372" i="11" s="1"/>
  <c r="E372" i="7"/>
  <c r="E372" i="11" s="1"/>
  <c r="F372" i="7"/>
  <c r="G372" i="7"/>
  <c r="I372" i="7"/>
  <c r="J372" i="7"/>
  <c r="L372" i="7"/>
  <c r="M372" i="7"/>
  <c r="O372" i="7"/>
  <c r="P372" i="7"/>
  <c r="R372" i="7"/>
  <c r="S372" i="7"/>
  <c r="W372" i="7"/>
  <c r="X372" i="7"/>
  <c r="Z372" i="7"/>
  <c r="M372" i="11" s="1"/>
  <c r="A373" i="7"/>
  <c r="A373" i="11" s="1"/>
  <c r="B373" i="7"/>
  <c r="B373" i="11" s="1"/>
  <c r="C373" i="7"/>
  <c r="C373" i="11" s="1"/>
  <c r="D373" i="7"/>
  <c r="D373" i="11" s="1"/>
  <c r="E373" i="7"/>
  <c r="E373" i="11" s="1"/>
  <c r="F373" i="7"/>
  <c r="G373" i="7"/>
  <c r="I373" i="7"/>
  <c r="J373" i="7"/>
  <c r="L373" i="7"/>
  <c r="M373" i="7"/>
  <c r="O373" i="7"/>
  <c r="Q373" i="7" s="1"/>
  <c r="P373" i="7"/>
  <c r="R373" i="7"/>
  <c r="S373" i="7"/>
  <c r="W373" i="7"/>
  <c r="X373" i="7"/>
  <c r="Z373" i="7"/>
  <c r="M373" i="11" s="1"/>
  <c r="A374" i="7"/>
  <c r="A374" i="11" s="1"/>
  <c r="B374" i="7"/>
  <c r="B374" i="11" s="1"/>
  <c r="C374" i="7"/>
  <c r="C374" i="11" s="1"/>
  <c r="D374" i="7"/>
  <c r="D374" i="11" s="1"/>
  <c r="E374" i="7"/>
  <c r="E374" i="11" s="1"/>
  <c r="F374" i="7"/>
  <c r="G374" i="7"/>
  <c r="I374" i="7"/>
  <c r="J374" i="7"/>
  <c r="L374" i="7"/>
  <c r="N374" i="7" s="1"/>
  <c r="F374" i="11" s="1"/>
  <c r="H374" i="11" s="1"/>
  <c r="M374" i="7"/>
  <c r="O374" i="7"/>
  <c r="P374" i="7"/>
  <c r="R374" i="7"/>
  <c r="T374" i="7" s="1"/>
  <c r="S374" i="7"/>
  <c r="W374" i="7"/>
  <c r="X374" i="7"/>
  <c r="Z374" i="7"/>
  <c r="M374" i="11" s="1"/>
  <c r="A375" i="7"/>
  <c r="A375" i="11" s="1"/>
  <c r="B375" i="7"/>
  <c r="B375" i="11" s="1"/>
  <c r="C375" i="7"/>
  <c r="C375" i="11" s="1"/>
  <c r="D375" i="7"/>
  <c r="D375" i="11" s="1"/>
  <c r="E375" i="7"/>
  <c r="E375" i="11" s="1"/>
  <c r="F375" i="7"/>
  <c r="G375" i="7"/>
  <c r="I375" i="7"/>
  <c r="J375" i="7"/>
  <c r="L375" i="7"/>
  <c r="N375" i="7" s="1"/>
  <c r="F375" i="11" s="1"/>
  <c r="H375" i="11" s="1"/>
  <c r="M375" i="7"/>
  <c r="O375" i="7"/>
  <c r="P375" i="7"/>
  <c r="R375" i="7"/>
  <c r="S375" i="7"/>
  <c r="W375" i="7"/>
  <c r="X375" i="7"/>
  <c r="Z375" i="7"/>
  <c r="M375" i="11" s="1"/>
  <c r="A376" i="7"/>
  <c r="A376" i="11" s="1"/>
  <c r="B376" i="7"/>
  <c r="B376" i="11" s="1"/>
  <c r="C376" i="7"/>
  <c r="C376" i="11" s="1"/>
  <c r="D376" i="7"/>
  <c r="D376" i="11" s="1"/>
  <c r="E376" i="7"/>
  <c r="E376" i="11" s="1"/>
  <c r="F376" i="7"/>
  <c r="G376" i="7"/>
  <c r="I376" i="7"/>
  <c r="J376" i="7"/>
  <c r="L376" i="7"/>
  <c r="M376" i="7"/>
  <c r="O376" i="7"/>
  <c r="P376" i="7"/>
  <c r="R376" i="7"/>
  <c r="S376" i="7"/>
  <c r="W376" i="7"/>
  <c r="X376" i="7"/>
  <c r="Z376" i="7"/>
  <c r="M376" i="11" s="1"/>
  <c r="A377" i="7"/>
  <c r="A377" i="11" s="1"/>
  <c r="B377" i="7"/>
  <c r="B377" i="11" s="1"/>
  <c r="C377" i="7"/>
  <c r="C377" i="11" s="1"/>
  <c r="D377" i="7"/>
  <c r="D377" i="11" s="1"/>
  <c r="E377" i="7"/>
  <c r="E377" i="11" s="1"/>
  <c r="F377" i="7"/>
  <c r="G377" i="7"/>
  <c r="I377" i="7"/>
  <c r="J377" i="7"/>
  <c r="L377" i="7"/>
  <c r="M377" i="7"/>
  <c r="O377" i="7"/>
  <c r="P377" i="7"/>
  <c r="R377" i="7"/>
  <c r="S377" i="7"/>
  <c r="W377" i="7"/>
  <c r="X377" i="7"/>
  <c r="Z377" i="7"/>
  <c r="M377" i="11" s="1"/>
  <c r="A378" i="7"/>
  <c r="A378" i="11" s="1"/>
  <c r="B378" i="7"/>
  <c r="B378" i="11" s="1"/>
  <c r="C378" i="7"/>
  <c r="C378" i="11" s="1"/>
  <c r="D378" i="7"/>
  <c r="D378" i="11" s="1"/>
  <c r="E378" i="7"/>
  <c r="E378" i="11" s="1"/>
  <c r="F378" i="7"/>
  <c r="G378" i="7"/>
  <c r="I378" i="7"/>
  <c r="J378" i="7"/>
  <c r="L378" i="7"/>
  <c r="M378" i="7"/>
  <c r="O378" i="7"/>
  <c r="P378" i="7"/>
  <c r="R378" i="7"/>
  <c r="S378" i="7"/>
  <c r="W378" i="7"/>
  <c r="X378" i="7"/>
  <c r="Z378" i="7"/>
  <c r="M378" i="11" s="1"/>
  <c r="A379" i="7"/>
  <c r="A379" i="11" s="1"/>
  <c r="B379" i="7"/>
  <c r="B379" i="11" s="1"/>
  <c r="C379" i="7"/>
  <c r="C379" i="11" s="1"/>
  <c r="D379" i="7"/>
  <c r="D379" i="11" s="1"/>
  <c r="E379" i="7"/>
  <c r="E379" i="11" s="1"/>
  <c r="F379" i="7"/>
  <c r="G379" i="7"/>
  <c r="I379" i="7"/>
  <c r="J379" i="7"/>
  <c r="L379" i="7"/>
  <c r="M379" i="7"/>
  <c r="O379" i="7"/>
  <c r="P379" i="7"/>
  <c r="R379" i="7"/>
  <c r="S379" i="7"/>
  <c r="W379" i="7"/>
  <c r="X379" i="7"/>
  <c r="Z379" i="7"/>
  <c r="M379" i="11" s="1"/>
  <c r="A380" i="7"/>
  <c r="A380" i="11" s="1"/>
  <c r="B380" i="7"/>
  <c r="B380" i="11" s="1"/>
  <c r="C380" i="7"/>
  <c r="C380" i="11" s="1"/>
  <c r="D380" i="7"/>
  <c r="D380" i="11" s="1"/>
  <c r="E380" i="7"/>
  <c r="E380" i="11" s="1"/>
  <c r="F380" i="7"/>
  <c r="G380" i="7"/>
  <c r="I380" i="7"/>
  <c r="J380" i="7"/>
  <c r="L380" i="7"/>
  <c r="N380" i="7" s="1"/>
  <c r="F380" i="11" s="1"/>
  <c r="H380" i="11" s="1"/>
  <c r="M380" i="7"/>
  <c r="O380" i="7"/>
  <c r="Q380" i="7" s="1"/>
  <c r="P380" i="7"/>
  <c r="R380" i="7"/>
  <c r="S380" i="7"/>
  <c r="W380" i="7"/>
  <c r="X380" i="7"/>
  <c r="Z380" i="7"/>
  <c r="M380" i="11" s="1"/>
  <c r="A381" i="7"/>
  <c r="A381" i="11" s="1"/>
  <c r="B381" i="7"/>
  <c r="B381" i="11" s="1"/>
  <c r="C381" i="7"/>
  <c r="C381" i="11" s="1"/>
  <c r="D381" i="7"/>
  <c r="D381" i="11" s="1"/>
  <c r="E381" i="7"/>
  <c r="E381" i="11" s="1"/>
  <c r="F381" i="7"/>
  <c r="G381" i="7"/>
  <c r="I381" i="7"/>
  <c r="J381" i="7"/>
  <c r="L381" i="7"/>
  <c r="N381" i="7" s="1"/>
  <c r="F381" i="11" s="1"/>
  <c r="H381" i="11" s="1"/>
  <c r="M381" i="7"/>
  <c r="O381" i="7"/>
  <c r="P381" i="7"/>
  <c r="R381" i="7"/>
  <c r="T381" i="7" s="1"/>
  <c r="S381" i="7"/>
  <c r="W381" i="7"/>
  <c r="X381" i="7"/>
  <c r="Z381" i="7"/>
  <c r="M381" i="11" s="1"/>
  <c r="A382" i="7"/>
  <c r="A382" i="11" s="1"/>
  <c r="B382" i="7"/>
  <c r="B382" i="11" s="1"/>
  <c r="C382" i="7"/>
  <c r="C382" i="11" s="1"/>
  <c r="D382" i="7"/>
  <c r="D382" i="11" s="1"/>
  <c r="E382" i="7"/>
  <c r="E382" i="11" s="1"/>
  <c r="F382" i="7"/>
  <c r="G382" i="7"/>
  <c r="I382" i="7"/>
  <c r="J382" i="7"/>
  <c r="L382" i="7"/>
  <c r="N382" i="7" s="1"/>
  <c r="F382" i="11" s="1"/>
  <c r="H382" i="11" s="1"/>
  <c r="M382" i="7"/>
  <c r="O382" i="7"/>
  <c r="P382" i="7"/>
  <c r="R382" i="7"/>
  <c r="S382" i="7"/>
  <c r="W382" i="7"/>
  <c r="X382" i="7"/>
  <c r="Z382" i="7"/>
  <c r="M382" i="11" s="1"/>
  <c r="A383" i="7"/>
  <c r="A383" i="11" s="1"/>
  <c r="B383" i="7"/>
  <c r="B383" i="11" s="1"/>
  <c r="C383" i="7"/>
  <c r="C383" i="11" s="1"/>
  <c r="D383" i="7"/>
  <c r="D383" i="11" s="1"/>
  <c r="E383" i="7"/>
  <c r="E383" i="11" s="1"/>
  <c r="F383" i="7"/>
  <c r="G383" i="7"/>
  <c r="I383" i="7"/>
  <c r="J383" i="7"/>
  <c r="L383" i="7"/>
  <c r="M383" i="7"/>
  <c r="O383" i="7"/>
  <c r="Q383" i="7" s="1"/>
  <c r="P383" i="7"/>
  <c r="R383" i="7"/>
  <c r="S383" i="7"/>
  <c r="W383" i="7"/>
  <c r="X383" i="7"/>
  <c r="Z383" i="7"/>
  <c r="M383" i="11" s="1"/>
  <c r="A384" i="7"/>
  <c r="A384" i="11" s="1"/>
  <c r="B384" i="7"/>
  <c r="B384" i="11" s="1"/>
  <c r="C384" i="7"/>
  <c r="C384" i="11" s="1"/>
  <c r="D384" i="7"/>
  <c r="D384" i="11" s="1"/>
  <c r="E384" i="7"/>
  <c r="E384" i="11" s="1"/>
  <c r="F384" i="7"/>
  <c r="G384" i="7"/>
  <c r="I384" i="7"/>
  <c r="J384" i="7"/>
  <c r="L384" i="7"/>
  <c r="N384" i="7" s="1"/>
  <c r="F384" i="11" s="1"/>
  <c r="H384" i="11" s="1"/>
  <c r="M384" i="7"/>
  <c r="O384" i="7"/>
  <c r="P384" i="7"/>
  <c r="R384" i="7"/>
  <c r="T384" i="7" s="1"/>
  <c r="S384" i="7"/>
  <c r="W384" i="7"/>
  <c r="X384" i="7"/>
  <c r="Z384" i="7"/>
  <c r="M384" i="11" s="1"/>
  <c r="A385" i="7"/>
  <c r="A385" i="11" s="1"/>
  <c r="B385" i="7"/>
  <c r="B385" i="11" s="1"/>
  <c r="C385" i="7"/>
  <c r="C385" i="11" s="1"/>
  <c r="D385" i="7"/>
  <c r="D385" i="11" s="1"/>
  <c r="E385" i="7"/>
  <c r="E385" i="11" s="1"/>
  <c r="F385" i="7"/>
  <c r="G385" i="7"/>
  <c r="I385" i="7"/>
  <c r="J385" i="7"/>
  <c r="L385" i="7"/>
  <c r="M385" i="7"/>
  <c r="O385" i="7"/>
  <c r="P385" i="7"/>
  <c r="R385" i="7"/>
  <c r="S385" i="7"/>
  <c r="W385" i="7"/>
  <c r="X385" i="7"/>
  <c r="Z385" i="7"/>
  <c r="M385" i="11" s="1"/>
  <c r="A386" i="7"/>
  <c r="A386" i="11" s="1"/>
  <c r="B386" i="7"/>
  <c r="B386" i="11" s="1"/>
  <c r="C386" i="7"/>
  <c r="C386" i="11" s="1"/>
  <c r="D386" i="7"/>
  <c r="D386" i="11" s="1"/>
  <c r="E386" i="7"/>
  <c r="E386" i="11" s="1"/>
  <c r="F386" i="7"/>
  <c r="G386" i="7"/>
  <c r="I386" i="7"/>
  <c r="J386" i="7"/>
  <c r="L386" i="7"/>
  <c r="N386" i="7" s="1"/>
  <c r="F386" i="11" s="1"/>
  <c r="H386" i="11" s="1"/>
  <c r="M386" i="7"/>
  <c r="O386" i="7"/>
  <c r="P386" i="7"/>
  <c r="R386" i="7"/>
  <c r="S386" i="7"/>
  <c r="W386" i="7"/>
  <c r="X386" i="7"/>
  <c r="Z386" i="7"/>
  <c r="M386" i="11" s="1"/>
  <c r="A387" i="7"/>
  <c r="A387" i="11" s="1"/>
  <c r="B387" i="7"/>
  <c r="B387" i="11" s="1"/>
  <c r="C387" i="7"/>
  <c r="C387" i="11" s="1"/>
  <c r="D387" i="7"/>
  <c r="D387" i="11" s="1"/>
  <c r="E387" i="7"/>
  <c r="E387" i="11" s="1"/>
  <c r="F387" i="7"/>
  <c r="G387" i="7"/>
  <c r="I387" i="7"/>
  <c r="J387" i="7"/>
  <c r="L387" i="7"/>
  <c r="N387" i="7" s="1"/>
  <c r="F387" i="11" s="1"/>
  <c r="H387" i="11" s="1"/>
  <c r="M387" i="7"/>
  <c r="O387" i="7"/>
  <c r="P387" i="7"/>
  <c r="R387" i="7"/>
  <c r="T387" i="7" s="1"/>
  <c r="S387" i="7"/>
  <c r="W387" i="7"/>
  <c r="X387" i="7"/>
  <c r="Z387" i="7"/>
  <c r="M387" i="11" s="1"/>
  <c r="A388" i="7"/>
  <c r="A388" i="11" s="1"/>
  <c r="B388" i="7"/>
  <c r="B388" i="11" s="1"/>
  <c r="C388" i="7"/>
  <c r="C388" i="11" s="1"/>
  <c r="D388" i="7"/>
  <c r="D388" i="11" s="1"/>
  <c r="E388" i="7"/>
  <c r="E388" i="11" s="1"/>
  <c r="F388" i="7"/>
  <c r="G388" i="7"/>
  <c r="I388" i="7"/>
  <c r="J388" i="7"/>
  <c r="L388" i="7"/>
  <c r="N388" i="7" s="1"/>
  <c r="F388" i="11" s="1"/>
  <c r="H388" i="11" s="1"/>
  <c r="M388" i="7"/>
  <c r="O388" i="7"/>
  <c r="P388" i="7"/>
  <c r="R388" i="7"/>
  <c r="S388" i="7"/>
  <c r="W388" i="7"/>
  <c r="X388" i="7"/>
  <c r="Z388" i="7"/>
  <c r="M388" i="11" s="1"/>
  <c r="A389" i="7"/>
  <c r="A389" i="11" s="1"/>
  <c r="B389" i="7"/>
  <c r="B389" i="11" s="1"/>
  <c r="C389" i="7"/>
  <c r="C389" i="11" s="1"/>
  <c r="D389" i="7"/>
  <c r="D389" i="11" s="1"/>
  <c r="E389" i="7"/>
  <c r="E389" i="11" s="1"/>
  <c r="F389" i="7"/>
  <c r="G389" i="7"/>
  <c r="I389" i="7"/>
  <c r="J389" i="7"/>
  <c r="L389" i="7"/>
  <c r="N389" i="7" s="1"/>
  <c r="F389" i="11" s="1"/>
  <c r="H389" i="11" s="1"/>
  <c r="M389" i="7"/>
  <c r="O389" i="7"/>
  <c r="P389" i="7"/>
  <c r="R389" i="7"/>
  <c r="S389" i="7"/>
  <c r="W389" i="7"/>
  <c r="X389" i="7"/>
  <c r="Z389" i="7"/>
  <c r="M389" i="11" s="1"/>
  <c r="A390" i="7"/>
  <c r="A390" i="11" s="1"/>
  <c r="B390" i="7"/>
  <c r="B390" i="11" s="1"/>
  <c r="C390" i="7"/>
  <c r="C390" i="11" s="1"/>
  <c r="D390" i="7"/>
  <c r="D390" i="11" s="1"/>
  <c r="E390" i="7"/>
  <c r="E390" i="11" s="1"/>
  <c r="F390" i="7"/>
  <c r="G390" i="7"/>
  <c r="I390" i="7"/>
  <c r="J390" i="7"/>
  <c r="L390" i="7"/>
  <c r="M390" i="7"/>
  <c r="O390" i="7"/>
  <c r="P390" i="7"/>
  <c r="R390" i="7"/>
  <c r="S390" i="7"/>
  <c r="W390" i="7"/>
  <c r="X390" i="7"/>
  <c r="Z390" i="7"/>
  <c r="M390" i="11" s="1"/>
  <c r="A391" i="7"/>
  <c r="A391" i="11" s="1"/>
  <c r="B391" i="7"/>
  <c r="B391" i="11" s="1"/>
  <c r="C391" i="7"/>
  <c r="C391" i="11" s="1"/>
  <c r="D391" i="7"/>
  <c r="D391" i="11" s="1"/>
  <c r="E391" i="7"/>
  <c r="E391" i="11" s="1"/>
  <c r="F391" i="7"/>
  <c r="G391" i="7"/>
  <c r="I391" i="7"/>
  <c r="J391" i="7"/>
  <c r="L391" i="7"/>
  <c r="M391" i="7"/>
  <c r="O391" i="7"/>
  <c r="P391" i="7"/>
  <c r="R391" i="7"/>
  <c r="S391" i="7"/>
  <c r="W391" i="7"/>
  <c r="X391" i="7"/>
  <c r="Z391" i="7"/>
  <c r="M391" i="11" s="1"/>
  <c r="A392" i="7"/>
  <c r="A392" i="11" s="1"/>
  <c r="B392" i="7"/>
  <c r="B392" i="11" s="1"/>
  <c r="C392" i="7"/>
  <c r="C392" i="11" s="1"/>
  <c r="D392" i="7"/>
  <c r="D392" i="11" s="1"/>
  <c r="E392" i="7"/>
  <c r="E392" i="11" s="1"/>
  <c r="F392" i="7"/>
  <c r="G392" i="7"/>
  <c r="I392" i="7"/>
  <c r="J392" i="7"/>
  <c r="L392" i="7"/>
  <c r="N392" i="7" s="1"/>
  <c r="F392" i="11" s="1"/>
  <c r="H392" i="11" s="1"/>
  <c r="M392" i="7"/>
  <c r="O392" i="7"/>
  <c r="P392" i="7"/>
  <c r="R392" i="7"/>
  <c r="S392" i="7"/>
  <c r="W392" i="7"/>
  <c r="X392" i="7"/>
  <c r="Z392" i="7"/>
  <c r="M392" i="11" s="1"/>
  <c r="A393" i="7"/>
  <c r="A393" i="11" s="1"/>
  <c r="B393" i="7"/>
  <c r="B393" i="11" s="1"/>
  <c r="C393" i="7"/>
  <c r="C393" i="11" s="1"/>
  <c r="D393" i="7"/>
  <c r="D393" i="11" s="1"/>
  <c r="E393" i="7"/>
  <c r="E393" i="11" s="1"/>
  <c r="F393" i="7"/>
  <c r="G393" i="7"/>
  <c r="I393" i="7"/>
  <c r="J393" i="7"/>
  <c r="L393" i="7"/>
  <c r="N393" i="7" s="1"/>
  <c r="F393" i="11" s="1"/>
  <c r="H393" i="11" s="1"/>
  <c r="M393" i="7"/>
  <c r="O393" i="7"/>
  <c r="Q393" i="7" s="1"/>
  <c r="P393" i="7"/>
  <c r="R393" i="7"/>
  <c r="S393" i="7"/>
  <c r="W393" i="7"/>
  <c r="X393" i="7"/>
  <c r="Z393" i="7"/>
  <c r="M393" i="11" s="1"/>
  <c r="A394" i="7"/>
  <c r="A394" i="11" s="1"/>
  <c r="B394" i="7"/>
  <c r="B394" i="11" s="1"/>
  <c r="C394" i="7"/>
  <c r="C394" i="11" s="1"/>
  <c r="D394" i="7"/>
  <c r="D394" i="11" s="1"/>
  <c r="E394" i="7"/>
  <c r="E394" i="11" s="1"/>
  <c r="F394" i="7"/>
  <c r="G394" i="7"/>
  <c r="I394" i="7"/>
  <c r="J394" i="7"/>
  <c r="L394" i="7"/>
  <c r="M394" i="7"/>
  <c r="O394" i="7"/>
  <c r="P394" i="7"/>
  <c r="R394" i="7"/>
  <c r="S394" i="7"/>
  <c r="W394" i="7"/>
  <c r="X394" i="7"/>
  <c r="Z394" i="7"/>
  <c r="M394" i="11" s="1"/>
  <c r="A395" i="7"/>
  <c r="A395" i="11" s="1"/>
  <c r="B395" i="7"/>
  <c r="B395" i="11" s="1"/>
  <c r="C395" i="7"/>
  <c r="C395" i="11" s="1"/>
  <c r="D395" i="7"/>
  <c r="D395" i="11" s="1"/>
  <c r="E395" i="7"/>
  <c r="E395" i="11" s="1"/>
  <c r="F395" i="7"/>
  <c r="G395" i="7"/>
  <c r="I395" i="7"/>
  <c r="J395" i="7"/>
  <c r="L395" i="7"/>
  <c r="M395" i="7"/>
  <c r="O395" i="7"/>
  <c r="P395" i="7"/>
  <c r="R395" i="7"/>
  <c r="S395" i="7"/>
  <c r="W395" i="7"/>
  <c r="X395" i="7"/>
  <c r="Z395" i="7"/>
  <c r="M395" i="11" s="1"/>
  <c r="A396" i="7"/>
  <c r="A396" i="11" s="1"/>
  <c r="B396" i="7"/>
  <c r="B396" i="11" s="1"/>
  <c r="C396" i="7"/>
  <c r="C396" i="11" s="1"/>
  <c r="D396" i="7"/>
  <c r="D396" i="11" s="1"/>
  <c r="E396" i="7"/>
  <c r="E396" i="11" s="1"/>
  <c r="F396" i="7"/>
  <c r="G396" i="7"/>
  <c r="I396" i="7"/>
  <c r="J396" i="7"/>
  <c r="L396" i="7"/>
  <c r="M396" i="7"/>
  <c r="O396" i="7"/>
  <c r="Q396" i="7" s="1"/>
  <c r="P396" i="7"/>
  <c r="R396" i="7"/>
  <c r="S396" i="7"/>
  <c r="W396" i="7"/>
  <c r="X396" i="7"/>
  <c r="Z396" i="7"/>
  <c r="M396" i="11" s="1"/>
  <c r="A397" i="7"/>
  <c r="A397" i="11" s="1"/>
  <c r="B397" i="7"/>
  <c r="B397" i="11" s="1"/>
  <c r="C397" i="7"/>
  <c r="C397" i="11" s="1"/>
  <c r="D397" i="7"/>
  <c r="D397" i="11" s="1"/>
  <c r="E397" i="7"/>
  <c r="E397" i="11" s="1"/>
  <c r="F397" i="7"/>
  <c r="G397" i="7"/>
  <c r="I397" i="7"/>
  <c r="J397" i="7"/>
  <c r="L397" i="7"/>
  <c r="M397" i="7"/>
  <c r="O397" i="7"/>
  <c r="P397" i="7"/>
  <c r="R397" i="7"/>
  <c r="T397" i="7" s="1"/>
  <c r="S397" i="7"/>
  <c r="W397" i="7"/>
  <c r="X397" i="7"/>
  <c r="Z397" i="7"/>
  <c r="M397" i="11" s="1"/>
  <c r="A398" i="7"/>
  <c r="A398" i="11" s="1"/>
  <c r="B398" i="7"/>
  <c r="B398" i="11" s="1"/>
  <c r="C398" i="7"/>
  <c r="C398" i="11" s="1"/>
  <c r="D398" i="7"/>
  <c r="D398" i="11" s="1"/>
  <c r="E398" i="7"/>
  <c r="E398" i="11" s="1"/>
  <c r="F398" i="7"/>
  <c r="G398" i="7"/>
  <c r="I398" i="7"/>
  <c r="J398" i="7"/>
  <c r="L398" i="7"/>
  <c r="N398" i="7" s="1"/>
  <c r="F398" i="11" s="1"/>
  <c r="H398" i="11" s="1"/>
  <c r="M398" i="7"/>
  <c r="O398" i="7"/>
  <c r="P398" i="7"/>
  <c r="R398" i="7"/>
  <c r="S398" i="7"/>
  <c r="W398" i="7"/>
  <c r="X398" i="7"/>
  <c r="Z398" i="7"/>
  <c r="M398" i="11" s="1"/>
  <c r="A399" i="7"/>
  <c r="A399" i="11" s="1"/>
  <c r="B399" i="7"/>
  <c r="B399" i="11" s="1"/>
  <c r="C399" i="7"/>
  <c r="C399" i="11" s="1"/>
  <c r="D399" i="7"/>
  <c r="D399" i="11" s="1"/>
  <c r="E399" i="7"/>
  <c r="E399" i="11" s="1"/>
  <c r="F399" i="7"/>
  <c r="G399" i="7"/>
  <c r="I399" i="7"/>
  <c r="J399" i="7"/>
  <c r="L399" i="7"/>
  <c r="N399" i="7" s="1"/>
  <c r="F399" i="11" s="1"/>
  <c r="H399" i="11" s="1"/>
  <c r="M399" i="7"/>
  <c r="O399" i="7"/>
  <c r="P399" i="7"/>
  <c r="R399" i="7"/>
  <c r="S399" i="7"/>
  <c r="W399" i="7"/>
  <c r="X399" i="7"/>
  <c r="Z399" i="7"/>
  <c r="M399" i="11" s="1"/>
  <c r="A400" i="7"/>
  <c r="A400" i="11" s="1"/>
  <c r="B400" i="7"/>
  <c r="B400" i="11" s="1"/>
  <c r="C400" i="7"/>
  <c r="C400" i="11" s="1"/>
  <c r="D400" i="7"/>
  <c r="D400" i="11" s="1"/>
  <c r="E400" i="7"/>
  <c r="E400" i="11" s="1"/>
  <c r="F400" i="7"/>
  <c r="G400" i="7"/>
  <c r="I400" i="7"/>
  <c r="J400" i="7"/>
  <c r="L400" i="7"/>
  <c r="N400" i="7" s="1"/>
  <c r="F400" i="11" s="1"/>
  <c r="H400" i="11" s="1"/>
  <c r="M400" i="7"/>
  <c r="O400" i="7"/>
  <c r="Q400" i="7" s="1"/>
  <c r="P400" i="7"/>
  <c r="R400" i="7"/>
  <c r="S400" i="7"/>
  <c r="W400" i="7"/>
  <c r="X400" i="7"/>
  <c r="Z400" i="7"/>
  <c r="M400" i="11" s="1"/>
  <c r="A401" i="7"/>
  <c r="A401" i="11" s="1"/>
  <c r="B401" i="7"/>
  <c r="B401" i="11" s="1"/>
  <c r="C401" i="7"/>
  <c r="C401" i="11" s="1"/>
  <c r="D401" i="7"/>
  <c r="D401" i="11" s="1"/>
  <c r="E401" i="7"/>
  <c r="E401" i="11" s="1"/>
  <c r="F401" i="7"/>
  <c r="G401" i="7"/>
  <c r="I401" i="7"/>
  <c r="J401" i="7"/>
  <c r="L401" i="7"/>
  <c r="M401" i="7"/>
  <c r="O401" i="7"/>
  <c r="P401" i="7"/>
  <c r="R401" i="7"/>
  <c r="T401" i="7" s="1"/>
  <c r="S401" i="7"/>
  <c r="W401" i="7"/>
  <c r="X401" i="7"/>
  <c r="Z401" i="7"/>
  <c r="M401" i="11" s="1"/>
  <c r="A402" i="7"/>
  <c r="A402" i="11" s="1"/>
  <c r="B402" i="7"/>
  <c r="B402" i="11" s="1"/>
  <c r="C402" i="7"/>
  <c r="C402" i="11" s="1"/>
  <c r="D402" i="7"/>
  <c r="D402" i="11" s="1"/>
  <c r="E402" i="7"/>
  <c r="E402" i="11" s="1"/>
  <c r="F402" i="7"/>
  <c r="G402" i="7"/>
  <c r="I402" i="7"/>
  <c r="J402" i="7"/>
  <c r="L402" i="7"/>
  <c r="N402" i="7" s="1"/>
  <c r="F402" i="11" s="1"/>
  <c r="H402" i="11" s="1"/>
  <c r="M402" i="7"/>
  <c r="O402" i="7"/>
  <c r="P402" i="7"/>
  <c r="R402" i="7"/>
  <c r="S402" i="7"/>
  <c r="W402" i="7"/>
  <c r="X402" i="7"/>
  <c r="Z402" i="7"/>
  <c r="M402" i="11" s="1"/>
  <c r="A403" i="7"/>
  <c r="A403" i="11" s="1"/>
  <c r="B403" i="7"/>
  <c r="B403" i="11" s="1"/>
  <c r="C403" i="7"/>
  <c r="C403" i="11" s="1"/>
  <c r="D403" i="7"/>
  <c r="D403" i="11" s="1"/>
  <c r="E403" i="7"/>
  <c r="E403" i="11" s="1"/>
  <c r="F403" i="7"/>
  <c r="G403" i="7"/>
  <c r="I403" i="7"/>
  <c r="J403" i="7"/>
  <c r="L403" i="7"/>
  <c r="M403" i="7"/>
  <c r="O403" i="7"/>
  <c r="Q403" i="7" s="1"/>
  <c r="P403" i="7"/>
  <c r="R403" i="7"/>
  <c r="S403" i="7"/>
  <c r="W403" i="7"/>
  <c r="X403" i="7"/>
  <c r="Z403" i="7"/>
  <c r="M403" i="11" s="1"/>
  <c r="A404" i="7"/>
  <c r="A404" i="11" s="1"/>
  <c r="B404" i="7"/>
  <c r="B404" i="11" s="1"/>
  <c r="C404" i="7"/>
  <c r="C404" i="11" s="1"/>
  <c r="D404" i="7"/>
  <c r="D404" i="11" s="1"/>
  <c r="E404" i="7"/>
  <c r="E404" i="11" s="1"/>
  <c r="F404" i="7"/>
  <c r="G404" i="7"/>
  <c r="I404" i="7"/>
  <c r="J404" i="7"/>
  <c r="L404" i="7"/>
  <c r="N404" i="7" s="1"/>
  <c r="F404" i="11" s="1"/>
  <c r="H404" i="11" s="1"/>
  <c r="M404" i="7"/>
  <c r="O404" i="7"/>
  <c r="P404" i="7"/>
  <c r="R404" i="7"/>
  <c r="T404" i="7" s="1"/>
  <c r="S404" i="7"/>
  <c r="W404" i="7"/>
  <c r="X404" i="7"/>
  <c r="Z404" i="7"/>
  <c r="M404" i="11" s="1"/>
  <c r="A405" i="7"/>
  <c r="A405" i="11" s="1"/>
  <c r="B405" i="7"/>
  <c r="B405" i="11" s="1"/>
  <c r="C405" i="7"/>
  <c r="C405" i="11" s="1"/>
  <c r="D405" i="7"/>
  <c r="D405" i="11" s="1"/>
  <c r="E405" i="7"/>
  <c r="E405" i="11" s="1"/>
  <c r="F405" i="7"/>
  <c r="G405" i="7"/>
  <c r="I405" i="7"/>
  <c r="J405" i="7"/>
  <c r="L405" i="7"/>
  <c r="N405" i="7" s="1"/>
  <c r="F405" i="11" s="1"/>
  <c r="H405" i="11" s="1"/>
  <c r="M405" i="7"/>
  <c r="O405" i="7"/>
  <c r="P405" i="7"/>
  <c r="R405" i="7"/>
  <c r="S405" i="7"/>
  <c r="W405" i="7"/>
  <c r="X405" i="7"/>
  <c r="Z405" i="7"/>
  <c r="M405" i="11" s="1"/>
  <c r="A406" i="7"/>
  <c r="A406" i="11" s="1"/>
  <c r="B406" i="7"/>
  <c r="B406" i="11" s="1"/>
  <c r="C406" i="7"/>
  <c r="C406" i="11" s="1"/>
  <c r="D406" i="7"/>
  <c r="D406" i="11" s="1"/>
  <c r="E406" i="7"/>
  <c r="E406" i="11" s="1"/>
  <c r="F406" i="7"/>
  <c r="G406" i="7"/>
  <c r="I406" i="7"/>
  <c r="J406" i="7"/>
  <c r="L406" i="7"/>
  <c r="N406" i="7" s="1"/>
  <c r="F406" i="11" s="1"/>
  <c r="H406" i="11" s="1"/>
  <c r="M406" i="7"/>
  <c r="O406" i="7"/>
  <c r="P406" i="7"/>
  <c r="R406" i="7"/>
  <c r="S406" i="7"/>
  <c r="W406" i="7"/>
  <c r="X406" i="7"/>
  <c r="Z406" i="7"/>
  <c r="M406" i="11" s="1"/>
  <c r="A407" i="7"/>
  <c r="A407" i="11" s="1"/>
  <c r="B407" i="7"/>
  <c r="B407" i="11" s="1"/>
  <c r="C407" i="7"/>
  <c r="C407" i="11" s="1"/>
  <c r="D407" i="7"/>
  <c r="D407" i="11" s="1"/>
  <c r="E407" i="7"/>
  <c r="E407" i="11" s="1"/>
  <c r="F407" i="7"/>
  <c r="G407" i="7"/>
  <c r="I407" i="7"/>
  <c r="J407" i="7"/>
  <c r="L407" i="7"/>
  <c r="N407" i="7" s="1"/>
  <c r="F407" i="11" s="1"/>
  <c r="H407" i="11" s="1"/>
  <c r="M407" i="7"/>
  <c r="O407" i="7"/>
  <c r="P407" i="7"/>
  <c r="R407" i="7"/>
  <c r="S407" i="7"/>
  <c r="W407" i="7"/>
  <c r="X407" i="7"/>
  <c r="Z407" i="7"/>
  <c r="M407" i="11" s="1"/>
  <c r="A408" i="7"/>
  <c r="A408" i="11" s="1"/>
  <c r="B408" i="7"/>
  <c r="B408" i="11" s="1"/>
  <c r="C408" i="7"/>
  <c r="C408" i="11" s="1"/>
  <c r="D408" i="7"/>
  <c r="D408" i="11" s="1"/>
  <c r="E408" i="7"/>
  <c r="E408" i="11" s="1"/>
  <c r="F408" i="7"/>
  <c r="G408" i="7"/>
  <c r="I408" i="7"/>
  <c r="J408" i="7"/>
  <c r="L408" i="7"/>
  <c r="M408" i="7"/>
  <c r="O408" i="7"/>
  <c r="P408" i="7"/>
  <c r="R408" i="7"/>
  <c r="S408" i="7"/>
  <c r="W408" i="7"/>
  <c r="X408" i="7"/>
  <c r="Z408" i="7"/>
  <c r="M408" i="11" s="1"/>
  <c r="A409" i="7"/>
  <c r="A409" i="11" s="1"/>
  <c r="B409" i="7"/>
  <c r="B409" i="11" s="1"/>
  <c r="C409" i="7"/>
  <c r="C409" i="11" s="1"/>
  <c r="D409" i="7"/>
  <c r="D409" i="11" s="1"/>
  <c r="E409" i="7"/>
  <c r="E409" i="11" s="1"/>
  <c r="F409" i="7"/>
  <c r="G409" i="7"/>
  <c r="I409" i="7"/>
  <c r="J409" i="7"/>
  <c r="L409" i="7"/>
  <c r="M409" i="7"/>
  <c r="O409" i="7"/>
  <c r="P409" i="7"/>
  <c r="R409" i="7"/>
  <c r="T409" i="7" s="1"/>
  <c r="S409" i="7"/>
  <c r="W409" i="7"/>
  <c r="X409" i="7"/>
  <c r="Z409" i="7"/>
  <c r="M409" i="11" s="1"/>
  <c r="A410" i="7"/>
  <c r="A410" i="11" s="1"/>
  <c r="B410" i="7"/>
  <c r="B410" i="11" s="1"/>
  <c r="C410" i="7"/>
  <c r="C410" i="11" s="1"/>
  <c r="D410" i="7"/>
  <c r="D410" i="11" s="1"/>
  <c r="E410" i="7"/>
  <c r="E410" i="11" s="1"/>
  <c r="F410" i="7"/>
  <c r="G410" i="7"/>
  <c r="I410" i="7"/>
  <c r="J410" i="7"/>
  <c r="L410" i="7"/>
  <c r="M410" i="7"/>
  <c r="O410" i="7"/>
  <c r="Q410" i="7" s="1"/>
  <c r="P410" i="7"/>
  <c r="R410" i="7"/>
  <c r="S410" i="7"/>
  <c r="W410" i="7"/>
  <c r="X410" i="7"/>
  <c r="Z410" i="7"/>
  <c r="M410" i="11" s="1"/>
  <c r="A411" i="7"/>
  <c r="A411" i="11" s="1"/>
  <c r="B411" i="7"/>
  <c r="B411" i="11" s="1"/>
  <c r="C411" i="7"/>
  <c r="C411" i="11" s="1"/>
  <c r="D411" i="7"/>
  <c r="D411" i="11" s="1"/>
  <c r="E411" i="7"/>
  <c r="E411" i="11" s="1"/>
  <c r="F411" i="7"/>
  <c r="G411" i="7"/>
  <c r="I411" i="7"/>
  <c r="J411" i="7"/>
  <c r="L411" i="7"/>
  <c r="M411" i="7"/>
  <c r="O411" i="7"/>
  <c r="P411" i="7"/>
  <c r="R411" i="7"/>
  <c r="S411" i="7"/>
  <c r="W411" i="7"/>
  <c r="X411" i="7"/>
  <c r="Z411" i="7"/>
  <c r="M411" i="11" s="1"/>
  <c r="A412" i="7"/>
  <c r="A412" i="11" s="1"/>
  <c r="B412" i="7"/>
  <c r="B412" i="11" s="1"/>
  <c r="C412" i="7"/>
  <c r="C412" i="11" s="1"/>
  <c r="D412" i="7"/>
  <c r="D412" i="11" s="1"/>
  <c r="E412" i="7"/>
  <c r="E412" i="11" s="1"/>
  <c r="F412" i="7"/>
  <c r="G412" i="7"/>
  <c r="I412" i="7"/>
  <c r="J412" i="7"/>
  <c r="L412" i="7"/>
  <c r="N412" i="7" s="1"/>
  <c r="F412" i="11" s="1"/>
  <c r="H412" i="11" s="1"/>
  <c r="M412" i="7"/>
  <c r="O412" i="7"/>
  <c r="P412" i="7"/>
  <c r="R412" i="7"/>
  <c r="S412" i="7"/>
  <c r="W412" i="7"/>
  <c r="X412" i="7"/>
  <c r="Z412" i="7"/>
  <c r="M412" i="11" s="1"/>
  <c r="A413" i="7"/>
  <c r="A413" i="11" s="1"/>
  <c r="B413" i="7"/>
  <c r="B413" i="11" s="1"/>
  <c r="C413" i="7"/>
  <c r="C413" i="11" s="1"/>
  <c r="D413" i="7"/>
  <c r="D413" i="11" s="1"/>
  <c r="E413" i="7"/>
  <c r="E413" i="11" s="1"/>
  <c r="F413" i="7"/>
  <c r="G413" i="7"/>
  <c r="I413" i="7"/>
  <c r="J413" i="7"/>
  <c r="L413" i="7"/>
  <c r="M413" i="7"/>
  <c r="O413" i="7"/>
  <c r="P413" i="7"/>
  <c r="R413" i="7"/>
  <c r="S413" i="7"/>
  <c r="W413" i="7"/>
  <c r="X413" i="7"/>
  <c r="Z413" i="7"/>
  <c r="M413" i="11" s="1"/>
  <c r="A414" i="7"/>
  <c r="A414" i="11" s="1"/>
  <c r="B414" i="7"/>
  <c r="B414" i="11" s="1"/>
  <c r="C414" i="7"/>
  <c r="C414" i="11" s="1"/>
  <c r="D414" i="7"/>
  <c r="D414" i="11" s="1"/>
  <c r="E414" i="7"/>
  <c r="E414" i="11" s="1"/>
  <c r="F414" i="7"/>
  <c r="G414" i="7"/>
  <c r="I414" i="7"/>
  <c r="J414" i="7"/>
  <c r="L414" i="7"/>
  <c r="M414" i="7"/>
  <c r="O414" i="7"/>
  <c r="P414" i="7"/>
  <c r="R414" i="7"/>
  <c r="S414" i="7"/>
  <c r="W414" i="7"/>
  <c r="X414" i="7"/>
  <c r="Z414" i="7"/>
  <c r="M414" i="11" s="1"/>
  <c r="A415" i="7"/>
  <c r="A415" i="11" s="1"/>
  <c r="B415" i="7"/>
  <c r="B415" i="11" s="1"/>
  <c r="C415" i="7"/>
  <c r="C415" i="11" s="1"/>
  <c r="D415" i="7"/>
  <c r="D415" i="11" s="1"/>
  <c r="E415" i="7"/>
  <c r="E415" i="11" s="1"/>
  <c r="F415" i="7"/>
  <c r="G415" i="7"/>
  <c r="I415" i="7"/>
  <c r="J415" i="7"/>
  <c r="L415" i="7"/>
  <c r="N415" i="7" s="1"/>
  <c r="F415" i="11" s="1"/>
  <c r="H415" i="11" s="1"/>
  <c r="M415" i="7"/>
  <c r="O415" i="7"/>
  <c r="P415" i="7"/>
  <c r="R415" i="7"/>
  <c r="S415" i="7"/>
  <c r="W415" i="7"/>
  <c r="X415" i="7"/>
  <c r="Z415" i="7"/>
  <c r="M415" i="11" s="1"/>
  <c r="A416" i="7"/>
  <c r="A416" i="11" s="1"/>
  <c r="B416" i="7"/>
  <c r="B416" i="11" s="1"/>
  <c r="C416" i="7"/>
  <c r="C416" i="11" s="1"/>
  <c r="D416" i="7"/>
  <c r="D416" i="11" s="1"/>
  <c r="E416" i="7"/>
  <c r="E416" i="11" s="1"/>
  <c r="F416" i="7"/>
  <c r="G416" i="7"/>
  <c r="I416" i="7"/>
  <c r="J416" i="7"/>
  <c r="L416" i="7"/>
  <c r="N416" i="7" s="1"/>
  <c r="F416" i="11" s="1"/>
  <c r="H416" i="11" s="1"/>
  <c r="M416" i="7"/>
  <c r="O416" i="7"/>
  <c r="P416" i="7"/>
  <c r="R416" i="7"/>
  <c r="S416" i="7"/>
  <c r="W416" i="7"/>
  <c r="X416" i="7"/>
  <c r="Z416" i="7"/>
  <c r="M416" i="11" s="1"/>
  <c r="A417" i="7"/>
  <c r="A417" i="11" s="1"/>
  <c r="B417" i="7"/>
  <c r="B417" i="11" s="1"/>
  <c r="C417" i="7"/>
  <c r="C417" i="11" s="1"/>
  <c r="D417" i="7"/>
  <c r="D417" i="11" s="1"/>
  <c r="E417" i="7"/>
  <c r="E417" i="11" s="1"/>
  <c r="F417" i="7"/>
  <c r="G417" i="7"/>
  <c r="I417" i="7"/>
  <c r="J417" i="7"/>
  <c r="L417" i="7"/>
  <c r="M417" i="7"/>
  <c r="O417" i="7"/>
  <c r="Q417" i="7" s="1"/>
  <c r="P417" i="7"/>
  <c r="R417" i="7"/>
  <c r="S417" i="7"/>
  <c r="W417" i="7"/>
  <c r="X417" i="7"/>
  <c r="Z417" i="7"/>
  <c r="M417" i="11" s="1"/>
  <c r="A418" i="7"/>
  <c r="A418" i="11" s="1"/>
  <c r="B418" i="7"/>
  <c r="B418" i="11" s="1"/>
  <c r="C418" i="7"/>
  <c r="C418" i="11" s="1"/>
  <c r="D418" i="7"/>
  <c r="D418" i="11" s="1"/>
  <c r="E418" i="7"/>
  <c r="E418" i="11" s="1"/>
  <c r="F418" i="7"/>
  <c r="G418" i="7"/>
  <c r="I418" i="7"/>
  <c r="J418" i="7"/>
  <c r="L418" i="7"/>
  <c r="N418" i="7" s="1"/>
  <c r="F418" i="11" s="1"/>
  <c r="H418" i="11" s="1"/>
  <c r="M418" i="7"/>
  <c r="O418" i="7"/>
  <c r="P418" i="7"/>
  <c r="R418" i="7"/>
  <c r="S418" i="7"/>
  <c r="W418" i="7"/>
  <c r="X418" i="7"/>
  <c r="Z418" i="7"/>
  <c r="M418" i="11" s="1"/>
  <c r="A419" i="7"/>
  <c r="A419" i="11" s="1"/>
  <c r="B419" i="7"/>
  <c r="B419" i="11" s="1"/>
  <c r="C419" i="7"/>
  <c r="C419" i="11" s="1"/>
  <c r="D419" i="7"/>
  <c r="D419" i="11" s="1"/>
  <c r="E419" i="7"/>
  <c r="E419" i="11" s="1"/>
  <c r="F419" i="7"/>
  <c r="G419" i="7"/>
  <c r="I419" i="7"/>
  <c r="J419" i="7"/>
  <c r="L419" i="7"/>
  <c r="N419" i="7" s="1"/>
  <c r="F419" i="11" s="1"/>
  <c r="H419" i="11" s="1"/>
  <c r="M419" i="7"/>
  <c r="O419" i="7"/>
  <c r="P419" i="7"/>
  <c r="R419" i="7"/>
  <c r="S419" i="7"/>
  <c r="W419" i="7"/>
  <c r="X419" i="7"/>
  <c r="Z419" i="7"/>
  <c r="M419" i="11" s="1"/>
  <c r="A420" i="7"/>
  <c r="A420" i="11" s="1"/>
  <c r="B420" i="7"/>
  <c r="B420" i="11" s="1"/>
  <c r="C420" i="7"/>
  <c r="C420" i="11" s="1"/>
  <c r="D420" i="7"/>
  <c r="D420" i="11" s="1"/>
  <c r="E420" i="7"/>
  <c r="E420" i="11" s="1"/>
  <c r="F420" i="7"/>
  <c r="G420" i="7"/>
  <c r="I420" i="7"/>
  <c r="J420" i="7"/>
  <c r="L420" i="7"/>
  <c r="N420" i="7" s="1"/>
  <c r="F420" i="11" s="1"/>
  <c r="H420" i="11" s="1"/>
  <c r="M420" i="7"/>
  <c r="O420" i="7"/>
  <c r="Q420" i="7" s="1"/>
  <c r="P420" i="7"/>
  <c r="R420" i="7"/>
  <c r="S420" i="7"/>
  <c r="W420" i="7"/>
  <c r="X420" i="7"/>
  <c r="Z420" i="7"/>
  <c r="M420" i="11" s="1"/>
  <c r="A421" i="7"/>
  <c r="A421" i="11" s="1"/>
  <c r="B421" i="7"/>
  <c r="B421" i="11" s="1"/>
  <c r="C421" i="7"/>
  <c r="C421" i="11" s="1"/>
  <c r="D421" i="7"/>
  <c r="D421" i="11" s="1"/>
  <c r="E421" i="7"/>
  <c r="E421" i="11" s="1"/>
  <c r="F421" i="7"/>
  <c r="G421" i="7"/>
  <c r="I421" i="7"/>
  <c r="J421" i="7"/>
  <c r="L421" i="7"/>
  <c r="M421" i="7"/>
  <c r="O421" i="7"/>
  <c r="P421" i="7"/>
  <c r="R421" i="7"/>
  <c r="T421" i="7" s="1"/>
  <c r="S421" i="7"/>
  <c r="W421" i="7"/>
  <c r="X421" i="7"/>
  <c r="Z421" i="7"/>
  <c r="M421" i="11" s="1"/>
  <c r="A422" i="7"/>
  <c r="A422" i="11" s="1"/>
  <c r="B422" i="7"/>
  <c r="B422" i="11" s="1"/>
  <c r="C422" i="7"/>
  <c r="C422" i="11" s="1"/>
  <c r="D422" i="7"/>
  <c r="D422" i="11" s="1"/>
  <c r="E422" i="7"/>
  <c r="E422" i="11" s="1"/>
  <c r="F422" i="7"/>
  <c r="G422" i="7"/>
  <c r="I422" i="7"/>
  <c r="J422" i="7"/>
  <c r="L422" i="7"/>
  <c r="M422" i="7"/>
  <c r="O422" i="7"/>
  <c r="P422" i="7"/>
  <c r="R422" i="7"/>
  <c r="S422" i="7"/>
  <c r="W422" i="7"/>
  <c r="X422" i="7"/>
  <c r="Z422" i="7"/>
  <c r="M422" i="11" s="1"/>
  <c r="A423" i="7"/>
  <c r="A423" i="11" s="1"/>
  <c r="B423" i="7"/>
  <c r="B423" i="11" s="1"/>
  <c r="C423" i="7"/>
  <c r="C423" i="11" s="1"/>
  <c r="D423" i="7"/>
  <c r="D423" i="11" s="1"/>
  <c r="E423" i="7"/>
  <c r="E423" i="11" s="1"/>
  <c r="F423" i="7"/>
  <c r="G423" i="7"/>
  <c r="I423" i="7"/>
  <c r="J423" i="7"/>
  <c r="L423" i="7"/>
  <c r="M423" i="7"/>
  <c r="O423" i="7"/>
  <c r="P423" i="7"/>
  <c r="R423" i="7"/>
  <c r="S423" i="7"/>
  <c r="W423" i="7"/>
  <c r="X423" i="7"/>
  <c r="Z423" i="7"/>
  <c r="M423" i="11" s="1"/>
  <c r="A424" i="7"/>
  <c r="A424" i="11" s="1"/>
  <c r="B424" i="7"/>
  <c r="B424" i="11" s="1"/>
  <c r="C424" i="7"/>
  <c r="C424" i="11" s="1"/>
  <c r="D424" i="7"/>
  <c r="D424" i="11" s="1"/>
  <c r="E424" i="7"/>
  <c r="E424" i="11" s="1"/>
  <c r="F424" i="7"/>
  <c r="G424" i="7"/>
  <c r="I424" i="7"/>
  <c r="J424" i="7"/>
  <c r="L424" i="7"/>
  <c r="M424" i="7"/>
  <c r="O424" i="7"/>
  <c r="P424" i="7"/>
  <c r="R424" i="7"/>
  <c r="S424" i="7"/>
  <c r="W424" i="7"/>
  <c r="X424" i="7"/>
  <c r="Z424" i="7"/>
  <c r="M424" i="11" s="1"/>
  <c r="A425" i="7"/>
  <c r="A425" i="11" s="1"/>
  <c r="B425" i="7"/>
  <c r="B425" i="11" s="1"/>
  <c r="C425" i="7"/>
  <c r="C425" i="11" s="1"/>
  <c r="D425" i="7"/>
  <c r="D425" i="11" s="1"/>
  <c r="E425" i="7"/>
  <c r="E425" i="11" s="1"/>
  <c r="F425" i="7"/>
  <c r="G425" i="7"/>
  <c r="I425" i="7"/>
  <c r="J425" i="7"/>
  <c r="L425" i="7"/>
  <c r="M425" i="7"/>
  <c r="O425" i="7"/>
  <c r="P425" i="7"/>
  <c r="R425" i="7"/>
  <c r="S425" i="7"/>
  <c r="W425" i="7"/>
  <c r="X425" i="7"/>
  <c r="Z425" i="7"/>
  <c r="M425" i="11" s="1"/>
  <c r="A426" i="7"/>
  <c r="A426" i="11" s="1"/>
  <c r="B426" i="7"/>
  <c r="B426" i="11" s="1"/>
  <c r="C426" i="7"/>
  <c r="C426" i="11" s="1"/>
  <c r="D426" i="7"/>
  <c r="D426" i="11" s="1"/>
  <c r="E426" i="7"/>
  <c r="E426" i="11" s="1"/>
  <c r="F426" i="7"/>
  <c r="G426" i="7"/>
  <c r="I426" i="7"/>
  <c r="J426" i="7"/>
  <c r="L426" i="7"/>
  <c r="N426" i="7" s="1"/>
  <c r="F426" i="11" s="1"/>
  <c r="H426" i="11" s="1"/>
  <c r="M426" i="7"/>
  <c r="O426" i="7"/>
  <c r="Q426" i="7" s="1"/>
  <c r="P426" i="7"/>
  <c r="R426" i="7"/>
  <c r="S426" i="7"/>
  <c r="W426" i="7"/>
  <c r="X426" i="7"/>
  <c r="Z426" i="7"/>
  <c r="M426" i="11" s="1"/>
  <c r="A427" i="7"/>
  <c r="A427" i="11" s="1"/>
  <c r="B427" i="7"/>
  <c r="B427" i="11" s="1"/>
  <c r="C427" i="7"/>
  <c r="C427" i="11" s="1"/>
  <c r="D427" i="7"/>
  <c r="D427" i="11" s="1"/>
  <c r="E427" i="7"/>
  <c r="E427" i="11" s="1"/>
  <c r="F427" i="7"/>
  <c r="G427" i="7"/>
  <c r="I427" i="7"/>
  <c r="J427" i="7"/>
  <c r="L427" i="7"/>
  <c r="N427" i="7" s="1"/>
  <c r="F427" i="11" s="1"/>
  <c r="H427" i="11" s="1"/>
  <c r="M427" i="7"/>
  <c r="O427" i="7"/>
  <c r="P427" i="7"/>
  <c r="R427" i="7"/>
  <c r="T427" i="7" s="1"/>
  <c r="S427" i="7"/>
  <c r="W427" i="7"/>
  <c r="X427" i="7"/>
  <c r="Z427" i="7"/>
  <c r="M427" i="11" s="1"/>
  <c r="A428" i="7"/>
  <c r="A428" i="11" s="1"/>
  <c r="B428" i="7"/>
  <c r="B428" i="11" s="1"/>
  <c r="C428" i="7"/>
  <c r="C428" i="11" s="1"/>
  <c r="D428" i="7"/>
  <c r="D428" i="11" s="1"/>
  <c r="E428" i="7"/>
  <c r="E428" i="11" s="1"/>
  <c r="F428" i="7"/>
  <c r="G428" i="7"/>
  <c r="I428" i="7"/>
  <c r="J428" i="7"/>
  <c r="L428" i="7"/>
  <c r="M428" i="7"/>
  <c r="O428" i="7"/>
  <c r="P428" i="7"/>
  <c r="R428" i="7"/>
  <c r="S428" i="7"/>
  <c r="W428" i="7"/>
  <c r="X428" i="7"/>
  <c r="Z428" i="7"/>
  <c r="M428" i="11" s="1"/>
  <c r="A429" i="7"/>
  <c r="A429" i="11" s="1"/>
  <c r="B429" i="7"/>
  <c r="B429" i="11" s="1"/>
  <c r="C429" i="7"/>
  <c r="C429" i="11" s="1"/>
  <c r="D429" i="7"/>
  <c r="D429" i="11" s="1"/>
  <c r="E429" i="7"/>
  <c r="E429" i="11" s="1"/>
  <c r="F429" i="7"/>
  <c r="G429" i="7"/>
  <c r="I429" i="7"/>
  <c r="J429" i="7"/>
  <c r="L429" i="7"/>
  <c r="M429" i="7"/>
  <c r="O429" i="7"/>
  <c r="P429" i="7"/>
  <c r="R429" i="7"/>
  <c r="S429" i="7"/>
  <c r="W429" i="7"/>
  <c r="X429" i="7"/>
  <c r="Z429" i="7"/>
  <c r="M429" i="11" s="1"/>
  <c r="A430" i="7"/>
  <c r="A430" i="11" s="1"/>
  <c r="B430" i="7"/>
  <c r="B430" i="11" s="1"/>
  <c r="C430" i="7"/>
  <c r="C430" i="11" s="1"/>
  <c r="D430" i="7"/>
  <c r="D430" i="11" s="1"/>
  <c r="E430" i="7"/>
  <c r="E430" i="11" s="1"/>
  <c r="F430" i="7"/>
  <c r="G430" i="7"/>
  <c r="I430" i="7"/>
  <c r="J430" i="7"/>
  <c r="L430" i="7"/>
  <c r="M430" i="7"/>
  <c r="O430" i="7"/>
  <c r="Q430" i="7" s="1"/>
  <c r="P430" i="7"/>
  <c r="R430" i="7"/>
  <c r="S430" i="7"/>
  <c r="W430" i="7"/>
  <c r="X430" i="7"/>
  <c r="Z430" i="7"/>
  <c r="M430" i="11" s="1"/>
  <c r="A431" i="7"/>
  <c r="A431" i="11" s="1"/>
  <c r="B431" i="7"/>
  <c r="B431" i="11" s="1"/>
  <c r="C431" i="7"/>
  <c r="C431" i="11" s="1"/>
  <c r="D431" i="7"/>
  <c r="D431" i="11" s="1"/>
  <c r="E431" i="7"/>
  <c r="E431" i="11" s="1"/>
  <c r="F431" i="7"/>
  <c r="G431" i="7"/>
  <c r="I431" i="7"/>
  <c r="J431" i="7"/>
  <c r="L431" i="7"/>
  <c r="N431" i="7" s="1"/>
  <c r="F431" i="11" s="1"/>
  <c r="H431" i="11" s="1"/>
  <c r="M431" i="7"/>
  <c r="O431" i="7"/>
  <c r="P431" i="7"/>
  <c r="R431" i="7"/>
  <c r="T431" i="7" s="1"/>
  <c r="S431" i="7"/>
  <c r="W431" i="7"/>
  <c r="X431" i="7"/>
  <c r="Z431" i="7"/>
  <c r="M431" i="11" s="1"/>
  <c r="A432" i="7"/>
  <c r="A432" i="11" s="1"/>
  <c r="B432" i="7"/>
  <c r="B432" i="11" s="1"/>
  <c r="C432" i="7"/>
  <c r="C432" i="11" s="1"/>
  <c r="D432" i="7"/>
  <c r="D432" i="11" s="1"/>
  <c r="E432" i="7"/>
  <c r="E432" i="11" s="1"/>
  <c r="F432" i="7"/>
  <c r="G432" i="7"/>
  <c r="I432" i="7"/>
  <c r="J432" i="7"/>
  <c r="L432" i="7"/>
  <c r="N432" i="7" s="1"/>
  <c r="F432" i="11" s="1"/>
  <c r="H432" i="11" s="1"/>
  <c r="M432" i="7"/>
  <c r="O432" i="7"/>
  <c r="P432" i="7"/>
  <c r="R432" i="7"/>
  <c r="S432" i="7"/>
  <c r="W432" i="7"/>
  <c r="X432" i="7"/>
  <c r="Z432" i="7"/>
  <c r="M432" i="11" s="1"/>
  <c r="A433" i="7"/>
  <c r="A433" i="11" s="1"/>
  <c r="B433" i="7"/>
  <c r="B433" i="11" s="1"/>
  <c r="C433" i="7"/>
  <c r="C433" i="11" s="1"/>
  <c r="D433" i="7"/>
  <c r="D433" i="11" s="1"/>
  <c r="E433" i="7"/>
  <c r="E433" i="11" s="1"/>
  <c r="F433" i="7"/>
  <c r="G433" i="7"/>
  <c r="I433" i="7"/>
  <c r="J433" i="7"/>
  <c r="L433" i="7"/>
  <c r="N433" i="7" s="1"/>
  <c r="F433" i="11" s="1"/>
  <c r="H433" i="11" s="1"/>
  <c r="M433" i="7"/>
  <c r="O433" i="7"/>
  <c r="Q433" i="7" s="1"/>
  <c r="P433" i="7"/>
  <c r="R433" i="7"/>
  <c r="S433" i="7"/>
  <c r="W433" i="7"/>
  <c r="X433" i="7"/>
  <c r="Z433" i="7"/>
  <c r="M433" i="11" s="1"/>
  <c r="A434" i="7"/>
  <c r="A434" i="11" s="1"/>
  <c r="B434" i="7"/>
  <c r="B434" i="11" s="1"/>
  <c r="C434" i="7"/>
  <c r="C434" i="11" s="1"/>
  <c r="D434" i="7"/>
  <c r="D434" i="11" s="1"/>
  <c r="E434" i="7"/>
  <c r="E434" i="11" s="1"/>
  <c r="F434" i="7"/>
  <c r="G434" i="7"/>
  <c r="I434" i="7"/>
  <c r="J434" i="7"/>
  <c r="L434" i="7"/>
  <c r="M434" i="7"/>
  <c r="O434" i="7"/>
  <c r="P434" i="7"/>
  <c r="R434" i="7"/>
  <c r="T434" i="7" s="1"/>
  <c r="S434" i="7"/>
  <c r="W434" i="7"/>
  <c r="X434" i="7"/>
  <c r="Z434" i="7"/>
  <c r="M434" i="11" s="1"/>
  <c r="A435" i="7"/>
  <c r="A435" i="11" s="1"/>
  <c r="B435" i="7"/>
  <c r="B435" i="11" s="1"/>
  <c r="C435" i="7"/>
  <c r="C435" i="11" s="1"/>
  <c r="D435" i="7"/>
  <c r="D435" i="11" s="1"/>
  <c r="E435" i="7"/>
  <c r="E435" i="11" s="1"/>
  <c r="F435" i="7"/>
  <c r="G435" i="7"/>
  <c r="I435" i="7"/>
  <c r="J435" i="7"/>
  <c r="L435" i="7"/>
  <c r="M435" i="7"/>
  <c r="O435" i="7"/>
  <c r="P435" i="7"/>
  <c r="R435" i="7"/>
  <c r="S435" i="7"/>
  <c r="W435" i="7"/>
  <c r="X435" i="7"/>
  <c r="Z435" i="7"/>
  <c r="M435" i="11" s="1"/>
  <c r="A436" i="7"/>
  <c r="A436" i="11" s="1"/>
  <c r="B436" i="7"/>
  <c r="B436" i="11" s="1"/>
  <c r="C436" i="7"/>
  <c r="C436" i="11" s="1"/>
  <c r="D436" i="7"/>
  <c r="D436" i="11" s="1"/>
  <c r="E436" i="7"/>
  <c r="E436" i="11" s="1"/>
  <c r="F436" i="7"/>
  <c r="G436" i="7"/>
  <c r="I436" i="7"/>
  <c r="J436" i="7"/>
  <c r="L436" i="7"/>
  <c r="N436" i="7" s="1"/>
  <c r="F436" i="11" s="1"/>
  <c r="H436" i="11" s="1"/>
  <c r="M436" i="7"/>
  <c r="O436" i="7"/>
  <c r="P436" i="7"/>
  <c r="R436" i="7"/>
  <c r="S436" i="7"/>
  <c r="W436" i="7"/>
  <c r="X436" i="7"/>
  <c r="Z436" i="7"/>
  <c r="M436" i="11" s="1"/>
  <c r="A437" i="7"/>
  <c r="A437" i="11" s="1"/>
  <c r="B437" i="7"/>
  <c r="B437" i="11" s="1"/>
  <c r="C437" i="7"/>
  <c r="C437" i="11" s="1"/>
  <c r="D437" i="7"/>
  <c r="D437" i="11" s="1"/>
  <c r="E437" i="7"/>
  <c r="E437" i="11" s="1"/>
  <c r="F437" i="7"/>
  <c r="G437" i="7"/>
  <c r="I437" i="7"/>
  <c r="J437" i="7"/>
  <c r="L437" i="7"/>
  <c r="N437" i="7" s="1"/>
  <c r="F437" i="11" s="1"/>
  <c r="H437" i="11" s="1"/>
  <c r="M437" i="7"/>
  <c r="O437" i="7"/>
  <c r="P437" i="7"/>
  <c r="R437" i="7"/>
  <c r="S437" i="7"/>
  <c r="W437" i="7"/>
  <c r="X437" i="7"/>
  <c r="Z437" i="7"/>
  <c r="M437" i="11" s="1"/>
  <c r="A438" i="7"/>
  <c r="A438" i="11" s="1"/>
  <c r="B438" i="7"/>
  <c r="B438" i="11" s="1"/>
  <c r="C438" i="7"/>
  <c r="C438" i="11" s="1"/>
  <c r="D438" i="7"/>
  <c r="D438" i="11" s="1"/>
  <c r="E438" i="7"/>
  <c r="E438" i="11" s="1"/>
  <c r="F438" i="7"/>
  <c r="G438" i="7"/>
  <c r="I438" i="7"/>
  <c r="J438" i="7"/>
  <c r="L438" i="7"/>
  <c r="M438" i="7"/>
  <c r="O438" i="7"/>
  <c r="P438" i="7"/>
  <c r="R438" i="7"/>
  <c r="S438" i="7"/>
  <c r="W438" i="7"/>
  <c r="X438" i="7"/>
  <c r="Z438" i="7"/>
  <c r="M438" i="11" s="1"/>
  <c r="A439" i="7"/>
  <c r="A439" i="11" s="1"/>
  <c r="B439" i="7"/>
  <c r="B439" i="11" s="1"/>
  <c r="C439" i="7"/>
  <c r="C439" i="11" s="1"/>
  <c r="D439" i="7"/>
  <c r="D439" i="11" s="1"/>
  <c r="E439" i="7"/>
  <c r="E439" i="11" s="1"/>
  <c r="F439" i="7"/>
  <c r="G439" i="7"/>
  <c r="I439" i="7"/>
  <c r="J439" i="7"/>
  <c r="L439" i="7"/>
  <c r="N439" i="7" s="1"/>
  <c r="F439" i="11" s="1"/>
  <c r="H439" i="11" s="1"/>
  <c r="M439" i="7"/>
  <c r="O439" i="7"/>
  <c r="P439" i="7"/>
  <c r="R439" i="7"/>
  <c r="S439" i="7"/>
  <c r="W439" i="7"/>
  <c r="X439" i="7"/>
  <c r="Z439" i="7"/>
  <c r="M439" i="11" s="1"/>
  <c r="A440" i="7"/>
  <c r="A440" i="11" s="1"/>
  <c r="B440" i="7"/>
  <c r="B440" i="11" s="1"/>
  <c r="C440" i="7"/>
  <c r="C440" i="11" s="1"/>
  <c r="D440" i="7"/>
  <c r="D440" i="11" s="1"/>
  <c r="E440" i="7"/>
  <c r="E440" i="11" s="1"/>
  <c r="F440" i="7"/>
  <c r="G440" i="7"/>
  <c r="I440" i="7"/>
  <c r="J440" i="7"/>
  <c r="L440" i="7"/>
  <c r="M440" i="7"/>
  <c r="O440" i="7"/>
  <c r="P440" i="7"/>
  <c r="R440" i="7"/>
  <c r="S440" i="7"/>
  <c r="W440" i="7"/>
  <c r="X440" i="7"/>
  <c r="Z440" i="7"/>
  <c r="M440" i="11" s="1"/>
  <c r="A441" i="7"/>
  <c r="A441" i="11" s="1"/>
  <c r="B441" i="7"/>
  <c r="B441" i="11" s="1"/>
  <c r="C441" i="7"/>
  <c r="C441" i="11" s="1"/>
  <c r="D441" i="7"/>
  <c r="D441" i="11" s="1"/>
  <c r="E441" i="7"/>
  <c r="E441" i="11" s="1"/>
  <c r="F441" i="7"/>
  <c r="G441" i="7"/>
  <c r="I441" i="7"/>
  <c r="J441" i="7"/>
  <c r="L441" i="7"/>
  <c r="M441" i="7"/>
  <c r="O441" i="7"/>
  <c r="P441" i="7"/>
  <c r="R441" i="7"/>
  <c r="S441" i="7"/>
  <c r="W441" i="7"/>
  <c r="X441" i="7"/>
  <c r="Z441" i="7"/>
  <c r="M441" i="11" s="1"/>
  <c r="A442" i="7"/>
  <c r="A442" i="11" s="1"/>
  <c r="B442" i="7"/>
  <c r="B442" i="11" s="1"/>
  <c r="C442" i="7"/>
  <c r="C442" i="11" s="1"/>
  <c r="D442" i="7"/>
  <c r="D442" i="11" s="1"/>
  <c r="E442" i="7"/>
  <c r="E442" i="11" s="1"/>
  <c r="F442" i="7"/>
  <c r="G442" i="7"/>
  <c r="I442" i="7"/>
  <c r="J442" i="7"/>
  <c r="L442" i="7"/>
  <c r="M442" i="7"/>
  <c r="O442" i="7"/>
  <c r="P442" i="7"/>
  <c r="R442" i="7"/>
  <c r="S442" i="7"/>
  <c r="W442" i="7"/>
  <c r="X442" i="7"/>
  <c r="Z442" i="7"/>
  <c r="M442" i="11" s="1"/>
  <c r="A443" i="7"/>
  <c r="A443" i="11" s="1"/>
  <c r="B443" i="7"/>
  <c r="B443" i="11" s="1"/>
  <c r="C443" i="7"/>
  <c r="C443" i="11" s="1"/>
  <c r="D443" i="7"/>
  <c r="D443" i="11" s="1"/>
  <c r="E443" i="7"/>
  <c r="E443" i="11" s="1"/>
  <c r="F443" i="7"/>
  <c r="G443" i="7"/>
  <c r="I443" i="7"/>
  <c r="J443" i="7"/>
  <c r="L443" i="7"/>
  <c r="M443" i="7"/>
  <c r="O443" i="7"/>
  <c r="Q443" i="7" s="1"/>
  <c r="P443" i="7"/>
  <c r="R443" i="7"/>
  <c r="S443" i="7"/>
  <c r="W443" i="7"/>
  <c r="X443" i="7"/>
  <c r="Z443" i="7"/>
  <c r="M443" i="11" s="1"/>
  <c r="A444" i="7"/>
  <c r="A444" i="11" s="1"/>
  <c r="B444" i="7"/>
  <c r="B444" i="11" s="1"/>
  <c r="C444" i="7"/>
  <c r="C444" i="11" s="1"/>
  <c r="D444" i="7"/>
  <c r="D444" i="11" s="1"/>
  <c r="E444" i="7"/>
  <c r="E444" i="11" s="1"/>
  <c r="F444" i="7"/>
  <c r="G444" i="7"/>
  <c r="I444" i="7"/>
  <c r="J444" i="7"/>
  <c r="L444" i="7"/>
  <c r="M444" i="7"/>
  <c r="O444" i="7"/>
  <c r="P444" i="7"/>
  <c r="R444" i="7"/>
  <c r="S444" i="7"/>
  <c r="W444" i="7"/>
  <c r="X444" i="7"/>
  <c r="Z444" i="7"/>
  <c r="M444" i="11" s="1"/>
  <c r="A445" i="7"/>
  <c r="A445" i="11" s="1"/>
  <c r="B445" i="7"/>
  <c r="B445" i="11" s="1"/>
  <c r="C445" i="7"/>
  <c r="C445" i="11" s="1"/>
  <c r="D445" i="7"/>
  <c r="D445" i="11" s="1"/>
  <c r="E445" i="7"/>
  <c r="E445" i="11" s="1"/>
  <c r="F445" i="7"/>
  <c r="G445" i="7"/>
  <c r="I445" i="7"/>
  <c r="J445" i="7"/>
  <c r="L445" i="7"/>
  <c r="N445" i="7" s="1"/>
  <c r="F445" i="11" s="1"/>
  <c r="H445" i="11" s="1"/>
  <c r="M445" i="7"/>
  <c r="O445" i="7"/>
  <c r="P445" i="7"/>
  <c r="R445" i="7"/>
  <c r="S445" i="7"/>
  <c r="W445" i="7"/>
  <c r="X445" i="7"/>
  <c r="Z445" i="7"/>
  <c r="M445" i="11" s="1"/>
  <c r="A446" i="7"/>
  <c r="A446" i="11" s="1"/>
  <c r="B446" i="7"/>
  <c r="B446" i="11" s="1"/>
  <c r="C446" i="7"/>
  <c r="C446" i="11" s="1"/>
  <c r="D446" i="7"/>
  <c r="D446" i="11" s="1"/>
  <c r="E446" i="7"/>
  <c r="E446" i="11" s="1"/>
  <c r="F446" i="7"/>
  <c r="G446" i="7"/>
  <c r="I446" i="7"/>
  <c r="J446" i="7"/>
  <c r="L446" i="7"/>
  <c r="N446" i="7" s="1"/>
  <c r="F446" i="11" s="1"/>
  <c r="H446" i="11" s="1"/>
  <c r="M446" i="7"/>
  <c r="O446" i="7"/>
  <c r="P446" i="7"/>
  <c r="R446" i="7"/>
  <c r="S446" i="7"/>
  <c r="W446" i="7"/>
  <c r="X446" i="7"/>
  <c r="Z446" i="7"/>
  <c r="M446" i="11" s="1"/>
  <c r="A447" i="7"/>
  <c r="A447" i="11" s="1"/>
  <c r="B447" i="7"/>
  <c r="B447" i="11" s="1"/>
  <c r="C447" i="7"/>
  <c r="C447" i="11" s="1"/>
  <c r="D447" i="7"/>
  <c r="D447" i="11" s="1"/>
  <c r="E447" i="7"/>
  <c r="E447" i="11" s="1"/>
  <c r="F447" i="7"/>
  <c r="G447" i="7"/>
  <c r="I447" i="7"/>
  <c r="J447" i="7"/>
  <c r="L447" i="7"/>
  <c r="N447" i="7" s="1"/>
  <c r="F447" i="11" s="1"/>
  <c r="H447" i="11" s="1"/>
  <c r="M447" i="7"/>
  <c r="O447" i="7"/>
  <c r="P447" i="7"/>
  <c r="R447" i="7"/>
  <c r="S447" i="7"/>
  <c r="W447" i="7"/>
  <c r="X447" i="7"/>
  <c r="Z447" i="7"/>
  <c r="M447" i="11" s="1"/>
  <c r="A448" i="7"/>
  <c r="A448" i="11" s="1"/>
  <c r="B448" i="7"/>
  <c r="B448" i="11" s="1"/>
  <c r="C448" i="7"/>
  <c r="C448" i="11" s="1"/>
  <c r="D448" i="7"/>
  <c r="D448" i="11" s="1"/>
  <c r="E448" i="7"/>
  <c r="E448" i="11" s="1"/>
  <c r="F448" i="7"/>
  <c r="G448" i="7"/>
  <c r="I448" i="7"/>
  <c r="J448" i="7"/>
  <c r="L448" i="7"/>
  <c r="N448" i="7" s="1"/>
  <c r="F448" i="11" s="1"/>
  <c r="H448" i="11" s="1"/>
  <c r="M448" i="7"/>
  <c r="O448" i="7"/>
  <c r="P448" i="7"/>
  <c r="R448" i="7"/>
  <c r="S448" i="7"/>
  <c r="W448" i="7"/>
  <c r="X448" i="7"/>
  <c r="Z448" i="7"/>
  <c r="M448" i="11" s="1"/>
  <c r="A449" i="7"/>
  <c r="A449" i="11" s="1"/>
  <c r="B449" i="7"/>
  <c r="B449" i="11" s="1"/>
  <c r="C449" i="7"/>
  <c r="C449" i="11" s="1"/>
  <c r="D449" i="7"/>
  <c r="D449" i="11" s="1"/>
  <c r="E449" i="7"/>
  <c r="E449" i="11" s="1"/>
  <c r="F449" i="7"/>
  <c r="G449" i="7"/>
  <c r="I449" i="7"/>
  <c r="J449" i="7"/>
  <c r="L449" i="7"/>
  <c r="N449" i="7" s="1"/>
  <c r="F449" i="11" s="1"/>
  <c r="H449" i="11" s="1"/>
  <c r="M449" i="7"/>
  <c r="O449" i="7"/>
  <c r="P449" i="7"/>
  <c r="R449" i="7"/>
  <c r="S449" i="7"/>
  <c r="W449" i="7"/>
  <c r="X449" i="7"/>
  <c r="Z449" i="7"/>
  <c r="M449" i="11" s="1"/>
  <c r="A450" i="7"/>
  <c r="A450" i="11" s="1"/>
  <c r="B450" i="7"/>
  <c r="B450" i="11" s="1"/>
  <c r="C450" i="7"/>
  <c r="C450" i="11" s="1"/>
  <c r="D450" i="7"/>
  <c r="D450" i="11" s="1"/>
  <c r="E450" i="7"/>
  <c r="E450" i="11" s="1"/>
  <c r="F450" i="7"/>
  <c r="G450" i="7"/>
  <c r="I450" i="7"/>
  <c r="J450" i="7"/>
  <c r="L450" i="7"/>
  <c r="M450" i="7"/>
  <c r="O450" i="7"/>
  <c r="Q450" i="7" s="1"/>
  <c r="P450" i="7"/>
  <c r="R450" i="7"/>
  <c r="S450" i="7"/>
  <c r="W450" i="7"/>
  <c r="X450" i="7"/>
  <c r="Z450" i="7"/>
  <c r="M450" i="11" s="1"/>
  <c r="A451" i="7"/>
  <c r="A451" i="11" s="1"/>
  <c r="B451" i="7"/>
  <c r="B451" i="11" s="1"/>
  <c r="C451" i="7"/>
  <c r="C451" i="11" s="1"/>
  <c r="D451" i="7"/>
  <c r="D451" i="11" s="1"/>
  <c r="E451" i="7"/>
  <c r="E451" i="11" s="1"/>
  <c r="F451" i="7"/>
  <c r="G451" i="7"/>
  <c r="I451" i="7"/>
  <c r="J451" i="7"/>
  <c r="L451" i="7"/>
  <c r="N451" i="7" s="1"/>
  <c r="F451" i="11" s="1"/>
  <c r="H451" i="11" s="1"/>
  <c r="M451" i="7"/>
  <c r="O451" i="7"/>
  <c r="P451" i="7"/>
  <c r="R451" i="7"/>
  <c r="T451" i="7" s="1"/>
  <c r="S451" i="7"/>
  <c r="W451" i="7"/>
  <c r="X451" i="7"/>
  <c r="Z451" i="7"/>
  <c r="M451" i="11" s="1"/>
  <c r="A452" i="7"/>
  <c r="A452" i="11" s="1"/>
  <c r="B452" i="7"/>
  <c r="B452" i="11" s="1"/>
  <c r="C452" i="7"/>
  <c r="C452" i="11" s="1"/>
  <c r="D452" i="7"/>
  <c r="D452" i="11" s="1"/>
  <c r="E452" i="7"/>
  <c r="E452" i="11" s="1"/>
  <c r="F452" i="7"/>
  <c r="G452" i="7"/>
  <c r="I452" i="7"/>
  <c r="J452" i="7"/>
  <c r="L452" i="7"/>
  <c r="M452" i="7"/>
  <c r="O452" i="7"/>
  <c r="P452" i="7"/>
  <c r="R452" i="7"/>
  <c r="S452" i="7"/>
  <c r="W452" i="7"/>
  <c r="X452" i="7"/>
  <c r="Z452" i="7"/>
  <c r="M452" i="11" s="1"/>
  <c r="A453" i="7"/>
  <c r="A453" i="11" s="1"/>
  <c r="B453" i="7"/>
  <c r="B453" i="11" s="1"/>
  <c r="C453" i="7"/>
  <c r="C453" i="11" s="1"/>
  <c r="D453" i="7"/>
  <c r="D453" i="11" s="1"/>
  <c r="E453" i="7"/>
  <c r="E453" i="11" s="1"/>
  <c r="F453" i="7"/>
  <c r="G453" i="7"/>
  <c r="I453" i="7"/>
  <c r="J453" i="7"/>
  <c r="L453" i="7"/>
  <c r="M453" i="7"/>
  <c r="O453" i="7"/>
  <c r="P453" i="7"/>
  <c r="R453" i="7"/>
  <c r="S453" i="7"/>
  <c r="W453" i="7"/>
  <c r="X453" i="7"/>
  <c r="Z453" i="7"/>
  <c r="M453" i="11" s="1"/>
  <c r="A454" i="7"/>
  <c r="A454" i="11" s="1"/>
  <c r="B454" i="7"/>
  <c r="B454" i="11" s="1"/>
  <c r="C454" i="7"/>
  <c r="C454" i="11" s="1"/>
  <c r="D454" i="7"/>
  <c r="D454" i="11" s="1"/>
  <c r="E454" i="7"/>
  <c r="E454" i="11" s="1"/>
  <c r="F454" i="7"/>
  <c r="G454" i="7"/>
  <c r="I454" i="7"/>
  <c r="J454" i="7"/>
  <c r="L454" i="7"/>
  <c r="M454" i="7"/>
  <c r="O454" i="7"/>
  <c r="P454" i="7"/>
  <c r="R454" i="7"/>
  <c r="S454" i="7"/>
  <c r="W454" i="7"/>
  <c r="X454" i="7"/>
  <c r="Z454" i="7"/>
  <c r="M454" i="11" s="1"/>
  <c r="A455" i="7"/>
  <c r="A455" i="11" s="1"/>
  <c r="B455" i="7"/>
  <c r="B455" i="11" s="1"/>
  <c r="C455" i="7"/>
  <c r="C455" i="11" s="1"/>
  <c r="D455" i="7"/>
  <c r="D455" i="11" s="1"/>
  <c r="E455" i="7"/>
  <c r="E455" i="11" s="1"/>
  <c r="F455" i="7"/>
  <c r="G455" i="7"/>
  <c r="I455" i="7"/>
  <c r="J455" i="7"/>
  <c r="L455" i="7"/>
  <c r="M455" i="7"/>
  <c r="O455" i="7"/>
  <c r="P455" i="7"/>
  <c r="R455" i="7"/>
  <c r="S455" i="7"/>
  <c r="W455" i="7"/>
  <c r="X455" i="7"/>
  <c r="Z455" i="7"/>
  <c r="M455" i="11" s="1"/>
  <c r="A456" i="7"/>
  <c r="A456" i="11" s="1"/>
  <c r="B456" i="7"/>
  <c r="B456" i="11" s="1"/>
  <c r="C456" i="7"/>
  <c r="C456" i="11" s="1"/>
  <c r="D456" i="7"/>
  <c r="D456" i="11" s="1"/>
  <c r="E456" i="7"/>
  <c r="E456" i="11" s="1"/>
  <c r="F456" i="7"/>
  <c r="G456" i="7"/>
  <c r="I456" i="7"/>
  <c r="J456" i="7"/>
  <c r="L456" i="7"/>
  <c r="M456" i="7"/>
  <c r="O456" i="7"/>
  <c r="P456" i="7"/>
  <c r="R456" i="7"/>
  <c r="S456" i="7"/>
  <c r="W456" i="7"/>
  <c r="X456" i="7"/>
  <c r="Z456" i="7"/>
  <c r="M456" i="11" s="1"/>
  <c r="A457" i="7"/>
  <c r="A457" i="11" s="1"/>
  <c r="B457" i="7"/>
  <c r="B457" i="11" s="1"/>
  <c r="C457" i="7"/>
  <c r="C457" i="11" s="1"/>
  <c r="D457" i="7"/>
  <c r="D457" i="11" s="1"/>
  <c r="E457" i="7"/>
  <c r="E457" i="11" s="1"/>
  <c r="F457" i="7"/>
  <c r="G457" i="7"/>
  <c r="I457" i="7"/>
  <c r="J457" i="7"/>
  <c r="L457" i="7"/>
  <c r="N457" i="7" s="1"/>
  <c r="F457" i="11" s="1"/>
  <c r="H457" i="11" s="1"/>
  <c r="M457" i="7"/>
  <c r="O457" i="7"/>
  <c r="P457" i="7"/>
  <c r="R457" i="7"/>
  <c r="S457" i="7"/>
  <c r="W457" i="7"/>
  <c r="X457" i="7"/>
  <c r="Z457" i="7"/>
  <c r="M457" i="11" s="1"/>
  <c r="A458" i="7"/>
  <c r="A458" i="11" s="1"/>
  <c r="B458" i="7"/>
  <c r="B458" i="11" s="1"/>
  <c r="C458" i="7"/>
  <c r="C458" i="11" s="1"/>
  <c r="D458" i="7"/>
  <c r="D458" i="11" s="1"/>
  <c r="E458" i="7"/>
  <c r="E458" i="11" s="1"/>
  <c r="F458" i="7"/>
  <c r="G458" i="7"/>
  <c r="I458" i="7"/>
  <c r="J458" i="7"/>
  <c r="L458" i="7"/>
  <c r="M458" i="7"/>
  <c r="O458" i="7"/>
  <c r="P458" i="7"/>
  <c r="R458" i="7"/>
  <c r="S458" i="7"/>
  <c r="W458" i="7"/>
  <c r="X458" i="7"/>
  <c r="Z458" i="7"/>
  <c r="M458" i="11" s="1"/>
  <c r="A459" i="7"/>
  <c r="A459" i="11" s="1"/>
  <c r="B459" i="7"/>
  <c r="B459" i="11" s="1"/>
  <c r="C459" i="7"/>
  <c r="C459" i="11" s="1"/>
  <c r="D459" i="7"/>
  <c r="D459" i="11" s="1"/>
  <c r="E459" i="7"/>
  <c r="E459" i="11" s="1"/>
  <c r="F459" i="7"/>
  <c r="G459" i="7"/>
  <c r="I459" i="7"/>
  <c r="J459" i="7"/>
  <c r="L459" i="7"/>
  <c r="N459" i="7" s="1"/>
  <c r="F459" i="11" s="1"/>
  <c r="H459" i="11" s="1"/>
  <c r="M459" i="7"/>
  <c r="O459" i="7"/>
  <c r="P459" i="7"/>
  <c r="R459" i="7"/>
  <c r="S459" i="7"/>
  <c r="W459" i="7"/>
  <c r="X459" i="7"/>
  <c r="Z459" i="7"/>
  <c r="M459" i="11" s="1"/>
  <c r="A460" i="7"/>
  <c r="A460" i="11" s="1"/>
  <c r="B460" i="7"/>
  <c r="B460" i="11" s="1"/>
  <c r="C460" i="7"/>
  <c r="C460" i="11" s="1"/>
  <c r="D460" i="7"/>
  <c r="D460" i="11" s="1"/>
  <c r="E460" i="7"/>
  <c r="E460" i="11" s="1"/>
  <c r="F460" i="7"/>
  <c r="G460" i="7"/>
  <c r="I460" i="7"/>
  <c r="J460" i="7"/>
  <c r="L460" i="7"/>
  <c r="N460" i="7" s="1"/>
  <c r="F460" i="11" s="1"/>
  <c r="H460" i="11" s="1"/>
  <c r="M460" i="7"/>
  <c r="O460" i="7"/>
  <c r="Q460" i="7" s="1"/>
  <c r="P460" i="7"/>
  <c r="R460" i="7"/>
  <c r="S460" i="7"/>
  <c r="W460" i="7"/>
  <c r="X460" i="7"/>
  <c r="Z460" i="7"/>
  <c r="M460" i="11" s="1"/>
  <c r="A461" i="7"/>
  <c r="A461" i="11" s="1"/>
  <c r="B461" i="7"/>
  <c r="B461" i="11" s="1"/>
  <c r="C461" i="7"/>
  <c r="C461" i="11" s="1"/>
  <c r="D461" i="7"/>
  <c r="D461" i="11" s="1"/>
  <c r="E461" i="7"/>
  <c r="E461" i="11" s="1"/>
  <c r="F461" i="7"/>
  <c r="G461" i="7"/>
  <c r="I461" i="7"/>
  <c r="J461" i="7"/>
  <c r="L461" i="7"/>
  <c r="N461" i="7" s="1"/>
  <c r="F461" i="11" s="1"/>
  <c r="H461" i="11" s="1"/>
  <c r="M461" i="7"/>
  <c r="O461" i="7"/>
  <c r="P461" i="7"/>
  <c r="R461" i="7"/>
  <c r="T461" i="7" s="1"/>
  <c r="S461" i="7"/>
  <c r="W461" i="7"/>
  <c r="X461" i="7"/>
  <c r="Z461" i="7"/>
  <c r="M461" i="11" s="1"/>
  <c r="A462" i="7"/>
  <c r="A462" i="11" s="1"/>
  <c r="B462" i="7"/>
  <c r="B462" i="11" s="1"/>
  <c r="C462" i="7"/>
  <c r="C462" i="11" s="1"/>
  <c r="D462" i="7"/>
  <c r="D462" i="11" s="1"/>
  <c r="E462" i="7"/>
  <c r="E462" i="11" s="1"/>
  <c r="F462" i="7"/>
  <c r="G462" i="7"/>
  <c r="I462" i="7"/>
  <c r="J462" i="7"/>
  <c r="L462" i="7"/>
  <c r="N462" i="7" s="1"/>
  <c r="F462" i="11" s="1"/>
  <c r="H462" i="11" s="1"/>
  <c r="M462" i="7"/>
  <c r="O462" i="7"/>
  <c r="P462" i="7"/>
  <c r="R462" i="7"/>
  <c r="S462" i="7"/>
  <c r="W462" i="7"/>
  <c r="X462" i="7"/>
  <c r="Z462" i="7"/>
  <c r="M462" i="11" s="1"/>
  <c r="A463" i="7"/>
  <c r="A463" i="11" s="1"/>
  <c r="B463" i="7"/>
  <c r="B463" i="11" s="1"/>
  <c r="C463" i="7"/>
  <c r="C463" i="11" s="1"/>
  <c r="D463" i="7"/>
  <c r="D463" i="11" s="1"/>
  <c r="E463" i="7"/>
  <c r="E463" i="11" s="1"/>
  <c r="F463" i="7"/>
  <c r="G463" i="7"/>
  <c r="I463" i="7"/>
  <c r="J463" i="7"/>
  <c r="L463" i="7"/>
  <c r="M463" i="7"/>
  <c r="O463" i="7"/>
  <c r="P463" i="7"/>
  <c r="R463" i="7"/>
  <c r="S463" i="7"/>
  <c r="W463" i="7"/>
  <c r="X463" i="7"/>
  <c r="Z463" i="7"/>
  <c r="M463" i="11" s="1"/>
  <c r="A464" i="7"/>
  <c r="A464" i="11" s="1"/>
  <c r="B464" i="7"/>
  <c r="B464" i="11" s="1"/>
  <c r="C464" i="7"/>
  <c r="C464" i="11" s="1"/>
  <c r="D464" i="7"/>
  <c r="D464" i="11" s="1"/>
  <c r="E464" i="7"/>
  <c r="E464" i="11" s="1"/>
  <c r="F464" i="7"/>
  <c r="G464" i="7"/>
  <c r="I464" i="7"/>
  <c r="J464" i="7"/>
  <c r="L464" i="7"/>
  <c r="M464" i="7"/>
  <c r="O464" i="7"/>
  <c r="P464" i="7"/>
  <c r="R464" i="7"/>
  <c r="T464" i="7" s="1"/>
  <c r="S464" i="7"/>
  <c r="W464" i="7"/>
  <c r="X464" i="7"/>
  <c r="Z464" i="7"/>
  <c r="M464" i="11" s="1"/>
  <c r="A465" i="7"/>
  <c r="A465" i="11" s="1"/>
  <c r="B465" i="7"/>
  <c r="B465" i="11" s="1"/>
  <c r="C465" i="7"/>
  <c r="C465" i="11" s="1"/>
  <c r="D465" i="7"/>
  <c r="D465" i="11" s="1"/>
  <c r="E465" i="7"/>
  <c r="E465" i="11" s="1"/>
  <c r="F465" i="7"/>
  <c r="G465" i="7"/>
  <c r="I465" i="7"/>
  <c r="J465" i="7"/>
  <c r="L465" i="7"/>
  <c r="N465" i="7" s="1"/>
  <c r="F465" i="11" s="1"/>
  <c r="H465" i="11" s="1"/>
  <c r="M465" i="7"/>
  <c r="O465" i="7"/>
  <c r="P465" i="7"/>
  <c r="R465" i="7"/>
  <c r="S465" i="7"/>
  <c r="W465" i="7"/>
  <c r="X465" i="7"/>
  <c r="Z465" i="7"/>
  <c r="M465" i="11" s="1"/>
  <c r="A466" i="7"/>
  <c r="A466" i="11" s="1"/>
  <c r="B466" i="7"/>
  <c r="B466" i="11" s="1"/>
  <c r="C466" i="7"/>
  <c r="C466" i="11" s="1"/>
  <c r="D466" i="7"/>
  <c r="D466" i="11" s="1"/>
  <c r="E466" i="7"/>
  <c r="E466" i="11" s="1"/>
  <c r="F466" i="7"/>
  <c r="G466" i="7"/>
  <c r="I466" i="7"/>
  <c r="J466" i="7"/>
  <c r="L466" i="7"/>
  <c r="M466" i="7"/>
  <c r="O466" i="7"/>
  <c r="P466" i="7"/>
  <c r="R466" i="7"/>
  <c r="S466" i="7"/>
  <c r="W466" i="7"/>
  <c r="X466" i="7"/>
  <c r="Z466" i="7"/>
  <c r="M466" i="11" s="1"/>
  <c r="A467" i="7"/>
  <c r="A467" i="11" s="1"/>
  <c r="B467" i="7"/>
  <c r="B467" i="11" s="1"/>
  <c r="C467" i="7"/>
  <c r="C467" i="11" s="1"/>
  <c r="D467" i="7"/>
  <c r="D467" i="11" s="1"/>
  <c r="E467" i="7"/>
  <c r="E467" i="11" s="1"/>
  <c r="F467" i="7"/>
  <c r="G467" i="7"/>
  <c r="I467" i="7"/>
  <c r="J467" i="7"/>
  <c r="L467" i="7"/>
  <c r="M467" i="7"/>
  <c r="O467" i="7"/>
  <c r="P467" i="7"/>
  <c r="R467" i="7"/>
  <c r="S467" i="7"/>
  <c r="W467" i="7"/>
  <c r="X467" i="7"/>
  <c r="Z467" i="7"/>
  <c r="M467" i="11" s="1"/>
  <c r="A468" i="7"/>
  <c r="A468" i="11" s="1"/>
  <c r="B468" i="7"/>
  <c r="B468" i="11" s="1"/>
  <c r="C468" i="7"/>
  <c r="C468" i="11" s="1"/>
  <c r="D468" i="7"/>
  <c r="D468" i="11" s="1"/>
  <c r="E468" i="7"/>
  <c r="E468" i="11" s="1"/>
  <c r="F468" i="7"/>
  <c r="G468" i="7"/>
  <c r="I468" i="7"/>
  <c r="J468" i="7"/>
  <c r="L468" i="7"/>
  <c r="M468" i="7"/>
  <c r="O468" i="7"/>
  <c r="P468" i="7"/>
  <c r="R468" i="7"/>
  <c r="S468" i="7"/>
  <c r="W468" i="7"/>
  <c r="X468" i="7"/>
  <c r="Z468" i="7"/>
  <c r="M468" i="11" s="1"/>
  <c r="A469" i="7"/>
  <c r="A469" i="11" s="1"/>
  <c r="B469" i="7"/>
  <c r="B469" i="11" s="1"/>
  <c r="C469" i="7"/>
  <c r="C469" i="11" s="1"/>
  <c r="D469" i="7"/>
  <c r="D469" i="11" s="1"/>
  <c r="E469" i="7"/>
  <c r="E469" i="11" s="1"/>
  <c r="F469" i="7"/>
  <c r="G469" i="7"/>
  <c r="I469" i="7"/>
  <c r="J469" i="7"/>
  <c r="L469" i="7"/>
  <c r="M469" i="7"/>
  <c r="O469" i="7"/>
  <c r="P469" i="7"/>
  <c r="R469" i="7"/>
  <c r="S469" i="7"/>
  <c r="W469" i="7"/>
  <c r="X469" i="7"/>
  <c r="Z469" i="7"/>
  <c r="M469" i="11" s="1"/>
  <c r="A470" i="7"/>
  <c r="A470" i="11" s="1"/>
  <c r="B470" i="7"/>
  <c r="B470" i="11" s="1"/>
  <c r="C470" i="7"/>
  <c r="C470" i="11" s="1"/>
  <c r="D470" i="7"/>
  <c r="D470" i="11" s="1"/>
  <c r="E470" i="7"/>
  <c r="E470" i="11" s="1"/>
  <c r="F470" i="7"/>
  <c r="G470" i="7"/>
  <c r="I470" i="7"/>
  <c r="J470" i="7"/>
  <c r="L470" i="7"/>
  <c r="N470" i="7" s="1"/>
  <c r="F470" i="11" s="1"/>
  <c r="H470" i="11" s="1"/>
  <c r="M470" i="7"/>
  <c r="O470" i="7"/>
  <c r="Q470" i="7" s="1"/>
  <c r="P470" i="7"/>
  <c r="R470" i="7"/>
  <c r="S470" i="7"/>
  <c r="W470" i="7"/>
  <c r="X470" i="7"/>
  <c r="Z470" i="7"/>
  <c r="M470" i="11" s="1"/>
  <c r="A471" i="7"/>
  <c r="A471" i="11" s="1"/>
  <c r="B471" i="7"/>
  <c r="B471" i="11" s="1"/>
  <c r="C471" i="7"/>
  <c r="C471" i="11" s="1"/>
  <c r="D471" i="7"/>
  <c r="D471" i="11" s="1"/>
  <c r="E471" i="7"/>
  <c r="E471" i="11" s="1"/>
  <c r="F471" i="7"/>
  <c r="G471" i="7"/>
  <c r="I471" i="7"/>
  <c r="J471" i="7"/>
  <c r="L471" i="7"/>
  <c r="N471" i="7" s="1"/>
  <c r="F471" i="11" s="1"/>
  <c r="H471" i="11" s="1"/>
  <c r="M471" i="7"/>
  <c r="O471" i="7"/>
  <c r="P471" i="7"/>
  <c r="R471" i="7"/>
  <c r="T471" i="7" s="1"/>
  <c r="S471" i="7"/>
  <c r="W471" i="7"/>
  <c r="X471" i="7"/>
  <c r="Z471" i="7"/>
  <c r="M471" i="11" s="1"/>
  <c r="A472" i="7"/>
  <c r="A472" i="11" s="1"/>
  <c r="B472" i="7"/>
  <c r="B472" i="11" s="1"/>
  <c r="C472" i="7"/>
  <c r="C472" i="11" s="1"/>
  <c r="D472" i="7"/>
  <c r="D472" i="11" s="1"/>
  <c r="E472" i="7"/>
  <c r="E472" i="11" s="1"/>
  <c r="F472" i="7"/>
  <c r="G472" i="7"/>
  <c r="I472" i="7"/>
  <c r="J472" i="7"/>
  <c r="L472" i="7"/>
  <c r="N472" i="7" s="1"/>
  <c r="F472" i="11" s="1"/>
  <c r="H472" i="11" s="1"/>
  <c r="M472" i="7"/>
  <c r="O472" i="7"/>
  <c r="P472" i="7"/>
  <c r="R472" i="7"/>
  <c r="S472" i="7"/>
  <c r="W472" i="7"/>
  <c r="X472" i="7"/>
  <c r="Z472" i="7"/>
  <c r="M472" i="11" s="1"/>
  <c r="A473" i="7"/>
  <c r="A473" i="11" s="1"/>
  <c r="B473" i="7"/>
  <c r="B473" i="11" s="1"/>
  <c r="C473" i="7"/>
  <c r="C473" i="11" s="1"/>
  <c r="D473" i="7"/>
  <c r="D473" i="11" s="1"/>
  <c r="E473" i="7"/>
  <c r="E473" i="11" s="1"/>
  <c r="F473" i="7"/>
  <c r="G473" i="7"/>
  <c r="I473" i="7"/>
  <c r="J473" i="7"/>
  <c r="L473" i="7"/>
  <c r="N473" i="7" s="1"/>
  <c r="F473" i="11" s="1"/>
  <c r="H473" i="11" s="1"/>
  <c r="M473" i="7"/>
  <c r="O473" i="7"/>
  <c r="Q473" i="7" s="1"/>
  <c r="P473" i="7"/>
  <c r="R473" i="7"/>
  <c r="S473" i="7"/>
  <c r="W473" i="7"/>
  <c r="X473" i="7"/>
  <c r="Z473" i="7"/>
  <c r="M473" i="11" s="1"/>
  <c r="A474" i="7"/>
  <c r="A474" i="11" s="1"/>
  <c r="B474" i="7"/>
  <c r="B474" i="11" s="1"/>
  <c r="C474" i="7"/>
  <c r="C474" i="11" s="1"/>
  <c r="D474" i="7"/>
  <c r="D474" i="11" s="1"/>
  <c r="E474" i="7"/>
  <c r="E474" i="11" s="1"/>
  <c r="F474" i="7"/>
  <c r="G474" i="7"/>
  <c r="I474" i="7"/>
  <c r="J474" i="7"/>
  <c r="L474" i="7"/>
  <c r="N474" i="7" s="1"/>
  <c r="F474" i="11" s="1"/>
  <c r="H474" i="11" s="1"/>
  <c r="M474" i="7"/>
  <c r="O474" i="7"/>
  <c r="P474" i="7"/>
  <c r="R474" i="7"/>
  <c r="T474" i="7" s="1"/>
  <c r="S474" i="7"/>
  <c r="W474" i="7"/>
  <c r="X474" i="7"/>
  <c r="Z474" i="7"/>
  <c r="M474" i="11" s="1"/>
  <c r="A475" i="7"/>
  <c r="A475" i="11" s="1"/>
  <c r="B475" i="7"/>
  <c r="B475" i="11" s="1"/>
  <c r="C475" i="7"/>
  <c r="C475" i="11" s="1"/>
  <c r="D475" i="7"/>
  <c r="D475" i="11" s="1"/>
  <c r="E475" i="7"/>
  <c r="E475" i="11" s="1"/>
  <c r="F475" i="7"/>
  <c r="G475" i="7"/>
  <c r="I475" i="7"/>
  <c r="J475" i="7"/>
  <c r="L475" i="7"/>
  <c r="N475" i="7" s="1"/>
  <c r="F475" i="11" s="1"/>
  <c r="H475" i="11" s="1"/>
  <c r="M475" i="7"/>
  <c r="O475" i="7"/>
  <c r="P475" i="7"/>
  <c r="R475" i="7"/>
  <c r="S475" i="7"/>
  <c r="W475" i="7"/>
  <c r="X475" i="7"/>
  <c r="Z475" i="7"/>
  <c r="M475" i="11" s="1"/>
  <c r="A476" i="7"/>
  <c r="A476" i="11" s="1"/>
  <c r="B476" i="7"/>
  <c r="B476" i="11" s="1"/>
  <c r="C476" i="7"/>
  <c r="C476" i="11" s="1"/>
  <c r="D476" i="7"/>
  <c r="D476" i="11" s="1"/>
  <c r="E476" i="7"/>
  <c r="E476" i="11" s="1"/>
  <c r="F476" i="7"/>
  <c r="G476" i="7"/>
  <c r="I476" i="7"/>
  <c r="J476" i="7"/>
  <c r="L476" i="7"/>
  <c r="N476" i="7" s="1"/>
  <c r="F476" i="11" s="1"/>
  <c r="H476" i="11" s="1"/>
  <c r="M476" i="7"/>
  <c r="O476" i="7"/>
  <c r="P476" i="7"/>
  <c r="R476" i="7"/>
  <c r="S476" i="7"/>
  <c r="W476" i="7"/>
  <c r="X476" i="7"/>
  <c r="Z476" i="7"/>
  <c r="M476" i="11" s="1"/>
  <c r="A477" i="7"/>
  <c r="A477" i="11" s="1"/>
  <c r="B477" i="7"/>
  <c r="B477" i="11" s="1"/>
  <c r="C477" i="7"/>
  <c r="C477" i="11" s="1"/>
  <c r="D477" i="7"/>
  <c r="D477" i="11" s="1"/>
  <c r="E477" i="7"/>
  <c r="E477" i="11" s="1"/>
  <c r="F477" i="7"/>
  <c r="G477" i="7"/>
  <c r="I477" i="7"/>
  <c r="J477" i="7"/>
  <c r="L477" i="7"/>
  <c r="N477" i="7" s="1"/>
  <c r="F477" i="11" s="1"/>
  <c r="H477" i="11" s="1"/>
  <c r="M477" i="7"/>
  <c r="O477" i="7"/>
  <c r="P477" i="7"/>
  <c r="R477" i="7"/>
  <c r="S477" i="7"/>
  <c r="W477" i="7"/>
  <c r="X477" i="7"/>
  <c r="Z477" i="7"/>
  <c r="M477" i="11" s="1"/>
  <c r="A478" i="7"/>
  <c r="A478" i="11" s="1"/>
  <c r="B478" i="7"/>
  <c r="B478" i="11" s="1"/>
  <c r="C478" i="7"/>
  <c r="C478" i="11" s="1"/>
  <c r="D478" i="7"/>
  <c r="D478" i="11" s="1"/>
  <c r="E478" i="7"/>
  <c r="E478" i="11" s="1"/>
  <c r="F478" i="7"/>
  <c r="G478" i="7"/>
  <c r="I478" i="7"/>
  <c r="J478" i="7"/>
  <c r="L478" i="7"/>
  <c r="M478" i="7"/>
  <c r="O478" i="7"/>
  <c r="P478" i="7"/>
  <c r="R478" i="7"/>
  <c r="S478" i="7"/>
  <c r="W478" i="7"/>
  <c r="X478" i="7"/>
  <c r="Z478" i="7"/>
  <c r="M478" i="11" s="1"/>
  <c r="A479" i="7"/>
  <c r="A479" i="11" s="1"/>
  <c r="B479" i="7"/>
  <c r="B479" i="11" s="1"/>
  <c r="C479" i="7"/>
  <c r="C479" i="11" s="1"/>
  <c r="D479" i="7"/>
  <c r="D479" i="11" s="1"/>
  <c r="E479" i="7"/>
  <c r="E479" i="11" s="1"/>
  <c r="F479" i="7"/>
  <c r="G479" i="7"/>
  <c r="I479" i="7"/>
  <c r="J479" i="7"/>
  <c r="L479" i="7"/>
  <c r="M479" i="7"/>
  <c r="O479" i="7"/>
  <c r="P479" i="7"/>
  <c r="R479" i="7"/>
  <c r="S479" i="7"/>
  <c r="W479" i="7"/>
  <c r="X479" i="7"/>
  <c r="Z479" i="7"/>
  <c r="M479" i="11" s="1"/>
  <c r="A480" i="7"/>
  <c r="A480" i="11" s="1"/>
  <c r="B480" i="7"/>
  <c r="B480" i="11" s="1"/>
  <c r="C480" i="7"/>
  <c r="C480" i="11" s="1"/>
  <c r="D480" i="7"/>
  <c r="D480" i="11" s="1"/>
  <c r="E480" i="7"/>
  <c r="E480" i="11" s="1"/>
  <c r="F480" i="7"/>
  <c r="G480" i="7"/>
  <c r="I480" i="7"/>
  <c r="J480" i="7"/>
  <c r="L480" i="7"/>
  <c r="M480" i="7"/>
  <c r="O480" i="7"/>
  <c r="P480" i="7"/>
  <c r="R480" i="7"/>
  <c r="S480" i="7"/>
  <c r="W480" i="7"/>
  <c r="X480" i="7"/>
  <c r="Z480" i="7"/>
  <c r="M480" i="11" s="1"/>
  <c r="A481" i="7"/>
  <c r="A481" i="11" s="1"/>
  <c r="B481" i="7"/>
  <c r="B481" i="11" s="1"/>
  <c r="C481" i="7"/>
  <c r="C481" i="11" s="1"/>
  <c r="D481" i="7"/>
  <c r="D481" i="11" s="1"/>
  <c r="E481" i="7"/>
  <c r="E481" i="11" s="1"/>
  <c r="F481" i="7"/>
  <c r="G481" i="7"/>
  <c r="I481" i="7"/>
  <c r="J481" i="7"/>
  <c r="L481" i="7"/>
  <c r="N481" i="7" s="1"/>
  <c r="F481" i="11" s="1"/>
  <c r="H481" i="11" s="1"/>
  <c r="M481" i="7"/>
  <c r="O481" i="7"/>
  <c r="P481" i="7"/>
  <c r="R481" i="7"/>
  <c r="T481" i="7" s="1"/>
  <c r="S481" i="7"/>
  <c r="W481" i="7"/>
  <c r="X481" i="7"/>
  <c r="Z481" i="7"/>
  <c r="M481" i="11" s="1"/>
  <c r="A482" i="7"/>
  <c r="A482" i="11" s="1"/>
  <c r="B482" i="7"/>
  <c r="B482" i="11" s="1"/>
  <c r="C482" i="7"/>
  <c r="C482" i="11" s="1"/>
  <c r="D482" i="7"/>
  <c r="D482" i="11" s="1"/>
  <c r="E482" i="7"/>
  <c r="E482" i="11" s="1"/>
  <c r="F482" i="7"/>
  <c r="G482" i="7"/>
  <c r="I482" i="7"/>
  <c r="J482" i="7"/>
  <c r="L482" i="7"/>
  <c r="M482" i="7"/>
  <c r="O482" i="7"/>
  <c r="P482" i="7"/>
  <c r="R482" i="7"/>
  <c r="S482" i="7"/>
  <c r="W482" i="7"/>
  <c r="X482" i="7"/>
  <c r="Z482" i="7"/>
  <c r="M482" i="11" s="1"/>
  <c r="A483" i="7"/>
  <c r="A483" i="11" s="1"/>
  <c r="B483" i="7"/>
  <c r="B483" i="11" s="1"/>
  <c r="C483" i="7"/>
  <c r="C483" i="11" s="1"/>
  <c r="D483" i="7"/>
  <c r="D483" i="11" s="1"/>
  <c r="E483" i="7"/>
  <c r="E483" i="11" s="1"/>
  <c r="F483" i="7"/>
  <c r="G483" i="7"/>
  <c r="I483" i="7"/>
  <c r="J483" i="7"/>
  <c r="L483" i="7"/>
  <c r="N483" i="7" s="1"/>
  <c r="F483" i="11" s="1"/>
  <c r="H483" i="11" s="1"/>
  <c r="M483" i="7"/>
  <c r="O483" i="7"/>
  <c r="Q483" i="7" s="1"/>
  <c r="P483" i="7"/>
  <c r="R483" i="7"/>
  <c r="S483" i="7"/>
  <c r="W483" i="7"/>
  <c r="X483" i="7"/>
  <c r="Z483" i="7"/>
  <c r="M483" i="11" s="1"/>
  <c r="A484" i="7"/>
  <c r="A484" i="11" s="1"/>
  <c r="B484" i="7"/>
  <c r="B484" i="11" s="1"/>
  <c r="C484" i="7"/>
  <c r="C484" i="11" s="1"/>
  <c r="D484" i="7"/>
  <c r="D484" i="11" s="1"/>
  <c r="E484" i="7"/>
  <c r="E484" i="11" s="1"/>
  <c r="F484" i="7"/>
  <c r="G484" i="7"/>
  <c r="I484" i="7"/>
  <c r="J484" i="7"/>
  <c r="L484" i="7"/>
  <c r="N484" i="7" s="1"/>
  <c r="F484" i="11" s="1"/>
  <c r="H484" i="11" s="1"/>
  <c r="M484" i="7"/>
  <c r="O484" i="7"/>
  <c r="P484" i="7"/>
  <c r="R484" i="7"/>
  <c r="T484" i="7" s="1"/>
  <c r="S484" i="7"/>
  <c r="W484" i="7"/>
  <c r="X484" i="7"/>
  <c r="Z484" i="7"/>
  <c r="M484" i="11" s="1"/>
  <c r="A485" i="7"/>
  <c r="A485" i="11" s="1"/>
  <c r="B485" i="7"/>
  <c r="B485" i="11" s="1"/>
  <c r="C485" i="7"/>
  <c r="C485" i="11" s="1"/>
  <c r="D485" i="7"/>
  <c r="D485" i="11" s="1"/>
  <c r="E485" i="7"/>
  <c r="E485" i="11" s="1"/>
  <c r="F485" i="7"/>
  <c r="G485" i="7"/>
  <c r="I485" i="7"/>
  <c r="J485" i="7"/>
  <c r="L485" i="7"/>
  <c r="N485" i="7" s="1"/>
  <c r="F485" i="11" s="1"/>
  <c r="H485" i="11" s="1"/>
  <c r="M485" i="7"/>
  <c r="O485" i="7"/>
  <c r="P485" i="7"/>
  <c r="R485" i="7"/>
  <c r="S485" i="7"/>
  <c r="W485" i="7"/>
  <c r="X485" i="7"/>
  <c r="Z485" i="7"/>
  <c r="M485" i="11" s="1"/>
  <c r="A486" i="7"/>
  <c r="A486" i="11" s="1"/>
  <c r="B486" i="7"/>
  <c r="B486" i="11" s="1"/>
  <c r="C486" i="7"/>
  <c r="C486" i="11" s="1"/>
  <c r="D486" i="7"/>
  <c r="D486" i="11" s="1"/>
  <c r="E486" i="7"/>
  <c r="E486" i="11" s="1"/>
  <c r="F486" i="7"/>
  <c r="G486" i="7"/>
  <c r="I486" i="7"/>
  <c r="J486" i="7"/>
  <c r="L486" i="7"/>
  <c r="N486" i="7" s="1"/>
  <c r="F486" i="11" s="1"/>
  <c r="H486" i="11" s="1"/>
  <c r="M486" i="7"/>
  <c r="O486" i="7"/>
  <c r="P486" i="7"/>
  <c r="R486" i="7"/>
  <c r="S486" i="7"/>
  <c r="W486" i="7"/>
  <c r="X486" i="7"/>
  <c r="Z486" i="7"/>
  <c r="M486" i="11" s="1"/>
  <c r="A487" i="7"/>
  <c r="A487" i="11" s="1"/>
  <c r="B487" i="7"/>
  <c r="B487" i="11" s="1"/>
  <c r="C487" i="7"/>
  <c r="C487" i="11" s="1"/>
  <c r="D487" i="7"/>
  <c r="D487" i="11" s="1"/>
  <c r="E487" i="7"/>
  <c r="E487" i="11" s="1"/>
  <c r="F487" i="7"/>
  <c r="G487" i="7"/>
  <c r="I487" i="7"/>
  <c r="J487" i="7"/>
  <c r="L487" i="7"/>
  <c r="N487" i="7" s="1"/>
  <c r="F487" i="11" s="1"/>
  <c r="H487" i="11" s="1"/>
  <c r="M487" i="7"/>
  <c r="O487" i="7"/>
  <c r="P487" i="7"/>
  <c r="R487" i="7"/>
  <c r="S487" i="7"/>
  <c r="W487" i="7"/>
  <c r="X487" i="7"/>
  <c r="Z487" i="7"/>
  <c r="M487" i="11" s="1"/>
  <c r="A488" i="7"/>
  <c r="A488" i="11" s="1"/>
  <c r="B488" i="7"/>
  <c r="B488" i="11" s="1"/>
  <c r="C488" i="7"/>
  <c r="C488" i="11" s="1"/>
  <c r="D488" i="7"/>
  <c r="D488" i="11" s="1"/>
  <c r="E488" i="7"/>
  <c r="E488" i="11" s="1"/>
  <c r="F488" i="7"/>
  <c r="G488" i="7"/>
  <c r="I488" i="7"/>
  <c r="J488" i="7"/>
  <c r="L488" i="7"/>
  <c r="N488" i="7" s="1"/>
  <c r="F488" i="11" s="1"/>
  <c r="H488" i="11" s="1"/>
  <c r="M488" i="7"/>
  <c r="O488" i="7"/>
  <c r="P488" i="7"/>
  <c r="R488" i="7"/>
  <c r="S488" i="7"/>
  <c r="W488" i="7"/>
  <c r="X488" i="7"/>
  <c r="Z488" i="7"/>
  <c r="M488" i="11" s="1"/>
  <c r="A489" i="7"/>
  <c r="A489" i="11" s="1"/>
  <c r="B489" i="7"/>
  <c r="B489" i="11" s="1"/>
  <c r="C489" i="7"/>
  <c r="C489" i="11" s="1"/>
  <c r="D489" i="7"/>
  <c r="D489" i="11" s="1"/>
  <c r="E489" i="7"/>
  <c r="E489" i="11" s="1"/>
  <c r="F489" i="7"/>
  <c r="G489" i="7"/>
  <c r="I489" i="7"/>
  <c r="J489" i="7"/>
  <c r="L489" i="7"/>
  <c r="N489" i="7" s="1"/>
  <c r="F489" i="11" s="1"/>
  <c r="H489" i="11" s="1"/>
  <c r="M489" i="7"/>
  <c r="O489" i="7"/>
  <c r="P489" i="7"/>
  <c r="R489" i="7"/>
  <c r="S489" i="7"/>
  <c r="W489" i="7"/>
  <c r="X489" i="7"/>
  <c r="Z489" i="7"/>
  <c r="M489" i="11" s="1"/>
  <c r="A490" i="7"/>
  <c r="A490" i="11" s="1"/>
  <c r="B490" i="7"/>
  <c r="B490" i="11" s="1"/>
  <c r="C490" i="7"/>
  <c r="C490" i="11" s="1"/>
  <c r="D490" i="7"/>
  <c r="D490" i="11" s="1"/>
  <c r="E490" i="7"/>
  <c r="E490" i="11" s="1"/>
  <c r="F490" i="7"/>
  <c r="G490" i="7"/>
  <c r="I490" i="7"/>
  <c r="J490" i="7"/>
  <c r="L490" i="7"/>
  <c r="M490" i="7"/>
  <c r="O490" i="7"/>
  <c r="P490" i="7"/>
  <c r="R490" i="7"/>
  <c r="S490" i="7"/>
  <c r="W490" i="7"/>
  <c r="X490" i="7"/>
  <c r="Z490" i="7"/>
  <c r="M490" i="11" s="1"/>
  <c r="A491" i="7"/>
  <c r="A491" i="11" s="1"/>
  <c r="B491" i="7"/>
  <c r="B491" i="11" s="1"/>
  <c r="C491" i="7"/>
  <c r="C491" i="11" s="1"/>
  <c r="D491" i="7"/>
  <c r="D491" i="11" s="1"/>
  <c r="E491" i="7"/>
  <c r="E491" i="11" s="1"/>
  <c r="F491" i="7"/>
  <c r="G491" i="7"/>
  <c r="I491" i="7"/>
  <c r="J491" i="7"/>
  <c r="L491" i="7"/>
  <c r="M491" i="7"/>
  <c r="O491" i="7"/>
  <c r="P491" i="7"/>
  <c r="R491" i="7"/>
  <c r="S491" i="7"/>
  <c r="W491" i="7"/>
  <c r="X491" i="7"/>
  <c r="Z491" i="7"/>
  <c r="M491" i="11" s="1"/>
  <c r="A492" i="7"/>
  <c r="A492" i="11" s="1"/>
  <c r="B492" i="7"/>
  <c r="B492" i="11" s="1"/>
  <c r="C492" i="7"/>
  <c r="C492" i="11" s="1"/>
  <c r="D492" i="7"/>
  <c r="D492" i="11" s="1"/>
  <c r="E492" i="7"/>
  <c r="E492" i="11" s="1"/>
  <c r="F492" i="7"/>
  <c r="G492" i="7"/>
  <c r="I492" i="7"/>
  <c r="J492" i="7"/>
  <c r="L492" i="7"/>
  <c r="M492" i="7"/>
  <c r="O492" i="7"/>
  <c r="P492" i="7"/>
  <c r="R492" i="7"/>
  <c r="S492" i="7"/>
  <c r="W492" i="7"/>
  <c r="X492" i="7"/>
  <c r="Z492" i="7"/>
  <c r="M492" i="11" s="1"/>
  <c r="A493" i="7"/>
  <c r="A493" i="11" s="1"/>
  <c r="B493" i="7"/>
  <c r="B493" i="11" s="1"/>
  <c r="C493" i="7"/>
  <c r="C493" i="11" s="1"/>
  <c r="D493" i="7"/>
  <c r="D493" i="11" s="1"/>
  <c r="E493" i="7"/>
  <c r="E493" i="11" s="1"/>
  <c r="F493" i="7"/>
  <c r="G493" i="7"/>
  <c r="I493" i="7"/>
  <c r="J493" i="7"/>
  <c r="L493" i="7"/>
  <c r="N493" i="7" s="1"/>
  <c r="F493" i="11" s="1"/>
  <c r="H493" i="11" s="1"/>
  <c r="M493" i="7"/>
  <c r="O493" i="7"/>
  <c r="Q493" i="7" s="1"/>
  <c r="P493" i="7"/>
  <c r="R493" i="7"/>
  <c r="S493" i="7"/>
  <c r="W493" i="7"/>
  <c r="X493" i="7"/>
  <c r="Z493" i="7"/>
  <c r="M493" i="11" s="1"/>
  <c r="A494" i="7"/>
  <c r="A494" i="11" s="1"/>
  <c r="B494" i="7"/>
  <c r="B494" i="11" s="1"/>
  <c r="C494" i="7"/>
  <c r="C494" i="11" s="1"/>
  <c r="D494" i="7"/>
  <c r="D494" i="11" s="1"/>
  <c r="E494" i="7"/>
  <c r="E494" i="11" s="1"/>
  <c r="F494" i="7"/>
  <c r="G494" i="7"/>
  <c r="I494" i="7"/>
  <c r="J494" i="7"/>
  <c r="L494" i="7"/>
  <c r="N494" i="7" s="1"/>
  <c r="F494" i="11" s="1"/>
  <c r="H494" i="11" s="1"/>
  <c r="M494" i="7"/>
  <c r="O494" i="7"/>
  <c r="P494" i="7"/>
  <c r="R494" i="7"/>
  <c r="T494" i="7" s="1"/>
  <c r="S494" i="7"/>
  <c r="W494" i="7"/>
  <c r="X494" i="7"/>
  <c r="Z494" i="7"/>
  <c r="M494" i="11" s="1"/>
  <c r="A495" i="7"/>
  <c r="A495" i="11" s="1"/>
  <c r="B495" i="7"/>
  <c r="B495" i="11" s="1"/>
  <c r="C495" i="7"/>
  <c r="C495" i="11" s="1"/>
  <c r="D495" i="7"/>
  <c r="D495" i="11" s="1"/>
  <c r="E495" i="7"/>
  <c r="E495" i="11" s="1"/>
  <c r="F495" i="7"/>
  <c r="G495" i="7"/>
  <c r="I495" i="7"/>
  <c r="J495" i="7"/>
  <c r="L495" i="7"/>
  <c r="N495" i="7" s="1"/>
  <c r="F495" i="11" s="1"/>
  <c r="H495" i="11" s="1"/>
  <c r="M495" i="7"/>
  <c r="O495" i="7"/>
  <c r="P495" i="7"/>
  <c r="R495" i="7"/>
  <c r="S495" i="7"/>
  <c r="W495" i="7"/>
  <c r="X495" i="7"/>
  <c r="Z495" i="7"/>
  <c r="M495" i="11" s="1"/>
  <c r="A496" i="7"/>
  <c r="A496" i="11" s="1"/>
  <c r="B496" i="7"/>
  <c r="B496" i="11" s="1"/>
  <c r="C496" i="7"/>
  <c r="C496" i="11" s="1"/>
  <c r="D496" i="7"/>
  <c r="D496" i="11" s="1"/>
  <c r="E496" i="7"/>
  <c r="E496" i="11" s="1"/>
  <c r="F496" i="7"/>
  <c r="G496" i="7"/>
  <c r="I496" i="7"/>
  <c r="J496" i="7"/>
  <c r="L496" i="7"/>
  <c r="N496" i="7" s="1"/>
  <c r="F496" i="11" s="1"/>
  <c r="H496" i="11" s="1"/>
  <c r="M496" i="7"/>
  <c r="O496" i="7"/>
  <c r="P496" i="7"/>
  <c r="R496" i="7"/>
  <c r="S496" i="7"/>
  <c r="W496" i="7"/>
  <c r="X496" i="7"/>
  <c r="Z496" i="7"/>
  <c r="M496" i="11" s="1"/>
  <c r="A497" i="7"/>
  <c r="A497" i="11" s="1"/>
  <c r="B497" i="7"/>
  <c r="B497" i="11" s="1"/>
  <c r="C497" i="7"/>
  <c r="C497" i="11" s="1"/>
  <c r="D497" i="7"/>
  <c r="D497" i="11" s="1"/>
  <c r="E497" i="7"/>
  <c r="E497" i="11" s="1"/>
  <c r="F497" i="7"/>
  <c r="G497" i="7"/>
  <c r="I497" i="7"/>
  <c r="J497" i="7"/>
  <c r="L497" i="7"/>
  <c r="M497" i="7"/>
  <c r="O497" i="7"/>
  <c r="P497" i="7"/>
  <c r="R497" i="7"/>
  <c r="S497" i="7"/>
  <c r="W497" i="7"/>
  <c r="X497" i="7"/>
  <c r="Z497" i="7"/>
  <c r="M497" i="11" s="1"/>
  <c r="A498" i="7"/>
  <c r="A498" i="11" s="1"/>
  <c r="B498" i="7"/>
  <c r="B498" i="11" s="1"/>
  <c r="C498" i="7"/>
  <c r="C498" i="11" s="1"/>
  <c r="D498" i="7"/>
  <c r="D498" i="11" s="1"/>
  <c r="E498" i="7"/>
  <c r="E498" i="11" s="1"/>
  <c r="F498" i="7"/>
  <c r="G498" i="7"/>
  <c r="I498" i="7"/>
  <c r="J498" i="7"/>
  <c r="L498" i="7"/>
  <c r="N498" i="7" s="1"/>
  <c r="F498" i="11" s="1"/>
  <c r="H498" i="11" s="1"/>
  <c r="M498" i="7"/>
  <c r="O498" i="7"/>
  <c r="P498" i="7"/>
  <c r="R498" i="7"/>
  <c r="S498" i="7"/>
  <c r="W498" i="7"/>
  <c r="X498" i="7"/>
  <c r="Z498" i="7"/>
  <c r="M498" i="11" s="1"/>
  <c r="A499" i="7"/>
  <c r="A499" i="11" s="1"/>
  <c r="B499" i="7"/>
  <c r="B499" i="11" s="1"/>
  <c r="C499" i="7"/>
  <c r="C499" i="11" s="1"/>
  <c r="D499" i="7"/>
  <c r="D499" i="11" s="1"/>
  <c r="E499" i="7"/>
  <c r="E499" i="11" s="1"/>
  <c r="F499" i="7"/>
  <c r="G499" i="7"/>
  <c r="I499" i="7"/>
  <c r="J499" i="7"/>
  <c r="L499" i="7"/>
  <c r="N499" i="7" s="1"/>
  <c r="F499" i="11" s="1"/>
  <c r="H499" i="11" s="1"/>
  <c r="M499" i="7"/>
  <c r="O499" i="7"/>
  <c r="P499" i="7"/>
  <c r="R499" i="7"/>
  <c r="S499" i="7"/>
  <c r="W499" i="7"/>
  <c r="X499" i="7"/>
  <c r="Z499" i="7"/>
  <c r="M499" i="11" s="1"/>
  <c r="A500" i="7"/>
  <c r="A500" i="11" s="1"/>
  <c r="B500" i="7"/>
  <c r="B500" i="11" s="1"/>
  <c r="C500" i="7"/>
  <c r="C500" i="11" s="1"/>
  <c r="D500" i="7"/>
  <c r="D500" i="11" s="1"/>
  <c r="E500" i="7"/>
  <c r="E500" i="11" s="1"/>
  <c r="F500" i="7"/>
  <c r="G500" i="7"/>
  <c r="I500" i="7"/>
  <c r="J500" i="7"/>
  <c r="L500" i="7"/>
  <c r="N500" i="7" s="1"/>
  <c r="F500" i="11" s="1"/>
  <c r="H500" i="11" s="1"/>
  <c r="M500" i="7"/>
  <c r="O500" i="7"/>
  <c r="Q500" i="7" s="1"/>
  <c r="P500" i="7"/>
  <c r="R500" i="7"/>
  <c r="S500" i="7"/>
  <c r="W500" i="7"/>
  <c r="X500" i="7"/>
  <c r="Z500" i="7"/>
  <c r="M500" i="11" s="1"/>
  <c r="A501" i="7"/>
  <c r="A501" i="11" s="1"/>
  <c r="B501" i="7"/>
  <c r="B501" i="11" s="1"/>
  <c r="C501" i="7"/>
  <c r="C501" i="11" s="1"/>
  <c r="D501" i="7"/>
  <c r="D501" i="11" s="1"/>
  <c r="E501" i="7"/>
  <c r="E501" i="11" s="1"/>
  <c r="F501" i="7"/>
  <c r="G501" i="7"/>
  <c r="I501" i="7"/>
  <c r="J501" i="7"/>
  <c r="L501" i="7"/>
  <c r="N501" i="7" s="1"/>
  <c r="F501" i="11" s="1"/>
  <c r="H501" i="11" s="1"/>
  <c r="M501" i="7"/>
  <c r="O501" i="7"/>
  <c r="P501" i="7"/>
  <c r="R501" i="7"/>
  <c r="T501" i="7" s="1"/>
  <c r="S501" i="7"/>
  <c r="W501" i="7"/>
  <c r="X501" i="7"/>
  <c r="Z501" i="7"/>
  <c r="M501" i="11" s="1"/>
  <c r="A502" i="7"/>
  <c r="A502" i="11" s="1"/>
  <c r="B502" i="7"/>
  <c r="B502" i="11" s="1"/>
  <c r="C502" i="7"/>
  <c r="C502" i="11" s="1"/>
  <c r="D502" i="7"/>
  <c r="D502" i="11" s="1"/>
  <c r="E502" i="7"/>
  <c r="E502" i="11" s="1"/>
  <c r="F502" i="7"/>
  <c r="G502" i="7"/>
  <c r="I502" i="7"/>
  <c r="J502" i="7"/>
  <c r="L502" i="7"/>
  <c r="M502" i="7"/>
  <c r="O502" i="7"/>
  <c r="P502" i="7"/>
  <c r="R502" i="7"/>
  <c r="S502" i="7"/>
  <c r="W502" i="7"/>
  <c r="X502" i="7"/>
  <c r="Z502" i="7"/>
  <c r="M502" i="11" s="1"/>
  <c r="A503" i="7"/>
  <c r="A503" i="11" s="1"/>
  <c r="B503" i="7"/>
  <c r="B503" i="11" s="1"/>
  <c r="C503" i="7"/>
  <c r="C503" i="11" s="1"/>
  <c r="D503" i="7"/>
  <c r="D503" i="11" s="1"/>
  <c r="E503" i="7"/>
  <c r="E503" i="11" s="1"/>
  <c r="F503" i="7"/>
  <c r="G503" i="7"/>
  <c r="I503" i="7"/>
  <c r="J503" i="7"/>
  <c r="L503" i="7"/>
  <c r="M503" i="7"/>
  <c r="O503" i="7"/>
  <c r="Q503" i="7" s="1"/>
  <c r="P503" i="7"/>
  <c r="R503" i="7"/>
  <c r="S503" i="7"/>
  <c r="W503" i="7"/>
  <c r="X503" i="7"/>
  <c r="Z503" i="7"/>
  <c r="M503" i="11" s="1"/>
  <c r="A504" i="7"/>
  <c r="A504" i="11" s="1"/>
  <c r="B504" i="7"/>
  <c r="B504" i="11" s="1"/>
  <c r="C504" i="7"/>
  <c r="C504" i="11" s="1"/>
  <c r="D504" i="7"/>
  <c r="D504" i="11" s="1"/>
  <c r="E504" i="7"/>
  <c r="E504" i="11" s="1"/>
  <c r="F504" i="7"/>
  <c r="G504" i="7"/>
  <c r="I504" i="7"/>
  <c r="J504" i="7"/>
  <c r="L504" i="7"/>
  <c r="M504" i="7"/>
  <c r="O504" i="7"/>
  <c r="P504" i="7"/>
  <c r="R504" i="7"/>
  <c r="T504" i="7" s="1"/>
  <c r="S504" i="7"/>
  <c r="W504" i="7"/>
  <c r="X504" i="7"/>
  <c r="Z504" i="7"/>
  <c r="M504" i="11" s="1"/>
  <c r="A505" i="7"/>
  <c r="A505" i="11" s="1"/>
  <c r="B505" i="7"/>
  <c r="B505" i="11" s="1"/>
  <c r="C505" i="7"/>
  <c r="C505" i="11" s="1"/>
  <c r="D505" i="7"/>
  <c r="D505" i="11" s="1"/>
  <c r="E505" i="7"/>
  <c r="E505" i="11" s="1"/>
  <c r="F505" i="7"/>
  <c r="G505" i="7"/>
  <c r="I505" i="7"/>
  <c r="J505" i="7"/>
  <c r="L505" i="7"/>
  <c r="N505" i="7" s="1"/>
  <c r="F505" i="11" s="1"/>
  <c r="H505" i="11" s="1"/>
  <c r="M505" i="7"/>
  <c r="O505" i="7"/>
  <c r="P505" i="7"/>
  <c r="R505" i="7"/>
  <c r="S505" i="7"/>
  <c r="W505" i="7"/>
  <c r="X505" i="7"/>
  <c r="Z505" i="7"/>
  <c r="M505" i="11" s="1"/>
  <c r="A506" i="7"/>
  <c r="A506" i="11" s="1"/>
  <c r="B506" i="7"/>
  <c r="B506" i="11" s="1"/>
  <c r="C506" i="7"/>
  <c r="C506" i="11" s="1"/>
  <c r="D506" i="7"/>
  <c r="D506" i="11" s="1"/>
  <c r="E506" i="7"/>
  <c r="E506" i="11" s="1"/>
  <c r="F506" i="7"/>
  <c r="G506" i="7"/>
  <c r="I506" i="7"/>
  <c r="J506" i="7"/>
  <c r="L506" i="7"/>
  <c r="M506" i="7"/>
  <c r="O506" i="7"/>
  <c r="P506" i="7"/>
  <c r="R506" i="7"/>
  <c r="S506" i="7"/>
  <c r="W506" i="7"/>
  <c r="X506" i="7"/>
  <c r="Z506" i="7"/>
  <c r="M506" i="11" s="1"/>
  <c r="A507" i="7"/>
  <c r="A507" i="11" s="1"/>
  <c r="B507" i="7"/>
  <c r="B507" i="11" s="1"/>
  <c r="C507" i="7"/>
  <c r="C507" i="11" s="1"/>
  <c r="D507" i="7"/>
  <c r="D507" i="11" s="1"/>
  <c r="E507" i="7"/>
  <c r="E507" i="11" s="1"/>
  <c r="F507" i="7"/>
  <c r="G507" i="7"/>
  <c r="I507" i="7"/>
  <c r="J507" i="7"/>
  <c r="L507" i="7"/>
  <c r="M507" i="7"/>
  <c r="O507" i="7"/>
  <c r="P507" i="7"/>
  <c r="R507" i="7"/>
  <c r="S507" i="7"/>
  <c r="W507" i="7"/>
  <c r="X507" i="7"/>
  <c r="Z507" i="7"/>
  <c r="M507" i="11" s="1"/>
  <c r="A508" i="7"/>
  <c r="A508" i="11" s="1"/>
  <c r="B508" i="7"/>
  <c r="B508" i="11" s="1"/>
  <c r="C508" i="7"/>
  <c r="C508" i="11" s="1"/>
  <c r="D508" i="7"/>
  <c r="D508" i="11" s="1"/>
  <c r="E508" i="7"/>
  <c r="E508" i="11" s="1"/>
  <c r="F508" i="7"/>
  <c r="G508" i="7"/>
  <c r="I508" i="7"/>
  <c r="J508" i="7"/>
  <c r="L508" i="7"/>
  <c r="N508" i="7" s="1"/>
  <c r="F508" i="11" s="1"/>
  <c r="H508" i="11" s="1"/>
  <c r="M508" i="7"/>
  <c r="O508" i="7"/>
  <c r="P508" i="7"/>
  <c r="R508" i="7"/>
  <c r="S508" i="7"/>
  <c r="W508" i="7"/>
  <c r="X508" i="7"/>
  <c r="Z508" i="7"/>
  <c r="M508" i="11" s="1"/>
  <c r="A509" i="7"/>
  <c r="A509" i="11" s="1"/>
  <c r="B509" i="7"/>
  <c r="B509" i="11" s="1"/>
  <c r="C509" i="7"/>
  <c r="C509" i="11" s="1"/>
  <c r="D509" i="7"/>
  <c r="D509" i="11" s="1"/>
  <c r="E509" i="7"/>
  <c r="E509" i="11" s="1"/>
  <c r="F509" i="7"/>
  <c r="G509" i="7"/>
  <c r="I509" i="7"/>
  <c r="J509" i="7"/>
  <c r="L509" i="7"/>
  <c r="N509" i="7" s="1"/>
  <c r="F509" i="11" s="1"/>
  <c r="H509" i="11" s="1"/>
  <c r="M509" i="7"/>
  <c r="O509" i="7"/>
  <c r="P509" i="7"/>
  <c r="R509" i="7"/>
  <c r="S509" i="7"/>
  <c r="W509" i="7"/>
  <c r="X509" i="7"/>
  <c r="Z509" i="7"/>
  <c r="M509" i="11" s="1"/>
  <c r="A510" i="7"/>
  <c r="A510" i="11" s="1"/>
  <c r="B510" i="7"/>
  <c r="B510" i="11" s="1"/>
  <c r="C510" i="7"/>
  <c r="C510" i="11" s="1"/>
  <c r="D510" i="7"/>
  <c r="D510" i="11" s="1"/>
  <c r="E510" i="7"/>
  <c r="E510" i="11" s="1"/>
  <c r="F510" i="7"/>
  <c r="G510" i="7"/>
  <c r="I510" i="7"/>
  <c r="J510" i="7"/>
  <c r="L510" i="7"/>
  <c r="N510" i="7" s="1"/>
  <c r="F510" i="11" s="1"/>
  <c r="H510" i="11" s="1"/>
  <c r="M510" i="7"/>
  <c r="O510" i="7"/>
  <c r="Q510" i="7" s="1"/>
  <c r="P510" i="7"/>
  <c r="R510" i="7"/>
  <c r="S510" i="7"/>
  <c r="W510" i="7"/>
  <c r="X510" i="7"/>
  <c r="Z510" i="7"/>
  <c r="M510" i="11" s="1"/>
  <c r="A511" i="7"/>
  <c r="A511" i="11" s="1"/>
  <c r="B511" i="7"/>
  <c r="B511" i="11" s="1"/>
  <c r="C511" i="7"/>
  <c r="C511" i="11" s="1"/>
  <c r="D511" i="7"/>
  <c r="D511" i="11" s="1"/>
  <c r="E511" i="7"/>
  <c r="E511" i="11" s="1"/>
  <c r="F511" i="7"/>
  <c r="G511" i="7"/>
  <c r="I511" i="7"/>
  <c r="J511" i="7"/>
  <c r="L511" i="7"/>
  <c r="N511" i="7" s="1"/>
  <c r="F511" i="11" s="1"/>
  <c r="H511" i="11" s="1"/>
  <c r="M511" i="7"/>
  <c r="O511" i="7"/>
  <c r="P511" i="7"/>
  <c r="R511" i="7"/>
  <c r="T511" i="7" s="1"/>
  <c r="S511" i="7"/>
  <c r="W511" i="7"/>
  <c r="X511" i="7"/>
  <c r="Z511" i="7"/>
  <c r="M511" i="11" s="1"/>
  <c r="A512" i="7"/>
  <c r="A512" i="11" s="1"/>
  <c r="B512" i="7"/>
  <c r="B512" i="11" s="1"/>
  <c r="C512" i="7"/>
  <c r="C512" i="11" s="1"/>
  <c r="D512" i="7"/>
  <c r="D512" i="11" s="1"/>
  <c r="E512" i="7"/>
  <c r="E512" i="11" s="1"/>
  <c r="F512" i="7"/>
  <c r="G512" i="7"/>
  <c r="I512" i="7"/>
  <c r="J512" i="7"/>
  <c r="L512" i="7"/>
  <c r="N512" i="7" s="1"/>
  <c r="F512" i="11" s="1"/>
  <c r="H512" i="11" s="1"/>
  <c r="M512" i="7"/>
  <c r="O512" i="7"/>
  <c r="P512" i="7"/>
  <c r="R512" i="7"/>
  <c r="S512" i="7"/>
  <c r="W512" i="7"/>
  <c r="X512" i="7"/>
  <c r="Z512" i="7"/>
  <c r="M512" i="11" s="1"/>
  <c r="A513" i="7"/>
  <c r="A513" i="11" s="1"/>
  <c r="B513" i="7"/>
  <c r="B513" i="11" s="1"/>
  <c r="C513" i="7"/>
  <c r="C513" i="11" s="1"/>
  <c r="D513" i="7"/>
  <c r="D513" i="11" s="1"/>
  <c r="E513" i="7"/>
  <c r="E513" i="11" s="1"/>
  <c r="F513" i="7"/>
  <c r="G513" i="7"/>
  <c r="I513" i="7"/>
  <c r="J513" i="7"/>
  <c r="L513" i="7"/>
  <c r="M513" i="7"/>
  <c r="O513" i="7"/>
  <c r="Q513" i="7" s="1"/>
  <c r="P513" i="7"/>
  <c r="R513" i="7"/>
  <c r="T513" i="7" s="1"/>
  <c r="S513" i="7"/>
  <c r="W513" i="7"/>
  <c r="X513" i="7"/>
  <c r="Z513" i="7"/>
  <c r="M513" i="11" s="1"/>
  <c r="A514" i="7"/>
  <c r="A514" i="11" s="1"/>
  <c r="B514" i="7"/>
  <c r="B514" i="11" s="1"/>
  <c r="C514" i="7"/>
  <c r="C514" i="11" s="1"/>
  <c r="D514" i="7"/>
  <c r="D514" i="11" s="1"/>
  <c r="E514" i="7"/>
  <c r="E514" i="11" s="1"/>
  <c r="F514" i="7"/>
  <c r="G514" i="7"/>
  <c r="I514" i="7"/>
  <c r="J514" i="7"/>
  <c r="L514" i="7"/>
  <c r="M514" i="7"/>
  <c r="O514" i="7"/>
  <c r="P514" i="7"/>
  <c r="R514" i="7"/>
  <c r="S514" i="7"/>
  <c r="W514" i="7"/>
  <c r="X514" i="7"/>
  <c r="Z514" i="7"/>
  <c r="M514" i="11" s="1"/>
  <c r="A515" i="7"/>
  <c r="A515" i="11" s="1"/>
  <c r="B515" i="7"/>
  <c r="B515" i="11" s="1"/>
  <c r="C515" i="7"/>
  <c r="C515" i="11" s="1"/>
  <c r="D515" i="7"/>
  <c r="D515" i="11" s="1"/>
  <c r="E515" i="7"/>
  <c r="E515" i="11" s="1"/>
  <c r="F515" i="7"/>
  <c r="G515" i="7"/>
  <c r="I515" i="7"/>
  <c r="J515" i="7"/>
  <c r="L515" i="7"/>
  <c r="M515" i="7"/>
  <c r="O515" i="7"/>
  <c r="P515" i="7"/>
  <c r="R515" i="7"/>
  <c r="S515" i="7"/>
  <c r="W515" i="7"/>
  <c r="X515" i="7"/>
  <c r="Z515" i="7"/>
  <c r="M515" i="11" s="1"/>
  <c r="A516" i="7"/>
  <c r="A516" i="11" s="1"/>
  <c r="B516" i="7"/>
  <c r="B516" i="11" s="1"/>
  <c r="C516" i="7"/>
  <c r="C516" i="11" s="1"/>
  <c r="D516" i="7"/>
  <c r="D516" i="11" s="1"/>
  <c r="E516" i="7"/>
  <c r="E516" i="11" s="1"/>
  <c r="F516" i="7"/>
  <c r="G516" i="7"/>
  <c r="I516" i="7"/>
  <c r="J516" i="7"/>
  <c r="L516" i="7"/>
  <c r="M516" i="7"/>
  <c r="O516" i="7"/>
  <c r="P516" i="7"/>
  <c r="R516" i="7"/>
  <c r="S516" i="7"/>
  <c r="W516" i="7"/>
  <c r="X516" i="7"/>
  <c r="Z516" i="7"/>
  <c r="M516" i="11" s="1"/>
  <c r="A517" i="7"/>
  <c r="A517" i="11" s="1"/>
  <c r="B517" i="7"/>
  <c r="B517" i="11" s="1"/>
  <c r="C517" i="7"/>
  <c r="C517" i="11" s="1"/>
  <c r="D517" i="7"/>
  <c r="D517" i="11" s="1"/>
  <c r="E517" i="7"/>
  <c r="E517" i="11" s="1"/>
  <c r="F517" i="7"/>
  <c r="G517" i="7"/>
  <c r="I517" i="7"/>
  <c r="J517" i="7"/>
  <c r="L517" i="7"/>
  <c r="M517" i="7"/>
  <c r="O517" i="7"/>
  <c r="P517" i="7"/>
  <c r="R517" i="7"/>
  <c r="S517" i="7"/>
  <c r="W517" i="7"/>
  <c r="X517" i="7"/>
  <c r="Z517" i="7"/>
  <c r="M517" i="11" s="1"/>
  <c r="A518" i="7"/>
  <c r="A518" i="11" s="1"/>
  <c r="B518" i="7"/>
  <c r="B518" i="11" s="1"/>
  <c r="C518" i="7"/>
  <c r="C518" i="11" s="1"/>
  <c r="D518" i="7"/>
  <c r="D518" i="11" s="1"/>
  <c r="E518" i="7"/>
  <c r="E518" i="11" s="1"/>
  <c r="F518" i="7"/>
  <c r="G518" i="7"/>
  <c r="I518" i="7"/>
  <c r="J518" i="7"/>
  <c r="L518" i="7"/>
  <c r="N518" i="7" s="1"/>
  <c r="F518" i="11" s="1"/>
  <c r="H518" i="11" s="1"/>
  <c r="M518" i="7"/>
  <c r="O518" i="7"/>
  <c r="P518" i="7"/>
  <c r="R518" i="7"/>
  <c r="S518" i="7"/>
  <c r="W518" i="7"/>
  <c r="X518" i="7"/>
  <c r="Z518" i="7"/>
  <c r="M518" i="11" s="1"/>
  <c r="A519" i="7"/>
  <c r="A519" i="11" s="1"/>
  <c r="B519" i="7"/>
  <c r="B519" i="11" s="1"/>
  <c r="C519" i="7"/>
  <c r="C519" i="11" s="1"/>
  <c r="D519" i="7"/>
  <c r="D519" i="11" s="1"/>
  <c r="E519" i="7"/>
  <c r="E519" i="11" s="1"/>
  <c r="F519" i="7"/>
  <c r="G519" i="7"/>
  <c r="I519" i="7"/>
  <c r="J519" i="7"/>
  <c r="L519" i="7"/>
  <c r="M519" i="7"/>
  <c r="O519" i="7"/>
  <c r="P519" i="7"/>
  <c r="R519" i="7"/>
  <c r="S519" i="7"/>
  <c r="W519" i="7"/>
  <c r="X519" i="7"/>
  <c r="Z519" i="7"/>
  <c r="M519" i="11" s="1"/>
  <c r="A520" i="7"/>
  <c r="A520" i="11" s="1"/>
  <c r="B520" i="7"/>
  <c r="B520" i="11" s="1"/>
  <c r="C520" i="7"/>
  <c r="C520" i="11" s="1"/>
  <c r="D520" i="7"/>
  <c r="D520" i="11" s="1"/>
  <c r="E520" i="7"/>
  <c r="E520" i="11" s="1"/>
  <c r="F520" i="7"/>
  <c r="G520" i="7"/>
  <c r="I520" i="7"/>
  <c r="J520" i="7"/>
  <c r="L520" i="7"/>
  <c r="M520" i="7"/>
  <c r="O520" i="7"/>
  <c r="Q520" i="7" s="1"/>
  <c r="P520" i="7"/>
  <c r="R520" i="7"/>
  <c r="S520" i="7"/>
  <c r="W520" i="7"/>
  <c r="X520" i="7"/>
  <c r="Z520" i="7"/>
  <c r="M520" i="11" s="1"/>
  <c r="A521" i="7"/>
  <c r="A521" i="11" s="1"/>
  <c r="B521" i="7"/>
  <c r="B521" i="11" s="1"/>
  <c r="C521" i="7"/>
  <c r="C521" i="11" s="1"/>
  <c r="D521" i="7"/>
  <c r="D521" i="11" s="1"/>
  <c r="E521" i="7"/>
  <c r="E521" i="11" s="1"/>
  <c r="F521" i="7"/>
  <c r="G521" i="7"/>
  <c r="I521" i="7"/>
  <c r="J521" i="7"/>
  <c r="L521" i="7"/>
  <c r="N521" i="7" s="1"/>
  <c r="F521" i="11" s="1"/>
  <c r="H521" i="11" s="1"/>
  <c r="M521" i="7"/>
  <c r="O521" i="7"/>
  <c r="P521" i="7"/>
  <c r="R521" i="7"/>
  <c r="T521" i="7" s="1"/>
  <c r="S521" i="7"/>
  <c r="W521" i="7"/>
  <c r="X521" i="7"/>
  <c r="Z521" i="7"/>
  <c r="M521" i="11" s="1"/>
  <c r="A522" i="7"/>
  <c r="A522" i="11" s="1"/>
  <c r="B522" i="7"/>
  <c r="B522" i="11" s="1"/>
  <c r="C522" i="7"/>
  <c r="C522" i="11" s="1"/>
  <c r="D522" i="7"/>
  <c r="D522" i="11" s="1"/>
  <c r="E522" i="7"/>
  <c r="E522" i="11" s="1"/>
  <c r="F522" i="7"/>
  <c r="G522" i="7"/>
  <c r="I522" i="7"/>
  <c r="J522" i="7"/>
  <c r="L522" i="7"/>
  <c r="N522" i="7" s="1"/>
  <c r="F522" i="11" s="1"/>
  <c r="H522" i="11" s="1"/>
  <c r="I522" i="11" s="1"/>
  <c r="M522" i="7"/>
  <c r="O522" i="7"/>
  <c r="P522" i="7"/>
  <c r="R522" i="7"/>
  <c r="S522" i="7"/>
  <c r="W522" i="7"/>
  <c r="X522" i="7"/>
  <c r="Z522" i="7"/>
  <c r="M522" i="11" s="1"/>
  <c r="A523" i="7"/>
  <c r="A523" i="11" s="1"/>
  <c r="B523" i="7"/>
  <c r="B523" i="11" s="1"/>
  <c r="C523" i="7"/>
  <c r="C523" i="11" s="1"/>
  <c r="D523" i="7"/>
  <c r="D523" i="11" s="1"/>
  <c r="E523" i="7"/>
  <c r="E523" i="11" s="1"/>
  <c r="F523" i="7"/>
  <c r="G523" i="7"/>
  <c r="I523" i="7"/>
  <c r="J523" i="7"/>
  <c r="L523" i="7"/>
  <c r="N523" i="7" s="1"/>
  <c r="F523" i="11" s="1"/>
  <c r="H523" i="11" s="1"/>
  <c r="M523" i="7"/>
  <c r="O523" i="7"/>
  <c r="Q523" i="7" s="1"/>
  <c r="P523" i="7"/>
  <c r="R523" i="7"/>
  <c r="S523" i="7"/>
  <c r="W523" i="7"/>
  <c r="X523" i="7"/>
  <c r="Z523" i="7"/>
  <c r="M523" i="11" s="1"/>
  <c r="A524" i="7"/>
  <c r="A524" i="11" s="1"/>
  <c r="B524" i="7"/>
  <c r="B524" i="11" s="1"/>
  <c r="C524" i="7"/>
  <c r="C524" i="11" s="1"/>
  <c r="D524" i="7"/>
  <c r="D524" i="11" s="1"/>
  <c r="E524" i="7"/>
  <c r="E524" i="11" s="1"/>
  <c r="F524" i="7"/>
  <c r="G524" i="7"/>
  <c r="I524" i="7"/>
  <c r="J524" i="7"/>
  <c r="L524" i="7"/>
  <c r="N524" i="7" s="1"/>
  <c r="F524" i="11" s="1"/>
  <c r="H524" i="11" s="1"/>
  <c r="M524" i="7"/>
  <c r="O524" i="7"/>
  <c r="P524" i="7"/>
  <c r="R524" i="7"/>
  <c r="T524" i="7" s="1"/>
  <c r="S524" i="7"/>
  <c r="W524" i="7"/>
  <c r="X524" i="7"/>
  <c r="Z524" i="7"/>
  <c r="M524" i="11" s="1"/>
  <c r="A525" i="7"/>
  <c r="A525" i="11" s="1"/>
  <c r="B525" i="7"/>
  <c r="B525" i="11" s="1"/>
  <c r="C525" i="7"/>
  <c r="C525" i="11" s="1"/>
  <c r="D525" i="7"/>
  <c r="D525" i="11" s="1"/>
  <c r="E525" i="7"/>
  <c r="E525" i="11" s="1"/>
  <c r="F525" i="7"/>
  <c r="G525" i="7"/>
  <c r="I525" i="7"/>
  <c r="J525" i="7"/>
  <c r="L525" i="7"/>
  <c r="N525" i="7" s="1"/>
  <c r="F525" i="11" s="1"/>
  <c r="H525" i="11" s="1"/>
  <c r="M525" i="7"/>
  <c r="O525" i="7"/>
  <c r="P525" i="7"/>
  <c r="R525" i="7"/>
  <c r="S525" i="7"/>
  <c r="W525" i="7"/>
  <c r="X525" i="7"/>
  <c r="Z525" i="7"/>
  <c r="M525" i="11" s="1"/>
  <c r="A526" i="7"/>
  <c r="A526" i="11" s="1"/>
  <c r="B526" i="7"/>
  <c r="B526" i="11" s="1"/>
  <c r="C526" i="7"/>
  <c r="C526" i="11" s="1"/>
  <c r="D526" i="7"/>
  <c r="D526" i="11" s="1"/>
  <c r="E526" i="7"/>
  <c r="E526" i="11" s="1"/>
  <c r="F526" i="7"/>
  <c r="G526" i="7"/>
  <c r="I526" i="7"/>
  <c r="J526" i="7"/>
  <c r="L526" i="7"/>
  <c r="N526" i="7" s="1"/>
  <c r="F526" i="11" s="1"/>
  <c r="H526" i="11" s="1"/>
  <c r="M526" i="7"/>
  <c r="O526" i="7"/>
  <c r="P526" i="7"/>
  <c r="R526" i="7"/>
  <c r="S526" i="7"/>
  <c r="W526" i="7"/>
  <c r="X526" i="7"/>
  <c r="Z526" i="7"/>
  <c r="M526" i="11" s="1"/>
  <c r="A527" i="7"/>
  <c r="A527" i="11" s="1"/>
  <c r="B527" i="7"/>
  <c r="B527" i="11" s="1"/>
  <c r="C527" i="7"/>
  <c r="C527" i="11" s="1"/>
  <c r="D527" i="7"/>
  <c r="D527" i="11" s="1"/>
  <c r="E527" i="7"/>
  <c r="E527" i="11" s="1"/>
  <c r="F527" i="7"/>
  <c r="G527" i="7"/>
  <c r="I527" i="7"/>
  <c r="J527" i="7"/>
  <c r="L527" i="7"/>
  <c r="M527" i="7"/>
  <c r="O527" i="7"/>
  <c r="P527" i="7"/>
  <c r="R527" i="7"/>
  <c r="S527" i="7"/>
  <c r="W527" i="7"/>
  <c r="X527" i="7"/>
  <c r="Z527" i="7"/>
  <c r="M527" i="11" s="1"/>
  <c r="A528" i="7"/>
  <c r="A528" i="11" s="1"/>
  <c r="B528" i="7"/>
  <c r="B528" i="11" s="1"/>
  <c r="C528" i="7"/>
  <c r="C528" i="11" s="1"/>
  <c r="D528" i="7"/>
  <c r="D528" i="11" s="1"/>
  <c r="E528" i="7"/>
  <c r="E528" i="11" s="1"/>
  <c r="F528" i="7"/>
  <c r="G528" i="7"/>
  <c r="I528" i="7"/>
  <c r="J528" i="7"/>
  <c r="L528" i="7"/>
  <c r="M528" i="7"/>
  <c r="O528" i="7"/>
  <c r="P528" i="7"/>
  <c r="R528" i="7"/>
  <c r="S528" i="7"/>
  <c r="W528" i="7"/>
  <c r="X528" i="7"/>
  <c r="Z528" i="7"/>
  <c r="M528" i="11" s="1"/>
  <c r="A529" i="7"/>
  <c r="A529" i="11" s="1"/>
  <c r="B529" i="7"/>
  <c r="B529" i="11" s="1"/>
  <c r="C529" i="7"/>
  <c r="C529" i="11" s="1"/>
  <c r="D529" i="7"/>
  <c r="D529" i="11" s="1"/>
  <c r="E529" i="7"/>
  <c r="E529" i="11" s="1"/>
  <c r="F529" i="7"/>
  <c r="G529" i="7"/>
  <c r="I529" i="7"/>
  <c r="J529" i="7"/>
  <c r="L529" i="7"/>
  <c r="M529" i="7"/>
  <c r="O529" i="7"/>
  <c r="P529" i="7"/>
  <c r="R529" i="7"/>
  <c r="S529" i="7"/>
  <c r="W529" i="7"/>
  <c r="X529" i="7"/>
  <c r="Z529" i="7"/>
  <c r="M529" i="11" s="1"/>
  <c r="A530" i="7"/>
  <c r="A530" i="11" s="1"/>
  <c r="B530" i="7"/>
  <c r="B530" i="11" s="1"/>
  <c r="C530" i="7"/>
  <c r="C530" i="11" s="1"/>
  <c r="D530" i="7"/>
  <c r="D530" i="11" s="1"/>
  <c r="E530" i="7"/>
  <c r="E530" i="11" s="1"/>
  <c r="F530" i="7"/>
  <c r="G530" i="7"/>
  <c r="I530" i="7"/>
  <c r="J530" i="7"/>
  <c r="L530" i="7"/>
  <c r="M530" i="7"/>
  <c r="O530" i="7"/>
  <c r="Q530" i="7" s="1"/>
  <c r="P530" i="7"/>
  <c r="R530" i="7"/>
  <c r="S530" i="7"/>
  <c r="W530" i="7"/>
  <c r="X530" i="7"/>
  <c r="Z530" i="7"/>
  <c r="M530" i="11" s="1"/>
  <c r="A531" i="7"/>
  <c r="A531" i="11" s="1"/>
  <c r="B531" i="7"/>
  <c r="B531" i="11" s="1"/>
  <c r="C531" i="7"/>
  <c r="C531" i="11" s="1"/>
  <c r="D531" i="7"/>
  <c r="D531" i="11" s="1"/>
  <c r="E531" i="7"/>
  <c r="E531" i="11" s="1"/>
  <c r="F531" i="7"/>
  <c r="G531" i="7"/>
  <c r="I531" i="7"/>
  <c r="J531" i="7"/>
  <c r="L531" i="7"/>
  <c r="N531" i="7" s="1"/>
  <c r="F531" i="11" s="1"/>
  <c r="H531" i="11" s="1"/>
  <c r="M531" i="7"/>
  <c r="O531" i="7"/>
  <c r="P531" i="7"/>
  <c r="R531" i="7"/>
  <c r="T531" i="7" s="1"/>
  <c r="S531" i="7"/>
  <c r="W531" i="7"/>
  <c r="X531" i="7"/>
  <c r="Z531" i="7"/>
  <c r="M531" i="11" s="1"/>
  <c r="A532" i="7"/>
  <c r="A532" i="11" s="1"/>
  <c r="B532" i="7"/>
  <c r="B532" i="11" s="1"/>
  <c r="C532" i="7"/>
  <c r="C532" i="11" s="1"/>
  <c r="D532" i="7"/>
  <c r="D532" i="11" s="1"/>
  <c r="E532" i="7"/>
  <c r="E532" i="11" s="1"/>
  <c r="F532" i="7"/>
  <c r="G532" i="7"/>
  <c r="I532" i="7"/>
  <c r="J532" i="7"/>
  <c r="L532" i="7"/>
  <c r="N532" i="7" s="1"/>
  <c r="F532" i="11" s="1"/>
  <c r="H532" i="11" s="1"/>
  <c r="M532" i="7"/>
  <c r="O532" i="7"/>
  <c r="P532" i="7"/>
  <c r="R532" i="7"/>
  <c r="S532" i="7"/>
  <c r="W532" i="7"/>
  <c r="X532" i="7"/>
  <c r="Z532" i="7"/>
  <c r="M532" i="11" s="1"/>
  <c r="A533" i="7"/>
  <c r="A533" i="11" s="1"/>
  <c r="B533" i="7"/>
  <c r="B533" i="11" s="1"/>
  <c r="C533" i="7"/>
  <c r="C533" i="11" s="1"/>
  <c r="D533" i="7"/>
  <c r="D533" i="11" s="1"/>
  <c r="E533" i="7"/>
  <c r="E533" i="11" s="1"/>
  <c r="F533" i="7"/>
  <c r="G533" i="7"/>
  <c r="I533" i="7"/>
  <c r="J533" i="7"/>
  <c r="L533" i="7"/>
  <c r="M533" i="7"/>
  <c r="O533" i="7"/>
  <c r="Q533" i="7" s="1"/>
  <c r="P533" i="7"/>
  <c r="R533" i="7"/>
  <c r="S533" i="7"/>
  <c r="W533" i="7"/>
  <c r="X533" i="7"/>
  <c r="Z533" i="7"/>
  <c r="M533" i="11" s="1"/>
  <c r="A534" i="7"/>
  <c r="A534" i="11" s="1"/>
  <c r="B534" i="7"/>
  <c r="B534" i="11" s="1"/>
  <c r="C534" i="7"/>
  <c r="C534" i="11" s="1"/>
  <c r="D534" i="7"/>
  <c r="D534" i="11" s="1"/>
  <c r="E534" i="7"/>
  <c r="E534" i="11" s="1"/>
  <c r="F534" i="7"/>
  <c r="G534" i="7"/>
  <c r="I534" i="7"/>
  <c r="J534" i="7"/>
  <c r="L534" i="7"/>
  <c r="N534" i="7" s="1"/>
  <c r="F534" i="11" s="1"/>
  <c r="H534" i="11" s="1"/>
  <c r="M534" i="7"/>
  <c r="O534" i="7"/>
  <c r="P534" i="7"/>
  <c r="R534" i="7"/>
  <c r="T534" i="7" s="1"/>
  <c r="S534" i="7"/>
  <c r="W534" i="7"/>
  <c r="X534" i="7"/>
  <c r="Z534" i="7"/>
  <c r="M534" i="11" s="1"/>
  <c r="A535" i="7"/>
  <c r="A535" i="11" s="1"/>
  <c r="B535" i="7"/>
  <c r="B535" i="11" s="1"/>
  <c r="C535" i="7"/>
  <c r="C535" i="11" s="1"/>
  <c r="D535" i="7"/>
  <c r="D535" i="11" s="1"/>
  <c r="E535" i="7"/>
  <c r="E535" i="11" s="1"/>
  <c r="F535" i="7"/>
  <c r="G535" i="7"/>
  <c r="I535" i="7"/>
  <c r="J535" i="7"/>
  <c r="L535" i="7"/>
  <c r="N535" i="7" s="1"/>
  <c r="F535" i="11" s="1"/>
  <c r="H535" i="11" s="1"/>
  <c r="M535" i="7"/>
  <c r="O535" i="7"/>
  <c r="P535" i="7"/>
  <c r="R535" i="7"/>
  <c r="S535" i="7"/>
  <c r="W535" i="7"/>
  <c r="X535" i="7"/>
  <c r="Z535" i="7"/>
  <c r="M535" i="11" s="1"/>
  <c r="A536" i="7"/>
  <c r="A536" i="11" s="1"/>
  <c r="B536" i="7"/>
  <c r="B536" i="11" s="1"/>
  <c r="C536" i="7"/>
  <c r="C536" i="11" s="1"/>
  <c r="D536" i="7"/>
  <c r="D536" i="11" s="1"/>
  <c r="E536" i="7"/>
  <c r="E536" i="11" s="1"/>
  <c r="F536" i="7"/>
  <c r="G536" i="7"/>
  <c r="I536" i="7"/>
  <c r="J536" i="7"/>
  <c r="L536" i="7"/>
  <c r="M536" i="7"/>
  <c r="O536" i="7"/>
  <c r="P536" i="7"/>
  <c r="R536" i="7"/>
  <c r="S536" i="7"/>
  <c r="W536" i="7"/>
  <c r="X536" i="7"/>
  <c r="Z536" i="7"/>
  <c r="M536" i="11" s="1"/>
  <c r="A537" i="7"/>
  <c r="A537" i="11" s="1"/>
  <c r="B537" i="7"/>
  <c r="B537" i="11" s="1"/>
  <c r="C537" i="7"/>
  <c r="C537" i="11" s="1"/>
  <c r="D537" i="7"/>
  <c r="D537" i="11" s="1"/>
  <c r="E537" i="7"/>
  <c r="E537" i="11" s="1"/>
  <c r="F537" i="7"/>
  <c r="G537" i="7"/>
  <c r="I537" i="7"/>
  <c r="J537" i="7"/>
  <c r="L537" i="7"/>
  <c r="M537" i="7"/>
  <c r="O537" i="7"/>
  <c r="P537" i="7"/>
  <c r="R537" i="7"/>
  <c r="S537" i="7"/>
  <c r="W537" i="7"/>
  <c r="X537" i="7"/>
  <c r="Z537" i="7"/>
  <c r="M537" i="11" s="1"/>
  <c r="A538" i="7"/>
  <c r="A538" i="11" s="1"/>
  <c r="B538" i="7"/>
  <c r="B538" i="11" s="1"/>
  <c r="C538" i="7"/>
  <c r="C538" i="11" s="1"/>
  <c r="D538" i="7"/>
  <c r="D538" i="11" s="1"/>
  <c r="E538" i="7"/>
  <c r="E538" i="11" s="1"/>
  <c r="F538" i="7"/>
  <c r="G538" i="7"/>
  <c r="I538" i="7"/>
  <c r="J538" i="7"/>
  <c r="L538" i="7"/>
  <c r="M538" i="7"/>
  <c r="O538" i="7"/>
  <c r="P538" i="7"/>
  <c r="R538" i="7"/>
  <c r="S538" i="7"/>
  <c r="W538" i="7"/>
  <c r="X538" i="7"/>
  <c r="Z538" i="7"/>
  <c r="M538" i="11" s="1"/>
  <c r="A539" i="7"/>
  <c r="A539" i="11" s="1"/>
  <c r="B539" i="7"/>
  <c r="B539" i="11" s="1"/>
  <c r="C539" i="7"/>
  <c r="C539" i="11" s="1"/>
  <c r="D539" i="7"/>
  <c r="D539" i="11" s="1"/>
  <c r="E539" i="7"/>
  <c r="E539" i="11" s="1"/>
  <c r="F539" i="7"/>
  <c r="G539" i="7"/>
  <c r="I539" i="7"/>
  <c r="J539" i="7"/>
  <c r="L539" i="7"/>
  <c r="M539" i="7"/>
  <c r="O539" i="7"/>
  <c r="P539" i="7"/>
  <c r="R539" i="7"/>
  <c r="S539" i="7"/>
  <c r="W539" i="7"/>
  <c r="X539" i="7"/>
  <c r="Z539" i="7"/>
  <c r="M539" i="11" s="1"/>
  <c r="A540" i="7"/>
  <c r="A540" i="11" s="1"/>
  <c r="B540" i="7"/>
  <c r="B540" i="11" s="1"/>
  <c r="C540" i="7"/>
  <c r="C540" i="11" s="1"/>
  <c r="D540" i="7"/>
  <c r="D540" i="11" s="1"/>
  <c r="E540" i="7"/>
  <c r="E540" i="11" s="1"/>
  <c r="F540" i="7"/>
  <c r="G540" i="7"/>
  <c r="I540" i="7"/>
  <c r="J540" i="7"/>
  <c r="L540" i="7"/>
  <c r="M540" i="7"/>
  <c r="O540" i="7"/>
  <c r="Q540" i="7" s="1"/>
  <c r="P540" i="7"/>
  <c r="R540" i="7"/>
  <c r="S540" i="7"/>
  <c r="W540" i="7"/>
  <c r="X540" i="7"/>
  <c r="Z540" i="7"/>
  <c r="M540" i="11" s="1"/>
  <c r="A541" i="7"/>
  <c r="A541" i="11" s="1"/>
  <c r="B541" i="7"/>
  <c r="B541" i="11" s="1"/>
  <c r="C541" i="7"/>
  <c r="C541" i="11" s="1"/>
  <c r="D541" i="7"/>
  <c r="D541" i="11" s="1"/>
  <c r="E541" i="7"/>
  <c r="E541" i="11" s="1"/>
  <c r="F541" i="7"/>
  <c r="G541" i="7"/>
  <c r="I541" i="7"/>
  <c r="J541" i="7"/>
  <c r="L541" i="7"/>
  <c r="N541" i="7" s="1"/>
  <c r="F541" i="11" s="1"/>
  <c r="H541" i="11" s="1"/>
  <c r="M541" i="7"/>
  <c r="O541" i="7"/>
  <c r="P541" i="7"/>
  <c r="R541" i="7"/>
  <c r="T541" i="7" s="1"/>
  <c r="S541" i="7"/>
  <c r="W541" i="7"/>
  <c r="X541" i="7"/>
  <c r="Z541" i="7"/>
  <c r="M541" i="11" s="1"/>
  <c r="A542" i="7"/>
  <c r="A542" i="11" s="1"/>
  <c r="B542" i="7"/>
  <c r="B542" i="11" s="1"/>
  <c r="C542" i="7"/>
  <c r="C542" i="11" s="1"/>
  <c r="D542" i="7"/>
  <c r="D542" i="11" s="1"/>
  <c r="E542" i="7"/>
  <c r="E542" i="11" s="1"/>
  <c r="F542" i="7"/>
  <c r="G542" i="7"/>
  <c r="I542" i="7"/>
  <c r="J542" i="7"/>
  <c r="L542" i="7"/>
  <c r="N542" i="7" s="1"/>
  <c r="F542" i="11" s="1"/>
  <c r="H542" i="11" s="1"/>
  <c r="M542" i="7"/>
  <c r="O542" i="7"/>
  <c r="P542" i="7"/>
  <c r="R542" i="7"/>
  <c r="S542" i="7"/>
  <c r="W542" i="7"/>
  <c r="X542" i="7"/>
  <c r="Z542" i="7"/>
  <c r="M542" i="11" s="1"/>
  <c r="A543" i="7"/>
  <c r="A543" i="11" s="1"/>
  <c r="B543" i="7"/>
  <c r="B543" i="11" s="1"/>
  <c r="C543" i="7"/>
  <c r="C543" i="11" s="1"/>
  <c r="D543" i="7"/>
  <c r="D543" i="11" s="1"/>
  <c r="E543" i="7"/>
  <c r="E543" i="11" s="1"/>
  <c r="F543" i="7"/>
  <c r="G543" i="7"/>
  <c r="I543" i="7"/>
  <c r="J543" i="7"/>
  <c r="L543" i="7"/>
  <c r="N543" i="7" s="1"/>
  <c r="F543" i="11" s="1"/>
  <c r="H543" i="11" s="1"/>
  <c r="M543" i="7"/>
  <c r="O543" i="7"/>
  <c r="Q543" i="7" s="1"/>
  <c r="P543" i="7"/>
  <c r="R543" i="7"/>
  <c r="S543" i="7"/>
  <c r="W543" i="7"/>
  <c r="X543" i="7"/>
  <c r="Z543" i="7"/>
  <c r="M543" i="11" s="1"/>
  <c r="A544" i="7"/>
  <c r="A544" i="11" s="1"/>
  <c r="B544" i="7"/>
  <c r="B544" i="11" s="1"/>
  <c r="C544" i="7"/>
  <c r="C544" i="11" s="1"/>
  <c r="D544" i="7"/>
  <c r="D544" i="11" s="1"/>
  <c r="E544" i="7"/>
  <c r="E544" i="11" s="1"/>
  <c r="F544" i="7"/>
  <c r="G544" i="7"/>
  <c r="I544" i="7"/>
  <c r="J544" i="7"/>
  <c r="L544" i="7"/>
  <c r="M544" i="7"/>
  <c r="O544" i="7"/>
  <c r="P544" i="7"/>
  <c r="R544" i="7"/>
  <c r="T544" i="7" s="1"/>
  <c r="S544" i="7"/>
  <c r="W544" i="7"/>
  <c r="X544" i="7"/>
  <c r="Z544" i="7"/>
  <c r="M544" i="11" s="1"/>
  <c r="A545" i="7"/>
  <c r="A545" i="11" s="1"/>
  <c r="B545" i="7"/>
  <c r="B545" i="11" s="1"/>
  <c r="C545" i="7"/>
  <c r="C545" i="11" s="1"/>
  <c r="D545" i="7"/>
  <c r="D545" i="11" s="1"/>
  <c r="E545" i="7"/>
  <c r="E545" i="11" s="1"/>
  <c r="F545" i="7"/>
  <c r="G545" i="7"/>
  <c r="I545" i="7"/>
  <c r="J545" i="7"/>
  <c r="L545" i="7"/>
  <c r="N545" i="7" s="1"/>
  <c r="F545" i="11" s="1"/>
  <c r="H545" i="11" s="1"/>
  <c r="M545" i="7"/>
  <c r="O545" i="7"/>
  <c r="P545" i="7"/>
  <c r="R545" i="7"/>
  <c r="S545" i="7"/>
  <c r="W545" i="7"/>
  <c r="X545" i="7"/>
  <c r="Z545" i="7"/>
  <c r="M545" i="11" s="1"/>
  <c r="A546" i="7"/>
  <c r="A546" i="11" s="1"/>
  <c r="B546" i="7"/>
  <c r="B546" i="11" s="1"/>
  <c r="C546" i="7"/>
  <c r="C546" i="11" s="1"/>
  <c r="D546" i="7"/>
  <c r="D546" i="11" s="1"/>
  <c r="E546" i="7"/>
  <c r="E546" i="11" s="1"/>
  <c r="F546" i="7"/>
  <c r="G546" i="7"/>
  <c r="I546" i="7"/>
  <c r="J546" i="7"/>
  <c r="L546" i="7"/>
  <c r="M546" i="7"/>
  <c r="O546" i="7"/>
  <c r="P546" i="7"/>
  <c r="R546" i="7"/>
  <c r="S546" i="7"/>
  <c r="W546" i="7"/>
  <c r="X546" i="7"/>
  <c r="Z546" i="7"/>
  <c r="M546" i="11" s="1"/>
  <c r="A547" i="7"/>
  <c r="A547" i="11" s="1"/>
  <c r="B547" i="7"/>
  <c r="B547" i="11" s="1"/>
  <c r="C547" i="7"/>
  <c r="C547" i="11" s="1"/>
  <c r="D547" i="7"/>
  <c r="D547" i="11" s="1"/>
  <c r="E547" i="7"/>
  <c r="E547" i="11" s="1"/>
  <c r="F547" i="7"/>
  <c r="G547" i="7"/>
  <c r="I547" i="7"/>
  <c r="J547" i="7"/>
  <c r="L547" i="7"/>
  <c r="M547" i="7"/>
  <c r="O547" i="7"/>
  <c r="P547" i="7"/>
  <c r="R547" i="7"/>
  <c r="S547" i="7"/>
  <c r="W547" i="7"/>
  <c r="X547" i="7"/>
  <c r="Z547" i="7"/>
  <c r="M547" i="11" s="1"/>
  <c r="A548" i="7"/>
  <c r="A548" i="11" s="1"/>
  <c r="B548" i="7"/>
  <c r="B548" i="11" s="1"/>
  <c r="C548" i="7"/>
  <c r="C548" i="11" s="1"/>
  <c r="D548" i="7"/>
  <c r="D548" i="11" s="1"/>
  <c r="E548" i="7"/>
  <c r="E548" i="11" s="1"/>
  <c r="F548" i="7"/>
  <c r="G548" i="7"/>
  <c r="I548" i="7"/>
  <c r="J548" i="7"/>
  <c r="L548" i="7"/>
  <c r="N548" i="7" s="1"/>
  <c r="F548" i="11" s="1"/>
  <c r="H548" i="11" s="1"/>
  <c r="M548" i="7"/>
  <c r="O548" i="7"/>
  <c r="P548" i="7"/>
  <c r="R548" i="7"/>
  <c r="S548" i="7"/>
  <c r="W548" i="7"/>
  <c r="X548" i="7"/>
  <c r="Z548" i="7"/>
  <c r="M548" i="11" s="1"/>
  <c r="A549" i="7"/>
  <c r="A549" i="11" s="1"/>
  <c r="B549" i="7"/>
  <c r="B549" i="11" s="1"/>
  <c r="C549" i="7"/>
  <c r="C549" i="11" s="1"/>
  <c r="D549" i="7"/>
  <c r="D549" i="11" s="1"/>
  <c r="E549" i="7"/>
  <c r="E549" i="11" s="1"/>
  <c r="F549" i="7"/>
  <c r="G549" i="7"/>
  <c r="I549" i="7"/>
  <c r="J549" i="7"/>
  <c r="L549" i="7"/>
  <c r="N549" i="7" s="1"/>
  <c r="F549" i="11" s="1"/>
  <c r="H549" i="11" s="1"/>
  <c r="M549" i="7"/>
  <c r="O549" i="7"/>
  <c r="P549" i="7"/>
  <c r="R549" i="7"/>
  <c r="S549" i="7"/>
  <c r="W549" i="7"/>
  <c r="X549" i="7"/>
  <c r="Z549" i="7"/>
  <c r="M549" i="11" s="1"/>
  <c r="A550" i="7"/>
  <c r="A550" i="11" s="1"/>
  <c r="B550" i="7"/>
  <c r="B550" i="11" s="1"/>
  <c r="C550" i="7"/>
  <c r="C550" i="11" s="1"/>
  <c r="D550" i="7"/>
  <c r="D550" i="11" s="1"/>
  <c r="E550" i="7"/>
  <c r="E550" i="11" s="1"/>
  <c r="F550" i="7"/>
  <c r="G550" i="7"/>
  <c r="I550" i="7"/>
  <c r="J550" i="7"/>
  <c r="L550" i="7"/>
  <c r="M550" i="7"/>
  <c r="O550" i="7"/>
  <c r="P550" i="7"/>
  <c r="R550" i="7"/>
  <c r="S550" i="7"/>
  <c r="W550" i="7"/>
  <c r="X550" i="7"/>
  <c r="Z550" i="7"/>
  <c r="M550" i="11" s="1"/>
  <c r="A551" i="7"/>
  <c r="A551" i="11" s="1"/>
  <c r="B551" i="7"/>
  <c r="B551" i="11" s="1"/>
  <c r="C551" i="7"/>
  <c r="C551" i="11" s="1"/>
  <c r="D551" i="7"/>
  <c r="D551" i="11" s="1"/>
  <c r="E551" i="7"/>
  <c r="E551" i="11" s="1"/>
  <c r="F551" i="7"/>
  <c r="G551" i="7"/>
  <c r="I551" i="7"/>
  <c r="J551" i="7"/>
  <c r="L551" i="7"/>
  <c r="M551" i="7"/>
  <c r="O551" i="7"/>
  <c r="P551" i="7"/>
  <c r="R551" i="7"/>
  <c r="S551" i="7"/>
  <c r="W551" i="7"/>
  <c r="X551" i="7"/>
  <c r="Z551" i="7"/>
  <c r="M551" i="11" s="1"/>
  <c r="A552" i="7"/>
  <c r="A552" i="11" s="1"/>
  <c r="B552" i="7"/>
  <c r="B552" i="11" s="1"/>
  <c r="C552" i="7"/>
  <c r="C552" i="11" s="1"/>
  <c r="D552" i="7"/>
  <c r="D552" i="11" s="1"/>
  <c r="E552" i="7"/>
  <c r="E552" i="11" s="1"/>
  <c r="F552" i="7"/>
  <c r="G552" i="7"/>
  <c r="I552" i="7"/>
  <c r="J552" i="7"/>
  <c r="L552" i="7"/>
  <c r="M552" i="7"/>
  <c r="O552" i="7"/>
  <c r="P552" i="7"/>
  <c r="R552" i="7"/>
  <c r="S552" i="7"/>
  <c r="W552" i="7"/>
  <c r="X552" i="7"/>
  <c r="Z552" i="7"/>
  <c r="M552" i="11" s="1"/>
  <c r="A553" i="7"/>
  <c r="A553" i="11" s="1"/>
  <c r="B553" i="7"/>
  <c r="B553" i="11" s="1"/>
  <c r="C553" i="7"/>
  <c r="C553" i="11" s="1"/>
  <c r="D553" i="7"/>
  <c r="D553" i="11" s="1"/>
  <c r="E553" i="7"/>
  <c r="E553" i="11" s="1"/>
  <c r="F553" i="7"/>
  <c r="G553" i="7"/>
  <c r="I553" i="7"/>
  <c r="J553" i="7"/>
  <c r="L553" i="7"/>
  <c r="M553" i="7"/>
  <c r="O553" i="7"/>
  <c r="Q553" i="7" s="1"/>
  <c r="P553" i="7"/>
  <c r="R553" i="7"/>
  <c r="S553" i="7"/>
  <c r="W553" i="7"/>
  <c r="X553" i="7"/>
  <c r="Z553" i="7"/>
  <c r="M553" i="11" s="1"/>
  <c r="A554" i="7"/>
  <c r="A554" i="11" s="1"/>
  <c r="B554" i="7"/>
  <c r="B554" i="11" s="1"/>
  <c r="C554" i="7"/>
  <c r="C554" i="11" s="1"/>
  <c r="D554" i="7"/>
  <c r="D554" i="11" s="1"/>
  <c r="E554" i="7"/>
  <c r="E554" i="11" s="1"/>
  <c r="F554" i="7"/>
  <c r="G554" i="7"/>
  <c r="I554" i="7"/>
  <c r="J554" i="7"/>
  <c r="L554" i="7"/>
  <c r="N554" i="7" s="1"/>
  <c r="F554" i="11" s="1"/>
  <c r="H554" i="11" s="1"/>
  <c r="M554" i="7"/>
  <c r="O554" i="7"/>
  <c r="P554" i="7"/>
  <c r="R554" i="7"/>
  <c r="T554" i="7" s="1"/>
  <c r="S554" i="7"/>
  <c r="W554" i="7"/>
  <c r="X554" i="7"/>
  <c r="Z554" i="7"/>
  <c r="M554" i="11" s="1"/>
  <c r="A555" i="7"/>
  <c r="A555" i="11" s="1"/>
  <c r="B555" i="7"/>
  <c r="B555" i="11" s="1"/>
  <c r="C555" i="7"/>
  <c r="C555" i="11" s="1"/>
  <c r="D555" i="7"/>
  <c r="D555" i="11" s="1"/>
  <c r="E555" i="7"/>
  <c r="E555" i="11" s="1"/>
  <c r="F555" i="7"/>
  <c r="G555" i="7"/>
  <c r="I555" i="7"/>
  <c r="J555" i="7"/>
  <c r="L555" i="7"/>
  <c r="N555" i="7" s="1"/>
  <c r="F555" i="11" s="1"/>
  <c r="H555" i="11" s="1"/>
  <c r="M555" i="7"/>
  <c r="O555" i="7"/>
  <c r="P555" i="7"/>
  <c r="R555" i="7"/>
  <c r="S555" i="7"/>
  <c r="W555" i="7"/>
  <c r="X555" i="7"/>
  <c r="Z555" i="7"/>
  <c r="M555" i="11" s="1"/>
  <c r="A556" i="7"/>
  <c r="A556" i="11" s="1"/>
  <c r="B556" i="7"/>
  <c r="B556" i="11" s="1"/>
  <c r="C556" i="7"/>
  <c r="C556" i="11" s="1"/>
  <c r="D556" i="7"/>
  <c r="D556" i="11" s="1"/>
  <c r="E556" i="7"/>
  <c r="E556" i="11" s="1"/>
  <c r="F556" i="7"/>
  <c r="G556" i="7"/>
  <c r="I556" i="7"/>
  <c r="J556" i="7"/>
  <c r="L556" i="7"/>
  <c r="N556" i="7" s="1"/>
  <c r="F556" i="11" s="1"/>
  <c r="H556" i="11" s="1"/>
  <c r="M556" i="7"/>
  <c r="O556" i="7"/>
  <c r="P556" i="7"/>
  <c r="R556" i="7"/>
  <c r="S556" i="7"/>
  <c r="W556" i="7"/>
  <c r="X556" i="7"/>
  <c r="Z556" i="7"/>
  <c r="M556" i="11" s="1"/>
  <c r="A557" i="7"/>
  <c r="A557" i="11" s="1"/>
  <c r="B557" i="7"/>
  <c r="B557" i="11" s="1"/>
  <c r="C557" i="7"/>
  <c r="C557" i="11" s="1"/>
  <c r="D557" i="7"/>
  <c r="D557" i="11" s="1"/>
  <c r="E557" i="7"/>
  <c r="E557" i="11" s="1"/>
  <c r="F557" i="7"/>
  <c r="G557" i="7"/>
  <c r="I557" i="7"/>
  <c r="J557" i="7"/>
  <c r="L557" i="7"/>
  <c r="M557" i="7"/>
  <c r="O557" i="7"/>
  <c r="P557" i="7"/>
  <c r="R557" i="7"/>
  <c r="S557" i="7"/>
  <c r="W557" i="7"/>
  <c r="X557" i="7"/>
  <c r="Z557" i="7"/>
  <c r="M557" i="11" s="1"/>
  <c r="A558" i="7"/>
  <c r="A558" i="11" s="1"/>
  <c r="B558" i="7"/>
  <c r="B558" i="11" s="1"/>
  <c r="C558" i="7"/>
  <c r="C558" i="11" s="1"/>
  <c r="D558" i="7"/>
  <c r="D558" i="11" s="1"/>
  <c r="E558" i="7"/>
  <c r="E558" i="11" s="1"/>
  <c r="F558" i="7"/>
  <c r="G558" i="7"/>
  <c r="I558" i="7"/>
  <c r="J558" i="7"/>
  <c r="L558" i="7"/>
  <c r="N558" i="7" s="1"/>
  <c r="F558" i="11" s="1"/>
  <c r="H558" i="11" s="1"/>
  <c r="M558" i="7"/>
  <c r="O558" i="7"/>
  <c r="P558" i="7"/>
  <c r="R558" i="7"/>
  <c r="S558" i="7"/>
  <c r="W558" i="7"/>
  <c r="X558" i="7"/>
  <c r="Z558" i="7"/>
  <c r="M558" i="11" s="1"/>
  <c r="A559" i="7"/>
  <c r="A559" i="11" s="1"/>
  <c r="B559" i="7"/>
  <c r="B559" i="11" s="1"/>
  <c r="C559" i="7"/>
  <c r="C559" i="11" s="1"/>
  <c r="D559" i="7"/>
  <c r="D559" i="11" s="1"/>
  <c r="E559" i="7"/>
  <c r="E559" i="11" s="1"/>
  <c r="F559" i="7"/>
  <c r="G559" i="7"/>
  <c r="I559" i="7"/>
  <c r="J559" i="7"/>
  <c r="L559" i="7"/>
  <c r="M559" i="7"/>
  <c r="O559" i="7"/>
  <c r="P559" i="7"/>
  <c r="R559" i="7"/>
  <c r="S559" i="7"/>
  <c r="W559" i="7"/>
  <c r="X559" i="7"/>
  <c r="Z559" i="7"/>
  <c r="M559" i="11" s="1"/>
  <c r="A560" i="7"/>
  <c r="A560" i="11" s="1"/>
  <c r="B560" i="7"/>
  <c r="B560" i="11" s="1"/>
  <c r="C560" i="7"/>
  <c r="C560" i="11" s="1"/>
  <c r="D560" i="7"/>
  <c r="D560" i="11" s="1"/>
  <c r="E560" i="7"/>
  <c r="E560" i="11" s="1"/>
  <c r="F560" i="7"/>
  <c r="G560" i="7"/>
  <c r="I560" i="7"/>
  <c r="J560" i="7"/>
  <c r="L560" i="7"/>
  <c r="N560" i="7" s="1"/>
  <c r="F560" i="11" s="1"/>
  <c r="H560" i="11" s="1"/>
  <c r="M560" i="7"/>
  <c r="O560" i="7"/>
  <c r="Q560" i="7" s="1"/>
  <c r="P560" i="7"/>
  <c r="R560" i="7"/>
  <c r="S560" i="7"/>
  <c r="W560" i="7"/>
  <c r="X560" i="7"/>
  <c r="Z560" i="7"/>
  <c r="M560" i="11" s="1"/>
  <c r="A561" i="7"/>
  <c r="A561" i="11" s="1"/>
  <c r="B561" i="7"/>
  <c r="B561" i="11" s="1"/>
  <c r="C561" i="7"/>
  <c r="C561" i="11" s="1"/>
  <c r="D561" i="7"/>
  <c r="D561" i="11" s="1"/>
  <c r="E561" i="7"/>
  <c r="E561" i="11" s="1"/>
  <c r="F561" i="7"/>
  <c r="G561" i="7"/>
  <c r="I561" i="7"/>
  <c r="J561" i="7"/>
  <c r="L561" i="7"/>
  <c r="N561" i="7" s="1"/>
  <c r="F561" i="11" s="1"/>
  <c r="H561" i="11" s="1"/>
  <c r="M561" i="7"/>
  <c r="O561" i="7"/>
  <c r="P561" i="7"/>
  <c r="R561" i="7"/>
  <c r="T561" i="7" s="1"/>
  <c r="S561" i="7"/>
  <c r="W561" i="7"/>
  <c r="X561" i="7"/>
  <c r="Z561" i="7"/>
  <c r="M561" i="11" s="1"/>
  <c r="A562" i="7"/>
  <c r="A562" i="11" s="1"/>
  <c r="B562" i="7"/>
  <c r="B562" i="11" s="1"/>
  <c r="C562" i="7"/>
  <c r="C562" i="11" s="1"/>
  <c r="D562" i="7"/>
  <c r="D562" i="11" s="1"/>
  <c r="E562" i="7"/>
  <c r="E562" i="11" s="1"/>
  <c r="F562" i="7"/>
  <c r="G562" i="7"/>
  <c r="I562" i="7"/>
  <c r="J562" i="7"/>
  <c r="L562" i="7"/>
  <c r="N562" i="7" s="1"/>
  <c r="F562" i="11" s="1"/>
  <c r="H562" i="11" s="1"/>
  <c r="M562" i="7"/>
  <c r="O562" i="7"/>
  <c r="P562" i="7"/>
  <c r="R562" i="7"/>
  <c r="S562" i="7"/>
  <c r="W562" i="7"/>
  <c r="X562" i="7"/>
  <c r="Z562" i="7"/>
  <c r="M562" i="11" s="1"/>
  <c r="A563" i="7"/>
  <c r="A563" i="11" s="1"/>
  <c r="B563" i="7"/>
  <c r="B563" i="11" s="1"/>
  <c r="C563" i="7"/>
  <c r="C563" i="11" s="1"/>
  <c r="D563" i="7"/>
  <c r="D563" i="11" s="1"/>
  <c r="E563" i="7"/>
  <c r="E563" i="11" s="1"/>
  <c r="F563" i="7"/>
  <c r="G563" i="7"/>
  <c r="I563" i="7"/>
  <c r="J563" i="7"/>
  <c r="L563" i="7"/>
  <c r="N563" i="7" s="1"/>
  <c r="F563" i="11" s="1"/>
  <c r="H563" i="11" s="1"/>
  <c r="M563" i="7"/>
  <c r="O563" i="7"/>
  <c r="Q563" i="7" s="1"/>
  <c r="P563" i="7"/>
  <c r="R563" i="7"/>
  <c r="S563" i="7"/>
  <c r="W563" i="7"/>
  <c r="X563" i="7"/>
  <c r="Z563" i="7"/>
  <c r="M563" i="11" s="1"/>
  <c r="A564" i="7"/>
  <c r="A564" i="11" s="1"/>
  <c r="B564" i="7"/>
  <c r="B564" i="11" s="1"/>
  <c r="C564" i="7"/>
  <c r="C564" i="11" s="1"/>
  <c r="D564" i="7"/>
  <c r="D564" i="11" s="1"/>
  <c r="E564" i="7"/>
  <c r="E564" i="11" s="1"/>
  <c r="F564" i="7"/>
  <c r="G564" i="7"/>
  <c r="I564" i="7"/>
  <c r="J564" i="7"/>
  <c r="L564" i="7"/>
  <c r="M564" i="7"/>
  <c r="O564" i="7"/>
  <c r="P564" i="7"/>
  <c r="R564" i="7"/>
  <c r="S564" i="7"/>
  <c r="W564" i="7"/>
  <c r="X564" i="7"/>
  <c r="Z564" i="7"/>
  <c r="M564" i="11" s="1"/>
  <c r="A565" i="7"/>
  <c r="A565" i="11" s="1"/>
  <c r="B565" i="7"/>
  <c r="B565" i="11" s="1"/>
  <c r="C565" i="7"/>
  <c r="C565" i="11" s="1"/>
  <c r="D565" i="7"/>
  <c r="D565" i="11" s="1"/>
  <c r="E565" i="7"/>
  <c r="E565" i="11" s="1"/>
  <c r="F565" i="7"/>
  <c r="G565" i="7"/>
  <c r="I565" i="7"/>
  <c r="J565" i="7"/>
  <c r="L565" i="7"/>
  <c r="N565" i="7" s="1"/>
  <c r="F565" i="11" s="1"/>
  <c r="H565" i="11" s="1"/>
  <c r="M565" i="7"/>
  <c r="O565" i="7"/>
  <c r="P565" i="7"/>
  <c r="R565" i="7"/>
  <c r="S565" i="7"/>
  <c r="W565" i="7"/>
  <c r="X565" i="7"/>
  <c r="Z565" i="7"/>
  <c r="M565" i="11" s="1"/>
  <c r="A566" i="7"/>
  <c r="A566" i="11" s="1"/>
  <c r="B566" i="7"/>
  <c r="B566" i="11" s="1"/>
  <c r="C566" i="7"/>
  <c r="C566" i="11" s="1"/>
  <c r="D566" i="7"/>
  <c r="D566" i="11" s="1"/>
  <c r="E566" i="7"/>
  <c r="E566" i="11" s="1"/>
  <c r="F566" i="7"/>
  <c r="G566" i="7"/>
  <c r="I566" i="7"/>
  <c r="J566" i="7"/>
  <c r="L566" i="7"/>
  <c r="N566" i="7" s="1"/>
  <c r="F566" i="11" s="1"/>
  <c r="H566" i="11" s="1"/>
  <c r="M566" i="7"/>
  <c r="O566" i="7"/>
  <c r="P566" i="7"/>
  <c r="R566" i="7"/>
  <c r="S566" i="7"/>
  <c r="W566" i="7"/>
  <c r="X566" i="7"/>
  <c r="Z566" i="7"/>
  <c r="M566" i="11" s="1"/>
  <c r="A567" i="7"/>
  <c r="A567" i="11" s="1"/>
  <c r="B567" i="7"/>
  <c r="B567" i="11" s="1"/>
  <c r="C567" i="7"/>
  <c r="C567" i="11" s="1"/>
  <c r="D567" i="7"/>
  <c r="D567" i="11" s="1"/>
  <c r="E567" i="7"/>
  <c r="E567" i="11" s="1"/>
  <c r="F567" i="7"/>
  <c r="G567" i="7"/>
  <c r="I567" i="7"/>
  <c r="J567" i="7"/>
  <c r="L567" i="7"/>
  <c r="M567" i="7"/>
  <c r="O567" i="7"/>
  <c r="P567" i="7"/>
  <c r="R567" i="7"/>
  <c r="S567" i="7"/>
  <c r="W567" i="7"/>
  <c r="X567" i="7"/>
  <c r="Z567" i="7"/>
  <c r="M567" i="11" s="1"/>
  <c r="A568" i="7"/>
  <c r="A568" i="11" s="1"/>
  <c r="B568" i="7"/>
  <c r="B568" i="11" s="1"/>
  <c r="C568" i="7"/>
  <c r="C568" i="11" s="1"/>
  <c r="D568" i="7"/>
  <c r="D568" i="11" s="1"/>
  <c r="E568" i="7"/>
  <c r="E568" i="11" s="1"/>
  <c r="F568" i="7"/>
  <c r="G568" i="7"/>
  <c r="I568" i="7"/>
  <c r="J568" i="7"/>
  <c r="L568" i="7"/>
  <c r="N568" i="7" s="1"/>
  <c r="F568" i="11" s="1"/>
  <c r="H568" i="11" s="1"/>
  <c r="M568" i="7"/>
  <c r="O568" i="7"/>
  <c r="P568" i="7"/>
  <c r="R568" i="7"/>
  <c r="S568" i="7"/>
  <c r="W568" i="7"/>
  <c r="X568" i="7"/>
  <c r="Z568" i="7"/>
  <c r="M568" i="11" s="1"/>
  <c r="A569" i="7"/>
  <c r="A569" i="11" s="1"/>
  <c r="B569" i="7"/>
  <c r="B569" i="11" s="1"/>
  <c r="C569" i="7"/>
  <c r="C569" i="11" s="1"/>
  <c r="D569" i="7"/>
  <c r="D569" i="11" s="1"/>
  <c r="E569" i="7"/>
  <c r="E569" i="11" s="1"/>
  <c r="F569" i="7"/>
  <c r="G569" i="7"/>
  <c r="I569" i="7"/>
  <c r="J569" i="7"/>
  <c r="L569" i="7"/>
  <c r="N569" i="7" s="1"/>
  <c r="F569" i="11" s="1"/>
  <c r="H569" i="11" s="1"/>
  <c r="M569" i="7"/>
  <c r="O569" i="7"/>
  <c r="P569" i="7"/>
  <c r="R569" i="7"/>
  <c r="S569" i="7"/>
  <c r="W569" i="7"/>
  <c r="X569" i="7"/>
  <c r="Z569" i="7"/>
  <c r="M569" i="11" s="1"/>
  <c r="A570" i="7"/>
  <c r="A570" i="11" s="1"/>
  <c r="B570" i="7"/>
  <c r="B570" i="11" s="1"/>
  <c r="C570" i="7"/>
  <c r="C570" i="11" s="1"/>
  <c r="D570" i="7"/>
  <c r="D570" i="11" s="1"/>
  <c r="E570" i="7"/>
  <c r="E570" i="11" s="1"/>
  <c r="F570" i="7"/>
  <c r="G570" i="7"/>
  <c r="I570" i="7"/>
  <c r="J570" i="7"/>
  <c r="L570" i="7"/>
  <c r="M570" i="7"/>
  <c r="O570" i="7"/>
  <c r="P570" i="7"/>
  <c r="R570" i="7"/>
  <c r="S570" i="7"/>
  <c r="W570" i="7"/>
  <c r="X570" i="7"/>
  <c r="Z570" i="7"/>
  <c r="M570" i="11" s="1"/>
  <c r="A571" i="7"/>
  <c r="A571" i="11" s="1"/>
  <c r="B571" i="7"/>
  <c r="B571" i="11" s="1"/>
  <c r="C571" i="7"/>
  <c r="C571" i="11" s="1"/>
  <c r="D571" i="7"/>
  <c r="D571" i="11" s="1"/>
  <c r="E571" i="7"/>
  <c r="E571" i="11" s="1"/>
  <c r="F571" i="7"/>
  <c r="G571" i="7"/>
  <c r="I571" i="7"/>
  <c r="J571" i="7"/>
  <c r="L571" i="7"/>
  <c r="M571" i="7"/>
  <c r="O571" i="7"/>
  <c r="P571" i="7"/>
  <c r="R571" i="7"/>
  <c r="T571" i="7" s="1"/>
  <c r="S571" i="7"/>
  <c r="W571" i="7"/>
  <c r="X571" i="7"/>
  <c r="Z571" i="7"/>
  <c r="M571" i="11" s="1"/>
  <c r="A572" i="7"/>
  <c r="A572" i="11" s="1"/>
  <c r="B572" i="7"/>
  <c r="B572" i="11" s="1"/>
  <c r="C572" i="7"/>
  <c r="C572" i="11" s="1"/>
  <c r="D572" i="7"/>
  <c r="D572" i="11" s="1"/>
  <c r="E572" i="7"/>
  <c r="E572" i="11" s="1"/>
  <c r="F572" i="7"/>
  <c r="G572" i="7"/>
  <c r="I572" i="7"/>
  <c r="J572" i="7"/>
  <c r="L572" i="7"/>
  <c r="M572" i="7"/>
  <c r="O572" i="7"/>
  <c r="P572" i="7"/>
  <c r="R572" i="7"/>
  <c r="S572" i="7"/>
  <c r="W572" i="7"/>
  <c r="X572" i="7"/>
  <c r="Z572" i="7"/>
  <c r="M572" i="11" s="1"/>
  <c r="A573" i="7"/>
  <c r="A573" i="11" s="1"/>
  <c r="B573" i="7"/>
  <c r="B573" i="11" s="1"/>
  <c r="C573" i="7"/>
  <c r="C573" i="11" s="1"/>
  <c r="D573" i="7"/>
  <c r="D573" i="11" s="1"/>
  <c r="E573" i="7"/>
  <c r="E573" i="11" s="1"/>
  <c r="F573" i="7"/>
  <c r="G573" i="7"/>
  <c r="I573" i="7"/>
  <c r="J573" i="7"/>
  <c r="L573" i="7"/>
  <c r="M573" i="7"/>
  <c r="O573" i="7"/>
  <c r="P573" i="7"/>
  <c r="R573" i="7"/>
  <c r="S573" i="7"/>
  <c r="W573" i="7"/>
  <c r="X573" i="7"/>
  <c r="Z573" i="7"/>
  <c r="M573" i="11" s="1"/>
  <c r="A574" i="7"/>
  <c r="A574" i="11" s="1"/>
  <c r="B574" i="7"/>
  <c r="B574" i="11" s="1"/>
  <c r="C574" i="7"/>
  <c r="C574" i="11" s="1"/>
  <c r="D574" i="7"/>
  <c r="D574" i="11" s="1"/>
  <c r="E574" i="7"/>
  <c r="E574" i="11" s="1"/>
  <c r="F574" i="7"/>
  <c r="G574" i="7"/>
  <c r="I574" i="7"/>
  <c r="J574" i="7"/>
  <c r="L574" i="7"/>
  <c r="N574" i="7" s="1"/>
  <c r="F574" i="11" s="1"/>
  <c r="H574" i="11" s="1"/>
  <c r="M574" i="7"/>
  <c r="O574" i="7"/>
  <c r="P574" i="7"/>
  <c r="R574" i="7"/>
  <c r="T574" i="7" s="1"/>
  <c r="S574" i="7"/>
  <c r="W574" i="7"/>
  <c r="X574" i="7"/>
  <c r="Z574" i="7"/>
  <c r="M574" i="11" s="1"/>
  <c r="A575" i="7"/>
  <c r="A575" i="11" s="1"/>
  <c r="B575" i="7"/>
  <c r="B575" i="11" s="1"/>
  <c r="C575" i="7"/>
  <c r="C575" i="11" s="1"/>
  <c r="D575" i="7"/>
  <c r="D575" i="11" s="1"/>
  <c r="E575" i="7"/>
  <c r="E575" i="11" s="1"/>
  <c r="F575" i="7"/>
  <c r="G575" i="7"/>
  <c r="I575" i="7"/>
  <c r="J575" i="7"/>
  <c r="L575" i="7"/>
  <c r="N575" i="7" s="1"/>
  <c r="F575" i="11" s="1"/>
  <c r="H575" i="11" s="1"/>
  <c r="M575" i="7"/>
  <c r="O575" i="7"/>
  <c r="P575" i="7"/>
  <c r="R575" i="7"/>
  <c r="S575" i="7"/>
  <c r="W575" i="7"/>
  <c r="X575" i="7"/>
  <c r="Z575" i="7"/>
  <c r="M575" i="11" s="1"/>
  <c r="A576" i="7"/>
  <c r="A576" i="11" s="1"/>
  <c r="B576" i="7"/>
  <c r="B576" i="11" s="1"/>
  <c r="C576" i="7"/>
  <c r="C576" i="11" s="1"/>
  <c r="D576" i="7"/>
  <c r="D576" i="11" s="1"/>
  <c r="E576" i="7"/>
  <c r="E576" i="11" s="1"/>
  <c r="F576" i="7"/>
  <c r="G576" i="7"/>
  <c r="I576" i="7"/>
  <c r="J576" i="7"/>
  <c r="L576" i="7"/>
  <c r="N576" i="7" s="1"/>
  <c r="F576" i="11" s="1"/>
  <c r="H576" i="11" s="1"/>
  <c r="M576" i="7"/>
  <c r="O576" i="7"/>
  <c r="P576" i="7"/>
  <c r="R576" i="7"/>
  <c r="S576" i="7"/>
  <c r="W576" i="7"/>
  <c r="X576" i="7"/>
  <c r="Z576" i="7"/>
  <c r="M576" i="11" s="1"/>
  <c r="A577" i="7"/>
  <c r="A577" i="11" s="1"/>
  <c r="B577" i="7"/>
  <c r="B577" i="11" s="1"/>
  <c r="C577" i="7"/>
  <c r="C577" i="11" s="1"/>
  <c r="D577" i="7"/>
  <c r="D577" i="11" s="1"/>
  <c r="E577" i="7"/>
  <c r="E577" i="11" s="1"/>
  <c r="F577" i="7"/>
  <c r="G577" i="7"/>
  <c r="I577" i="7"/>
  <c r="J577" i="7"/>
  <c r="L577" i="7"/>
  <c r="M577" i="7"/>
  <c r="O577" i="7"/>
  <c r="P577" i="7"/>
  <c r="R577" i="7"/>
  <c r="S577" i="7"/>
  <c r="W577" i="7"/>
  <c r="X577" i="7"/>
  <c r="Z577" i="7"/>
  <c r="M577" i="11" s="1"/>
  <c r="A578" i="7"/>
  <c r="A578" i="11" s="1"/>
  <c r="B578" i="7"/>
  <c r="B578" i="11" s="1"/>
  <c r="C578" i="7"/>
  <c r="C578" i="11" s="1"/>
  <c r="D578" i="7"/>
  <c r="D578" i="11" s="1"/>
  <c r="E578" i="7"/>
  <c r="E578" i="11" s="1"/>
  <c r="F578" i="7"/>
  <c r="G578" i="7"/>
  <c r="I578" i="7"/>
  <c r="J578" i="7"/>
  <c r="L578" i="7"/>
  <c r="N578" i="7" s="1"/>
  <c r="F578" i="11" s="1"/>
  <c r="H578" i="11" s="1"/>
  <c r="M578" i="7"/>
  <c r="O578" i="7"/>
  <c r="P578" i="7"/>
  <c r="R578" i="7"/>
  <c r="S578" i="7"/>
  <c r="W578" i="7"/>
  <c r="X578" i="7"/>
  <c r="Z578" i="7"/>
  <c r="M578" i="11" s="1"/>
  <c r="A579" i="7"/>
  <c r="A579" i="11" s="1"/>
  <c r="B579" i="7"/>
  <c r="B579" i="11" s="1"/>
  <c r="C579" i="7"/>
  <c r="C579" i="11" s="1"/>
  <c r="D579" i="7"/>
  <c r="D579" i="11" s="1"/>
  <c r="E579" i="7"/>
  <c r="E579" i="11" s="1"/>
  <c r="F579" i="7"/>
  <c r="G579" i="7"/>
  <c r="I579" i="7"/>
  <c r="J579" i="7"/>
  <c r="L579" i="7"/>
  <c r="M579" i="7"/>
  <c r="O579" i="7"/>
  <c r="P579" i="7"/>
  <c r="R579" i="7"/>
  <c r="S579" i="7"/>
  <c r="W579" i="7"/>
  <c r="X579" i="7"/>
  <c r="Z579" i="7"/>
  <c r="M579" i="11" s="1"/>
  <c r="A580" i="7"/>
  <c r="A580" i="11" s="1"/>
  <c r="B580" i="7"/>
  <c r="B580" i="11" s="1"/>
  <c r="C580" i="7"/>
  <c r="C580" i="11" s="1"/>
  <c r="D580" i="7"/>
  <c r="D580" i="11" s="1"/>
  <c r="E580" i="7"/>
  <c r="E580" i="11" s="1"/>
  <c r="F580" i="7"/>
  <c r="G580" i="7"/>
  <c r="I580" i="7"/>
  <c r="J580" i="7"/>
  <c r="L580" i="7"/>
  <c r="N580" i="7" s="1"/>
  <c r="F580" i="11" s="1"/>
  <c r="H580" i="11" s="1"/>
  <c r="M580" i="7"/>
  <c r="O580" i="7"/>
  <c r="Q580" i="7" s="1"/>
  <c r="P580" i="7"/>
  <c r="R580" i="7"/>
  <c r="S580" i="7"/>
  <c r="W580" i="7"/>
  <c r="X580" i="7"/>
  <c r="Z580" i="7"/>
  <c r="M580" i="11" s="1"/>
  <c r="A581" i="7"/>
  <c r="A581" i="11" s="1"/>
  <c r="B581" i="7"/>
  <c r="B581" i="11" s="1"/>
  <c r="C581" i="7"/>
  <c r="C581" i="11" s="1"/>
  <c r="D581" i="7"/>
  <c r="D581" i="11" s="1"/>
  <c r="E581" i="7"/>
  <c r="E581" i="11" s="1"/>
  <c r="F581" i="7"/>
  <c r="G581" i="7"/>
  <c r="I581" i="7"/>
  <c r="J581" i="7"/>
  <c r="L581" i="7"/>
  <c r="N581" i="7" s="1"/>
  <c r="F581" i="11" s="1"/>
  <c r="H581" i="11" s="1"/>
  <c r="M581" i="7"/>
  <c r="O581" i="7"/>
  <c r="P581" i="7"/>
  <c r="R581" i="7"/>
  <c r="T581" i="7" s="1"/>
  <c r="S581" i="7"/>
  <c r="W581" i="7"/>
  <c r="X581" i="7"/>
  <c r="Z581" i="7"/>
  <c r="M581" i="11" s="1"/>
  <c r="A582" i="7"/>
  <c r="A582" i="11" s="1"/>
  <c r="B582" i="7"/>
  <c r="B582" i="11" s="1"/>
  <c r="C582" i="7"/>
  <c r="C582" i="11" s="1"/>
  <c r="D582" i="7"/>
  <c r="D582" i="11" s="1"/>
  <c r="E582" i="7"/>
  <c r="E582" i="11" s="1"/>
  <c r="F582" i="7"/>
  <c r="G582" i="7"/>
  <c r="I582" i="7"/>
  <c r="J582" i="7"/>
  <c r="L582" i="7"/>
  <c r="N582" i="7" s="1"/>
  <c r="F582" i="11" s="1"/>
  <c r="H582" i="11" s="1"/>
  <c r="M582" i="7"/>
  <c r="O582" i="7"/>
  <c r="P582" i="7"/>
  <c r="R582" i="7"/>
  <c r="S582" i="7"/>
  <c r="W582" i="7"/>
  <c r="X582" i="7"/>
  <c r="Z582" i="7"/>
  <c r="M582" i="11" s="1"/>
  <c r="A583" i="7"/>
  <c r="A583" i="11" s="1"/>
  <c r="B583" i="7"/>
  <c r="B583" i="11" s="1"/>
  <c r="C583" i="7"/>
  <c r="C583" i="11" s="1"/>
  <c r="D583" i="7"/>
  <c r="D583" i="11" s="1"/>
  <c r="E583" i="7"/>
  <c r="E583" i="11" s="1"/>
  <c r="F583" i="7"/>
  <c r="G583" i="7"/>
  <c r="I583" i="7"/>
  <c r="J583" i="7"/>
  <c r="L583" i="7"/>
  <c r="N583" i="7" s="1"/>
  <c r="F583" i="11" s="1"/>
  <c r="H583" i="11" s="1"/>
  <c r="M583" i="7"/>
  <c r="O583" i="7"/>
  <c r="Q583" i="7" s="1"/>
  <c r="P583" i="7"/>
  <c r="R583" i="7"/>
  <c r="S583" i="7"/>
  <c r="W583" i="7"/>
  <c r="X583" i="7"/>
  <c r="Z583" i="7"/>
  <c r="M583" i="11" s="1"/>
  <c r="A584" i="7"/>
  <c r="A584" i="11" s="1"/>
  <c r="B584" i="7"/>
  <c r="B584" i="11" s="1"/>
  <c r="C584" i="7"/>
  <c r="C584" i="11" s="1"/>
  <c r="D584" i="7"/>
  <c r="D584" i="11" s="1"/>
  <c r="E584" i="7"/>
  <c r="E584" i="11" s="1"/>
  <c r="F584" i="7"/>
  <c r="G584" i="7"/>
  <c r="I584" i="7"/>
  <c r="J584" i="7"/>
  <c r="L584" i="7"/>
  <c r="M584" i="7"/>
  <c r="O584" i="7"/>
  <c r="P584" i="7"/>
  <c r="R584" i="7"/>
  <c r="S584" i="7"/>
  <c r="W584" i="7"/>
  <c r="X584" i="7"/>
  <c r="Z584" i="7"/>
  <c r="M584" i="11" s="1"/>
  <c r="A585" i="7"/>
  <c r="A585" i="11" s="1"/>
  <c r="B585" i="7"/>
  <c r="B585" i="11" s="1"/>
  <c r="C585" i="7"/>
  <c r="C585" i="11" s="1"/>
  <c r="D585" i="7"/>
  <c r="D585" i="11" s="1"/>
  <c r="E585" i="7"/>
  <c r="E585" i="11" s="1"/>
  <c r="F585" i="7"/>
  <c r="G585" i="7"/>
  <c r="I585" i="7"/>
  <c r="J585" i="7"/>
  <c r="L585" i="7"/>
  <c r="M585" i="7"/>
  <c r="O585" i="7"/>
  <c r="P585" i="7"/>
  <c r="R585" i="7"/>
  <c r="S585" i="7"/>
  <c r="W585" i="7"/>
  <c r="X585" i="7"/>
  <c r="Z585" i="7"/>
  <c r="M585" i="11" s="1"/>
  <c r="A586" i="7"/>
  <c r="A586" i="11" s="1"/>
  <c r="B586" i="7"/>
  <c r="B586" i="11" s="1"/>
  <c r="C586" i="7"/>
  <c r="C586" i="11" s="1"/>
  <c r="D586" i="7"/>
  <c r="D586" i="11" s="1"/>
  <c r="E586" i="7"/>
  <c r="E586" i="11" s="1"/>
  <c r="F586" i="7"/>
  <c r="G586" i="7"/>
  <c r="I586" i="7"/>
  <c r="J586" i="7"/>
  <c r="L586" i="7"/>
  <c r="M586" i="7"/>
  <c r="O586" i="7"/>
  <c r="P586" i="7"/>
  <c r="R586" i="7"/>
  <c r="S586" i="7"/>
  <c r="W586" i="7"/>
  <c r="X586" i="7"/>
  <c r="Z586" i="7"/>
  <c r="M586" i="11" s="1"/>
  <c r="A587" i="7"/>
  <c r="A587" i="11" s="1"/>
  <c r="B587" i="7"/>
  <c r="B587" i="11" s="1"/>
  <c r="C587" i="7"/>
  <c r="C587" i="11" s="1"/>
  <c r="D587" i="7"/>
  <c r="D587" i="11" s="1"/>
  <c r="E587" i="7"/>
  <c r="E587" i="11" s="1"/>
  <c r="F587" i="7"/>
  <c r="G587" i="7"/>
  <c r="I587" i="7"/>
  <c r="J587" i="7"/>
  <c r="L587" i="7"/>
  <c r="M587" i="7"/>
  <c r="O587" i="7"/>
  <c r="P587" i="7"/>
  <c r="R587" i="7"/>
  <c r="S587" i="7"/>
  <c r="W587" i="7"/>
  <c r="X587" i="7"/>
  <c r="Z587" i="7"/>
  <c r="M587" i="11" s="1"/>
  <c r="A588" i="7"/>
  <c r="A588" i="11" s="1"/>
  <c r="B588" i="7"/>
  <c r="B588" i="11" s="1"/>
  <c r="C588" i="7"/>
  <c r="C588" i="11" s="1"/>
  <c r="D588" i="7"/>
  <c r="D588" i="11" s="1"/>
  <c r="E588" i="7"/>
  <c r="E588" i="11" s="1"/>
  <c r="F588" i="7"/>
  <c r="G588" i="7"/>
  <c r="I588" i="7"/>
  <c r="J588" i="7"/>
  <c r="L588" i="7"/>
  <c r="N588" i="7" s="1"/>
  <c r="F588" i="11" s="1"/>
  <c r="H588" i="11" s="1"/>
  <c r="M588" i="7"/>
  <c r="O588" i="7"/>
  <c r="P588" i="7"/>
  <c r="R588" i="7"/>
  <c r="S588" i="7"/>
  <c r="W588" i="7"/>
  <c r="X588" i="7"/>
  <c r="Z588" i="7"/>
  <c r="M588" i="11" s="1"/>
  <c r="A589" i="7"/>
  <c r="A589" i="11" s="1"/>
  <c r="B589" i="7"/>
  <c r="B589" i="11" s="1"/>
  <c r="C589" i="7"/>
  <c r="C589" i="11" s="1"/>
  <c r="D589" i="7"/>
  <c r="D589" i="11" s="1"/>
  <c r="E589" i="7"/>
  <c r="E589" i="11" s="1"/>
  <c r="F589" i="7"/>
  <c r="G589" i="7"/>
  <c r="I589" i="7"/>
  <c r="J589" i="7"/>
  <c r="L589" i="7"/>
  <c r="M589" i="7"/>
  <c r="O589" i="7"/>
  <c r="P589" i="7"/>
  <c r="R589" i="7"/>
  <c r="S589" i="7"/>
  <c r="W589" i="7"/>
  <c r="X589" i="7"/>
  <c r="Z589" i="7"/>
  <c r="M589" i="11" s="1"/>
  <c r="A590" i="7"/>
  <c r="A590" i="11" s="1"/>
  <c r="B590" i="7"/>
  <c r="B590" i="11" s="1"/>
  <c r="C590" i="7"/>
  <c r="C590" i="11" s="1"/>
  <c r="D590" i="7"/>
  <c r="D590" i="11" s="1"/>
  <c r="E590" i="7"/>
  <c r="E590" i="11" s="1"/>
  <c r="F590" i="7"/>
  <c r="G590" i="7"/>
  <c r="I590" i="7"/>
  <c r="J590" i="7"/>
  <c r="L590" i="7"/>
  <c r="M590" i="7"/>
  <c r="O590" i="7"/>
  <c r="P590" i="7"/>
  <c r="R590" i="7"/>
  <c r="S590" i="7"/>
  <c r="W590" i="7"/>
  <c r="X590" i="7"/>
  <c r="Z590" i="7"/>
  <c r="M590" i="11" s="1"/>
  <c r="A591" i="7"/>
  <c r="A591" i="11" s="1"/>
  <c r="B591" i="7"/>
  <c r="B591" i="11" s="1"/>
  <c r="C591" i="7"/>
  <c r="C591" i="11" s="1"/>
  <c r="D591" i="7"/>
  <c r="D591" i="11" s="1"/>
  <c r="E591" i="7"/>
  <c r="E591" i="11" s="1"/>
  <c r="F591" i="7"/>
  <c r="G591" i="7"/>
  <c r="I591" i="7"/>
  <c r="J591" i="7"/>
  <c r="L591" i="7"/>
  <c r="N591" i="7" s="1"/>
  <c r="F591" i="11" s="1"/>
  <c r="H591" i="11" s="1"/>
  <c r="M591" i="7"/>
  <c r="O591" i="7"/>
  <c r="P591" i="7"/>
  <c r="R591" i="7"/>
  <c r="T591" i="7" s="1"/>
  <c r="S591" i="7"/>
  <c r="W591" i="7"/>
  <c r="X591" i="7"/>
  <c r="Z591" i="7"/>
  <c r="M591" i="11" s="1"/>
  <c r="A592" i="7"/>
  <c r="A592" i="11" s="1"/>
  <c r="B592" i="7"/>
  <c r="B592" i="11" s="1"/>
  <c r="C592" i="7"/>
  <c r="C592" i="11" s="1"/>
  <c r="D592" i="7"/>
  <c r="D592" i="11" s="1"/>
  <c r="E592" i="7"/>
  <c r="E592" i="11" s="1"/>
  <c r="F592" i="7"/>
  <c r="G592" i="7"/>
  <c r="I592" i="7"/>
  <c r="J592" i="7"/>
  <c r="L592" i="7"/>
  <c r="N592" i="7" s="1"/>
  <c r="F592" i="11" s="1"/>
  <c r="H592" i="11" s="1"/>
  <c r="M592" i="7"/>
  <c r="O592" i="7"/>
  <c r="P592" i="7"/>
  <c r="R592" i="7"/>
  <c r="S592" i="7"/>
  <c r="W592" i="7"/>
  <c r="X592" i="7"/>
  <c r="Z592" i="7"/>
  <c r="M592" i="11" s="1"/>
  <c r="A593" i="7"/>
  <c r="A593" i="11" s="1"/>
  <c r="B593" i="7"/>
  <c r="B593" i="11" s="1"/>
  <c r="C593" i="7"/>
  <c r="C593" i="11" s="1"/>
  <c r="D593" i="7"/>
  <c r="D593" i="11" s="1"/>
  <c r="E593" i="7"/>
  <c r="E593" i="11" s="1"/>
  <c r="F593" i="7"/>
  <c r="G593" i="7"/>
  <c r="I593" i="7"/>
  <c r="J593" i="7"/>
  <c r="L593" i="7"/>
  <c r="M593" i="7"/>
  <c r="O593" i="7"/>
  <c r="Q593" i="7" s="1"/>
  <c r="P593" i="7"/>
  <c r="R593" i="7"/>
  <c r="S593" i="7"/>
  <c r="W593" i="7"/>
  <c r="X593" i="7"/>
  <c r="Z593" i="7"/>
  <c r="M593" i="11" s="1"/>
  <c r="A594" i="7"/>
  <c r="A594" i="11" s="1"/>
  <c r="B594" i="7"/>
  <c r="B594" i="11" s="1"/>
  <c r="C594" i="7"/>
  <c r="C594" i="11" s="1"/>
  <c r="D594" i="7"/>
  <c r="D594" i="11" s="1"/>
  <c r="E594" i="7"/>
  <c r="E594" i="11" s="1"/>
  <c r="F594" i="7"/>
  <c r="G594" i="7"/>
  <c r="I594" i="7"/>
  <c r="J594" i="7"/>
  <c r="L594" i="7"/>
  <c r="N594" i="7" s="1"/>
  <c r="F594" i="11" s="1"/>
  <c r="H594" i="11" s="1"/>
  <c r="M594" i="7"/>
  <c r="O594" i="7"/>
  <c r="Q594" i="7" s="1"/>
  <c r="P594" i="7"/>
  <c r="R594" i="7"/>
  <c r="T594" i="7" s="1"/>
  <c r="S594" i="7"/>
  <c r="W594" i="7"/>
  <c r="X594" i="7"/>
  <c r="Z594" i="7"/>
  <c r="M594" i="11" s="1"/>
  <c r="A595" i="7"/>
  <c r="A595" i="11" s="1"/>
  <c r="B595" i="7"/>
  <c r="B595" i="11" s="1"/>
  <c r="C595" i="7"/>
  <c r="C595" i="11" s="1"/>
  <c r="D595" i="7"/>
  <c r="D595" i="11" s="1"/>
  <c r="E595" i="7"/>
  <c r="E595" i="11" s="1"/>
  <c r="F595" i="7"/>
  <c r="G595" i="7"/>
  <c r="I595" i="7"/>
  <c r="J595" i="7"/>
  <c r="L595" i="7"/>
  <c r="N595" i="7" s="1"/>
  <c r="F595" i="11" s="1"/>
  <c r="H595" i="11" s="1"/>
  <c r="M595" i="7"/>
  <c r="O595" i="7"/>
  <c r="P595" i="7"/>
  <c r="R595" i="7"/>
  <c r="S595" i="7"/>
  <c r="W595" i="7"/>
  <c r="X595" i="7"/>
  <c r="Z595" i="7"/>
  <c r="M595" i="11" s="1"/>
  <c r="A596" i="7"/>
  <c r="A596" i="11" s="1"/>
  <c r="B596" i="7"/>
  <c r="B596" i="11" s="1"/>
  <c r="C596" i="7"/>
  <c r="C596" i="11" s="1"/>
  <c r="D596" i="7"/>
  <c r="D596" i="11" s="1"/>
  <c r="E596" i="7"/>
  <c r="E596" i="11" s="1"/>
  <c r="F596" i="7"/>
  <c r="G596" i="7"/>
  <c r="I596" i="7"/>
  <c r="J596" i="7"/>
  <c r="L596" i="7"/>
  <c r="N596" i="7" s="1"/>
  <c r="F596" i="11" s="1"/>
  <c r="H596" i="11" s="1"/>
  <c r="M596" i="7"/>
  <c r="O596" i="7"/>
  <c r="P596" i="7"/>
  <c r="R596" i="7"/>
  <c r="T596" i="7" s="1"/>
  <c r="S596" i="7"/>
  <c r="W596" i="7"/>
  <c r="X596" i="7"/>
  <c r="Z596" i="7"/>
  <c r="M596" i="11" s="1"/>
  <c r="A597" i="7"/>
  <c r="A597" i="11" s="1"/>
  <c r="B597" i="7"/>
  <c r="B597" i="11" s="1"/>
  <c r="C597" i="7"/>
  <c r="C597" i="11" s="1"/>
  <c r="D597" i="7"/>
  <c r="D597" i="11" s="1"/>
  <c r="E597" i="7"/>
  <c r="E597" i="11" s="1"/>
  <c r="F597" i="7"/>
  <c r="G597" i="7"/>
  <c r="I597" i="7"/>
  <c r="J597" i="7"/>
  <c r="L597" i="7"/>
  <c r="M597" i="7"/>
  <c r="O597" i="7"/>
  <c r="P597" i="7"/>
  <c r="R597" i="7"/>
  <c r="S597" i="7"/>
  <c r="W597" i="7"/>
  <c r="X597" i="7"/>
  <c r="Z597" i="7"/>
  <c r="M597" i="11" s="1"/>
  <c r="A598" i="7"/>
  <c r="A598" i="11" s="1"/>
  <c r="B598" i="7"/>
  <c r="B598" i="11" s="1"/>
  <c r="C598" i="7"/>
  <c r="C598" i="11" s="1"/>
  <c r="D598" i="7"/>
  <c r="D598" i="11" s="1"/>
  <c r="E598" i="7"/>
  <c r="E598" i="11" s="1"/>
  <c r="F598" i="7"/>
  <c r="G598" i="7"/>
  <c r="I598" i="7"/>
  <c r="J598" i="7"/>
  <c r="L598" i="7"/>
  <c r="M598" i="7"/>
  <c r="O598" i="7"/>
  <c r="P598" i="7"/>
  <c r="R598" i="7"/>
  <c r="S598" i="7"/>
  <c r="W598" i="7"/>
  <c r="X598" i="7"/>
  <c r="Z598" i="7"/>
  <c r="M598" i="11" s="1"/>
  <c r="A599" i="7"/>
  <c r="A599" i="11" s="1"/>
  <c r="B599" i="7"/>
  <c r="B599" i="11" s="1"/>
  <c r="C599" i="7"/>
  <c r="C599" i="11" s="1"/>
  <c r="D599" i="7"/>
  <c r="D599" i="11" s="1"/>
  <c r="E599" i="7"/>
  <c r="E599" i="11" s="1"/>
  <c r="F599" i="7"/>
  <c r="G599" i="7"/>
  <c r="I599" i="7"/>
  <c r="J599" i="7"/>
  <c r="L599" i="7"/>
  <c r="M599" i="7"/>
  <c r="O599" i="7"/>
  <c r="P599" i="7"/>
  <c r="R599" i="7"/>
  <c r="S599" i="7"/>
  <c r="W599" i="7"/>
  <c r="X599" i="7"/>
  <c r="Z599" i="7"/>
  <c r="M599" i="11" s="1"/>
  <c r="A600" i="7"/>
  <c r="A600" i="11" s="1"/>
  <c r="B600" i="7"/>
  <c r="B600" i="11" s="1"/>
  <c r="C600" i="7"/>
  <c r="C600" i="11" s="1"/>
  <c r="D600" i="7"/>
  <c r="D600" i="11" s="1"/>
  <c r="E600" i="7"/>
  <c r="E600" i="11" s="1"/>
  <c r="F600" i="7"/>
  <c r="G600" i="7"/>
  <c r="I600" i="7"/>
  <c r="J600" i="7"/>
  <c r="L600" i="7"/>
  <c r="M600" i="7"/>
  <c r="O600" i="7"/>
  <c r="Q600" i="7" s="1"/>
  <c r="P600" i="7"/>
  <c r="R600" i="7"/>
  <c r="S600" i="7"/>
  <c r="W600" i="7"/>
  <c r="X600" i="7"/>
  <c r="Z600" i="7"/>
  <c r="M600" i="11" s="1"/>
  <c r="A601" i="7"/>
  <c r="A601" i="11" s="1"/>
  <c r="B601" i="7"/>
  <c r="B601" i="11" s="1"/>
  <c r="C601" i="7"/>
  <c r="C601" i="11" s="1"/>
  <c r="D601" i="7"/>
  <c r="D601" i="11" s="1"/>
  <c r="E601" i="7"/>
  <c r="E601" i="11" s="1"/>
  <c r="F601" i="7"/>
  <c r="G601" i="7"/>
  <c r="I601" i="7"/>
  <c r="J601" i="7"/>
  <c r="L601" i="7"/>
  <c r="M601" i="7"/>
  <c r="O601" i="7"/>
  <c r="P601" i="7"/>
  <c r="R601" i="7"/>
  <c r="S601" i="7"/>
  <c r="W601" i="7"/>
  <c r="X601" i="7"/>
  <c r="Z601" i="7"/>
  <c r="M601" i="11" s="1"/>
  <c r="A602" i="7"/>
  <c r="A602" i="11" s="1"/>
  <c r="B602" i="7"/>
  <c r="B602" i="11" s="1"/>
  <c r="C602" i="7"/>
  <c r="C602" i="11" s="1"/>
  <c r="D602" i="7"/>
  <c r="D602" i="11" s="1"/>
  <c r="E602" i="7"/>
  <c r="E602" i="11" s="1"/>
  <c r="F602" i="7"/>
  <c r="G602" i="7"/>
  <c r="I602" i="7"/>
  <c r="J602" i="7"/>
  <c r="L602" i="7"/>
  <c r="M602" i="7"/>
  <c r="O602" i="7"/>
  <c r="P602" i="7"/>
  <c r="R602" i="7"/>
  <c r="S602" i="7"/>
  <c r="W602" i="7"/>
  <c r="X602" i="7"/>
  <c r="Z602" i="7"/>
  <c r="M602" i="11" s="1"/>
  <c r="A603" i="7"/>
  <c r="A603" i="11" s="1"/>
  <c r="B603" i="7"/>
  <c r="B603" i="11" s="1"/>
  <c r="C603" i="7"/>
  <c r="C603" i="11" s="1"/>
  <c r="D603" i="7"/>
  <c r="D603" i="11" s="1"/>
  <c r="E603" i="7"/>
  <c r="E603" i="11" s="1"/>
  <c r="F603" i="7"/>
  <c r="G603" i="7"/>
  <c r="I603" i="7"/>
  <c r="J603" i="7"/>
  <c r="L603" i="7"/>
  <c r="M603" i="7"/>
  <c r="O603" i="7"/>
  <c r="Q603" i="7" s="1"/>
  <c r="P603" i="7"/>
  <c r="R603" i="7"/>
  <c r="S603" i="7"/>
  <c r="W603" i="7"/>
  <c r="X603" i="7"/>
  <c r="Z603" i="7"/>
  <c r="M603" i="11" s="1"/>
  <c r="A604" i="7"/>
  <c r="A604" i="11" s="1"/>
  <c r="B604" i="7"/>
  <c r="B604" i="11" s="1"/>
  <c r="C604" i="7"/>
  <c r="C604" i="11" s="1"/>
  <c r="D604" i="7"/>
  <c r="D604" i="11" s="1"/>
  <c r="E604" i="7"/>
  <c r="E604" i="11" s="1"/>
  <c r="F604" i="7"/>
  <c r="G604" i="7"/>
  <c r="I604" i="7"/>
  <c r="J604" i="7"/>
  <c r="L604" i="7"/>
  <c r="M604" i="7"/>
  <c r="O604" i="7"/>
  <c r="P604" i="7"/>
  <c r="R604" i="7"/>
  <c r="S604" i="7"/>
  <c r="W604" i="7"/>
  <c r="X604" i="7"/>
  <c r="Z604" i="7"/>
  <c r="M604" i="11" s="1"/>
  <c r="A605" i="7"/>
  <c r="A605" i="11" s="1"/>
  <c r="B605" i="7"/>
  <c r="B605" i="11" s="1"/>
  <c r="C605" i="7"/>
  <c r="C605" i="11" s="1"/>
  <c r="D605" i="7"/>
  <c r="D605" i="11" s="1"/>
  <c r="E605" i="7"/>
  <c r="E605" i="11" s="1"/>
  <c r="F605" i="7"/>
  <c r="G605" i="7"/>
  <c r="I605" i="7"/>
  <c r="J605" i="7"/>
  <c r="L605" i="7"/>
  <c r="M605" i="7"/>
  <c r="O605" i="7"/>
  <c r="P605" i="7"/>
  <c r="R605" i="7"/>
  <c r="S605" i="7"/>
  <c r="W605" i="7"/>
  <c r="X605" i="7"/>
  <c r="Z605" i="7"/>
  <c r="M605" i="11" s="1"/>
  <c r="A606" i="7"/>
  <c r="A606" i="11" s="1"/>
  <c r="B606" i="7"/>
  <c r="B606" i="11" s="1"/>
  <c r="C606" i="7"/>
  <c r="C606" i="11" s="1"/>
  <c r="D606" i="7"/>
  <c r="D606" i="11" s="1"/>
  <c r="E606" i="7"/>
  <c r="E606" i="11" s="1"/>
  <c r="F606" i="7"/>
  <c r="G606" i="7"/>
  <c r="I606" i="7"/>
  <c r="J606" i="7"/>
  <c r="L606" i="7"/>
  <c r="N606" i="7" s="1"/>
  <c r="F606" i="11" s="1"/>
  <c r="H606" i="11" s="1"/>
  <c r="M606" i="7"/>
  <c r="O606" i="7"/>
  <c r="P606" i="7"/>
  <c r="R606" i="7"/>
  <c r="S606" i="7"/>
  <c r="W606" i="7"/>
  <c r="X606" i="7"/>
  <c r="Z606" i="7"/>
  <c r="M606" i="11" s="1"/>
  <c r="A607" i="7"/>
  <c r="A607" i="11" s="1"/>
  <c r="B607" i="7"/>
  <c r="B607" i="11" s="1"/>
  <c r="C607" i="7"/>
  <c r="C607" i="11" s="1"/>
  <c r="D607" i="7"/>
  <c r="D607" i="11" s="1"/>
  <c r="E607" i="7"/>
  <c r="E607" i="11" s="1"/>
  <c r="F607" i="7"/>
  <c r="G607" i="7"/>
  <c r="I607" i="7"/>
  <c r="J607" i="7"/>
  <c r="L607" i="7"/>
  <c r="N607" i="7" s="1"/>
  <c r="F607" i="11" s="1"/>
  <c r="H607" i="11" s="1"/>
  <c r="M607" i="7"/>
  <c r="O607" i="7"/>
  <c r="P607" i="7"/>
  <c r="R607" i="7"/>
  <c r="S607" i="7"/>
  <c r="W607" i="7"/>
  <c r="X607" i="7"/>
  <c r="Z607" i="7"/>
  <c r="M607" i="11" s="1"/>
  <c r="A608" i="7"/>
  <c r="A608" i="11" s="1"/>
  <c r="B608" i="7"/>
  <c r="B608" i="11" s="1"/>
  <c r="C608" i="7"/>
  <c r="C608" i="11" s="1"/>
  <c r="D608" i="7"/>
  <c r="D608" i="11" s="1"/>
  <c r="E608" i="7"/>
  <c r="E608" i="11" s="1"/>
  <c r="F608" i="7"/>
  <c r="G608" i="7"/>
  <c r="I608" i="7"/>
  <c r="J608" i="7"/>
  <c r="L608" i="7"/>
  <c r="N608" i="7" s="1"/>
  <c r="F608" i="11" s="1"/>
  <c r="H608" i="11" s="1"/>
  <c r="M608" i="7"/>
  <c r="O608" i="7"/>
  <c r="P608" i="7"/>
  <c r="R608" i="7"/>
  <c r="S608" i="7"/>
  <c r="W608" i="7"/>
  <c r="X608" i="7"/>
  <c r="Z608" i="7"/>
  <c r="M608" i="11" s="1"/>
  <c r="A609" i="7"/>
  <c r="A609" i="11" s="1"/>
  <c r="B609" i="7"/>
  <c r="B609" i="11" s="1"/>
  <c r="C609" i="7"/>
  <c r="C609" i="11" s="1"/>
  <c r="D609" i="7"/>
  <c r="D609" i="11" s="1"/>
  <c r="E609" i="7"/>
  <c r="E609" i="11" s="1"/>
  <c r="F609" i="7"/>
  <c r="G609" i="7"/>
  <c r="I609" i="7"/>
  <c r="J609" i="7"/>
  <c r="L609" i="7"/>
  <c r="M609" i="7"/>
  <c r="O609" i="7"/>
  <c r="P609" i="7"/>
  <c r="R609" i="7"/>
  <c r="S609" i="7"/>
  <c r="W609" i="7"/>
  <c r="X609" i="7"/>
  <c r="Z609" i="7"/>
  <c r="M609" i="11" s="1"/>
  <c r="A610" i="7"/>
  <c r="A610" i="11" s="1"/>
  <c r="B610" i="7"/>
  <c r="B610" i="11" s="1"/>
  <c r="C610" i="7"/>
  <c r="C610" i="11" s="1"/>
  <c r="D610" i="7"/>
  <c r="D610" i="11" s="1"/>
  <c r="E610" i="7"/>
  <c r="E610" i="11" s="1"/>
  <c r="F610" i="7"/>
  <c r="G610" i="7"/>
  <c r="I610" i="7"/>
  <c r="J610" i="7"/>
  <c r="L610" i="7"/>
  <c r="N610" i="7" s="1"/>
  <c r="F610" i="11" s="1"/>
  <c r="H610" i="11" s="1"/>
  <c r="M610" i="7"/>
  <c r="O610" i="7"/>
  <c r="Q610" i="7" s="1"/>
  <c r="P610" i="7"/>
  <c r="R610" i="7"/>
  <c r="S610" i="7"/>
  <c r="W610" i="7"/>
  <c r="X610" i="7"/>
  <c r="Z610" i="7"/>
  <c r="M610" i="11" s="1"/>
  <c r="A611" i="7"/>
  <c r="A611" i="11" s="1"/>
  <c r="B611" i="7"/>
  <c r="B611" i="11" s="1"/>
  <c r="C611" i="7"/>
  <c r="C611" i="11" s="1"/>
  <c r="D611" i="7"/>
  <c r="D611" i="11" s="1"/>
  <c r="E611" i="7"/>
  <c r="E611" i="11" s="1"/>
  <c r="F611" i="7"/>
  <c r="G611" i="7"/>
  <c r="I611" i="7"/>
  <c r="J611" i="7"/>
  <c r="L611" i="7"/>
  <c r="N611" i="7" s="1"/>
  <c r="F611" i="11" s="1"/>
  <c r="H611" i="11" s="1"/>
  <c r="M611" i="7"/>
  <c r="O611" i="7"/>
  <c r="P611" i="7"/>
  <c r="R611" i="7"/>
  <c r="T611" i="7" s="1"/>
  <c r="S611" i="7"/>
  <c r="W611" i="7"/>
  <c r="X611" i="7"/>
  <c r="Z611" i="7"/>
  <c r="M611" i="11" s="1"/>
  <c r="A612" i="7"/>
  <c r="A612" i="11" s="1"/>
  <c r="B612" i="7"/>
  <c r="B612" i="11" s="1"/>
  <c r="C612" i="7"/>
  <c r="C612" i="11" s="1"/>
  <c r="D612" i="7"/>
  <c r="D612" i="11" s="1"/>
  <c r="E612" i="7"/>
  <c r="E612" i="11" s="1"/>
  <c r="F612" i="7"/>
  <c r="G612" i="7"/>
  <c r="I612" i="7"/>
  <c r="J612" i="7"/>
  <c r="L612" i="7"/>
  <c r="M612" i="7"/>
  <c r="O612" i="7"/>
  <c r="P612" i="7"/>
  <c r="R612" i="7"/>
  <c r="S612" i="7"/>
  <c r="W612" i="7"/>
  <c r="X612" i="7"/>
  <c r="Z612" i="7"/>
  <c r="M612" i="11" s="1"/>
  <c r="A613" i="7"/>
  <c r="A613" i="11" s="1"/>
  <c r="B613" i="7"/>
  <c r="B613" i="11" s="1"/>
  <c r="C613" i="7"/>
  <c r="C613" i="11" s="1"/>
  <c r="D613" i="7"/>
  <c r="D613" i="11" s="1"/>
  <c r="E613" i="7"/>
  <c r="E613" i="11" s="1"/>
  <c r="F613" i="7"/>
  <c r="G613" i="7"/>
  <c r="I613" i="7"/>
  <c r="J613" i="7"/>
  <c r="L613" i="7"/>
  <c r="N613" i="7" s="1"/>
  <c r="F613" i="11" s="1"/>
  <c r="H613" i="11" s="1"/>
  <c r="M613" i="7"/>
  <c r="O613" i="7"/>
  <c r="Q613" i="7" s="1"/>
  <c r="P613" i="7"/>
  <c r="R613" i="7"/>
  <c r="S613" i="7"/>
  <c r="W613" i="7"/>
  <c r="X613" i="7"/>
  <c r="Z613" i="7"/>
  <c r="M613" i="11" s="1"/>
  <c r="A614" i="7"/>
  <c r="A614" i="11" s="1"/>
  <c r="B614" i="7"/>
  <c r="B614" i="11" s="1"/>
  <c r="C614" i="7"/>
  <c r="C614" i="11" s="1"/>
  <c r="D614" i="7"/>
  <c r="D614" i="11" s="1"/>
  <c r="E614" i="7"/>
  <c r="E614" i="11" s="1"/>
  <c r="F614" i="7"/>
  <c r="G614" i="7"/>
  <c r="I614" i="7"/>
  <c r="J614" i="7"/>
  <c r="L614" i="7"/>
  <c r="M614" i="7"/>
  <c r="O614" i="7"/>
  <c r="P614" i="7"/>
  <c r="R614" i="7"/>
  <c r="S614" i="7"/>
  <c r="W614" i="7"/>
  <c r="X614" i="7"/>
  <c r="Z614" i="7"/>
  <c r="M614" i="11" s="1"/>
  <c r="A615" i="7"/>
  <c r="A615" i="11" s="1"/>
  <c r="B615" i="7"/>
  <c r="B615" i="11" s="1"/>
  <c r="C615" i="7"/>
  <c r="C615" i="11" s="1"/>
  <c r="D615" i="7"/>
  <c r="D615" i="11" s="1"/>
  <c r="E615" i="7"/>
  <c r="E615" i="11" s="1"/>
  <c r="F615" i="7"/>
  <c r="G615" i="7"/>
  <c r="I615" i="7"/>
  <c r="J615" i="7"/>
  <c r="L615" i="7"/>
  <c r="M615" i="7"/>
  <c r="O615" i="7"/>
  <c r="P615" i="7"/>
  <c r="R615" i="7"/>
  <c r="S615" i="7"/>
  <c r="W615" i="7"/>
  <c r="X615" i="7"/>
  <c r="Z615" i="7"/>
  <c r="M615" i="11" s="1"/>
  <c r="A616" i="7"/>
  <c r="A616" i="11" s="1"/>
  <c r="B616" i="7"/>
  <c r="B616" i="11" s="1"/>
  <c r="C616" i="7"/>
  <c r="C616" i="11" s="1"/>
  <c r="D616" i="7"/>
  <c r="D616" i="11" s="1"/>
  <c r="E616" i="7"/>
  <c r="E616" i="11" s="1"/>
  <c r="F616" i="7"/>
  <c r="G616" i="7"/>
  <c r="I616" i="7"/>
  <c r="J616" i="7"/>
  <c r="L616" i="7"/>
  <c r="M616" i="7"/>
  <c r="O616" i="7"/>
  <c r="P616" i="7"/>
  <c r="R616" i="7"/>
  <c r="S616" i="7"/>
  <c r="W616" i="7"/>
  <c r="X616" i="7"/>
  <c r="Z616" i="7"/>
  <c r="M616" i="11" s="1"/>
  <c r="A617" i="7"/>
  <c r="A617" i="11" s="1"/>
  <c r="B617" i="7"/>
  <c r="B617" i="11" s="1"/>
  <c r="C617" i="7"/>
  <c r="C617" i="11" s="1"/>
  <c r="D617" i="7"/>
  <c r="D617" i="11" s="1"/>
  <c r="E617" i="7"/>
  <c r="E617" i="11" s="1"/>
  <c r="F617" i="7"/>
  <c r="G617" i="7"/>
  <c r="I617" i="7"/>
  <c r="J617" i="7"/>
  <c r="L617" i="7"/>
  <c r="M617" i="7"/>
  <c r="O617" i="7"/>
  <c r="P617" i="7"/>
  <c r="R617" i="7"/>
  <c r="S617" i="7"/>
  <c r="W617" i="7"/>
  <c r="X617" i="7"/>
  <c r="Z617" i="7"/>
  <c r="M617" i="11" s="1"/>
  <c r="A618" i="7"/>
  <c r="A618" i="11" s="1"/>
  <c r="B618" i="7"/>
  <c r="B618" i="11" s="1"/>
  <c r="C618" i="7"/>
  <c r="C618" i="11" s="1"/>
  <c r="D618" i="7"/>
  <c r="D618" i="11" s="1"/>
  <c r="E618" i="7"/>
  <c r="E618" i="11" s="1"/>
  <c r="F618" i="7"/>
  <c r="G618" i="7"/>
  <c r="I618" i="7"/>
  <c r="J618" i="7"/>
  <c r="L618" i="7"/>
  <c r="N618" i="7" s="1"/>
  <c r="F618" i="11" s="1"/>
  <c r="H618" i="11" s="1"/>
  <c r="M618" i="7"/>
  <c r="O618" i="7"/>
  <c r="P618" i="7"/>
  <c r="R618" i="7"/>
  <c r="S618" i="7"/>
  <c r="W618" i="7"/>
  <c r="X618" i="7"/>
  <c r="Z618" i="7"/>
  <c r="M618" i="11" s="1"/>
  <c r="A619" i="7"/>
  <c r="A619" i="11" s="1"/>
  <c r="B619" i="7"/>
  <c r="B619" i="11" s="1"/>
  <c r="C619" i="7"/>
  <c r="C619" i="11" s="1"/>
  <c r="D619" i="7"/>
  <c r="D619" i="11" s="1"/>
  <c r="E619" i="7"/>
  <c r="E619" i="11" s="1"/>
  <c r="F619" i="7"/>
  <c r="G619" i="7"/>
  <c r="I619" i="7"/>
  <c r="J619" i="7"/>
  <c r="L619" i="7"/>
  <c r="N619" i="7" s="1"/>
  <c r="F619" i="11" s="1"/>
  <c r="H619" i="11" s="1"/>
  <c r="M619" i="7"/>
  <c r="O619" i="7"/>
  <c r="P619" i="7"/>
  <c r="R619" i="7"/>
  <c r="S619" i="7"/>
  <c r="W619" i="7"/>
  <c r="X619" i="7"/>
  <c r="Z619" i="7"/>
  <c r="M619" i="11" s="1"/>
  <c r="A620" i="7"/>
  <c r="A620" i="11" s="1"/>
  <c r="B620" i="7"/>
  <c r="B620" i="11" s="1"/>
  <c r="C620" i="7"/>
  <c r="C620" i="11" s="1"/>
  <c r="D620" i="7"/>
  <c r="D620" i="11" s="1"/>
  <c r="E620" i="7"/>
  <c r="E620" i="11" s="1"/>
  <c r="F620" i="7"/>
  <c r="G620" i="7"/>
  <c r="I620" i="7"/>
  <c r="J620" i="7"/>
  <c r="L620" i="7"/>
  <c r="N620" i="7" s="1"/>
  <c r="F620" i="11" s="1"/>
  <c r="H620" i="11" s="1"/>
  <c r="M620" i="7"/>
  <c r="O620" i="7"/>
  <c r="Q620" i="7" s="1"/>
  <c r="P620" i="7"/>
  <c r="R620" i="7"/>
  <c r="S620" i="7"/>
  <c r="W620" i="7"/>
  <c r="X620" i="7"/>
  <c r="Z620" i="7"/>
  <c r="M620" i="11" s="1"/>
  <c r="A621" i="7"/>
  <c r="A621" i="11" s="1"/>
  <c r="B621" i="7"/>
  <c r="B621" i="11" s="1"/>
  <c r="C621" i="7"/>
  <c r="C621" i="11" s="1"/>
  <c r="D621" i="7"/>
  <c r="D621" i="11" s="1"/>
  <c r="E621" i="7"/>
  <c r="E621" i="11" s="1"/>
  <c r="F621" i="7"/>
  <c r="G621" i="7"/>
  <c r="I621" i="7"/>
  <c r="J621" i="7"/>
  <c r="L621" i="7"/>
  <c r="N621" i="7" s="1"/>
  <c r="F621" i="11" s="1"/>
  <c r="H621" i="11" s="1"/>
  <c r="M621" i="7"/>
  <c r="O621" i="7"/>
  <c r="P621" i="7"/>
  <c r="R621" i="7"/>
  <c r="T621" i="7" s="1"/>
  <c r="S621" i="7"/>
  <c r="W621" i="7"/>
  <c r="X621" i="7"/>
  <c r="Z621" i="7"/>
  <c r="M621" i="11" s="1"/>
  <c r="A622" i="7"/>
  <c r="A622" i="11" s="1"/>
  <c r="B622" i="7"/>
  <c r="B622" i="11" s="1"/>
  <c r="C622" i="7"/>
  <c r="C622" i="11" s="1"/>
  <c r="D622" i="7"/>
  <c r="D622" i="11" s="1"/>
  <c r="E622" i="7"/>
  <c r="E622" i="11" s="1"/>
  <c r="F622" i="7"/>
  <c r="G622" i="7"/>
  <c r="I622" i="7"/>
  <c r="J622" i="7"/>
  <c r="L622" i="7"/>
  <c r="N622" i="7" s="1"/>
  <c r="F622" i="11" s="1"/>
  <c r="H622" i="11" s="1"/>
  <c r="M622" i="7"/>
  <c r="O622" i="7"/>
  <c r="P622" i="7"/>
  <c r="R622" i="7"/>
  <c r="S622" i="7"/>
  <c r="X622" i="7"/>
  <c r="Z622" i="7"/>
  <c r="M622" i="11" s="1"/>
  <c r="A623" i="7"/>
  <c r="A623" i="11" s="1"/>
  <c r="B623" i="7"/>
  <c r="B623" i="11" s="1"/>
  <c r="C623" i="7"/>
  <c r="C623" i="11" s="1"/>
  <c r="D623" i="7"/>
  <c r="D623" i="11" s="1"/>
  <c r="E623" i="7"/>
  <c r="E623" i="11" s="1"/>
  <c r="F623" i="7"/>
  <c r="G623" i="7"/>
  <c r="I623" i="7"/>
  <c r="J623" i="7"/>
  <c r="L623" i="7"/>
  <c r="M623" i="7"/>
  <c r="O623" i="7"/>
  <c r="P623" i="7"/>
  <c r="R623" i="7"/>
  <c r="S623" i="7"/>
  <c r="W623" i="7"/>
  <c r="X623" i="7"/>
  <c r="Z623" i="7"/>
  <c r="M623" i="11" s="1"/>
  <c r="A624" i="7"/>
  <c r="A624" i="11" s="1"/>
  <c r="B624" i="7"/>
  <c r="B624" i="11" s="1"/>
  <c r="C624" i="7"/>
  <c r="C624" i="11" s="1"/>
  <c r="D624" i="7"/>
  <c r="D624" i="11" s="1"/>
  <c r="E624" i="7"/>
  <c r="E624" i="11" s="1"/>
  <c r="F624" i="7"/>
  <c r="G624" i="7"/>
  <c r="I624" i="7"/>
  <c r="J624" i="7"/>
  <c r="L624" i="7"/>
  <c r="N624" i="7" s="1"/>
  <c r="F624" i="11" s="1"/>
  <c r="H624" i="11" s="1"/>
  <c r="M624" i="7"/>
  <c r="O624" i="7"/>
  <c r="P624" i="7"/>
  <c r="R624" i="7"/>
  <c r="S624" i="7"/>
  <c r="W624" i="7"/>
  <c r="X624" i="7"/>
  <c r="Z624" i="7"/>
  <c r="M624" i="11" s="1"/>
  <c r="A625" i="7"/>
  <c r="A625" i="11" s="1"/>
  <c r="B625" i="7"/>
  <c r="B625" i="11" s="1"/>
  <c r="C625" i="7"/>
  <c r="C625" i="11" s="1"/>
  <c r="D625" i="7"/>
  <c r="D625" i="11" s="1"/>
  <c r="E625" i="7"/>
  <c r="E625" i="11" s="1"/>
  <c r="F625" i="7"/>
  <c r="G625" i="7"/>
  <c r="I625" i="7"/>
  <c r="J625" i="7"/>
  <c r="L625" i="7"/>
  <c r="M625" i="7"/>
  <c r="O625" i="7"/>
  <c r="P625" i="7"/>
  <c r="R625" i="7"/>
  <c r="S625" i="7"/>
  <c r="W625" i="7"/>
  <c r="X625" i="7"/>
  <c r="Z625" i="7"/>
  <c r="M625" i="11" s="1"/>
  <c r="A626" i="7"/>
  <c r="A626" i="11" s="1"/>
  <c r="B626" i="7"/>
  <c r="B626" i="11" s="1"/>
  <c r="C626" i="7"/>
  <c r="C626" i="11" s="1"/>
  <c r="D626" i="7"/>
  <c r="D626" i="11" s="1"/>
  <c r="E626" i="7"/>
  <c r="E626" i="11" s="1"/>
  <c r="F626" i="7"/>
  <c r="G626" i="7"/>
  <c r="I626" i="7"/>
  <c r="J626" i="7"/>
  <c r="L626" i="7"/>
  <c r="M626" i="7"/>
  <c r="O626" i="7"/>
  <c r="P626" i="7"/>
  <c r="R626" i="7"/>
  <c r="S626" i="7"/>
  <c r="W626" i="7"/>
  <c r="X626" i="7"/>
  <c r="Z626" i="7"/>
  <c r="M626" i="11" s="1"/>
  <c r="A627" i="7"/>
  <c r="A627" i="11" s="1"/>
  <c r="B627" i="7"/>
  <c r="B627" i="11" s="1"/>
  <c r="C627" i="7"/>
  <c r="C627" i="11" s="1"/>
  <c r="D627" i="7"/>
  <c r="D627" i="11" s="1"/>
  <c r="E627" i="7"/>
  <c r="E627" i="11" s="1"/>
  <c r="F627" i="7"/>
  <c r="G627" i="7"/>
  <c r="I627" i="7"/>
  <c r="J627" i="7"/>
  <c r="L627" i="7"/>
  <c r="M627" i="7"/>
  <c r="O627" i="7"/>
  <c r="P627" i="7"/>
  <c r="R627" i="7"/>
  <c r="S627" i="7"/>
  <c r="W627" i="7"/>
  <c r="X627" i="7"/>
  <c r="Z627" i="7"/>
  <c r="M627" i="11" s="1"/>
  <c r="A628" i="7"/>
  <c r="A628" i="11" s="1"/>
  <c r="B628" i="7"/>
  <c r="B628" i="11" s="1"/>
  <c r="C628" i="7"/>
  <c r="C628" i="11" s="1"/>
  <c r="D628" i="7"/>
  <c r="D628" i="11" s="1"/>
  <c r="E628" i="7"/>
  <c r="E628" i="11" s="1"/>
  <c r="F628" i="7"/>
  <c r="G628" i="7"/>
  <c r="I628" i="7"/>
  <c r="J628" i="7"/>
  <c r="L628" i="7"/>
  <c r="M628" i="7"/>
  <c r="O628" i="7"/>
  <c r="P628" i="7"/>
  <c r="R628" i="7"/>
  <c r="S628" i="7"/>
  <c r="W628" i="7"/>
  <c r="X628" i="7"/>
  <c r="Z628" i="7"/>
  <c r="M628" i="11" s="1"/>
  <c r="A629" i="7"/>
  <c r="A629" i="11" s="1"/>
  <c r="B629" i="7"/>
  <c r="B629" i="11" s="1"/>
  <c r="C629" i="7"/>
  <c r="C629" i="11" s="1"/>
  <c r="D629" i="7"/>
  <c r="D629" i="11" s="1"/>
  <c r="E629" i="7"/>
  <c r="E629" i="11" s="1"/>
  <c r="F629" i="7"/>
  <c r="G629" i="7"/>
  <c r="I629" i="7"/>
  <c r="J629" i="7"/>
  <c r="L629" i="7"/>
  <c r="M629" i="7"/>
  <c r="O629" i="7"/>
  <c r="P629" i="7"/>
  <c r="R629" i="7"/>
  <c r="S629" i="7"/>
  <c r="W629" i="7"/>
  <c r="X629" i="7"/>
  <c r="Z629" i="7"/>
  <c r="M629" i="11" s="1"/>
  <c r="A630" i="7"/>
  <c r="A630" i="11" s="1"/>
  <c r="B630" i="7"/>
  <c r="B630" i="11" s="1"/>
  <c r="C630" i="7"/>
  <c r="C630" i="11" s="1"/>
  <c r="D630" i="7"/>
  <c r="D630" i="11" s="1"/>
  <c r="E630" i="7"/>
  <c r="E630" i="11" s="1"/>
  <c r="F630" i="7"/>
  <c r="G630" i="7"/>
  <c r="I630" i="7"/>
  <c r="J630" i="7"/>
  <c r="L630" i="7"/>
  <c r="M630" i="7"/>
  <c r="O630" i="7"/>
  <c r="P630" i="7"/>
  <c r="R630" i="7"/>
  <c r="S630" i="7"/>
  <c r="W630" i="7"/>
  <c r="X630" i="7"/>
  <c r="Z630" i="7"/>
  <c r="M630" i="11" s="1"/>
  <c r="A631" i="7"/>
  <c r="A631" i="11" s="1"/>
  <c r="B631" i="7"/>
  <c r="B631" i="11" s="1"/>
  <c r="C631" i="7"/>
  <c r="C631" i="11" s="1"/>
  <c r="D631" i="7"/>
  <c r="D631" i="11" s="1"/>
  <c r="E631" i="7"/>
  <c r="E631" i="11" s="1"/>
  <c r="F631" i="7"/>
  <c r="G631" i="7"/>
  <c r="I631" i="7"/>
  <c r="J631" i="7"/>
  <c r="L631" i="7"/>
  <c r="N631" i="7" s="1"/>
  <c r="F631" i="11" s="1"/>
  <c r="H631" i="11" s="1"/>
  <c r="M631" i="7"/>
  <c r="O631" i="7"/>
  <c r="Q631" i="7" s="1"/>
  <c r="P631" i="7"/>
  <c r="R631" i="7"/>
  <c r="S631" i="7"/>
  <c r="W631" i="7"/>
  <c r="X631" i="7"/>
  <c r="Z631" i="7"/>
  <c r="M631" i="11" s="1"/>
  <c r="A632" i="7"/>
  <c r="A632" i="11" s="1"/>
  <c r="B632" i="7"/>
  <c r="B632" i="11" s="1"/>
  <c r="C632" i="7"/>
  <c r="C632" i="11" s="1"/>
  <c r="D632" i="7"/>
  <c r="D632" i="11" s="1"/>
  <c r="E632" i="7"/>
  <c r="E632" i="11" s="1"/>
  <c r="F632" i="7"/>
  <c r="G632" i="7"/>
  <c r="I632" i="7"/>
  <c r="J632" i="7"/>
  <c r="L632" i="7"/>
  <c r="M632" i="7"/>
  <c r="O632" i="7"/>
  <c r="P632" i="7"/>
  <c r="R632" i="7"/>
  <c r="S632" i="7"/>
  <c r="W632" i="7"/>
  <c r="X632" i="7"/>
  <c r="Z632" i="7"/>
  <c r="M632" i="11" s="1"/>
  <c r="A633" i="7"/>
  <c r="A633" i="11" s="1"/>
  <c r="B633" i="7"/>
  <c r="B633" i="11" s="1"/>
  <c r="C633" i="7"/>
  <c r="C633" i="11" s="1"/>
  <c r="D633" i="7"/>
  <c r="D633" i="11" s="1"/>
  <c r="E633" i="7"/>
  <c r="E633" i="11" s="1"/>
  <c r="F633" i="7"/>
  <c r="G633" i="7"/>
  <c r="I633" i="7"/>
  <c r="J633" i="7"/>
  <c r="L633" i="7"/>
  <c r="N633" i="7" s="1"/>
  <c r="F633" i="11" s="1"/>
  <c r="H633" i="11" s="1"/>
  <c r="M633" i="7"/>
  <c r="O633" i="7"/>
  <c r="P633" i="7"/>
  <c r="R633" i="7"/>
  <c r="T633" i="7" s="1"/>
  <c r="S633" i="7"/>
  <c r="W633" i="7"/>
  <c r="X633" i="7"/>
  <c r="Z633" i="7"/>
  <c r="M633" i="11" s="1"/>
  <c r="A634" i="7"/>
  <c r="A634" i="11" s="1"/>
  <c r="B634" i="7"/>
  <c r="B634" i="11" s="1"/>
  <c r="C634" i="7"/>
  <c r="C634" i="11" s="1"/>
  <c r="D634" i="7"/>
  <c r="D634" i="11" s="1"/>
  <c r="E634" i="7"/>
  <c r="E634" i="11" s="1"/>
  <c r="F634" i="7"/>
  <c r="G634" i="7"/>
  <c r="I634" i="7"/>
  <c r="J634" i="7"/>
  <c r="L634" i="7"/>
  <c r="N634" i="7" s="1"/>
  <c r="F634" i="11" s="1"/>
  <c r="H634" i="11" s="1"/>
  <c r="M634" i="7"/>
  <c r="O634" i="7"/>
  <c r="P634" i="7"/>
  <c r="R634" i="7"/>
  <c r="S634" i="7"/>
  <c r="W634" i="7"/>
  <c r="X634" i="7"/>
  <c r="Z634" i="7"/>
  <c r="M634" i="11" s="1"/>
  <c r="A635" i="7"/>
  <c r="A635" i="11" s="1"/>
  <c r="B635" i="7"/>
  <c r="B635" i="11" s="1"/>
  <c r="C635" i="7"/>
  <c r="C635" i="11" s="1"/>
  <c r="D635" i="7"/>
  <c r="D635" i="11" s="1"/>
  <c r="E635" i="7"/>
  <c r="E635" i="11" s="1"/>
  <c r="F635" i="7"/>
  <c r="G635" i="7"/>
  <c r="I635" i="7"/>
  <c r="J635" i="7"/>
  <c r="L635" i="7"/>
  <c r="N635" i="7" s="1"/>
  <c r="F635" i="11" s="1"/>
  <c r="H635" i="11" s="1"/>
  <c r="M635" i="7"/>
  <c r="O635" i="7"/>
  <c r="P635" i="7"/>
  <c r="R635" i="7"/>
  <c r="S635" i="7"/>
  <c r="W635" i="7"/>
  <c r="X635" i="7"/>
  <c r="Z635" i="7"/>
  <c r="M635" i="11" s="1"/>
  <c r="A636" i="7"/>
  <c r="A636" i="11" s="1"/>
  <c r="B636" i="7"/>
  <c r="B636" i="11" s="1"/>
  <c r="C636" i="7"/>
  <c r="C636" i="11" s="1"/>
  <c r="D636" i="7"/>
  <c r="D636" i="11" s="1"/>
  <c r="E636" i="7"/>
  <c r="E636" i="11" s="1"/>
  <c r="F636" i="7"/>
  <c r="G636" i="7"/>
  <c r="I636" i="7"/>
  <c r="J636" i="7"/>
  <c r="L636" i="7"/>
  <c r="N636" i="7" s="1"/>
  <c r="F636" i="11" s="1"/>
  <c r="H636" i="11" s="1"/>
  <c r="M636" i="7"/>
  <c r="O636" i="7"/>
  <c r="P636" i="7"/>
  <c r="R636" i="7"/>
  <c r="S636" i="7"/>
  <c r="W636" i="7"/>
  <c r="X636" i="7"/>
  <c r="Z636" i="7"/>
  <c r="M636" i="11" s="1"/>
  <c r="A637" i="7"/>
  <c r="A637" i="11" s="1"/>
  <c r="B637" i="7"/>
  <c r="B637" i="11" s="1"/>
  <c r="C637" i="7"/>
  <c r="C637" i="11" s="1"/>
  <c r="D637" i="7"/>
  <c r="D637" i="11" s="1"/>
  <c r="E637" i="7"/>
  <c r="E637" i="11" s="1"/>
  <c r="F637" i="7"/>
  <c r="G637" i="7"/>
  <c r="I637" i="7"/>
  <c r="J637" i="7"/>
  <c r="L637" i="7"/>
  <c r="M637" i="7"/>
  <c r="O637" i="7"/>
  <c r="P637" i="7"/>
  <c r="R637" i="7"/>
  <c r="S637" i="7"/>
  <c r="W637" i="7"/>
  <c r="X637" i="7"/>
  <c r="Z637" i="7"/>
  <c r="M637" i="11" s="1"/>
  <c r="A638" i="7"/>
  <c r="A638" i="11" s="1"/>
  <c r="B638" i="7"/>
  <c r="B638" i="11" s="1"/>
  <c r="C638" i="7"/>
  <c r="C638" i="11" s="1"/>
  <c r="D638" i="7"/>
  <c r="D638" i="11" s="1"/>
  <c r="E638" i="7"/>
  <c r="E638" i="11" s="1"/>
  <c r="F638" i="7"/>
  <c r="G638" i="7"/>
  <c r="I638" i="7"/>
  <c r="J638" i="7"/>
  <c r="L638" i="7"/>
  <c r="M638" i="7"/>
  <c r="O638" i="7"/>
  <c r="P638" i="7"/>
  <c r="R638" i="7"/>
  <c r="S638" i="7"/>
  <c r="W638" i="7"/>
  <c r="X638" i="7"/>
  <c r="Z638" i="7"/>
  <c r="M638" i="11" s="1"/>
  <c r="A639" i="7"/>
  <c r="A639" i="11" s="1"/>
  <c r="B639" i="7"/>
  <c r="B639" i="11" s="1"/>
  <c r="C639" i="7"/>
  <c r="C639" i="11" s="1"/>
  <c r="D639" i="7"/>
  <c r="D639" i="11" s="1"/>
  <c r="E639" i="7"/>
  <c r="E639" i="11" s="1"/>
  <c r="F639" i="7"/>
  <c r="G639" i="7"/>
  <c r="I639" i="7"/>
  <c r="J639" i="7"/>
  <c r="L639" i="7"/>
  <c r="N639" i="7" s="1"/>
  <c r="F639" i="11" s="1"/>
  <c r="H639" i="11" s="1"/>
  <c r="M639" i="7"/>
  <c r="O639" i="7"/>
  <c r="P639" i="7"/>
  <c r="R639" i="7"/>
  <c r="S639" i="7"/>
  <c r="W639" i="7"/>
  <c r="X639" i="7"/>
  <c r="Z639" i="7"/>
  <c r="M639" i="11" s="1"/>
  <c r="A640" i="7"/>
  <c r="A640" i="11" s="1"/>
  <c r="B640" i="7"/>
  <c r="B640" i="11" s="1"/>
  <c r="C640" i="7"/>
  <c r="C640" i="11" s="1"/>
  <c r="D640" i="7"/>
  <c r="D640" i="11" s="1"/>
  <c r="E640" i="7"/>
  <c r="E640" i="11" s="1"/>
  <c r="F640" i="7"/>
  <c r="G640" i="7"/>
  <c r="I640" i="7"/>
  <c r="J640" i="7"/>
  <c r="L640" i="7"/>
  <c r="M640" i="7"/>
  <c r="O640" i="7"/>
  <c r="P640" i="7"/>
  <c r="R640" i="7"/>
  <c r="S640" i="7"/>
  <c r="W640" i="7"/>
  <c r="X640" i="7"/>
  <c r="Z640" i="7"/>
  <c r="M640" i="11" s="1"/>
  <c r="A641" i="7"/>
  <c r="A641" i="11" s="1"/>
  <c r="B641" i="7"/>
  <c r="B641" i="11" s="1"/>
  <c r="C641" i="7"/>
  <c r="C641" i="11" s="1"/>
  <c r="D641" i="7"/>
  <c r="D641" i="11" s="1"/>
  <c r="E641" i="7"/>
  <c r="E641" i="11" s="1"/>
  <c r="F641" i="7"/>
  <c r="G641" i="7"/>
  <c r="I641" i="7"/>
  <c r="J641" i="7"/>
  <c r="L641" i="7"/>
  <c r="M641" i="7"/>
  <c r="O641" i="7"/>
  <c r="P641" i="7"/>
  <c r="R641" i="7"/>
  <c r="S641" i="7"/>
  <c r="W641" i="7"/>
  <c r="X641" i="7"/>
  <c r="Z641" i="7"/>
  <c r="M641" i="11" s="1"/>
  <c r="A642" i="7"/>
  <c r="A642" i="11" s="1"/>
  <c r="B642" i="7"/>
  <c r="B642" i="11" s="1"/>
  <c r="C642" i="7"/>
  <c r="C642" i="11" s="1"/>
  <c r="D642" i="7"/>
  <c r="D642" i="11" s="1"/>
  <c r="E642" i="7"/>
  <c r="E642" i="11" s="1"/>
  <c r="F642" i="7"/>
  <c r="G642" i="7"/>
  <c r="I642" i="7"/>
  <c r="J642" i="7"/>
  <c r="L642" i="7"/>
  <c r="M642" i="7"/>
  <c r="O642" i="7"/>
  <c r="P642" i="7"/>
  <c r="R642" i="7"/>
  <c r="S642" i="7"/>
  <c r="W642" i="7"/>
  <c r="X642" i="7"/>
  <c r="Z642" i="7"/>
  <c r="M642" i="11" s="1"/>
  <c r="A643" i="7"/>
  <c r="A643" i="11" s="1"/>
  <c r="B643" i="7"/>
  <c r="B643" i="11" s="1"/>
  <c r="C643" i="7"/>
  <c r="C643" i="11" s="1"/>
  <c r="D643" i="7"/>
  <c r="D643" i="11" s="1"/>
  <c r="E643" i="7"/>
  <c r="E643" i="11" s="1"/>
  <c r="F643" i="7"/>
  <c r="G643" i="7"/>
  <c r="I643" i="7"/>
  <c r="J643" i="7"/>
  <c r="L643" i="7"/>
  <c r="N643" i="7" s="1"/>
  <c r="F643" i="11" s="1"/>
  <c r="H643" i="11" s="1"/>
  <c r="M643" i="7"/>
  <c r="O643" i="7"/>
  <c r="Q643" i="7" s="1"/>
  <c r="P643" i="7"/>
  <c r="R643" i="7"/>
  <c r="S643" i="7"/>
  <c r="W643" i="7"/>
  <c r="X643" i="7"/>
  <c r="Z643" i="7"/>
  <c r="M643" i="11" s="1"/>
  <c r="A644" i="7"/>
  <c r="A644" i="11" s="1"/>
  <c r="B644" i="7"/>
  <c r="B644" i="11" s="1"/>
  <c r="C644" i="7"/>
  <c r="C644" i="11" s="1"/>
  <c r="D644" i="7"/>
  <c r="D644" i="11" s="1"/>
  <c r="E644" i="7"/>
  <c r="E644" i="11" s="1"/>
  <c r="F644" i="7"/>
  <c r="G644" i="7"/>
  <c r="I644" i="7"/>
  <c r="J644" i="7"/>
  <c r="L644" i="7"/>
  <c r="N644" i="7" s="1"/>
  <c r="F644" i="11" s="1"/>
  <c r="H644" i="11" s="1"/>
  <c r="M644" i="7"/>
  <c r="O644" i="7"/>
  <c r="P644" i="7"/>
  <c r="R644" i="7"/>
  <c r="S644" i="7"/>
  <c r="W644" i="7"/>
  <c r="X644" i="7"/>
  <c r="Z644" i="7"/>
  <c r="M644" i="11" s="1"/>
  <c r="A645" i="7"/>
  <c r="A645" i="11" s="1"/>
  <c r="B645" i="7"/>
  <c r="B645" i="11" s="1"/>
  <c r="C645" i="7"/>
  <c r="C645" i="11" s="1"/>
  <c r="D645" i="7"/>
  <c r="D645" i="11" s="1"/>
  <c r="E645" i="7"/>
  <c r="E645" i="11" s="1"/>
  <c r="F645" i="7"/>
  <c r="G645" i="7"/>
  <c r="I645" i="7"/>
  <c r="J645" i="7"/>
  <c r="L645" i="7"/>
  <c r="N645" i="7" s="1"/>
  <c r="F645" i="11" s="1"/>
  <c r="H645" i="11" s="1"/>
  <c r="M645" i="7"/>
  <c r="O645" i="7"/>
  <c r="P645" i="7"/>
  <c r="R645" i="7"/>
  <c r="S645" i="7"/>
  <c r="W645" i="7"/>
  <c r="X645" i="7"/>
  <c r="Z645" i="7"/>
  <c r="M645" i="11" s="1"/>
  <c r="A646" i="7"/>
  <c r="A646" i="11" s="1"/>
  <c r="B646" i="7"/>
  <c r="B646" i="11" s="1"/>
  <c r="C646" i="7"/>
  <c r="C646" i="11" s="1"/>
  <c r="D646" i="7"/>
  <c r="D646" i="11" s="1"/>
  <c r="E646" i="7"/>
  <c r="E646" i="11" s="1"/>
  <c r="F646" i="7"/>
  <c r="G646" i="7"/>
  <c r="I646" i="7"/>
  <c r="J646" i="7"/>
  <c r="L646" i="7"/>
  <c r="N646" i="7" s="1"/>
  <c r="F646" i="11" s="1"/>
  <c r="H646" i="11" s="1"/>
  <c r="M646" i="7"/>
  <c r="O646" i="7"/>
  <c r="P646" i="7"/>
  <c r="R646" i="7"/>
  <c r="S646" i="7"/>
  <c r="W646" i="7"/>
  <c r="X646" i="7"/>
  <c r="Z646" i="7"/>
  <c r="M646" i="11" s="1"/>
  <c r="A647" i="7"/>
  <c r="A647" i="11" s="1"/>
  <c r="B647" i="7"/>
  <c r="B647" i="11" s="1"/>
  <c r="C647" i="7"/>
  <c r="C647" i="11" s="1"/>
  <c r="D647" i="7"/>
  <c r="D647" i="11" s="1"/>
  <c r="E647" i="7"/>
  <c r="E647" i="11" s="1"/>
  <c r="F647" i="7"/>
  <c r="G647" i="7"/>
  <c r="I647" i="7"/>
  <c r="J647" i="7"/>
  <c r="L647" i="7"/>
  <c r="M647" i="7"/>
  <c r="O647" i="7"/>
  <c r="P647" i="7"/>
  <c r="R647" i="7"/>
  <c r="S647" i="7"/>
  <c r="W647" i="7"/>
  <c r="X647" i="7"/>
  <c r="Z647" i="7"/>
  <c r="M647" i="11" s="1"/>
  <c r="A648" i="7"/>
  <c r="A648" i="11" s="1"/>
  <c r="B648" i="7"/>
  <c r="B648" i="11" s="1"/>
  <c r="C648" i="7"/>
  <c r="C648" i="11" s="1"/>
  <c r="D648" i="7"/>
  <c r="D648" i="11" s="1"/>
  <c r="E648" i="7"/>
  <c r="E648" i="11" s="1"/>
  <c r="F648" i="7"/>
  <c r="G648" i="7"/>
  <c r="I648" i="7"/>
  <c r="J648" i="7"/>
  <c r="L648" i="7"/>
  <c r="N648" i="7" s="1"/>
  <c r="F648" i="11" s="1"/>
  <c r="H648" i="11" s="1"/>
  <c r="M648" i="7"/>
  <c r="O648" i="7"/>
  <c r="P648" i="7"/>
  <c r="R648" i="7"/>
  <c r="S648" i="7"/>
  <c r="W648" i="7"/>
  <c r="X648" i="7"/>
  <c r="Z648" i="7"/>
  <c r="M648" i="11" s="1"/>
  <c r="A649" i="7"/>
  <c r="A649" i="11" s="1"/>
  <c r="B649" i="7"/>
  <c r="B649" i="11" s="1"/>
  <c r="C649" i="7"/>
  <c r="C649" i="11" s="1"/>
  <c r="D649" i="7"/>
  <c r="D649" i="11" s="1"/>
  <c r="E649" i="7"/>
  <c r="E649" i="11" s="1"/>
  <c r="F649" i="7"/>
  <c r="G649" i="7"/>
  <c r="I649" i="7"/>
  <c r="J649" i="7"/>
  <c r="L649" i="7"/>
  <c r="N649" i="7" s="1"/>
  <c r="F649" i="11" s="1"/>
  <c r="H649" i="11" s="1"/>
  <c r="M649" i="7"/>
  <c r="O649" i="7"/>
  <c r="P649" i="7"/>
  <c r="R649" i="7"/>
  <c r="T649" i="7" s="1"/>
  <c r="S649" i="7"/>
  <c r="W649" i="7"/>
  <c r="X649" i="7"/>
  <c r="Z649" i="7"/>
  <c r="M649" i="11" s="1"/>
  <c r="A650" i="7"/>
  <c r="A650" i="11" s="1"/>
  <c r="B650" i="7"/>
  <c r="B650" i="11" s="1"/>
  <c r="C650" i="7"/>
  <c r="C650" i="11" s="1"/>
  <c r="D650" i="7"/>
  <c r="D650" i="11" s="1"/>
  <c r="E650" i="7"/>
  <c r="E650" i="11" s="1"/>
  <c r="F650" i="7"/>
  <c r="G650" i="7"/>
  <c r="I650" i="7"/>
  <c r="J650" i="7"/>
  <c r="L650" i="7"/>
  <c r="M650" i="7"/>
  <c r="O650" i="7"/>
  <c r="P650" i="7"/>
  <c r="R650" i="7"/>
  <c r="S650" i="7"/>
  <c r="W650" i="7"/>
  <c r="X650" i="7"/>
  <c r="Z650" i="7"/>
  <c r="M650" i="11" s="1"/>
  <c r="A651" i="7"/>
  <c r="A651" i="11" s="1"/>
  <c r="B651" i="7"/>
  <c r="B651" i="11" s="1"/>
  <c r="C651" i="7"/>
  <c r="C651" i="11" s="1"/>
  <c r="D651" i="7"/>
  <c r="D651" i="11" s="1"/>
  <c r="E651" i="7"/>
  <c r="E651" i="11" s="1"/>
  <c r="F651" i="7"/>
  <c r="G651" i="7"/>
  <c r="I651" i="7"/>
  <c r="J651" i="7"/>
  <c r="L651" i="7"/>
  <c r="M651" i="7"/>
  <c r="O651" i="7"/>
  <c r="P651" i="7"/>
  <c r="R651" i="7"/>
  <c r="S651" i="7"/>
  <c r="W651" i="7"/>
  <c r="X651" i="7"/>
  <c r="Z651" i="7"/>
  <c r="M651" i="11" s="1"/>
  <c r="A652" i="7"/>
  <c r="A652" i="11" s="1"/>
  <c r="B652" i="7"/>
  <c r="B652" i="11" s="1"/>
  <c r="C652" i="7"/>
  <c r="C652" i="11" s="1"/>
  <c r="D652" i="7"/>
  <c r="D652" i="11" s="1"/>
  <c r="E652" i="7"/>
  <c r="E652" i="11" s="1"/>
  <c r="F652" i="7"/>
  <c r="G652" i="7"/>
  <c r="I652" i="7"/>
  <c r="J652" i="7"/>
  <c r="L652" i="7"/>
  <c r="N652" i="7" s="1"/>
  <c r="F652" i="11" s="1"/>
  <c r="H652" i="11" s="1"/>
  <c r="M652" i="7"/>
  <c r="O652" i="7"/>
  <c r="P652" i="7"/>
  <c r="R652" i="7"/>
  <c r="S652" i="7"/>
  <c r="W652" i="7"/>
  <c r="X652" i="7"/>
  <c r="Z652" i="7"/>
  <c r="M652" i="11" s="1"/>
  <c r="A653" i="7"/>
  <c r="A653" i="11" s="1"/>
  <c r="B653" i="7"/>
  <c r="B653" i="11" s="1"/>
  <c r="C653" i="7"/>
  <c r="C653" i="11" s="1"/>
  <c r="D653" i="7"/>
  <c r="D653" i="11" s="1"/>
  <c r="E653" i="7"/>
  <c r="E653" i="11" s="1"/>
  <c r="F653" i="7"/>
  <c r="G653" i="7"/>
  <c r="I653" i="7"/>
  <c r="J653" i="7"/>
  <c r="L653" i="7"/>
  <c r="N653" i="7" s="1"/>
  <c r="F653" i="11" s="1"/>
  <c r="H653" i="11" s="1"/>
  <c r="M653" i="7"/>
  <c r="O653" i="7"/>
  <c r="P653" i="7"/>
  <c r="R653" i="7"/>
  <c r="S653" i="7"/>
  <c r="W653" i="7"/>
  <c r="X653" i="7"/>
  <c r="Z653" i="7"/>
  <c r="M653" i="11" s="1"/>
  <c r="A654" i="7"/>
  <c r="A654" i="11" s="1"/>
  <c r="B654" i="7"/>
  <c r="B654" i="11" s="1"/>
  <c r="C654" i="7"/>
  <c r="C654" i="11" s="1"/>
  <c r="D654" i="7"/>
  <c r="D654" i="11" s="1"/>
  <c r="E654" i="7"/>
  <c r="E654" i="11" s="1"/>
  <c r="F654" i="7"/>
  <c r="G654" i="7"/>
  <c r="I654" i="7"/>
  <c r="J654" i="7"/>
  <c r="L654" i="7"/>
  <c r="N654" i="7" s="1"/>
  <c r="F654" i="11" s="1"/>
  <c r="H654" i="11" s="1"/>
  <c r="M654" i="7"/>
  <c r="O654" i="7"/>
  <c r="P654" i="7"/>
  <c r="R654" i="7"/>
  <c r="S654" i="7"/>
  <c r="W654" i="7"/>
  <c r="X654" i="7"/>
  <c r="Z654" i="7"/>
  <c r="M654" i="11" s="1"/>
  <c r="A655" i="7"/>
  <c r="A655" i="11" s="1"/>
  <c r="B655" i="7"/>
  <c r="B655" i="11" s="1"/>
  <c r="C655" i="7"/>
  <c r="C655" i="11" s="1"/>
  <c r="D655" i="7"/>
  <c r="D655" i="11" s="1"/>
  <c r="E655" i="7"/>
  <c r="E655" i="11" s="1"/>
  <c r="F655" i="7"/>
  <c r="G655" i="7"/>
  <c r="I655" i="7"/>
  <c r="J655" i="7"/>
  <c r="L655" i="7"/>
  <c r="N655" i="7" s="1"/>
  <c r="F655" i="11" s="1"/>
  <c r="H655" i="11" s="1"/>
  <c r="M655" i="7"/>
  <c r="O655" i="7"/>
  <c r="P655" i="7"/>
  <c r="R655" i="7"/>
  <c r="S655" i="7"/>
  <c r="W655" i="7"/>
  <c r="X655" i="7"/>
  <c r="Z655" i="7"/>
  <c r="M655" i="11" s="1"/>
  <c r="A656" i="7"/>
  <c r="A656" i="11" s="1"/>
  <c r="B656" i="7"/>
  <c r="B656" i="11" s="1"/>
  <c r="C656" i="7"/>
  <c r="C656" i="11" s="1"/>
  <c r="D656" i="7"/>
  <c r="D656" i="11" s="1"/>
  <c r="E656" i="7"/>
  <c r="E656" i="11" s="1"/>
  <c r="F656" i="7"/>
  <c r="G656" i="7"/>
  <c r="I656" i="7"/>
  <c r="J656" i="7"/>
  <c r="L656" i="7"/>
  <c r="M656" i="7"/>
  <c r="O656" i="7"/>
  <c r="P656" i="7"/>
  <c r="R656" i="7"/>
  <c r="S656" i="7"/>
  <c r="W656" i="7"/>
  <c r="X656" i="7"/>
  <c r="Z656" i="7"/>
  <c r="M656" i="11" s="1"/>
  <c r="A657" i="7"/>
  <c r="A657" i="11" s="1"/>
  <c r="B657" i="7"/>
  <c r="B657" i="11" s="1"/>
  <c r="C657" i="7"/>
  <c r="C657" i="11" s="1"/>
  <c r="D657" i="7"/>
  <c r="D657" i="11" s="1"/>
  <c r="E657" i="7"/>
  <c r="E657" i="11" s="1"/>
  <c r="F657" i="7"/>
  <c r="G657" i="7"/>
  <c r="I657" i="7"/>
  <c r="J657" i="7"/>
  <c r="L657" i="7"/>
  <c r="M657" i="7"/>
  <c r="O657" i="7"/>
  <c r="P657" i="7"/>
  <c r="R657" i="7"/>
  <c r="S657" i="7"/>
  <c r="W657" i="7"/>
  <c r="X657" i="7"/>
  <c r="Z657" i="7"/>
  <c r="M657" i="11" s="1"/>
  <c r="A658" i="7"/>
  <c r="A658" i="11" s="1"/>
  <c r="B658" i="7"/>
  <c r="B658" i="11" s="1"/>
  <c r="C658" i="7"/>
  <c r="C658" i="11" s="1"/>
  <c r="D658" i="7"/>
  <c r="D658" i="11" s="1"/>
  <c r="E658" i="7"/>
  <c r="E658" i="11" s="1"/>
  <c r="F658" i="7"/>
  <c r="G658" i="7"/>
  <c r="I658" i="7"/>
  <c r="J658" i="7"/>
  <c r="L658" i="7"/>
  <c r="M658" i="7"/>
  <c r="O658" i="7"/>
  <c r="P658" i="7"/>
  <c r="R658" i="7"/>
  <c r="S658" i="7"/>
  <c r="W658" i="7"/>
  <c r="X658" i="7"/>
  <c r="Z658" i="7"/>
  <c r="M658" i="11" s="1"/>
  <c r="A659" i="7"/>
  <c r="A659" i="11" s="1"/>
  <c r="B659" i="7"/>
  <c r="B659" i="11" s="1"/>
  <c r="C659" i="7"/>
  <c r="C659" i="11" s="1"/>
  <c r="D659" i="7"/>
  <c r="D659" i="11" s="1"/>
  <c r="E659" i="7"/>
  <c r="E659" i="11" s="1"/>
  <c r="F659" i="7"/>
  <c r="G659" i="7"/>
  <c r="I659" i="7"/>
  <c r="J659" i="7"/>
  <c r="L659" i="7"/>
  <c r="M659" i="7"/>
  <c r="O659" i="7"/>
  <c r="P659" i="7"/>
  <c r="R659" i="7"/>
  <c r="S659" i="7"/>
  <c r="W659" i="7"/>
  <c r="X659" i="7"/>
  <c r="Z659" i="7"/>
  <c r="M659" i="11" s="1"/>
  <c r="A660" i="7"/>
  <c r="A660" i="11" s="1"/>
  <c r="B660" i="7"/>
  <c r="B660" i="11" s="1"/>
  <c r="C660" i="7"/>
  <c r="C660" i="11" s="1"/>
  <c r="D660" i="7"/>
  <c r="D660" i="11" s="1"/>
  <c r="E660" i="7"/>
  <c r="E660" i="11" s="1"/>
  <c r="F660" i="7"/>
  <c r="G660" i="7"/>
  <c r="I660" i="7"/>
  <c r="J660" i="7"/>
  <c r="L660" i="7"/>
  <c r="N660" i="7" s="1"/>
  <c r="F660" i="11" s="1"/>
  <c r="H660" i="11" s="1"/>
  <c r="M660" i="7"/>
  <c r="O660" i="7"/>
  <c r="P660" i="7"/>
  <c r="R660" i="7"/>
  <c r="S660" i="7"/>
  <c r="W660" i="7"/>
  <c r="X660" i="7"/>
  <c r="Z660" i="7"/>
  <c r="M660" i="11" s="1"/>
  <c r="A661" i="7"/>
  <c r="A661" i="11" s="1"/>
  <c r="B661" i="7"/>
  <c r="B661" i="11" s="1"/>
  <c r="C661" i="7"/>
  <c r="C661" i="11" s="1"/>
  <c r="D661" i="7"/>
  <c r="D661" i="11" s="1"/>
  <c r="E661" i="7"/>
  <c r="E661" i="11" s="1"/>
  <c r="F661" i="7"/>
  <c r="G661" i="7"/>
  <c r="I661" i="7"/>
  <c r="J661" i="7"/>
  <c r="L661" i="7"/>
  <c r="N661" i="7" s="1"/>
  <c r="F661" i="11" s="1"/>
  <c r="H661" i="11" s="1"/>
  <c r="M661" i="7"/>
  <c r="O661" i="7"/>
  <c r="P661" i="7"/>
  <c r="R661" i="7"/>
  <c r="S661" i="7"/>
  <c r="W661" i="7"/>
  <c r="X661" i="7"/>
  <c r="Z661" i="7"/>
  <c r="M661" i="11" s="1"/>
  <c r="A662" i="7"/>
  <c r="A662" i="11" s="1"/>
  <c r="B662" i="7"/>
  <c r="B662" i="11" s="1"/>
  <c r="C662" i="7"/>
  <c r="C662" i="11" s="1"/>
  <c r="D662" i="7"/>
  <c r="D662" i="11" s="1"/>
  <c r="E662" i="7"/>
  <c r="E662" i="11" s="1"/>
  <c r="F662" i="7"/>
  <c r="G662" i="7"/>
  <c r="I662" i="7"/>
  <c r="J662" i="7"/>
  <c r="L662" i="7"/>
  <c r="M662" i="7"/>
  <c r="O662" i="7"/>
  <c r="P662" i="7"/>
  <c r="R662" i="7"/>
  <c r="S662" i="7"/>
  <c r="W662" i="7"/>
  <c r="X662" i="7"/>
  <c r="Z662" i="7"/>
  <c r="M662" i="11" s="1"/>
  <c r="A663" i="7"/>
  <c r="A663" i="11" s="1"/>
  <c r="B663" i="7"/>
  <c r="B663" i="11" s="1"/>
  <c r="C663" i="7"/>
  <c r="C663" i="11" s="1"/>
  <c r="D663" i="7"/>
  <c r="D663" i="11" s="1"/>
  <c r="E663" i="7"/>
  <c r="E663" i="11" s="1"/>
  <c r="F663" i="7"/>
  <c r="G663" i="7"/>
  <c r="I663" i="7"/>
  <c r="J663" i="7"/>
  <c r="L663" i="7"/>
  <c r="M663" i="7"/>
  <c r="O663" i="7"/>
  <c r="P663" i="7"/>
  <c r="R663" i="7"/>
  <c r="S663" i="7"/>
  <c r="W663" i="7"/>
  <c r="X663" i="7"/>
  <c r="Z663" i="7"/>
  <c r="M663" i="11" s="1"/>
  <c r="A664" i="7"/>
  <c r="A664" i="11" s="1"/>
  <c r="B664" i="7"/>
  <c r="B664" i="11" s="1"/>
  <c r="C664" i="7"/>
  <c r="C664" i="11" s="1"/>
  <c r="D664" i="7"/>
  <c r="D664" i="11" s="1"/>
  <c r="E664" i="7"/>
  <c r="E664" i="11" s="1"/>
  <c r="F664" i="7"/>
  <c r="G664" i="7"/>
  <c r="I664" i="7"/>
  <c r="J664" i="7"/>
  <c r="L664" i="7"/>
  <c r="M664" i="7"/>
  <c r="O664" i="7"/>
  <c r="P664" i="7"/>
  <c r="R664" i="7"/>
  <c r="S664" i="7"/>
  <c r="W664" i="7"/>
  <c r="X664" i="7"/>
  <c r="Z664" i="7"/>
  <c r="M664" i="11" s="1"/>
  <c r="A665" i="7"/>
  <c r="A665" i="11" s="1"/>
  <c r="B665" i="7"/>
  <c r="B665" i="11" s="1"/>
  <c r="C665" i="7"/>
  <c r="C665" i="11" s="1"/>
  <c r="D665" i="7"/>
  <c r="D665" i="11" s="1"/>
  <c r="E665" i="7"/>
  <c r="E665" i="11" s="1"/>
  <c r="F665" i="7"/>
  <c r="G665" i="7"/>
  <c r="I665" i="7"/>
  <c r="J665" i="7"/>
  <c r="L665" i="7"/>
  <c r="M665" i="7"/>
  <c r="O665" i="7"/>
  <c r="P665" i="7"/>
  <c r="R665" i="7"/>
  <c r="S665" i="7"/>
  <c r="W665" i="7"/>
  <c r="X665" i="7"/>
  <c r="Z665" i="7"/>
  <c r="M665" i="11" s="1"/>
  <c r="A666" i="7"/>
  <c r="A666" i="11" s="1"/>
  <c r="B666" i="7"/>
  <c r="B666" i="11" s="1"/>
  <c r="C666" i="7"/>
  <c r="C666" i="11" s="1"/>
  <c r="D666" i="7"/>
  <c r="D666" i="11" s="1"/>
  <c r="E666" i="7"/>
  <c r="E666" i="11" s="1"/>
  <c r="F666" i="7"/>
  <c r="G666" i="7"/>
  <c r="I666" i="7"/>
  <c r="J666" i="7"/>
  <c r="L666" i="7"/>
  <c r="N666" i="7" s="1"/>
  <c r="F666" i="11" s="1"/>
  <c r="H666" i="11" s="1"/>
  <c r="M666" i="7"/>
  <c r="O666" i="7"/>
  <c r="P666" i="7"/>
  <c r="R666" i="7"/>
  <c r="S666" i="7"/>
  <c r="W666" i="7"/>
  <c r="X666" i="7"/>
  <c r="Z666" i="7"/>
  <c r="M666" i="11" s="1"/>
  <c r="A667" i="7"/>
  <c r="A667" i="11" s="1"/>
  <c r="B667" i="7"/>
  <c r="B667" i="11" s="1"/>
  <c r="C667" i="7"/>
  <c r="C667" i="11" s="1"/>
  <c r="D667" i="7"/>
  <c r="D667" i="11" s="1"/>
  <c r="E667" i="7"/>
  <c r="E667" i="11" s="1"/>
  <c r="F667" i="7"/>
  <c r="G667" i="7"/>
  <c r="I667" i="7"/>
  <c r="J667" i="7"/>
  <c r="L667" i="7"/>
  <c r="M667" i="7"/>
  <c r="O667" i="7"/>
  <c r="P667" i="7"/>
  <c r="R667" i="7"/>
  <c r="S667" i="7"/>
  <c r="W667" i="7"/>
  <c r="X667" i="7"/>
  <c r="Z667" i="7"/>
  <c r="M667" i="11" s="1"/>
  <c r="A668" i="7"/>
  <c r="A668" i="11" s="1"/>
  <c r="B668" i="7"/>
  <c r="B668" i="11" s="1"/>
  <c r="C668" i="7"/>
  <c r="C668" i="11" s="1"/>
  <c r="D668" i="7"/>
  <c r="D668" i="11" s="1"/>
  <c r="E668" i="7"/>
  <c r="E668" i="11" s="1"/>
  <c r="F668" i="7"/>
  <c r="G668" i="7"/>
  <c r="I668" i="7"/>
  <c r="J668" i="7"/>
  <c r="L668" i="7"/>
  <c r="N668" i="7" s="1"/>
  <c r="F668" i="11" s="1"/>
  <c r="H668" i="11" s="1"/>
  <c r="M668" i="7"/>
  <c r="O668" i="7"/>
  <c r="P668" i="7"/>
  <c r="R668" i="7"/>
  <c r="S668" i="7"/>
  <c r="W668" i="7"/>
  <c r="X668" i="7"/>
  <c r="Z668" i="7"/>
  <c r="M668" i="11" s="1"/>
  <c r="A669" i="7"/>
  <c r="A669" i="11" s="1"/>
  <c r="B669" i="7"/>
  <c r="B669" i="11" s="1"/>
  <c r="C669" i="7"/>
  <c r="C669" i="11" s="1"/>
  <c r="D669" i="7"/>
  <c r="D669" i="11" s="1"/>
  <c r="E669" i="7"/>
  <c r="E669" i="11" s="1"/>
  <c r="F669" i="7"/>
  <c r="G669" i="7"/>
  <c r="I669" i="7"/>
  <c r="J669" i="7"/>
  <c r="L669" i="7"/>
  <c r="M669" i="7"/>
  <c r="O669" i="7"/>
  <c r="P669" i="7"/>
  <c r="R669" i="7"/>
  <c r="S669" i="7"/>
  <c r="W669" i="7"/>
  <c r="X669" i="7"/>
  <c r="Z669" i="7"/>
  <c r="M669" i="11" s="1"/>
  <c r="A670" i="7"/>
  <c r="A670" i="11" s="1"/>
  <c r="B670" i="7"/>
  <c r="B670" i="11" s="1"/>
  <c r="C670" i="7"/>
  <c r="C670" i="11" s="1"/>
  <c r="D670" i="7"/>
  <c r="D670" i="11" s="1"/>
  <c r="E670" i="7"/>
  <c r="E670" i="11" s="1"/>
  <c r="F670" i="7"/>
  <c r="G670" i="7"/>
  <c r="I670" i="7"/>
  <c r="J670" i="7"/>
  <c r="L670" i="7"/>
  <c r="N670" i="7" s="1"/>
  <c r="F670" i="11" s="1"/>
  <c r="H670" i="11" s="1"/>
  <c r="M670" i="7"/>
  <c r="O670" i="7"/>
  <c r="P670" i="7"/>
  <c r="R670" i="7"/>
  <c r="S670" i="7"/>
  <c r="W670" i="7"/>
  <c r="X670" i="7"/>
  <c r="Z670" i="7"/>
  <c r="M670" i="11" s="1"/>
  <c r="A671" i="7"/>
  <c r="A671" i="11" s="1"/>
  <c r="B671" i="7"/>
  <c r="B671" i="11" s="1"/>
  <c r="C671" i="7"/>
  <c r="C671" i="11" s="1"/>
  <c r="D671" i="7"/>
  <c r="D671" i="11" s="1"/>
  <c r="E671" i="7"/>
  <c r="E671" i="11" s="1"/>
  <c r="F671" i="7"/>
  <c r="G671" i="7"/>
  <c r="I671" i="7"/>
  <c r="J671" i="7"/>
  <c r="L671" i="7"/>
  <c r="N671" i="7" s="1"/>
  <c r="F671" i="11" s="1"/>
  <c r="H671" i="11" s="1"/>
  <c r="M671" i="7"/>
  <c r="O671" i="7"/>
  <c r="P671" i="7"/>
  <c r="R671" i="7"/>
  <c r="S671" i="7"/>
  <c r="W671" i="7"/>
  <c r="X671" i="7"/>
  <c r="Z671" i="7"/>
  <c r="M671" i="11" s="1"/>
  <c r="A672" i="7"/>
  <c r="A672" i="11" s="1"/>
  <c r="B672" i="7"/>
  <c r="B672" i="11" s="1"/>
  <c r="C672" i="7"/>
  <c r="C672" i="11" s="1"/>
  <c r="D672" i="7"/>
  <c r="D672" i="11" s="1"/>
  <c r="E672" i="7"/>
  <c r="E672" i="11" s="1"/>
  <c r="F672" i="7"/>
  <c r="G672" i="7"/>
  <c r="I672" i="7"/>
  <c r="J672" i="7"/>
  <c r="L672" i="7"/>
  <c r="N672" i="7" s="1"/>
  <c r="F672" i="11" s="1"/>
  <c r="H672" i="11" s="1"/>
  <c r="M672" i="7"/>
  <c r="O672" i="7"/>
  <c r="P672" i="7"/>
  <c r="R672" i="7"/>
  <c r="S672" i="7"/>
  <c r="W672" i="7"/>
  <c r="X672" i="7"/>
  <c r="Z672" i="7"/>
  <c r="M672" i="11" s="1"/>
  <c r="A673" i="7"/>
  <c r="A673" i="11" s="1"/>
  <c r="B673" i="7"/>
  <c r="B673" i="11" s="1"/>
  <c r="C673" i="7"/>
  <c r="C673" i="11" s="1"/>
  <c r="D673" i="7"/>
  <c r="D673" i="11" s="1"/>
  <c r="E673" i="7"/>
  <c r="E673" i="11" s="1"/>
  <c r="F673" i="7"/>
  <c r="G673" i="7"/>
  <c r="I673" i="7"/>
  <c r="J673" i="7"/>
  <c r="L673" i="7"/>
  <c r="N673" i="7" s="1"/>
  <c r="F673" i="11" s="1"/>
  <c r="H673" i="11" s="1"/>
  <c r="M673" i="7"/>
  <c r="O673" i="7"/>
  <c r="P673" i="7"/>
  <c r="R673" i="7"/>
  <c r="S673" i="7"/>
  <c r="W673" i="7"/>
  <c r="X673" i="7"/>
  <c r="Z673" i="7"/>
  <c r="M673" i="11" s="1"/>
  <c r="A674" i="7"/>
  <c r="A674" i="11" s="1"/>
  <c r="B674" i="7"/>
  <c r="B674" i="11" s="1"/>
  <c r="C674" i="7"/>
  <c r="C674" i="11" s="1"/>
  <c r="D674" i="7"/>
  <c r="D674" i="11" s="1"/>
  <c r="E674" i="7"/>
  <c r="E674" i="11" s="1"/>
  <c r="F674" i="7"/>
  <c r="G674" i="7"/>
  <c r="I674" i="7"/>
  <c r="J674" i="7"/>
  <c r="L674" i="7"/>
  <c r="M674" i="7"/>
  <c r="O674" i="7"/>
  <c r="P674" i="7"/>
  <c r="R674" i="7"/>
  <c r="S674" i="7"/>
  <c r="W674" i="7"/>
  <c r="X674" i="7"/>
  <c r="Z674" i="7"/>
  <c r="M674" i="11" s="1"/>
  <c r="A675" i="7"/>
  <c r="A675" i="11" s="1"/>
  <c r="B675" i="7"/>
  <c r="B675" i="11" s="1"/>
  <c r="C675" i="7"/>
  <c r="C675" i="11" s="1"/>
  <c r="D675" i="7"/>
  <c r="D675" i="11" s="1"/>
  <c r="E675" i="7"/>
  <c r="E675" i="11" s="1"/>
  <c r="F675" i="7"/>
  <c r="G675" i="7"/>
  <c r="I675" i="7"/>
  <c r="J675" i="7"/>
  <c r="L675" i="7"/>
  <c r="M675" i="7"/>
  <c r="O675" i="7"/>
  <c r="P675" i="7"/>
  <c r="R675" i="7"/>
  <c r="S675" i="7"/>
  <c r="W675" i="7"/>
  <c r="X675" i="7"/>
  <c r="Z675" i="7"/>
  <c r="M675" i="11" s="1"/>
  <c r="A676" i="7"/>
  <c r="A676" i="11" s="1"/>
  <c r="B676" i="7"/>
  <c r="B676" i="11" s="1"/>
  <c r="C676" i="7"/>
  <c r="C676" i="11" s="1"/>
  <c r="D676" i="7"/>
  <c r="D676" i="11" s="1"/>
  <c r="E676" i="7"/>
  <c r="E676" i="11" s="1"/>
  <c r="F676" i="7"/>
  <c r="G676" i="7"/>
  <c r="I676" i="7"/>
  <c r="J676" i="7"/>
  <c r="L676" i="7"/>
  <c r="M676" i="7"/>
  <c r="O676" i="7"/>
  <c r="P676" i="7"/>
  <c r="R676" i="7"/>
  <c r="S676" i="7"/>
  <c r="W676" i="7"/>
  <c r="X676" i="7"/>
  <c r="Z676" i="7"/>
  <c r="M676" i="11" s="1"/>
  <c r="A677" i="7"/>
  <c r="A677" i="11" s="1"/>
  <c r="B677" i="7"/>
  <c r="B677" i="11" s="1"/>
  <c r="C677" i="7"/>
  <c r="C677" i="11" s="1"/>
  <c r="D677" i="7"/>
  <c r="D677" i="11" s="1"/>
  <c r="E677" i="7"/>
  <c r="E677" i="11" s="1"/>
  <c r="F677" i="7"/>
  <c r="G677" i="7"/>
  <c r="I677" i="7"/>
  <c r="J677" i="7"/>
  <c r="L677" i="7"/>
  <c r="M677" i="7"/>
  <c r="O677" i="7"/>
  <c r="P677" i="7"/>
  <c r="R677" i="7"/>
  <c r="S677" i="7"/>
  <c r="W677" i="7"/>
  <c r="X677" i="7"/>
  <c r="Z677" i="7"/>
  <c r="M677" i="11" s="1"/>
  <c r="A678" i="7"/>
  <c r="A678" i="11" s="1"/>
  <c r="B678" i="7"/>
  <c r="B678" i="11" s="1"/>
  <c r="C678" i="7"/>
  <c r="C678" i="11" s="1"/>
  <c r="D678" i="7"/>
  <c r="D678" i="11" s="1"/>
  <c r="E678" i="7"/>
  <c r="E678" i="11" s="1"/>
  <c r="F678" i="7"/>
  <c r="G678" i="7"/>
  <c r="I678" i="7"/>
  <c r="J678" i="7"/>
  <c r="L678" i="7"/>
  <c r="N678" i="7" s="1"/>
  <c r="F678" i="11" s="1"/>
  <c r="H678" i="11" s="1"/>
  <c r="M678" i="7"/>
  <c r="O678" i="7"/>
  <c r="P678" i="7"/>
  <c r="R678" i="7"/>
  <c r="S678" i="7"/>
  <c r="W678" i="7"/>
  <c r="X678" i="7"/>
  <c r="Z678" i="7"/>
  <c r="M678" i="11" s="1"/>
  <c r="A679" i="7"/>
  <c r="A679" i="11" s="1"/>
  <c r="B679" i="7"/>
  <c r="B679" i="11" s="1"/>
  <c r="C679" i="7"/>
  <c r="C679" i="11" s="1"/>
  <c r="D679" i="7"/>
  <c r="D679" i="11" s="1"/>
  <c r="E679" i="7"/>
  <c r="E679" i="11" s="1"/>
  <c r="F679" i="7"/>
  <c r="G679" i="7"/>
  <c r="I679" i="7"/>
  <c r="J679" i="7"/>
  <c r="L679" i="7"/>
  <c r="N679" i="7" s="1"/>
  <c r="F679" i="11" s="1"/>
  <c r="H679" i="11" s="1"/>
  <c r="M679" i="7"/>
  <c r="O679" i="7"/>
  <c r="P679" i="7"/>
  <c r="R679" i="7"/>
  <c r="S679" i="7"/>
  <c r="W679" i="7"/>
  <c r="X679" i="7"/>
  <c r="Z679" i="7"/>
  <c r="M679" i="11" s="1"/>
  <c r="A680" i="7"/>
  <c r="A680" i="11" s="1"/>
  <c r="B680" i="7"/>
  <c r="B680" i="11" s="1"/>
  <c r="C680" i="7"/>
  <c r="C680" i="11" s="1"/>
  <c r="D680" i="7"/>
  <c r="D680" i="11" s="1"/>
  <c r="E680" i="7"/>
  <c r="E680" i="11" s="1"/>
  <c r="F680" i="7"/>
  <c r="G680" i="7"/>
  <c r="I680" i="7"/>
  <c r="J680" i="7"/>
  <c r="L680" i="7"/>
  <c r="N680" i="7" s="1"/>
  <c r="F680" i="11" s="1"/>
  <c r="H680" i="11" s="1"/>
  <c r="M680" i="7"/>
  <c r="O680" i="7"/>
  <c r="P680" i="7"/>
  <c r="R680" i="7"/>
  <c r="S680" i="7"/>
  <c r="W680" i="7"/>
  <c r="X680" i="7"/>
  <c r="Z680" i="7"/>
  <c r="M680" i="11" s="1"/>
  <c r="A681" i="7"/>
  <c r="A681" i="11" s="1"/>
  <c r="B681" i="7"/>
  <c r="B681" i="11" s="1"/>
  <c r="C681" i="7"/>
  <c r="C681" i="11" s="1"/>
  <c r="D681" i="7"/>
  <c r="D681" i="11" s="1"/>
  <c r="E681" i="7"/>
  <c r="E681" i="11" s="1"/>
  <c r="F681" i="7"/>
  <c r="G681" i="7"/>
  <c r="I681" i="7"/>
  <c r="J681" i="7"/>
  <c r="L681" i="7"/>
  <c r="N681" i="7" s="1"/>
  <c r="F681" i="11" s="1"/>
  <c r="H681" i="11" s="1"/>
  <c r="M681" i="7"/>
  <c r="O681" i="7"/>
  <c r="P681" i="7"/>
  <c r="R681" i="7"/>
  <c r="S681" i="7"/>
  <c r="W681" i="7"/>
  <c r="X681" i="7"/>
  <c r="Z681" i="7"/>
  <c r="M681" i="11" s="1"/>
  <c r="A682" i="7"/>
  <c r="A682" i="11" s="1"/>
  <c r="B682" i="7"/>
  <c r="B682" i="11" s="1"/>
  <c r="C682" i="7"/>
  <c r="C682" i="11" s="1"/>
  <c r="D682" i="7"/>
  <c r="D682" i="11" s="1"/>
  <c r="E682" i="7"/>
  <c r="E682" i="11" s="1"/>
  <c r="F682" i="7"/>
  <c r="G682" i="7"/>
  <c r="I682" i="7"/>
  <c r="J682" i="7"/>
  <c r="L682" i="7"/>
  <c r="M682" i="7"/>
  <c r="O682" i="7"/>
  <c r="P682" i="7"/>
  <c r="R682" i="7"/>
  <c r="S682" i="7"/>
  <c r="W682" i="7"/>
  <c r="X682" i="7"/>
  <c r="Z682" i="7"/>
  <c r="M682" i="11" s="1"/>
  <c r="A683" i="7"/>
  <c r="A683" i="11" s="1"/>
  <c r="B683" i="7"/>
  <c r="B683" i="11" s="1"/>
  <c r="C683" i="7"/>
  <c r="C683" i="11" s="1"/>
  <c r="D683" i="7"/>
  <c r="D683" i="11" s="1"/>
  <c r="E683" i="7"/>
  <c r="E683" i="11" s="1"/>
  <c r="F683" i="7"/>
  <c r="G683" i="7"/>
  <c r="I683" i="7"/>
  <c r="J683" i="7"/>
  <c r="L683" i="7"/>
  <c r="N683" i="7" s="1"/>
  <c r="F683" i="11" s="1"/>
  <c r="H683" i="11" s="1"/>
  <c r="M683" i="7"/>
  <c r="O683" i="7"/>
  <c r="P683" i="7"/>
  <c r="R683" i="7"/>
  <c r="S683" i="7"/>
  <c r="W683" i="7"/>
  <c r="X683" i="7"/>
  <c r="Z683" i="7"/>
  <c r="M683" i="11" s="1"/>
  <c r="A684" i="7"/>
  <c r="A684" i="11" s="1"/>
  <c r="B684" i="7"/>
  <c r="B684" i="11" s="1"/>
  <c r="C684" i="7"/>
  <c r="C684" i="11" s="1"/>
  <c r="D684" i="7"/>
  <c r="D684" i="11" s="1"/>
  <c r="E684" i="7"/>
  <c r="E684" i="11" s="1"/>
  <c r="F684" i="7"/>
  <c r="G684" i="7"/>
  <c r="I684" i="7"/>
  <c r="J684" i="7"/>
  <c r="L684" i="7"/>
  <c r="N684" i="7" s="1"/>
  <c r="F684" i="11" s="1"/>
  <c r="H684" i="11" s="1"/>
  <c r="M684" i="7"/>
  <c r="O684" i="7"/>
  <c r="P684" i="7"/>
  <c r="R684" i="7"/>
  <c r="S684" i="7"/>
  <c r="W684" i="7"/>
  <c r="X684" i="7"/>
  <c r="Z684" i="7"/>
  <c r="M684" i="11" s="1"/>
  <c r="A685" i="7"/>
  <c r="A685" i="11" s="1"/>
  <c r="B685" i="7"/>
  <c r="B685" i="11" s="1"/>
  <c r="C685" i="7"/>
  <c r="C685" i="11" s="1"/>
  <c r="D685" i="7"/>
  <c r="D685" i="11" s="1"/>
  <c r="E685" i="7"/>
  <c r="E685" i="11" s="1"/>
  <c r="F685" i="7"/>
  <c r="G685" i="7"/>
  <c r="I685" i="7"/>
  <c r="J685" i="7"/>
  <c r="L685" i="7"/>
  <c r="N685" i="7" s="1"/>
  <c r="F685" i="11" s="1"/>
  <c r="H685" i="11" s="1"/>
  <c r="M685" i="7"/>
  <c r="O685" i="7"/>
  <c r="P685" i="7"/>
  <c r="R685" i="7"/>
  <c r="S685" i="7"/>
  <c r="W685" i="7"/>
  <c r="X685" i="7"/>
  <c r="Z685" i="7"/>
  <c r="M685" i="11" s="1"/>
  <c r="A686" i="7"/>
  <c r="A686" i="11" s="1"/>
  <c r="B686" i="7"/>
  <c r="B686" i="11" s="1"/>
  <c r="C686" i="7"/>
  <c r="C686" i="11" s="1"/>
  <c r="D686" i="7"/>
  <c r="D686" i="11" s="1"/>
  <c r="E686" i="7"/>
  <c r="E686" i="11" s="1"/>
  <c r="F686" i="7"/>
  <c r="G686" i="7"/>
  <c r="I686" i="7"/>
  <c r="J686" i="7"/>
  <c r="L686" i="7"/>
  <c r="M686" i="7"/>
  <c r="O686" i="7"/>
  <c r="P686" i="7"/>
  <c r="R686" i="7"/>
  <c r="S686" i="7"/>
  <c r="W686" i="7"/>
  <c r="X686" i="7"/>
  <c r="Z686" i="7"/>
  <c r="M686" i="11" s="1"/>
  <c r="A687" i="7"/>
  <c r="A687" i="11" s="1"/>
  <c r="B687" i="7"/>
  <c r="B687" i="11" s="1"/>
  <c r="C687" i="7"/>
  <c r="C687" i="11" s="1"/>
  <c r="D687" i="7"/>
  <c r="D687" i="11" s="1"/>
  <c r="E687" i="7"/>
  <c r="E687" i="11" s="1"/>
  <c r="F687" i="7"/>
  <c r="G687" i="7"/>
  <c r="I687" i="7"/>
  <c r="J687" i="7"/>
  <c r="L687" i="7"/>
  <c r="N687" i="7" s="1"/>
  <c r="F687" i="11" s="1"/>
  <c r="H687" i="11" s="1"/>
  <c r="M687" i="7"/>
  <c r="O687" i="7"/>
  <c r="P687" i="7"/>
  <c r="R687" i="7"/>
  <c r="S687" i="7"/>
  <c r="W687" i="7"/>
  <c r="X687" i="7"/>
  <c r="Z687" i="7"/>
  <c r="M687" i="11" s="1"/>
  <c r="A688" i="7"/>
  <c r="A688" i="11" s="1"/>
  <c r="B688" i="7"/>
  <c r="B688" i="11" s="1"/>
  <c r="C688" i="7"/>
  <c r="C688" i="11" s="1"/>
  <c r="D688" i="7"/>
  <c r="D688" i="11" s="1"/>
  <c r="E688" i="7"/>
  <c r="E688" i="11" s="1"/>
  <c r="F688" i="7"/>
  <c r="G688" i="7"/>
  <c r="I688" i="7"/>
  <c r="J688" i="7"/>
  <c r="L688" i="7"/>
  <c r="M688" i="7"/>
  <c r="O688" i="7"/>
  <c r="P688" i="7"/>
  <c r="R688" i="7"/>
  <c r="S688" i="7"/>
  <c r="W688" i="7"/>
  <c r="X688" i="7"/>
  <c r="Z688" i="7"/>
  <c r="M688" i="11" s="1"/>
  <c r="A689" i="7"/>
  <c r="A689" i="11" s="1"/>
  <c r="B689" i="7"/>
  <c r="B689" i="11" s="1"/>
  <c r="C689" i="7"/>
  <c r="C689" i="11" s="1"/>
  <c r="D689" i="7"/>
  <c r="D689" i="11" s="1"/>
  <c r="E689" i="7"/>
  <c r="E689" i="11" s="1"/>
  <c r="F689" i="7"/>
  <c r="G689" i="7"/>
  <c r="I689" i="7"/>
  <c r="J689" i="7"/>
  <c r="L689" i="7"/>
  <c r="M689" i="7"/>
  <c r="O689" i="7"/>
  <c r="P689" i="7"/>
  <c r="R689" i="7"/>
  <c r="S689" i="7"/>
  <c r="W689" i="7"/>
  <c r="X689" i="7"/>
  <c r="Z689" i="7"/>
  <c r="M689" i="11" s="1"/>
  <c r="A690" i="7"/>
  <c r="A690" i="11" s="1"/>
  <c r="B690" i="7"/>
  <c r="B690" i="11" s="1"/>
  <c r="C690" i="7"/>
  <c r="C690" i="11" s="1"/>
  <c r="D690" i="7"/>
  <c r="D690" i="11" s="1"/>
  <c r="E690" i="7"/>
  <c r="E690" i="11" s="1"/>
  <c r="F690" i="7"/>
  <c r="G690" i="7"/>
  <c r="I690" i="7"/>
  <c r="J690" i="7"/>
  <c r="L690" i="7"/>
  <c r="M690" i="7"/>
  <c r="O690" i="7"/>
  <c r="P690" i="7"/>
  <c r="R690" i="7"/>
  <c r="S690" i="7"/>
  <c r="W690" i="7"/>
  <c r="X690" i="7"/>
  <c r="Z690" i="7"/>
  <c r="M690" i="11" s="1"/>
  <c r="A691" i="7"/>
  <c r="A691" i="11" s="1"/>
  <c r="B691" i="7"/>
  <c r="B691" i="11" s="1"/>
  <c r="C691" i="7"/>
  <c r="C691" i="11" s="1"/>
  <c r="D691" i="7"/>
  <c r="D691" i="11" s="1"/>
  <c r="E691" i="7"/>
  <c r="E691" i="11" s="1"/>
  <c r="F691" i="7"/>
  <c r="G691" i="7"/>
  <c r="I691" i="7"/>
  <c r="J691" i="7"/>
  <c r="L691" i="7"/>
  <c r="M691" i="7"/>
  <c r="O691" i="7"/>
  <c r="P691" i="7"/>
  <c r="R691" i="7"/>
  <c r="S691" i="7"/>
  <c r="W691" i="7"/>
  <c r="X691" i="7"/>
  <c r="Z691" i="7"/>
  <c r="M691" i="11" s="1"/>
  <c r="A692" i="7"/>
  <c r="A692" i="11" s="1"/>
  <c r="B692" i="7"/>
  <c r="B692" i="11" s="1"/>
  <c r="C692" i="7"/>
  <c r="C692" i="11" s="1"/>
  <c r="D692" i="7"/>
  <c r="D692" i="11" s="1"/>
  <c r="E692" i="7"/>
  <c r="E692" i="11" s="1"/>
  <c r="F692" i="7"/>
  <c r="G692" i="7"/>
  <c r="I692" i="7"/>
  <c r="J692" i="7"/>
  <c r="L692" i="7"/>
  <c r="N692" i="7" s="1"/>
  <c r="F692" i="11" s="1"/>
  <c r="H692" i="11" s="1"/>
  <c r="M692" i="7"/>
  <c r="O692" i="7"/>
  <c r="P692" i="7"/>
  <c r="R692" i="7"/>
  <c r="S692" i="7"/>
  <c r="W692" i="7"/>
  <c r="X692" i="7"/>
  <c r="Z692" i="7"/>
  <c r="M692" i="11" s="1"/>
  <c r="A693" i="7"/>
  <c r="A693" i="11" s="1"/>
  <c r="B693" i="7"/>
  <c r="B693" i="11" s="1"/>
  <c r="C693" i="7"/>
  <c r="C693" i="11" s="1"/>
  <c r="D693" i="7"/>
  <c r="D693" i="11" s="1"/>
  <c r="E693" i="7"/>
  <c r="E693" i="11" s="1"/>
  <c r="F693" i="7"/>
  <c r="G693" i="7"/>
  <c r="I693" i="7"/>
  <c r="J693" i="7"/>
  <c r="L693" i="7"/>
  <c r="M693" i="7"/>
  <c r="O693" i="7"/>
  <c r="P693" i="7"/>
  <c r="R693" i="7"/>
  <c r="S693" i="7"/>
  <c r="W693" i="7"/>
  <c r="X693" i="7"/>
  <c r="Z693" i="7"/>
  <c r="M693" i="11" s="1"/>
  <c r="A694" i="7"/>
  <c r="A694" i="11" s="1"/>
  <c r="B694" i="7"/>
  <c r="B694" i="11" s="1"/>
  <c r="C694" i="7"/>
  <c r="C694" i="11" s="1"/>
  <c r="D694" i="7"/>
  <c r="D694" i="11" s="1"/>
  <c r="E694" i="7"/>
  <c r="E694" i="11" s="1"/>
  <c r="F694" i="7"/>
  <c r="G694" i="7"/>
  <c r="I694" i="7"/>
  <c r="J694" i="7"/>
  <c r="L694" i="7"/>
  <c r="M694" i="7"/>
  <c r="O694" i="7"/>
  <c r="P694" i="7"/>
  <c r="R694" i="7"/>
  <c r="S694" i="7"/>
  <c r="W694" i="7"/>
  <c r="X694" i="7"/>
  <c r="Z694" i="7"/>
  <c r="M694" i="11" s="1"/>
  <c r="A695" i="7"/>
  <c r="A695" i="11" s="1"/>
  <c r="B695" i="7"/>
  <c r="B695" i="11" s="1"/>
  <c r="C695" i="7"/>
  <c r="C695" i="11" s="1"/>
  <c r="D695" i="7"/>
  <c r="D695" i="11" s="1"/>
  <c r="E695" i="7"/>
  <c r="E695" i="11" s="1"/>
  <c r="F695" i="7"/>
  <c r="G695" i="7"/>
  <c r="I695" i="7"/>
  <c r="J695" i="7"/>
  <c r="L695" i="7"/>
  <c r="N695" i="7" s="1"/>
  <c r="F695" i="11" s="1"/>
  <c r="H695" i="11" s="1"/>
  <c r="M695" i="7"/>
  <c r="O695" i="7"/>
  <c r="P695" i="7"/>
  <c r="R695" i="7"/>
  <c r="S695" i="7"/>
  <c r="W695" i="7"/>
  <c r="X695" i="7"/>
  <c r="Z695" i="7"/>
  <c r="M695" i="11" s="1"/>
  <c r="A696" i="7"/>
  <c r="A696" i="11" s="1"/>
  <c r="B696" i="7"/>
  <c r="B696" i="11" s="1"/>
  <c r="C696" i="7"/>
  <c r="C696" i="11" s="1"/>
  <c r="D696" i="7"/>
  <c r="D696" i="11" s="1"/>
  <c r="E696" i="7"/>
  <c r="E696" i="11" s="1"/>
  <c r="F696" i="7"/>
  <c r="G696" i="7"/>
  <c r="I696" i="7"/>
  <c r="J696" i="7"/>
  <c r="L696" i="7"/>
  <c r="N696" i="7" s="1"/>
  <c r="F696" i="11" s="1"/>
  <c r="H696" i="11" s="1"/>
  <c r="M696" i="7"/>
  <c r="O696" i="7"/>
  <c r="P696" i="7"/>
  <c r="R696" i="7"/>
  <c r="S696" i="7"/>
  <c r="W696" i="7"/>
  <c r="X696" i="7"/>
  <c r="Z696" i="7"/>
  <c r="M696" i="11" s="1"/>
  <c r="A697" i="7"/>
  <c r="A697" i="11" s="1"/>
  <c r="B697" i="7"/>
  <c r="B697" i="11" s="1"/>
  <c r="C697" i="7"/>
  <c r="C697" i="11" s="1"/>
  <c r="D697" i="7"/>
  <c r="D697" i="11" s="1"/>
  <c r="E697" i="7"/>
  <c r="E697" i="11" s="1"/>
  <c r="F697" i="7"/>
  <c r="G697" i="7"/>
  <c r="I697" i="7"/>
  <c r="J697" i="7"/>
  <c r="L697" i="7"/>
  <c r="N697" i="7" s="1"/>
  <c r="F697" i="11" s="1"/>
  <c r="H697" i="11" s="1"/>
  <c r="M697" i="7"/>
  <c r="O697" i="7"/>
  <c r="P697" i="7"/>
  <c r="R697" i="7"/>
  <c r="S697" i="7"/>
  <c r="W697" i="7"/>
  <c r="X697" i="7"/>
  <c r="Z697" i="7"/>
  <c r="M697" i="11" s="1"/>
  <c r="A698" i="7"/>
  <c r="A698" i="11" s="1"/>
  <c r="B698" i="7"/>
  <c r="B698" i="11" s="1"/>
  <c r="C698" i="7"/>
  <c r="C698" i="11" s="1"/>
  <c r="D698" i="7"/>
  <c r="D698" i="11" s="1"/>
  <c r="E698" i="7"/>
  <c r="E698" i="11" s="1"/>
  <c r="F698" i="7"/>
  <c r="G698" i="7"/>
  <c r="I698" i="7"/>
  <c r="J698" i="7"/>
  <c r="L698" i="7"/>
  <c r="M698" i="7"/>
  <c r="O698" i="7"/>
  <c r="P698" i="7"/>
  <c r="R698" i="7"/>
  <c r="S698" i="7"/>
  <c r="W698" i="7"/>
  <c r="X698" i="7"/>
  <c r="Z698" i="7"/>
  <c r="M698" i="11" s="1"/>
  <c r="A699" i="7"/>
  <c r="A699" i="11" s="1"/>
  <c r="B699" i="7"/>
  <c r="B699" i="11" s="1"/>
  <c r="C699" i="7"/>
  <c r="C699" i="11" s="1"/>
  <c r="D699" i="7"/>
  <c r="D699" i="11" s="1"/>
  <c r="E699" i="7"/>
  <c r="E699" i="11" s="1"/>
  <c r="F699" i="7"/>
  <c r="G699" i="7"/>
  <c r="I699" i="7"/>
  <c r="J699" i="7"/>
  <c r="L699" i="7"/>
  <c r="N699" i="7" s="1"/>
  <c r="F699" i="11" s="1"/>
  <c r="H699" i="11" s="1"/>
  <c r="M699" i="7"/>
  <c r="O699" i="7"/>
  <c r="P699" i="7"/>
  <c r="R699" i="7"/>
  <c r="S699" i="7"/>
  <c r="W699" i="7"/>
  <c r="X699" i="7"/>
  <c r="Z699" i="7"/>
  <c r="M699" i="11" s="1"/>
  <c r="A700" i="7"/>
  <c r="A700" i="11" s="1"/>
  <c r="B700" i="7"/>
  <c r="B700" i="11" s="1"/>
  <c r="C700" i="7"/>
  <c r="C700" i="11" s="1"/>
  <c r="D700" i="7"/>
  <c r="D700" i="11" s="1"/>
  <c r="E700" i="7"/>
  <c r="E700" i="11" s="1"/>
  <c r="F700" i="7"/>
  <c r="G700" i="7"/>
  <c r="I700" i="7"/>
  <c r="J700" i="7"/>
  <c r="L700" i="7"/>
  <c r="N700" i="7" s="1"/>
  <c r="F700" i="11" s="1"/>
  <c r="H700" i="11" s="1"/>
  <c r="M700" i="7"/>
  <c r="O700" i="7"/>
  <c r="P700" i="7"/>
  <c r="R700" i="7"/>
  <c r="S700" i="7"/>
  <c r="W700" i="7"/>
  <c r="X700" i="7"/>
  <c r="Z700" i="7"/>
  <c r="M700" i="11" s="1"/>
  <c r="A701" i="7"/>
  <c r="A701" i="11" s="1"/>
  <c r="B701" i="7"/>
  <c r="B701" i="11" s="1"/>
  <c r="C701" i="7"/>
  <c r="C701" i="11" s="1"/>
  <c r="D701" i="7"/>
  <c r="D701" i="11" s="1"/>
  <c r="E701" i="7"/>
  <c r="E701" i="11" s="1"/>
  <c r="F701" i="7"/>
  <c r="G701" i="7"/>
  <c r="I701" i="7"/>
  <c r="J701" i="7"/>
  <c r="L701" i="7"/>
  <c r="M701" i="7"/>
  <c r="O701" i="7"/>
  <c r="P701" i="7"/>
  <c r="R701" i="7"/>
  <c r="S701" i="7"/>
  <c r="W701" i="7"/>
  <c r="X701" i="7"/>
  <c r="Z701" i="7"/>
  <c r="M701" i="11" s="1"/>
  <c r="A702" i="7"/>
  <c r="A702" i="11" s="1"/>
  <c r="B702" i="7"/>
  <c r="B702" i="11" s="1"/>
  <c r="C702" i="7"/>
  <c r="C702" i="11" s="1"/>
  <c r="D702" i="7"/>
  <c r="D702" i="11" s="1"/>
  <c r="E702" i="7"/>
  <c r="E702" i="11" s="1"/>
  <c r="F702" i="7"/>
  <c r="G702" i="7"/>
  <c r="I702" i="7"/>
  <c r="J702" i="7"/>
  <c r="L702" i="7"/>
  <c r="M702" i="7"/>
  <c r="O702" i="7"/>
  <c r="P702" i="7"/>
  <c r="R702" i="7"/>
  <c r="S702" i="7"/>
  <c r="W702" i="7"/>
  <c r="X702" i="7"/>
  <c r="Z702" i="7"/>
  <c r="M702" i="11" s="1"/>
  <c r="A703" i="7"/>
  <c r="A703" i="11" s="1"/>
  <c r="B703" i="7"/>
  <c r="B703" i="11" s="1"/>
  <c r="C703" i="7"/>
  <c r="C703" i="11" s="1"/>
  <c r="D703" i="7"/>
  <c r="D703" i="11" s="1"/>
  <c r="E703" i="7"/>
  <c r="E703" i="11" s="1"/>
  <c r="F703" i="7"/>
  <c r="G703" i="7"/>
  <c r="I703" i="7"/>
  <c r="J703" i="7"/>
  <c r="L703" i="7"/>
  <c r="M703" i="7"/>
  <c r="O703" i="7"/>
  <c r="P703" i="7"/>
  <c r="R703" i="7"/>
  <c r="S703" i="7"/>
  <c r="W703" i="7"/>
  <c r="X703" i="7"/>
  <c r="Z703" i="7"/>
  <c r="M703" i="11" s="1"/>
  <c r="A704" i="7"/>
  <c r="A704" i="11" s="1"/>
  <c r="B704" i="7"/>
  <c r="B704" i="11" s="1"/>
  <c r="C704" i="7"/>
  <c r="C704" i="11" s="1"/>
  <c r="D704" i="7"/>
  <c r="D704" i="11" s="1"/>
  <c r="E704" i="7"/>
  <c r="E704" i="11" s="1"/>
  <c r="F704" i="7"/>
  <c r="G704" i="7"/>
  <c r="I704" i="7"/>
  <c r="J704" i="7"/>
  <c r="L704" i="7"/>
  <c r="M704" i="7"/>
  <c r="O704" i="7"/>
  <c r="P704" i="7"/>
  <c r="R704" i="7"/>
  <c r="S704" i="7"/>
  <c r="W704" i="7"/>
  <c r="X704" i="7"/>
  <c r="Z704" i="7"/>
  <c r="M704" i="11" s="1"/>
  <c r="A705" i="7"/>
  <c r="A705" i="11" s="1"/>
  <c r="B705" i="7"/>
  <c r="B705" i="11" s="1"/>
  <c r="C705" i="7"/>
  <c r="C705" i="11" s="1"/>
  <c r="D705" i="7"/>
  <c r="D705" i="11" s="1"/>
  <c r="E705" i="7"/>
  <c r="E705" i="11" s="1"/>
  <c r="F705" i="7"/>
  <c r="G705" i="7"/>
  <c r="I705" i="7"/>
  <c r="J705" i="7"/>
  <c r="L705" i="7"/>
  <c r="M705" i="7"/>
  <c r="O705" i="7"/>
  <c r="P705" i="7"/>
  <c r="R705" i="7"/>
  <c r="S705" i="7"/>
  <c r="W705" i="7"/>
  <c r="X705" i="7"/>
  <c r="Z705" i="7"/>
  <c r="M705" i="11" s="1"/>
  <c r="A706" i="7"/>
  <c r="A706" i="11" s="1"/>
  <c r="B706" i="7"/>
  <c r="B706" i="11" s="1"/>
  <c r="C706" i="7"/>
  <c r="C706" i="11" s="1"/>
  <c r="D706" i="7"/>
  <c r="D706" i="11" s="1"/>
  <c r="E706" i="7"/>
  <c r="E706" i="11" s="1"/>
  <c r="F706" i="7"/>
  <c r="G706" i="7"/>
  <c r="I706" i="7"/>
  <c r="J706" i="7"/>
  <c r="L706" i="7"/>
  <c r="N706" i="7" s="1"/>
  <c r="F706" i="11" s="1"/>
  <c r="H706" i="11" s="1"/>
  <c r="M706" i="7"/>
  <c r="O706" i="7"/>
  <c r="P706" i="7"/>
  <c r="R706" i="7"/>
  <c r="S706" i="7"/>
  <c r="W706" i="7"/>
  <c r="X706" i="7"/>
  <c r="Z706" i="7"/>
  <c r="M706" i="11" s="1"/>
  <c r="A707" i="7"/>
  <c r="A707" i="11" s="1"/>
  <c r="B707" i="7"/>
  <c r="B707" i="11" s="1"/>
  <c r="C707" i="7"/>
  <c r="C707" i="11" s="1"/>
  <c r="D707" i="7"/>
  <c r="D707" i="11" s="1"/>
  <c r="E707" i="7"/>
  <c r="E707" i="11" s="1"/>
  <c r="F707" i="7"/>
  <c r="G707" i="7"/>
  <c r="I707" i="7"/>
  <c r="J707" i="7"/>
  <c r="L707" i="7"/>
  <c r="M707" i="7"/>
  <c r="O707" i="7"/>
  <c r="P707" i="7"/>
  <c r="R707" i="7"/>
  <c r="S707" i="7"/>
  <c r="W707" i="7"/>
  <c r="X707" i="7"/>
  <c r="Z707" i="7"/>
  <c r="M707" i="11" s="1"/>
  <c r="A708" i="7"/>
  <c r="A708" i="11" s="1"/>
  <c r="B708" i="7"/>
  <c r="B708" i="11" s="1"/>
  <c r="C708" i="7"/>
  <c r="C708" i="11" s="1"/>
  <c r="D708" i="7"/>
  <c r="D708" i="11" s="1"/>
  <c r="E708" i="7"/>
  <c r="E708" i="11" s="1"/>
  <c r="F708" i="7"/>
  <c r="G708" i="7"/>
  <c r="I708" i="7"/>
  <c r="J708" i="7"/>
  <c r="L708" i="7"/>
  <c r="M708" i="7"/>
  <c r="O708" i="7"/>
  <c r="P708" i="7"/>
  <c r="R708" i="7"/>
  <c r="S708" i="7"/>
  <c r="W708" i="7"/>
  <c r="X708" i="7"/>
  <c r="Z708" i="7"/>
  <c r="M708" i="11" s="1"/>
  <c r="A709" i="7"/>
  <c r="A709" i="11" s="1"/>
  <c r="B709" i="7"/>
  <c r="B709" i="11" s="1"/>
  <c r="C709" i="7"/>
  <c r="C709" i="11" s="1"/>
  <c r="D709" i="7"/>
  <c r="D709" i="11" s="1"/>
  <c r="E709" i="7"/>
  <c r="E709" i="11" s="1"/>
  <c r="F709" i="7"/>
  <c r="G709" i="7"/>
  <c r="I709" i="7"/>
  <c r="J709" i="7"/>
  <c r="L709" i="7"/>
  <c r="N709" i="7" s="1"/>
  <c r="F709" i="11" s="1"/>
  <c r="H709" i="11" s="1"/>
  <c r="M709" i="7"/>
  <c r="O709" i="7"/>
  <c r="P709" i="7"/>
  <c r="R709" i="7"/>
  <c r="S709" i="7"/>
  <c r="W709" i="7"/>
  <c r="X709" i="7"/>
  <c r="Z709" i="7"/>
  <c r="M709" i="11" s="1"/>
  <c r="A710" i="7"/>
  <c r="A710" i="11" s="1"/>
  <c r="B710" i="7"/>
  <c r="B710" i="11" s="1"/>
  <c r="C710" i="7"/>
  <c r="C710" i="11" s="1"/>
  <c r="D710" i="7"/>
  <c r="D710" i="11" s="1"/>
  <c r="E710" i="7"/>
  <c r="E710" i="11" s="1"/>
  <c r="F710" i="7"/>
  <c r="G710" i="7"/>
  <c r="I710" i="7"/>
  <c r="J710" i="7"/>
  <c r="L710" i="7"/>
  <c r="M710" i="7"/>
  <c r="O710" i="7"/>
  <c r="P710" i="7"/>
  <c r="R710" i="7"/>
  <c r="S710" i="7"/>
  <c r="W710" i="7"/>
  <c r="X710" i="7"/>
  <c r="Z710" i="7"/>
  <c r="M710" i="11" s="1"/>
  <c r="A711" i="7"/>
  <c r="A711" i="11" s="1"/>
  <c r="B711" i="7"/>
  <c r="B711" i="11" s="1"/>
  <c r="C711" i="7"/>
  <c r="C711" i="11" s="1"/>
  <c r="D711" i="7"/>
  <c r="D711" i="11" s="1"/>
  <c r="E711" i="7"/>
  <c r="E711" i="11" s="1"/>
  <c r="F711" i="7"/>
  <c r="G711" i="7"/>
  <c r="I711" i="7"/>
  <c r="J711" i="7"/>
  <c r="L711" i="7"/>
  <c r="N711" i="7" s="1"/>
  <c r="F711" i="11" s="1"/>
  <c r="H711" i="11" s="1"/>
  <c r="M711" i="7"/>
  <c r="O711" i="7"/>
  <c r="P711" i="7"/>
  <c r="R711" i="7"/>
  <c r="S711" i="7"/>
  <c r="W711" i="7"/>
  <c r="X711" i="7"/>
  <c r="Z711" i="7"/>
  <c r="M711" i="11" s="1"/>
  <c r="A712" i="7"/>
  <c r="A712" i="11" s="1"/>
  <c r="B712" i="7"/>
  <c r="B712" i="11" s="1"/>
  <c r="C712" i="7"/>
  <c r="C712" i="11" s="1"/>
  <c r="D712" i="7"/>
  <c r="D712" i="11" s="1"/>
  <c r="E712" i="7"/>
  <c r="E712" i="11" s="1"/>
  <c r="F712" i="7"/>
  <c r="G712" i="7"/>
  <c r="I712" i="7"/>
  <c r="J712" i="7"/>
  <c r="L712" i="7"/>
  <c r="N712" i="7" s="1"/>
  <c r="F712" i="11" s="1"/>
  <c r="H712" i="11" s="1"/>
  <c r="M712" i="7"/>
  <c r="O712" i="7"/>
  <c r="P712" i="7"/>
  <c r="R712" i="7"/>
  <c r="S712" i="7"/>
  <c r="W712" i="7"/>
  <c r="X712" i="7"/>
  <c r="Z712" i="7"/>
  <c r="M712" i="11" s="1"/>
  <c r="A713" i="7"/>
  <c r="A713" i="11" s="1"/>
  <c r="B713" i="7"/>
  <c r="B713" i="11" s="1"/>
  <c r="C713" i="7"/>
  <c r="C713" i="11" s="1"/>
  <c r="D713" i="7"/>
  <c r="D713" i="11" s="1"/>
  <c r="E713" i="7"/>
  <c r="E713" i="11" s="1"/>
  <c r="F713" i="7"/>
  <c r="G713" i="7"/>
  <c r="I713" i="7"/>
  <c r="J713" i="7"/>
  <c r="L713" i="7"/>
  <c r="N713" i="7" s="1"/>
  <c r="F713" i="11" s="1"/>
  <c r="H713" i="11" s="1"/>
  <c r="M713" i="7"/>
  <c r="O713" i="7"/>
  <c r="P713" i="7"/>
  <c r="R713" i="7"/>
  <c r="S713" i="7"/>
  <c r="W713" i="7"/>
  <c r="X713" i="7"/>
  <c r="Z713" i="7"/>
  <c r="M713" i="11" s="1"/>
  <c r="A714" i="7"/>
  <c r="A714" i="11" s="1"/>
  <c r="B714" i="7"/>
  <c r="B714" i="11" s="1"/>
  <c r="C714" i="7"/>
  <c r="C714" i="11" s="1"/>
  <c r="D714" i="7"/>
  <c r="D714" i="11" s="1"/>
  <c r="E714" i="7"/>
  <c r="E714" i="11" s="1"/>
  <c r="F714" i="7"/>
  <c r="G714" i="7"/>
  <c r="I714" i="7"/>
  <c r="J714" i="7"/>
  <c r="L714" i="7"/>
  <c r="N714" i="7" s="1"/>
  <c r="F714" i="11" s="1"/>
  <c r="H714" i="11" s="1"/>
  <c r="M714" i="7"/>
  <c r="O714" i="7"/>
  <c r="P714" i="7"/>
  <c r="R714" i="7"/>
  <c r="S714" i="7"/>
  <c r="W714" i="7"/>
  <c r="X714" i="7"/>
  <c r="Z714" i="7"/>
  <c r="M714" i="11" s="1"/>
  <c r="A715" i="7"/>
  <c r="A715" i="11" s="1"/>
  <c r="B715" i="7"/>
  <c r="B715" i="11" s="1"/>
  <c r="C715" i="7"/>
  <c r="C715" i="11" s="1"/>
  <c r="D715" i="7"/>
  <c r="D715" i="11" s="1"/>
  <c r="E715" i="7"/>
  <c r="E715" i="11" s="1"/>
  <c r="F715" i="7"/>
  <c r="G715" i="7"/>
  <c r="I715" i="7"/>
  <c r="J715" i="7"/>
  <c r="L715" i="7"/>
  <c r="M715" i="7"/>
  <c r="O715" i="7"/>
  <c r="P715" i="7"/>
  <c r="R715" i="7"/>
  <c r="S715" i="7"/>
  <c r="W715" i="7"/>
  <c r="X715" i="7"/>
  <c r="Z715" i="7"/>
  <c r="M715" i="11" s="1"/>
  <c r="A716" i="7"/>
  <c r="A716" i="11" s="1"/>
  <c r="B716" i="7"/>
  <c r="B716" i="11" s="1"/>
  <c r="C716" i="7"/>
  <c r="C716" i="11" s="1"/>
  <c r="D716" i="7"/>
  <c r="D716" i="11" s="1"/>
  <c r="E716" i="7"/>
  <c r="E716" i="11" s="1"/>
  <c r="F716" i="7"/>
  <c r="G716" i="7"/>
  <c r="I716" i="7"/>
  <c r="J716" i="7"/>
  <c r="L716" i="7"/>
  <c r="M716" i="7"/>
  <c r="O716" i="7"/>
  <c r="P716" i="7"/>
  <c r="R716" i="7"/>
  <c r="S716" i="7"/>
  <c r="W716" i="7"/>
  <c r="X716" i="7"/>
  <c r="Z716" i="7"/>
  <c r="M716" i="11" s="1"/>
  <c r="A717" i="7"/>
  <c r="A717" i="11" s="1"/>
  <c r="B717" i="7"/>
  <c r="B717" i="11" s="1"/>
  <c r="C717" i="7"/>
  <c r="C717" i="11" s="1"/>
  <c r="D717" i="7"/>
  <c r="D717" i="11" s="1"/>
  <c r="E717" i="7"/>
  <c r="E717" i="11" s="1"/>
  <c r="F717" i="7"/>
  <c r="G717" i="7"/>
  <c r="I717" i="7"/>
  <c r="J717" i="7"/>
  <c r="L717" i="7"/>
  <c r="M717" i="7"/>
  <c r="O717" i="7"/>
  <c r="P717" i="7"/>
  <c r="R717" i="7"/>
  <c r="S717" i="7"/>
  <c r="W717" i="7"/>
  <c r="X717" i="7"/>
  <c r="Z717" i="7"/>
  <c r="M717" i="11" s="1"/>
  <c r="A718" i="7"/>
  <c r="A718" i="11" s="1"/>
  <c r="B718" i="7"/>
  <c r="B718" i="11" s="1"/>
  <c r="C718" i="7"/>
  <c r="C718" i="11" s="1"/>
  <c r="D718" i="7"/>
  <c r="D718" i="11" s="1"/>
  <c r="E718" i="7"/>
  <c r="E718" i="11" s="1"/>
  <c r="F718" i="7"/>
  <c r="G718" i="7"/>
  <c r="I718" i="7"/>
  <c r="J718" i="7"/>
  <c r="L718" i="7"/>
  <c r="M718" i="7"/>
  <c r="O718" i="7"/>
  <c r="P718" i="7"/>
  <c r="R718" i="7"/>
  <c r="S718" i="7"/>
  <c r="W718" i="7"/>
  <c r="X718" i="7"/>
  <c r="Z718" i="7"/>
  <c r="M718" i="11" s="1"/>
  <c r="A719" i="7"/>
  <c r="A719" i="11" s="1"/>
  <c r="B719" i="7"/>
  <c r="B719" i="11" s="1"/>
  <c r="C719" i="7"/>
  <c r="C719" i="11" s="1"/>
  <c r="D719" i="7"/>
  <c r="D719" i="11" s="1"/>
  <c r="E719" i="7"/>
  <c r="E719" i="11" s="1"/>
  <c r="F719" i="7"/>
  <c r="G719" i="7"/>
  <c r="I719" i="7"/>
  <c r="J719" i="7"/>
  <c r="L719" i="7"/>
  <c r="M719" i="7"/>
  <c r="O719" i="7"/>
  <c r="P719" i="7"/>
  <c r="R719" i="7"/>
  <c r="S719" i="7"/>
  <c r="W719" i="7"/>
  <c r="X719" i="7"/>
  <c r="Z719" i="7"/>
  <c r="M719" i="11" s="1"/>
  <c r="A720" i="7"/>
  <c r="A720" i="11" s="1"/>
  <c r="B720" i="7"/>
  <c r="B720" i="11" s="1"/>
  <c r="C720" i="7"/>
  <c r="C720" i="11" s="1"/>
  <c r="D720" i="7"/>
  <c r="D720" i="11" s="1"/>
  <c r="E720" i="7"/>
  <c r="E720" i="11" s="1"/>
  <c r="F720" i="7"/>
  <c r="G720" i="7"/>
  <c r="I720" i="7"/>
  <c r="J720" i="7"/>
  <c r="L720" i="7"/>
  <c r="N720" i="7" s="1"/>
  <c r="F720" i="11" s="1"/>
  <c r="H720" i="11" s="1"/>
  <c r="M720" i="7"/>
  <c r="O720" i="7"/>
  <c r="P720" i="7"/>
  <c r="R720" i="7"/>
  <c r="S720" i="7"/>
  <c r="W720" i="7"/>
  <c r="X720" i="7"/>
  <c r="Z720" i="7"/>
  <c r="M720" i="11" s="1"/>
  <c r="A721" i="7"/>
  <c r="A721" i="11" s="1"/>
  <c r="B721" i="7"/>
  <c r="B721" i="11" s="1"/>
  <c r="C721" i="7"/>
  <c r="C721" i="11" s="1"/>
  <c r="D721" i="7"/>
  <c r="D721" i="11" s="1"/>
  <c r="E721" i="7"/>
  <c r="E721" i="11" s="1"/>
  <c r="F721" i="7"/>
  <c r="G721" i="7"/>
  <c r="I721" i="7"/>
  <c r="J721" i="7"/>
  <c r="L721" i="7"/>
  <c r="N721" i="7" s="1"/>
  <c r="F721" i="11" s="1"/>
  <c r="H721" i="11" s="1"/>
  <c r="M721" i="7"/>
  <c r="O721" i="7"/>
  <c r="P721" i="7"/>
  <c r="R721" i="7"/>
  <c r="S721" i="7"/>
  <c r="W721" i="7"/>
  <c r="X721" i="7"/>
  <c r="Z721" i="7"/>
  <c r="M721" i="11" s="1"/>
  <c r="A722" i="7"/>
  <c r="A722" i="11" s="1"/>
  <c r="B722" i="7"/>
  <c r="B722" i="11" s="1"/>
  <c r="C722" i="7"/>
  <c r="C722" i="11" s="1"/>
  <c r="D722" i="7"/>
  <c r="D722" i="11" s="1"/>
  <c r="E722" i="7"/>
  <c r="E722" i="11" s="1"/>
  <c r="F722" i="7"/>
  <c r="G722" i="7"/>
  <c r="I722" i="7"/>
  <c r="J722" i="7"/>
  <c r="L722" i="7"/>
  <c r="M722" i="7"/>
  <c r="O722" i="7"/>
  <c r="P722" i="7"/>
  <c r="R722" i="7"/>
  <c r="S722" i="7"/>
  <c r="W722" i="7"/>
  <c r="X722" i="7"/>
  <c r="Z722" i="7"/>
  <c r="M722" i="11" s="1"/>
  <c r="A723" i="7"/>
  <c r="A723" i="11" s="1"/>
  <c r="B723" i="7"/>
  <c r="B723" i="11" s="1"/>
  <c r="C723" i="7"/>
  <c r="C723" i="11" s="1"/>
  <c r="D723" i="7"/>
  <c r="D723" i="11" s="1"/>
  <c r="E723" i="7"/>
  <c r="E723" i="11" s="1"/>
  <c r="F723" i="7"/>
  <c r="G723" i="7"/>
  <c r="I723" i="7"/>
  <c r="J723" i="7"/>
  <c r="L723" i="7"/>
  <c r="N723" i="7" s="1"/>
  <c r="F723" i="11" s="1"/>
  <c r="H723" i="11" s="1"/>
  <c r="M723" i="7"/>
  <c r="O723" i="7"/>
  <c r="P723" i="7"/>
  <c r="R723" i="7"/>
  <c r="S723" i="7"/>
  <c r="W723" i="7"/>
  <c r="X723" i="7"/>
  <c r="Z723" i="7"/>
  <c r="M723" i="11" s="1"/>
  <c r="A724" i="7"/>
  <c r="A724" i="11" s="1"/>
  <c r="B724" i="7"/>
  <c r="B724" i="11" s="1"/>
  <c r="C724" i="7"/>
  <c r="C724" i="11" s="1"/>
  <c r="D724" i="7"/>
  <c r="D724" i="11" s="1"/>
  <c r="E724" i="7"/>
  <c r="E724" i="11" s="1"/>
  <c r="F724" i="7"/>
  <c r="G724" i="7"/>
  <c r="I724" i="7"/>
  <c r="J724" i="7"/>
  <c r="L724" i="7"/>
  <c r="N724" i="7" s="1"/>
  <c r="F724" i="11" s="1"/>
  <c r="H724" i="11" s="1"/>
  <c r="M724" i="7"/>
  <c r="O724" i="7"/>
  <c r="P724" i="7"/>
  <c r="R724" i="7"/>
  <c r="S724" i="7"/>
  <c r="W724" i="7"/>
  <c r="X724" i="7"/>
  <c r="Z724" i="7"/>
  <c r="M724" i="11" s="1"/>
  <c r="A725" i="7"/>
  <c r="A725" i="11" s="1"/>
  <c r="B725" i="7"/>
  <c r="B725" i="11" s="1"/>
  <c r="C725" i="7"/>
  <c r="C725" i="11" s="1"/>
  <c r="D725" i="7"/>
  <c r="D725" i="11" s="1"/>
  <c r="E725" i="7"/>
  <c r="E725" i="11" s="1"/>
  <c r="F725" i="7"/>
  <c r="G725" i="7"/>
  <c r="I725" i="7"/>
  <c r="J725" i="7"/>
  <c r="L725" i="7"/>
  <c r="N725" i="7" s="1"/>
  <c r="F725" i="11" s="1"/>
  <c r="H725" i="11" s="1"/>
  <c r="M725" i="7"/>
  <c r="O725" i="7"/>
  <c r="P725" i="7"/>
  <c r="R725" i="7"/>
  <c r="S725" i="7"/>
  <c r="W725" i="7"/>
  <c r="X725" i="7"/>
  <c r="Z725" i="7"/>
  <c r="M725" i="11" s="1"/>
  <c r="A726" i="7"/>
  <c r="A726" i="11" s="1"/>
  <c r="B726" i="7"/>
  <c r="B726" i="11" s="1"/>
  <c r="C726" i="7"/>
  <c r="C726" i="11" s="1"/>
  <c r="D726" i="7"/>
  <c r="D726" i="11" s="1"/>
  <c r="E726" i="7"/>
  <c r="E726" i="11" s="1"/>
  <c r="F726" i="7"/>
  <c r="G726" i="7"/>
  <c r="I726" i="7"/>
  <c r="J726" i="7"/>
  <c r="L726" i="7"/>
  <c r="N726" i="7" s="1"/>
  <c r="F726" i="11" s="1"/>
  <c r="H726" i="11" s="1"/>
  <c r="M726" i="7"/>
  <c r="O726" i="7"/>
  <c r="P726" i="7"/>
  <c r="R726" i="7"/>
  <c r="S726" i="7"/>
  <c r="W726" i="7"/>
  <c r="X726" i="7"/>
  <c r="Z726" i="7"/>
  <c r="M726" i="11" s="1"/>
  <c r="A727" i="7"/>
  <c r="A727" i="11" s="1"/>
  <c r="B727" i="7"/>
  <c r="B727" i="11" s="1"/>
  <c r="C727" i="7"/>
  <c r="C727" i="11" s="1"/>
  <c r="D727" i="7"/>
  <c r="D727" i="11" s="1"/>
  <c r="E727" i="7"/>
  <c r="E727" i="11" s="1"/>
  <c r="F727" i="7"/>
  <c r="G727" i="7"/>
  <c r="I727" i="7"/>
  <c r="J727" i="7"/>
  <c r="L727" i="7"/>
  <c r="M727" i="7"/>
  <c r="O727" i="7"/>
  <c r="P727" i="7"/>
  <c r="R727" i="7"/>
  <c r="S727" i="7"/>
  <c r="W727" i="7"/>
  <c r="X727" i="7"/>
  <c r="Z727" i="7"/>
  <c r="M727" i="11" s="1"/>
  <c r="A728" i="7"/>
  <c r="A728" i="11" s="1"/>
  <c r="B728" i="7"/>
  <c r="B728" i="11" s="1"/>
  <c r="C728" i="7"/>
  <c r="C728" i="11" s="1"/>
  <c r="D728" i="7"/>
  <c r="D728" i="11" s="1"/>
  <c r="E728" i="7"/>
  <c r="E728" i="11" s="1"/>
  <c r="F728" i="7"/>
  <c r="G728" i="7"/>
  <c r="I728" i="7"/>
  <c r="J728" i="7"/>
  <c r="L728" i="7"/>
  <c r="N728" i="7" s="1"/>
  <c r="F728" i="11" s="1"/>
  <c r="H728" i="11" s="1"/>
  <c r="M728" i="7"/>
  <c r="O728" i="7"/>
  <c r="P728" i="7"/>
  <c r="R728" i="7"/>
  <c r="S728" i="7"/>
  <c r="W728" i="7"/>
  <c r="X728" i="7"/>
  <c r="Z728" i="7"/>
  <c r="M728" i="11" s="1"/>
  <c r="A729" i="7"/>
  <c r="A729" i="11" s="1"/>
  <c r="B729" i="7"/>
  <c r="B729" i="11" s="1"/>
  <c r="C729" i="7"/>
  <c r="C729" i="11" s="1"/>
  <c r="D729" i="7"/>
  <c r="D729" i="11" s="1"/>
  <c r="E729" i="7"/>
  <c r="E729" i="11" s="1"/>
  <c r="F729" i="7"/>
  <c r="G729" i="7"/>
  <c r="I729" i="7"/>
  <c r="J729" i="7"/>
  <c r="L729" i="7"/>
  <c r="N729" i="7" s="1"/>
  <c r="F729" i="11" s="1"/>
  <c r="H729" i="11" s="1"/>
  <c r="M729" i="7"/>
  <c r="O729" i="7"/>
  <c r="P729" i="7"/>
  <c r="R729" i="7"/>
  <c r="S729" i="7"/>
  <c r="W729" i="7"/>
  <c r="X729" i="7"/>
  <c r="Z729" i="7"/>
  <c r="M729" i="11" s="1"/>
  <c r="F7" i="8"/>
  <c r="E7" i="8"/>
  <c r="D7" i="8"/>
  <c r="M2" i="7"/>
  <c r="L2" i="7"/>
  <c r="B189" i="3"/>
  <c r="C189" i="3"/>
  <c r="D189" i="3"/>
  <c r="E189" i="3"/>
  <c r="F189" i="3"/>
  <c r="G189" i="3"/>
  <c r="B190" i="3"/>
  <c r="C190" i="3"/>
  <c r="D190" i="3"/>
  <c r="E190" i="3"/>
  <c r="F190" i="3"/>
  <c r="G190" i="3"/>
  <c r="B191" i="3"/>
  <c r="C191" i="3"/>
  <c r="D191" i="3"/>
  <c r="E191" i="3"/>
  <c r="F191" i="3"/>
  <c r="G191" i="3"/>
  <c r="B192" i="3"/>
  <c r="C192" i="3"/>
  <c r="D192" i="3"/>
  <c r="E192" i="3"/>
  <c r="F192" i="3"/>
  <c r="G192" i="3"/>
  <c r="B193" i="3"/>
  <c r="C193" i="3"/>
  <c r="D193" i="3"/>
  <c r="E193" i="3"/>
  <c r="F193" i="3"/>
  <c r="G193" i="3"/>
  <c r="B194" i="3"/>
  <c r="C194" i="3"/>
  <c r="D194" i="3"/>
  <c r="E194" i="3"/>
  <c r="F194" i="3"/>
  <c r="G194" i="3"/>
  <c r="B195" i="3"/>
  <c r="C195" i="3"/>
  <c r="D195" i="3"/>
  <c r="E195" i="3"/>
  <c r="F195" i="3"/>
  <c r="G195" i="3"/>
  <c r="B196" i="3"/>
  <c r="C196" i="3"/>
  <c r="D196" i="3"/>
  <c r="E196" i="3"/>
  <c r="F196" i="3"/>
  <c r="G196" i="3"/>
  <c r="B197" i="3"/>
  <c r="C197" i="3"/>
  <c r="D197" i="3"/>
  <c r="E197" i="3"/>
  <c r="F197" i="3"/>
  <c r="G197" i="3"/>
  <c r="B198" i="3"/>
  <c r="C198" i="3"/>
  <c r="D198" i="3"/>
  <c r="E198" i="3"/>
  <c r="F198" i="3"/>
  <c r="G198" i="3"/>
  <c r="B199" i="3"/>
  <c r="C199" i="3"/>
  <c r="D199" i="3"/>
  <c r="E199" i="3"/>
  <c r="F199" i="3"/>
  <c r="G199" i="3"/>
  <c r="B200" i="3"/>
  <c r="C200" i="3"/>
  <c r="D200" i="3"/>
  <c r="E200" i="3"/>
  <c r="F200" i="3"/>
  <c r="G200" i="3"/>
  <c r="B201" i="3"/>
  <c r="C201" i="3"/>
  <c r="D201" i="3"/>
  <c r="E201" i="3"/>
  <c r="F201" i="3"/>
  <c r="G201" i="3"/>
  <c r="B202" i="3"/>
  <c r="C202" i="3"/>
  <c r="D202" i="3"/>
  <c r="E202" i="3"/>
  <c r="F202" i="3"/>
  <c r="G202" i="3"/>
  <c r="B203" i="3"/>
  <c r="C203" i="3"/>
  <c r="D203" i="3"/>
  <c r="E203" i="3"/>
  <c r="F203" i="3"/>
  <c r="G203" i="3"/>
  <c r="B204" i="3"/>
  <c r="C204" i="3"/>
  <c r="D204" i="3"/>
  <c r="E204" i="3"/>
  <c r="F204" i="3"/>
  <c r="G204" i="3"/>
  <c r="B205" i="3"/>
  <c r="C205" i="3"/>
  <c r="D205" i="3"/>
  <c r="E205" i="3"/>
  <c r="F205" i="3"/>
  <c r="G205" i="3"/>
  <c r="B206" i="3"/>
  <c r="C206" i="3"/>
  <c r="D206" i="3"/>
  <c r="E206" i="3"/>
  <c r="F206" i="3"/>
  <c r="G206" i="3"/>
  <c r="B207" i="3"/>
  <c r="C207" i="3"/>
  <c r="D207" i="3"/>
  <c r="E207" i="3"/>
  <c r="F207" i="3"/>
  <c r="G207" i="3"/>
  <c r="B208" i="3"/>
  <c r="C208" i="3"/>
  <c r="D208" i="3"/>
  <c r="E208" i="3"/>
  <c r="F208" i="3"/>
  <c r="G208" i="3"/>
  <c r="B209" i="3"/>
  <c r="C209" i="3"/>
  <c r="D209" i="3"/>
  <c r="E209" i="3"/>
  <c r="F209" i="3"/>
  <c r="G209" i="3"/>
  <c r="B210" i="3"/>
  <c r="C210" i="3"/>
  <c r="D210" i="3"/>
  <c r="E210" i="3"/>
  <c r="F210" i="3"/>
  <c r="G210" i="3"/>
  <c r="B211" i="3"/>
  <c r="C211" i="3"/>
  <c r="D211" i="3"/>
  <c r="E211" i="3"/>
  <c r="F211" i="3"/>
  <c r="G211" i="3"/>
  <c r="B212" i="3"/>
  <c r="C212" i="3"/>
  <c r="D212" i="3"/>
  <c r="E212" i="3"/>
  <c r="F212" i="3"/>
  <c r="G212" i="3"/>
  <c r="B213" i="3"/>
  <c r="C213" i="3"/>
  <c r="D213" i="3"/>
  <c r="E213" i="3"/>
  <c r="F213" i="3"/>
  <c r="G213" i="3"/>
  <c r="B214" i="3"/>
  <c r="C214" i="3"/>
  <c r="D214" i="3"/>
  <c r="E214" i="3"/>
  <c r="F214" i="3"/>
  <c r="G214" i="3"/>
  <c r="B215" i="3"/>
  <c r="C215" i="3"/>
  <c r="D215" i="3"/>
  <c r="E215" i="3"/>
  <c r="F215" i="3"/>
  <c r="G215" i="3"/>
  <c r="B216" i="3"/>
  <c r="C216" i="3"/>
  <c r="D216" i="3"/>
  <c r="E216" i="3"/>
  <c r="F216" i="3"/>
  <c r="G216" i="3"/>
  <c r="B217" i="3"/>
  <c r="C217" i="3"/>
  <c r="D217" i="3"/>
  <c r="E217" i="3"/>
  <c r="F217" i="3"/>
  <c r="G217" i="3"/>
  <c r="B218" i="3"/>
  <c r="C218" i="3"/>
  <c r="D218" i="3"/>
  <c r="E218" i="3"/>
  <c r="F218" i="3"/>
  <c r="G218" i="3"/>
  <c r="B219" i="3"/>
  <c r="C219" i="3"/>
  <c r="D219" i="3"/>
  <c r="E219" i="3"/>
  <c r="F219" i="3"/>
  <c r="G219" i="3"/>
  <c r="B220" i="3"/>
  <c r="C220" i="3"/>
  <c r="D220" i="3"/>
  <c r="E220" i="3"/>
  <c r="F220" i="3"/>
  <c r="G220" i="3"/>
  <c r="B221" i="3"/>
  <c r="C221" i="3"/>
  <c r="D221" i="3"/>
  <c r="E221" i="3"/>
  <c r="F221" i="3"/>
  <c r="G221" i="3"/>
  <c r="B222" i="3"/>
  <c r="C222" i="3"/>
  <c r="D222" i="3"/>
  <c r="E222" i="3"/>
  <c r="F222" i="3"/>
  <c r="G222" i="3"/>
  <c r="B223" i="3"/>
  <c r="C223" i="3"/>
  <c r="D223" i="3"/>
  <c r="E223" i="3"/>
  <c r="F223" i="3"/>
  <c r="G223" i="3"/>
  <c r="B224" i="3"/>
  <c r="C224" i="3"/>
  <c r="D224" i="3"/>
  <c r="E224" i="3"/>
  <c r="F224" i="3"/>
  <c r="G224" i="3"/>
  <c r="B225" i="3"/>
  <c r="C225" i="3"/>
  <c r="D225" i="3"/>
  <c r="E225" i="3"/>
  <c r="F225" i="3"/>
  <c r="G225" i="3"/>
  <c r="B226" i="3"/>
  <c r="C226" i="3"/>
  <c r="D226" i="3"/>
  <c r="E226" i="3"/>
  <c r="F226" i="3"/>
  <c r="G226" i="3"/>
  <c r="B227" i="3"/>
  <c r="C227" i="3"/>
  <c r="D227" i="3"/>
  <c r="E227" i="3"/>
  <c r="F227" i="3"/>
  <c r="G227" i="3"/>
  <c r="B228" i="3"/>
  <c r="C228" i="3"/>
  <c r="D228" i="3"/>
  <c r="E228" i="3"/>
  <c r="F228" i="3"/>
  <c r="G228" i="3"/>
  <c r="B229" i="3"/>
  <c r="C229" i="3"/>
  <c r="D229" i="3"/>
  <c r="E229" i="3"/>
  <c r="F229" i="3"/>
  <c r="G229" i="3"/>
  <c r="B230" i="3"/>
  <c r="C230" i="3"/>
  <c r="D230" i="3"/>
  <c r="E230" i="3"/>
  <c r="F230" i="3"/>
  <c r="G230" i="3"/>
  <c r="B231" i="3"/>
  <c r="C231" i="3"/>
  <c r="D231" i="3"/>
  <c r="E231" i="3"/>
  <c r="F231" i="3"/>
  <c r="G231" i="3"/>
  <c r="B232" i="3"/>
  <c r="C232" i="3"/>
  <c r="D232" i="3"/>
  <c r="E232" i="3"/>
  <c r="F232" i="3"/>
  <c r="G232" i="3"/>
  <c r="B233" i="3"/>
  <c r="C233" i="3"/>
  <c r="D233" i="3"/>
  <c r="E233" i="3"/>
  <c r="F233" i="3"/>
  <c r="G233" i="3"/>
  <c r="B234" i="3"/>
  <c r="C234" i="3"/>
  <c r="D234" i="3"/>
  <c r="E234" i="3"/>
  <c r="F234" i="3"/>
  <c r="G234" i="3"/>
  <c r="B235" i="3"/>
  <c r="C235" i="3"/>
  <c r="D235" i="3"/>
  <c r="E235" i="3"/>
  <c r="F235" i="3"/>
  <c r="G235" i="3"/>
  <c r="B236" i="3"/>
  <c r="C236" i="3"/>
  <c r="D236" i="3"/>
  <c r="E236" i="3"/>
  <c r="F236" i="3"/>
  <c r="G236" i="3"/>
  <c r="B237" i="3"/>
  <c r="C237" i="3"/>
  <c r="D237" i="3"/>
  <c r="E237" i="3"/>
  <c r="F237" i="3"/>
  <c r="G237" i="3"/>
  <c r="B238" i="3"/>
  <c r="C238" i="3"/>
  <c r="D238" i="3"/>
  <c r="E238" i="3"/>
  <c r="F238" i="3"/>
  <c r="G238" i="3"/>
  <c r="B239" i="3"/>
  <c r="C239" i="3"/>
  <c r="D239" i="3"/>
  <c r="E239" i="3"/>
  <c r="F239" i="3"/>
  <c r="G239" i="3"/>
  <c r="B240" i="3"/>
  <c r="C240" i="3"/>
  <c r="D240" i="3"/>
  <c r="E240" i="3"/>
  <c r="F240" i="3"/>
  <c r="G240" i="3"/>
  <c r="B241" i="3"/>
  <c r="C241" i="3"/>
  <c r="D241" i="3"/>
  <c r="E241" i="3"/>
  <c r="F241" i="3"/>
  <c r="G241" i="3"/>
  <c r="B242" i="3"/>
  <c r="C242" i="3"/>
  <c r="D242" i="3"/>
  <c r="E242" i="3"/>
  <c r="F242" i="3"/>
  <c r="G242" i="3"/>
  <c r="B243" i="3"/>
  <c r="C243" i="3"/>
  <c r="D243" i="3"/>
  <c r="E243" i="3"/>
  <c r="F243" i="3"/>
  <c r="G243" i="3"/>
  <c r="B244" i="3"/>
  <c r="C244" i="3"/>
  <c r="D244" i="3"/>
  <c r="E244" i="3"/>
  <c r="F244" i="3"/>
  <c r="G244" i="3"/>
  <c r="B245" i="3"/>
  <c r="C245" i="3"/>
  <c r="D245" i="3"/>
  <c r="E245" i="3"/>
  <c r="F245" i="3"/>
  <c r="G245" i="3"/>
  <c r="B246" i="3"/>
  <c r="C246" i="3"/>
  <c r="D246" i="3"/>
  <c r="E246" i="3"/>
  <c r="F246" i="3"/>
  <c r="G246" i="3"/>
  <c r="B247" i="3"/>
  <c r="C247" i="3"/>
  <c r="D247" i="3"/>
  <c r="E247" i="3"/>
  <c r="F247" i="3"/>
  <c r="G247" i="3"/>
  <c r="B248" i="3"/>
  <c r="C248" i="3"/>
  <c r="D248" i="3"/>
  <c r="E248" i="3"/>
  <c r="F248" i="3"/>
  <c r="G248" i="3"/>
  <c r="B249" i="3"/>
  <c r="C249" i="3"/>
  <c r="D249" i="3"/>
  <c r="E249" i="3"/>
  <c r="F249" i="3"/>
  <c r="G249" i="3"/>
  <c r="B250" i="3"/>
  <c r="C250" i="3"/>
  <c r="D250" i="3"/>
  <c r="E250" i="3"/>
  <c r="F250" i="3"/>
  <c r="G250" i="3"/>
  <c r="B251" i="3"/>
  <c r="C251" i="3"/>
  <c r="D251" i="3"/>
  <c r="E251" i="3"/>
  <c r="F251" i="3"/>
  <c r="G251" i="3"/>
  <c r="B252" i="3"/>
  <c r="C252" i="3"/>
  <c r="D252" i="3"/>
  <c r="E252" i="3"/>
  <c r="F252" i="3"/>
  <c r="G252" i="3"/>
  <c r="B253" i="3"/>
  <c r="C253" i="3"/>
  <c r="D253" i="3"/>
  <c r="E253" i="3"/>
  <c r="F253" i="3"/>
  <c r="G253" i="3"/>
  <c r="B254" i="3"/>
  <c r="C254" i="3"/>
  <c r="D254" i="3"/>
  <c r="E254" i="3"/>
  <c r="F254" i="3"/>
  <c r="G254" i="3"/>
  <c r="B255" i="3"/>
  <c r="C255" i="3"/>
  <c r="D255" i="3"/>
  <c r="E255" i="3"/>
  <c r="F255" i="3"/>
  <c r="G255" i="3"/>
  <c r="B256" i="3"/>
  <c r="C256" i="3"/>
  <c r="D256" i="3"/>
  <c r="E256" i="3"/>
  <c r="F256" i="3"/>
  <c r="G256" i="3"/>
  <c r="B257" i="3"/>
  <c r="C257" i="3"/>
  <c r="D257" i="3"/>
  <c r="E257" i="3"/>
  <c r="F257" i="3"/>
  <c r="G257" i="3"/>
  <c r="B258" i="3"/>
  <c r="C258" i="3"/>
  <c r="D258" i="3"/>
  <c r="E258" i="3"/>
  <c r="F258" i="3"/>
  <c r="G258" i="3"/>
  <c r="B259" i="3"/>
  <c r="C259" i="3"/>
  <c r="D259" i="3"/>
  <c r="E259" i="3"/>
  <c r="F259" i="3"/>
  <c r="G259" i="3"/>
  <c r="B260" i="3"/>
  <c r="C260" i="3"/>
  <c r="D260" i="3"/>
  <c r="E260" i="3"/>
  <c r="F260" i="3"/>
  <c r="G260" i="3"/>
  <c r="B261" i="3"/>
  <c r="C261" i="3"/>
  <c r="D261" i="3"/>
  <c r="E261" i="3"/>
  <c r="F261" i="3"/>
  <c r="G261" i="3"/>
  <c r="B262" i="3"/>
  <c r="C262" i="3"/>
  <c r="D262" i="3"/>
  <c r="E262" i="3"/>
  <c r="F262" i="3"/>
  <c r="G262" i="3"/>
  <c r="B263" i="3"/>
  <c r="C263" i="3"/>
  <c r="D263" i="3"/>
  <c r="E263" i="3"/>
  <c r="F263" i="3"/>
  <c r="G263" i="3"/>
  <c r="B264" i="3"/>
  <c r="C264" i="3"/>
  <c r="D264" i="3"/>
  <c r="E264" i="3"/>
  <c r="F264" i="3"/>
  <c r="G264" i="3"/>
  <c r="B265" i="3"/>
  <c r="C265" i="3"/>
  <c r="D265" i="3"/>
  <c r="E265" i="3"/>
  <c r="F265" i="3"/>
  <c r="G265" i="3"/>
  <c r="B266" i="3"/>
  <c r="C266" i="3"/>
  <c r="D266" i="3"/>
  <c r="E266" i="3"/>
  <c r="F266" i="3"/>
  <c r="G266" i="3"/>
  <c r="B267" i="3"/>
  <c r="C267" i="3"/>
  <c r="D267" i="3"/>
  <c r="E267" i="3"/>
  <c r="F267" i="3"/>
  <c r="G267" i="3"/>
  <c r="B268" i="3"/>
  <c r="C268" i="3"/>
  <c r="D268" i="3"/>
  <c r="E268" i="3"/>
  <c r="F268" i="3"/>
  <c r="G268" i="3"/>
  <c r="B269" i="3"/>
  <c r="C269" i="3"/>
  <c r="D269" i="3"/>
  <c r="E269" i="3"/>
  <c r="F269" i="3"/>
  <c r="G269" i="3"/>
  <c r="B270" i="3"/>
  <c r="C270" i="3"/>
  <c r="D270" i="3"/>
  <c r="E270" i="3"/>
  <c r="F270" i="3"/>
  <c r="G270" i="3"/>
  <c r="B271" i="3"/>
  <c r="C271" i="3"/>
  <c r="D271" i="3"/>
  <c r="E271" i="3"/>
  <c r="F271" i="3"/>
  <c r="G271" i="3"/>
  <c r="B272" i="3"/>
  <c r="C272" i="3"/>
  <c r="D272" i="3"/>
  <c r="E272" i="3"/>
  <c r="F272" i="3"/>
  <c r="G272" i="3"/>
  <c r="B273" i="3"/>
  <c r="C273" i="3"/>
  <c r="D273" i="3"/>
  <c r="E273" i="3"/>
  <c r="F273" i="3"/>
  <c r="G273" i="3"/>
  <c r="B274" i="3"/>
  <c r="C274" i="3"/>
  <c r="D274" i="3"/>
  <c r="E274" i="3"/>
  <c r="F274" i="3"/>
  <c r="G274" i="3"/>
  <c r="B275" i="3"/>
  <c r="C275" i="3"/>
  <c r="D275" i="3"/>
  <c r="E275" i="3"/>
  <c r="F275" i="3"/>
  <c r="G275" i="3"/>
  <c r="B276" i="3"/>
  <c r="C276" i="3"/>
  <c r="D276" i="3"/>
  <c r="E276" i="3"/>
  <c r="F276" i="3"/>
  <c r="G276" i="3"/>
  <c r="B277" i="3"/>
  <c r="C277" i="3"/>
  <c r="D277" i="3"/>
  <c r="E277" i="3"/>
  <c r="F277" i="3"/>
  <c r="G277" i="3"/>
  <c r="B278" i="3"/>
  <c r="C278" i="3"/>
  <c r="D278" i="3"/>
  <c r="E278" i="3"/>
  <c r="F278" i="3"/>
  <c r="G278" i="3"/>
  <c r="B279" i="3"/>
  <c r="C279" i="3"/>
  <c r="D279" i="3"/>
  <c r="E279" i="3"/>
  <c r="F279" i="3"/>
  <c r="G279" i="3"/>
  <c r="B280" i="3"/>
  <c r="C280" i="3"/>
  <c r="D280" i="3"/>
  <c r="E280" i="3"/>
  <c r="F280" i="3"/>
  <c r="G280" i="3"/>
  <c r="B281" i="3"/>
  <c r="C281" i="3"/>
  <c r="D281" i="3"/>
  <c r="E281" i="3"/>
  <c r="F281" i="3"/>
  <c r="G281" i="3"/>
  <c r="B282" i="3"/>
  <c r="C282" i="3"/>
  <c r="D282" i="3"/>
  <c r="E282" i="3"/>
  <c r="F282" i="3"/>
  <c r="G282" i="3"/>
  <c r="B283" i="3"/>
  <c r="C283" i="3"/>
  <c r="D283" i="3"/>
  <c r="E283" i="3"/>
  <c r="F283" i="3"/>
  <c r="G283" i="3"/>
  <c r="B284" i="3"/>
  <c r="C284" i="3"/>
  <c r="D284" i="3"/>
  <c r="E284" i="3"/>
  <c r="F284" i="3"/>
  <c r="G284" i="3"/>
  <c r="B285" i="3"/>
  <c r="C285" i="3"/>
  <c r="D285" i="3"/>
  <c r="E285" i="3"/>
  <c r="F285" i="3"/>
  <c r="G285" i="3"/>
  <c r="B286" i="3"/>
  <c r="C286" i="3"/>
  <c r="D286" i="3"/>
  <c r="E286" i="3"/>
  <c r="F286" i="3"/>
  <c r="G286" i="3"/>
  <c r="B287" i="3"/>
  <c r="C287" i="3"/>
  <c r="D287" i="3"/>
  <c r="E287" i="3"/>
  <c r="F287" i="3"/>
  <c r="G287" i="3"/>
  <c r="B288" i="3"/>
  <c r="C288" i="3"/>
  <c r="D288" i="3"/>
  <c r="E288" i="3"/>
  <c r="F288" i="3"/>
  <c r="G288" i="3"/>
  <c r="B289" i="3"/>
  <c r="C289" i="3"/>
  <c r="D289" i="3"/>
  <c r="E289" i="3"/>
  <c r="F289" i="3"/>
  <c r="G289" i="3"/>
  <c r="B290" i="3"/>
  <c r="C290" i="3"/>
  <c r="D290" i="3"/>
  <c r="E290" i="3"/>
  <c r="F290" i="3"/>
  <c r="G290" i="3"/>
  <c r="B291" i="3"/>
  <c r="C291" i="3"/>
  <c r="D291" i="3"/>
  <c r="E291" i="3"/>
  <c r="F291" i="3"/>
  <c r="G291" i="3"/>
  <c r="B292" i="3"/>
  <c r="C292" i="3"/>
  <c r="D292" i="3"/>
  <c r="E292" i="3"/>
  <c r="F292" i="3"/>
  <c r="G292" i="3"/>
  <c r="B293" i="3"/>
  <c r="C293" i="3"/>
  <c r="D293" i="3"/>
  <c r="E293" i="3"/>
  <c r="F293" i="3"/>
  <c r="G293" i="3"/>
  <c r="B294" i="3"/>
  <c r="C294" i="3"/>
  <c r="D294" i="3"/>
  <c r="E294" i="3"/>
  <c r="F294" i="3"/>
  <c r="G294" i="3"/>
  <c r="B295" i="3"/>
  <c r="C295" i="3"/>
  <c r="D295" i="3"/>
  <c r="E295" i="3"/>
  <c r="F295" i="3"/>
  <c r="G295" i="3"/>
  <c r="B296" i="3"/>
  <c r="C296" i="3"/>
  <c r="D296" i="3"/>
  <c r="E296" i="3"/>
  <c r="F296" i="3"/>
  <c r="G296" i="3"/>
  <c r="B297" i="3"/>
  <c r="C297" i="3"/>
  <c r="D297" i="3"/>
  <c r="E297" i="3"/>
  <c r="F297" i="3"/>
  <c r="G297" i="3"/>
  <c r="B298" i="3"/>
  <c r="C298" i="3"/>
  <c r="D298" i="3"/>
  <c r="E298" i="3"/>
  <c r="F298" i="3"/>
  <c r="G298" i="3"/>
  <c r="B299" i="3"/>
  <c r="C299" i="3"/>
  <c r="D299" i="3"/>
  <c r="E299" i="3"/>
  <c r="F299" i="3"/>
  <c r="G299" i="3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546" i="3"/>
  <c r="C546" i="3"/>
  <c r="D546" i="3"/>
  <c r="E546" i="3"/>
  <c r="F546" i="3"/>
  <c r="G546" i="3"/>
  <c r="B547" i="3"/>
  <c r="C547" i="3"/>
  <c r="D547" i="3"/>
  <c r="E547" i="3"/>
  <c r="F547" i="3"/>
  <c r="G547" i="3"/>
  <c r="B548" i="3"/>
  <c r="C548" i="3"/>
  <c r="D548" i="3"/>
  <c r="E548" i="3"/>
  <c r="F548" i="3"/>
  <c r="G548" i="3"/>
  <c r="B549" i="3"/>
  <c r="C549" i="3"/>
  <c r="D549" i="3"/>
  <c r="E549" i="3"/>
  <c r="F549" i="3"/>
  <c r="G549" i="3"/>
  <c r="B550" i="3"/>
  <c r="C550" i="3"/>
  <c r="D550" i="3"/>
  <c r="E550" i="3"/>
  <c r="F550" i="3"/>
  <c r="G550" i="3"/>
  <c r="B551" i="3"/>
  <c r="C551" i="3"/>
  <c r="D551" i="3"/>
  <c r="E551" i="3"/>
  <c r="F551" i="3"/>
  <c r="G551" i="3"/>
  <c r="B552" i="3"/>
  <c r="C552" i="3"/>
  <c r="D552" i="3"/>
  <c r="E552" i="3"/>
  <c r="F552" i="3"/>
  <c r="G552" i="3"/>
  <c r="B553" i="3"/>
  <c r="C553" i="3"/>
  <c r="D553" i="3"/>
  <c r="E553" i="3"/>
  <c r="F553" i="3"/>
  <c r="G553" i="3"/>
  <c r="B554" i="3"/>
  <c r="C554" i="3"/>
  <c r="D554" i="3"/>
  <c r="E554" i="3"/>
  <c r="F554" i="3"/>
  <c r="G554" i="3"/>
  <c r="B555" i="3"/>
  <c r="C555" i="3"/>
  <c r="D555" i="3"/>
  <c r="E555" i="3"/>
  <c r="F555" i="3"/>
  <c r="G555" i="3"/>
  <c r="B556" i="3"/>
  <c r="C556" i="3"/>
  <c r="D556" i="3"/>
  <c r="E556" i="3"/>
  <c r="F556" i="3"/>
  <c r="G556" i="3"/>
  <c r="B557" i="3"/>
  <c r="C557" i="3"/>
  <c r="D557" i="3"/>
  <c r="E557" i="3"/>
  <c r="F557" i="3"/>
  <c r="G557" i="3"/>
  <c r="B558" i="3"/>
  <c r="C558" i="3"/>
  <c r="D558" i="3"/>
  <c r="E558" i="3"/>
  <c r="F558" i="3"/>
  <c r="G558" i="3"/>
  <c r="B559" i="3"/>
  <c r="C559" i="3"/>
  <c r="D559" i="3"/>
  <c r="E559" i="3"/>
  <c r="F559" i="3"/>
  <c r="G559" i="3"/>
  <c r="B560" i="3"/>
  <c r="C560" i="3"/>
  <c r="D560" i="3"/>
  <c r="E560" i="3"/>
  <c r="F560" i="3"/>
  <c r="G560" i="3"/>
  <c r="B561" i="3"/>
  <c r="C561" i="3"/>
  <c r="D561" i="3"/>
  <c r="E561" i="3"/>
  <c r="F561" i="3"/>
  <c r="G561" i="3"/>
  <c r="B562" i="3"/>
  <c r="C562" i="3"/>
  <c r="D562" i="3"/>
  <c r="E562" i="3"/>
  <c r="F562" i="3"/>
  <c r="G562" i="3"/>
  <c r="B563" i="3"/>
  <c r="C563" i="3"/>
  <c r="D563" i="3"/>
  <c r="E563" i="3"/>
  <c r="F563" i="3"/>
  <c r="G563" i="3"/>
  <c r="B564" i="3"/>
  <c r="C564" i="3"/>
  <c r="D564" i="3"/>
  <c r="E564" i="3"/>
  <c r="F564" i="3"/>
  <c r="G564" i="3"/>
  <c r="B565" i="3"/>
  <c r="C565" i="3"/>
  <c r="D565" i="3"/>
  <c r="E565" i="3"/>
  <c r="F565" i="3"/>
  <c r="G565" i="3"/>
  <c r="B566" i="3"/>
  <c r="C566" i="3"/>
  <c r="D566" i="3"/>
  <c r="E566" i="3"/>
  <c r="F566" i="3"/>
  <c r="G566" i="3"/>
  <c r="B567" i="3"/>
  <c r="C567" i="3"/>
  <c r="D567" i="3"/>
  <c r="E567" i="3"/>
  <c r="F567" i="3"/>
  <c r="G567" i="3"/>
  <c r="B568" i="3"/>
  <c r="C568" i="3"/>
  <c r="D568" i="3"/>
  <c r="E568" i="3"/>
  <c r="F568" i="3"/>
  <c r="G568" i="3"/>
  <c r="B569" i="3"/>
  <c r="C569" i="3"/>
  <c r="D569" i="3"/>
  <c r="E569" i="3"/>
  <c r="F569" i="3"/>
  <c r="G569" i="3"/>
  <c r="B570" i="3"/>
  <c r="C570" i="3"/>
  <c r="D570" i="3"/>
  <c r="E570" i="3"/>
  <c r="F570" i="3"/>
  <c r="G570" i="3"/>
  <c r="B571" i="3"/>
  <c r="C571" i="3"/>
  <c r="D571" i="3"/>
  <c r="E571" i="3"/>
  <c r="F571" i="3"/>
  <c r="G571" i="3"/>
  <c r="B572" i="3"/>
  <c r="C572" i="3"/>
  <c r="D572" i="3"/>
  <c r="E572" i="3"/>
  <c r="F572" i="3"/>
  <c r="G572" i="3"/>
  <c r="B573" i="3"/>
  <c r="C573" i="3"/>
  <c r="D573" i="3"/>
  <c r="E573" i="3"/>
  <c r="F573" i="3"/>
  <c r="G573" i="3"/>
  <c r="B574" i="3"/>
  <c r="C574" i="3"/>
  <c r="D574" i="3"/>
  <c r="E574" i="3"/>
  <c r="F574" i="3"/>
  <c r="G574" i="3"/>
  <c r="B575" i="3"/>
  <c r="C575" i="3"/>
  <c r="D575" i="3"/>
  <c r="E575" i="3"/>
  <c r="F575" i="3"/>
  <c r="G575" i="3"/>
  <c r="B576" i="3"/>
  <c r="C576" i="3"/>
  <c r="D576" i="3"/>
  <c r="E576" i="3"/>
  <c r="F576" i="3"/>
  <c r="G576" i="3"/>
  <c r="B577" i="3"/>
  <c r="C577" i="3"/>
  <c r="D577" i="3"/>
  <c r="E577" i="3"/>
  <c r="F577" i="3"/>
  <c r="G577" i="3"/>
  <c r="B578" i="3"/>
  <c r="C578" i="3"/>
  <c r="D578" i="3"/>
  <c r="E578" i="3"/>
  <c r="F578" i="3"/>
  <c r="G578" i="3"/>
  <c r="B579" i="3"/>
  <c r="C579" i="3"/>
  <c r="D579" i="3"/>
  <c r="E579" i="3"/>
  <c r="F579" i="3"/>
  <c r="G579" i="3"/>
  <c r="B580" i="3"/>
  <c r="C580" i="3"/>
  <c r="D580" i="3"/>
  <c r="E580" i="3"/>
  <c r="F580" i="3"/>
  <c r="G580" i="3"/>
  <c r="B581" i="3"/>
  <c r="C581" i="3"/>
  <c r="D581" i="3"/>
  <c r="E581" i="3"/>
  <c r="F581" i="3"/>
  <c r="G581" i="3"/>
  <c r="B582" i="3"/>
  <c r="C582" i="3"/>
  <c r="D582" i="3"/>
  <c r="E582" i="3"/>
  <c r="F582" i="3"/>
  <c r="G582" i="3"/>
  <c r="B583" i="3"/>
  <c r="C583" i="3"/>
  <c r="D583" i="3"/>
  <c r="E583" i="3"/>
  <c r="F583" i="3"/>
  <c r="G583" i="3"/>
  <c r="B584" i="3"/>
  <c r="C584" i="3"/>
  <c r="D584" i="3"/>
  <c r="E584" i="3"/>
  <c r="F584" i="3"/>
  <c r="G584" i="3"/>
  <c r="B585" i="3"/>
  <c r="C585" i="3"/>
  <c r="D585" i="3"/>
  <c r="E585" i="3"/>
  <c r="F585" i="3"/>
  <c r="G585" i="3"/>
  <c r="B586" i="3"/>
  <c r="C586" i="3"/>
  <c r="D586" i="3"/>
  <c r="E586" i="3"/>
  <c r="F586" i="3"/>
  <c r="G586" i="3"/>
  <c r="B587" i="3"/>
  <c r="C587" i="3"/>
  <c r="D587" i="3"/>
  <c r="E587" i="3"/>
  <c r="F587" i="3"/>
  <c r="G587" i="3"/>
  <c r="B588" i="3"/>
  <c r="C588" i="3"/>
  <c r="D588" i="3"/>
  <c r="E588" i="3"/>
  <c r="F588" i="3"/>
  <c r="G588" i="3"/>
  <c r="B589" i="3"/>
  <c r="C589" i="3"/>
  <c r="D589" i="3"/>
  <c r="E589" i="3"/>
  <c r="F589" i="3"/>
  <c r="G589" i="3"/>
  <c r="B590" i="3"/>
  <c r="C590" i="3"/>
  <c r="D590" i="3"/>
  <c r="E590" i="3"/>
  <c r="F590" i="3"/>
  <c r="G590" i="3"/>
  <c r="B591" i="3"/>
  <c r="C591" i="3"/>
  <c r="D591" i="3"/>
  <c r="E591" i="3"/>
  <c r="F591" i="3"/>
  <c r="G591" i="3"/>
  <c r="B592" i="3"/>
  <c r="C592" i="3"/>
  <c r="D592" i="3"/>
  <c r="E592" i="3"/>
  <c r="F592" i="3"/>
  <c r="G592" i="3"/>
  <c r="B593" i="3"/>
  <c r="C593" i="3"/>
  <c r="D593" i="3"/>
  <c r="E593" i="3"/>
  <c r="F593" i="3"/>
  <c r="G593" i="3"/>
  <c r="B594" i="3"/>
  <c r="C594" i="3"/>
  <c r="D594" i="3"/>
  <c r="E594" i="3"/>
  <c r="F594" i="3"/>
  <c r="G594" i="3"/>
  <c r="B595" i="3"/>
  <c r="C595" i="3"/>
  <c r="D595" i="3"/>
  <c r="E595" i="3"/>
  <c r="F595" i="3"/>
  <c r="G595" i="3"/>
  <c r="B596" i="3"/>
  <c r="C596" i="3"/>
  <c r="D596" i="3"/>
  <c r="E596" i="3"/>
  <c r="F596" i="3"/>
  <c r="G596" i="3"/>
  <c r="B597" i="3"/>
  <c r="C597" i="3"/>
  <c r="D597" i="3"/>
  <c r="E597" i="3"/>
  <c r="F597" i="3"/>
  <c r="G597" i="3"/>
  <c r="B598" i="3"/>
  <c r="C598" i="3"/>
  <c r="D598" i="3"/>
  <c r="E598" i="3"/>
  <c r="F598" i="3"/>
  <c r="G598" i="3"/>
  <c r="B599" i="3"/>
  <c r="C599" i="3"/>
  <c r="D599" i="3"/>
  <c r="E599" i="3"/>
  <c r="F599" i="3"/>
  <c r="G599" i="3"/>
  <c r="B600" i="3"/>
  <c r="C600" i="3"/>
  <c r="D600" i="3"/>
  <c r="E600" i="3"/>
  <c r="F600" i="3"/>
  <c r="G600" i="3"/>
  <c r="B601" i="3"/>
  <c r="C601" i="3"/>
  <c r="D601" i="3"/>
  <c r="E601" i="3"/>
  <c r="F601" i="3"/>
  <c r="G601" i="3"/>
  <c r="B602" i="3"/>
  <c r="C602" i="3"/>
  <c r="D602" i="3"/>
  <c r="E602" i="3"/>
  <c r="F602" i="3"/>
  <c r="G602" i="3"/>
  <c r="B603" i="3"/>
  <c r="C603" i="3"/>
  <c r="D603" i="3"/>
  <c r="E603" i="3"/>
  <c r="F603" i="3"/>
  <c r="G603" i="3"/>
  <c r="B604" i="3"/>
  <c r="C604" i="3"/>
  <c r="D604" i="3"/>
  <c r="E604" i="3"/>
  <c r="F604" i="3"/>
  <c r="G604" i="3"/>
  <c r="B605" i="3"/>
  <c r="C605" i="3"/>
  <c r="D605" i="3"/>
  <c r="E605" i="3"/>
  <c r="F605" i="3"/>
  <c r="G605" i="3"/>
  <c r="B606" i="3"/>
  <c r="C606" i="3"/>
  <c r="D606" i="3"/>
  <c r="E606" i="3"/>
  <c r="F606" i="3"/>
  <c r="G606" i="3"/>
  <c r="B607" i="3"/>
  <c r="C607" i="3"/>
  <c r="D607" i="3"/>
  <c r="E607" i="3"/>
  <c r="F607" i="3"/>
  <c r="G607" i="3"/>
  <c r="B608" i="3"/>
  <c r="C608" i="3"/>
  <c r="D608" i="3"/>
  <c r="E608" i="3"/>
  <c r="F608" i="3"/>
  <c r="G608" i="3"/>
  <c r="B609" i="3"/>
  <c r="C609" i="3"/>
  <c r="D609" i="3"/>
  <c r="E609" i="3"/>
  <c r="F609" i="3"/>
  <c r="G609" i="3"/>
  <c r="B610" i="3"/>
  <c r="C610" i="3"/>
  <c r="D610" i="3"/>
  <c r="E610" i="3"/>
  <c r="F610" i="3"/>
  <c r="G610" i="3"/>
  <c r="B611" i="3"/>
  <c r="C611" i="3"/>
  <c r="D611" i="3"/>
  <c r="E611" i="3"/>
  <c r="F611" i="3"/>
  <c r="G611" i="3"/>
  <c r="B612" i="3"/>
  <c r="C612" i="3"/>
  <c r="D612" i="3"/>
  <c r="E612" i="3"/>
  <c r="F612" i="3"/>
  <c r="G612" i="3"/>
  <c r="B613" i="3"/>
  <c r="C613" i="3"/>
  <c r="D613" i="3"/>
  <c r="E613" i="3"/>
  <c r="F613" i="3"/>
  <c r="G613" i="3"/>
  <c r="B614" i="3"/>
  <c r="C614" i="3"/>
  <c r="D614" i="3"/>
  <c r="E614" i="3"/>
  <c r="F614" i="3"/>
  <c r="G614" i="3"/>
  <c r="B615" i="3"/>
  <c r="C615" i="3"/>
  <c r="D615" i="3"/>
  <c r="E615" i="3"/>
  <c r="F615" i="3"/>
  <c r="G615" i="3"/>
  <c r="B616" i="3"/>
  <c r="C616" i="3"/>
  <c r="D616" i="3"/>
  <c r="E616" i="3"/>
  <c r="F616" i="3"/>
  <c r="G616" i="3"/>
  <c r="B617" i="3"/>
  <c r="C617" i="3"/>
  <c r="D617" i="3"/>
  <c r="E617" i="3"/>
  <c r="F617" i="3"/>
  <c r="G617" i="3"/>
  <c r="B618" i="3"/>
  <c r="C618" i="3"/>
  <c r="D618" i="3"/>
  <c r="E618" i="3"/>
  <c r="F618" i="3"/>
  <c r="G618" i="3"/>
  <c r="B619" i="3"/>
  <c r="C619" i="3"/>
  <c r="D619" i="3"/>
  <c r="E619" i="3"/>
  <c r="F619" i="3"/>
  <c r="G619" i="3"/>
  <c r="B620" i="3"/>
  <c r="C620" i="3"/>
  <c r="D620" i="3"/>
  <c r="E620" i="3"/>
  <c r="F620" i="3"/>
  <c r="G620" i="3"/>
  <c r="B621" i="3"/>
  <c r="C621" i="3"/>
  <c r="D621" i="3"/>
  <c r="E621" i="3"/>
  <c r="F621" i="3"/>
  <c r="G621" i="3"/>
  <c r="B622" i="3"/>
  <c r="C622" i="3"/>
  <c r="D622" i="3"/>
  <c r="E622" i="3"/>
  <c r="F622" i="3"/>
  <c r="G622" i="3"/>
  <c r="B623" i="3"/>
  <c r="C623" i="3"/>
  <c r="D623" i="3"/>
  <c r="E623" i="3"/>
  <c r="F623" i="3"/>
  <c r="G623" i="3"/>
  <c r="B624" i="3"/>
  <c r="C624" i="3"/>
  <c r="D624" i="3"/>
  <c r="E624" i="3"/>
  <c r="F624" i="3"/>
  <c r="G624" i="3"/>
  <c r="B625" i="3"/>
  <c r="C625" i="3"/>
  <c r="D625" i="3"/>
  <c r="E625" i="3"/>
  <c r="F625" i="3"/>
  <c r="G625" i="3"/>
  <c r="B626" i="3"/>
  <c r="C626" i="3"/>
  <c r="D626" i="3"/>
  <c r="E626" i="3"/>
  <c r="F626" i="3"/>
  <c r="G626" i="3"/>
  <c r="B627" i="3"/>
  <c r="C627" i="3"/>
  <c r="D627" i="3"/>
  <c r="E627" i="3"/>
  <c r="F627" i="3"/>
  <c r="G627" i="3"/>
  <c r="B628" i="3"/>
  <c r="C628" i="3"/>
  <c r="D628" i="3"/>
  <c r="E628" i="3"/>
  <c r="F628" i="3"/>
  <c r="G628" i="3"/>
  <c r="B629" i="3"/>
  <c r="C629" i="3"/>
  <c r="D629" i="3"/>
  <c r="E629" i="3"/>
  <c r="F629" i="3"/>
  <c r="G629" i="3"/>
  <c r="B630" i="3"/>
  <c r="C630" i="3"/>
  <c r="D630" i="3"/>
  <c r="E630" i="3"/>
  <c r="F630" i="3"/>
  <c r="G630" i="3"/>
  <c r="B631" i="3"/>
  <c r="C631" i="3"/>
  <c r="D631" i="3"/>
  <c r="E631" i="3"/>
  <c r="F631" i="3"/>
  <c r="G631" i="3"/>
  <c r="B632" i="3"/>
  <c r="C632" i="3"/>
  <c r="D632" i="3"/>
  <c r="E632" i="3"/>
  <c r="F632" i="3"/>
  <c r="G632" i="3"/>
  <c r="B633" i="3"/>
  <c r="C633" i="3"/>
  <c r="D633" i="3"/>
  <c r="E633" i="3"/>
  <c r="F633" i="3"/>
  <c r="G633" i="3"/>
  <c r="B634" i="3"/>
  <c r="C634" i="3"/>
  <c r="D634" i="3"/>
  <c r="E634" i="3"/>
  <c r="F634" i="3"/>
  <c r="G634" i="3"/>
  <c r="B635" i="3"/>
  <c r="C635" i="3"/>
  <c r="D635" i="3"/>
  <c r="E635" i="3"/>
  <c r="F635" i="3"/>
  <c r="G635" i="3"/>
  <c r="B636" i="3"/>
  <c r="C636" i="3"/>
  <c r="D636" i="3"/>
  <c r="E636" i="3"/>
  <c r="F636" i="3"/>
  <c r="G636" i="3"/>
  <c r="B637" i="3"/>
  <c r="C637" i="3"/>
  <c r="D637" i="3"/>
  <c r="E637" i="3"/>
  <c r="F637" i="3"/>
  <c r="G637" i="3"/>
  <c r="B638" i="3"/>
  <c r="C638" i="3"/>
  <c r="D638" i="3"/>
  <c r="E638" i="3"/>
  <c r="F638" i="3"/>
  <c r="G638" i="3"/>
  <c r="B639" i="3"/>
  <c r="C639" i="3"/>
  <c r="D639" i="3"/>
  <c r="E639" i="3"/>
  <c r="F639" i="3"/>
  <c r="G639" i="3"/>
  <c r="B640" i="3"/>
  <c r="C640" i="3"/>
  <c r="D640" i="3"/>
  <c r="E640" i="3"/>
  <c r="F640" i="3"/>
  <c r="G640" i="3"/>
  <c r="B641" i="3"/>
  <c r="C641" i="3"/>
  <c r="D641" i="3"/>
  <c r="E641" i="3"/>
  <c r="F641" i="3"/>
  <c r="G641" i="3"/>
  <c r="B642" i="3"/>
  <c r="C642" i="3"/>
  <c r="D642" i="3"/>
  <c r="E642" i="3"/>
  <c r="F642" i="3"/>
  <c r="G642" i="3"/>
  <c r="B643" i="3"/>
  <c r="C643" i="3"/>
  <c r="D643" i="3"/>
  <c r="E643" i="3"/>
  <c r="F643" i="3"/>
  <c r="G643" i="3"/>
  <c r="B644" i="3"/>
  <c r="C644" i="3"/>
  <c r="D644" i="3"/>
  <c r="E644" i="3"/>
  <c r="F644" i="3"/>
  <c r="G644" i="3"/>
  <c r="B645" i="3"/>
  <c r="C645" i="3"/>
  <c r="D645" i="3"/>
  <c r="E645" i="3"/>
  <c r="F645" i="3"/>
  <c r="G645" i="3"/>
  <c r="B646" i="3"/>
  <c r="C646" i="3"/>
  <c r="D646" i="3"/>
  <c r="E646" i="3"/>
  <c r="F646" i="3"/>
  <c r="G646" i="3"/>
  <c r="B647" i="3"/>
  <c r="C647" i="3"/>
  <c r="D647" i="3"/>
  <c r="E647" i="3"/>
  <c r="F647" i="3"/>
  <c r="G647" i="3"/>
  <c r="B648" i="3"/>
  <c r="C648" i="3"/>
  <c r="D648" i="3"/>
  <c r="E648" i="3"/>
  <c r="F648" i="3"/>
  <c r="G648" i="3"/>
  <c r="B649" i="3"/>
  <c r="C649" i="3"/>
  <c r="D649" i="3"/>
  <c r="E649" i="3"/>
  <c r="F649" i="3"/>
  <c r="G649" i="3"/>
  <c r="B650" i="3"/>
  <c r="C650" i="3"/>
  <c r="D650" i="3"/>
  <c r="E650" i="3"/>
  <c r="F650" i="3"/>
  <c r="G650" i="3"/>
  <c r="B651" i="3"/>
  <c r="C651" i="3"/>
  <c r="D651" i="3"/>
  <c r="E651" i="3"/>
  <c r="F651" i="3"/>
  <c r="G651" i="3"/>
  <c r="B652" i="3"/>
  <c r="C652" i="3"/>
  <c r="D652" i="3"/>
  <c r="E652" i="3"/>
  <c r="F652" i="3"/>
  <c r="G652" i="3"/>
  <c r="B653" i="3"/>
  <c r="C653" i="3"/>
  <c r="D653" i="3"/>
  <c r="E653" i="3"/>
  <c r="F653" i="3"/>
  <c r="G653" i="3"/>
  <c r="B654" i="3"/>
  <c r="C654" i="3"/>
  <c r="D654" i="3"/>
  <c r="E654" i="3"/>
  <c r="F654" i="3"/>
  <c r="G654" i="3"/>
  <c r="B655" i="3"/>
  <c r="C655" i="3"/>
  <c r="D655" i="3"/>
  <c r="E655" i="3"/>
  <c r="F655" i="3"/>
  <c r="G655" i="3"/>
  <c r="B656" i="3"/>
  <c r="C656" i="3"/>
  <c r="D656" i="3"/>
  <c r="E656" i="3"/>
  <c r="F656" i="3"/>
  <c r="G656" i="3"/>
  <c r="B657" i="3"/>
  <c r="C657" i="3"/>
  <c r="D657" i="3"/>
  <c r="E657" i="3"/>
  <c r="F657" i="3"/>
  <c r="G657" i="3"/>
  <c r="B658" i="3"/>
  <c r="C658" i="3"/>
  <c r="D658" i="3"/>
  <c r="E658" i="3"/>
  <c r="F658" i="3"/>
  <c r="G658" i="3"/>
  <c r="B659" i="3"/>
  <c r="C659" i="3"/>
  <c r="D659" i="3"/>
  <c r="E659" i="3"/>
  <c r="F659" i="3"/>
  <c r="G659" i="3"/>
  <c r="B660" i="3"/>
  <c r="C660" i="3"/>
  <c r="D660" i="3"/>
  <c r="E660" i="3"/>
  <c r="F660" i="3"/>
  <c r="G660" i="3"/>
  <c r="B661" i="3"/>
  <c r="C661" i="3"/>
  <c r="D661" i="3"/>
  <c r="E661" i="3"/>
  <c r="F661" i="3"/>
  <c r="G661" i="3"/>
  <c r="B662" i="3"/>
  <c r="C662" i="3"/>
  <c r="D662" i="3"/>
  <c r="E662" i="3"/>
  <c r="F662" i="3"/>
  <c r="G662" i="3"/>
  <c r="B663" i="3"/>
  <c r="C663" i="3"/>
  <c r="D663" i="3"/>
  <c r="E663" i="3"/>
  <c r="F663" i="3"/>
  <c r="G663" i="3"/>
  <c r="B664" i="3"/>
  <c r="C664" i="3"/>
  <c r="D664" i="3"/>
  <c r="E664" i="3"/>
  <c r="F664" i="3"/>
  <c r="G664" i="3"/>
  <c r="B665" i="3"/>
  <c r="C665" i="3"/>
  <c r="D665" i="3"/>
  <c r="E665" i="3"/>
  <c r="F665" i="3"/>
  <c r="G665" i="3"/>
  <c r="B666" i="3"/>
  <c r="C666" i="3"/>
  <c r="D666" i="3"/>
  <c r="E666" i="3"/>
  <c r="F666" i="3"/>
  <c r="G666" i="3"/>
  <c r="B667" i="3"/>
  <c r="C667" i="3"/>
  <c r="D667" i="3"/>
  <c r="E667" i="3"/>
  <c r="F667" i="3"/>
  <c r="G667" i="3"/>
  <c r="B668" i="3"/>
  <c r="C668" i="3"/>
  <c r="D668" i="3"/>
  <c r="E668" i="3"/>
  <c r="F668" i="3"/>
  <c r="G668" i="3"/>
  <c r="B669" i="3"/>
  <c r="C669" i="3"/>
  <c r="D669" i="3"/>
  <c r="E669" i="3"/>
  <c r="F669" i="3"/>
  <c r="G669" i="3"/>
  <c r="B670" i="3"/>
  <c r="C670" i="3"/>
  <c r="D670" i="3"/>
  <c r="E670" i="3"/>
  <c r="F670" i="3"/>
  <c r="G670" i="3"/>
  <c r="B671" i="3"/>
  <c r="C671" i="3"/>
  <c r="D671" i="3"/>
  <c r="E671" i="3"/>
  <c r="F671" i="3"/>
  <c r="G671" i="3"/>
  <c r="B672" i="3"/>
  <c r="C672" i="3"/>
  <c r="D672" i="3"/>
  <c r="E672" i="3"/>
  <c r="F672" i="3"/>
  <c r="G672" i="3"/>
  <c r="B673" i="3"/>
  <c r="C673" i="3"/>
  <c r="D673" i="3"/>
  <c r="E673" i="3"/>
  <c r="F673" i="3"/>
  <c r="G673" i="3"/>
  <c r="B674" i="3"/>
  <c r="C674" i="3"/>
  <c r="D674" i="3"/>
  <c r="E674" i="3"/>
  <c r="F674" i="3"/>
  <c r="G674" i="3"/>
  <c r="B675" i="3"/>
  <c r="C675" i="3"/>
  <c r="D675" i="3"/>
  <c r="E675" i="3"/>
  <c r="F675" i="3"/>
  <c r="G675" i="3"/>
  <c r="B676" i="3"/>
  <c r="C676" i="3"/>
  <c r="D676" i="3"/>
  <c r="E676" i="3"/>
  <c r="F676" i="3"/>
  <c r="G676" i="3"/>
  <c r="B677" i="3"/>
  <c r="C677" i="3"/>
  <c r="D677" i="3"/>
  <c r="E677" i="3"/>
  <c r="F677" i="3"/>
  <c r="G677" i="3"/>
  <c r="B678" i="3"/>
  <c r="C678" i="3"/>
  <c r="D678" i="3"/>
  <c r="E678" i="3"/>
  <c r="F678" i="3"/>
  <c r="G678" i="3"/>
  <c r="B679" i="3"/>
  <c r="C679" i="3"/>
  <c r="D679" i="3"/>
  <c r="E679" i="3"/>
  <c r="F679" i="3"/>
  <c r="G679" i="3"/>
  <c r="B680" i="3"/>
  <c r="C680" i="3"/>
  <c r="D680" i="3"/>
  <c r="E680" i="3"/>
  <c r="F680" i="3"/>
  <c r="G680" i="3"/>
  <c r="B681" i="3"/>
  <c r="C681" i="3"/>
  <c r="D681" i="3"/>
  <c r="E681" i="3"/>
  <c r="F681" i="3"/>
  <c r="G681" i="3"/>
  <c r="B682" i="3"/>
  <c r="C682" i="3"/>
  <c r="D682" i="3"/>
  <c r="E682" i="3"/>
  <c r="F682" i="3"/>
  <c r="G682" i="3"/>
  <c r="B683" i="3"/>
  <c r="C683" i="3"/>
  <c r="D683" i="3"/>
  <c r="E683" i="3"/>
  <c r="F683" i="3"/>
  <c r="G683" i="3"/>
  <c r="B684" i="3"/>
  <c r="C684" i="3"/>
  <c r="D684" i="3"/>
  <c r="E684" i="3"/>
  <c r="F684" i="3"/>
  <c r="G684" i="3"/>
  <c r="B685" i="3"/>
  <c r="C685" i="3"/>
  <c r="D685" i="3"/>
  <c r="E685" i="3"/>
  <c r="F685" i="3"/>
  <c r="G685" i="3"/>
  <c r="B686" i="3"/>
  <c r="C686" i="3"/>
  <c r="D686" i="3"/>
  <c r="E686" i="3"/>
  <c r="F686" i="3"/>
  <c r="G686" i="3"/>
  <c r="B687" i="3"/>
  <c r="C687" i="3"/>
  <c r="D687" i="3"/>
  <c r="E687" i="3"/>
  <c r="F687" i="3"/>
  <c r="G687" i="3"/>
  <c r="B688" i="3"/>
  <c r="C688" i="3"/>
  <c r="D688" i="3"/>
  <c r="E688" i="3"/>
  <c r="F688" i="3"/>
  <c r="G688" i="3"/>
  <c r="B689" i="3"/>
  <c r="C689" i="3"/>
  <c r="D689" i="3"/>
  <c r="E689" i="3"/>
  <c r="F689" i="3"/>
  <c r="G689" i="3"/>
  <c r="B690" i="3"/>
  <c r="C690" i="3"/>
  <c r="D690" i="3"/>
  <c r="E690" i="3"/>
  <c r="F690" i="3"/>
  <c r="G690" i="3"/>
  <c r="B691" i="3"/>
  <c r="C691" i="3"/>
  <c r="D691" i="3"/>
  <c r="E691" i="3"/>
  <c r="F691" i="3"/>
  <c r="G691" i="3"/>
  <c r="B692" i="3"/>
  <c r="C692" i="3"/>
  <c r="D692" i="3"/>
  <c r="E692" i="3"/>
  <c r="F692" i="3"/>
  <c r="G692" i="3"/>
  <c r="B693" i="3"/>
  <c r="C693" i="3"/>
  <c r="D693" i="3"/>
  <c r="E693" i="3"/>
  <c r="F693" i="3"/>
  <c r="G693" i="3"/>
  <c r="B694" i="3"/>
  <c r="C694" i="3"/>
  <c r="D694" i="3"/>
  <c r="E694" i="3"/>
  <c r="F694" i="3"/>
  <c r="G694" i="3"/>
  <c r="B695" i="3"/>
  <c r="C695" i="3"/>
  <c r="D695" i="3"/>
  <c r="E695" i="3"/>
  <c r="F695" i="3"/>
  <c r="G695" i="3"/>
  <c r="B696" i="3"/>
  <c r="C696" i="3"/>
  <c r="D696" i="3"/>
  <c r="E696" i="3"/>
  <c r="F696" i="3"/>
  <c r="G696" i="3"/>
  <c r="B697" i="3"/>
  <c r="C697" i="3"/>
  <c r="D697" i="3"/>
  <c r="E697" i="3"/>
  <c r="F697" i="3"/>
  <c r="G697" i="3"/>
  <c r="B698" i="3"/>
  <c r="C698" i="3"/>
  <c r="D698" i="3"/>
  <c r="E698" i="3"/>
  <c r="F698" i="3"/>
  <c r="G698" i="3"/>
  <c r="B699" i="3"/>
  <c r="C699" i="3"/>
  <c r="D699" i="3"/>
  <c r="E699" i="3"/>
  <c r="F699" i="3"/>
  <c r="G699" i="3"/>
  <c r="B700" i="3"/>
  <c r="C700" i="3"/>
  <c r="D700" i="3"/>
  <c r="E700" i="3"/>
  <c r="F700" i="3"/>
  <c r="G700" i="3"/>
  <c r="B701" i="3"/>
  <c r="C701" i="3"/>
  <c r="D701" i="3"/>
  <c r="E701" i="3"/>
  <c r="F701" i="3"/>
  <c r="G701" i="3"/>
  <c r="B702" i="3"/>
  <c r="C702" i="3"/>
  <c r="D702" i="3"/>
  <c r="E702" i="3"/>
  <c r="F702" i="3"/>
  <c r="G702" i="3"/>
  <c r="B703" i="3"/>
  <c r="C703" i="3"/>
  <c r="D703" i="3"/>
  <c r="E703" i="3"/>
  <c r="F703" i="3"/>
  <c r="G703" i="3"/>
  <c r="B704" i="3"/>
  <c r="C704" i="3"/>
  <c r="D704" i="3"/>
  <c r="E704" i="3"/>
  <c r="F704" i="3"/>
  <c r="G704" i="3"/>
  <c r="B705" i="3"/>
  <c r="C705" i="3"/>
  <c r="D705" i="3"/>
  <c r="E705" i="3"/>
  <c r="F705" i="3"/>
  <c r="G705" i="3"/>
  <c r="B706" i="3"/>
  <c r="C706" i="3"/>
  <c r="D706" i="3"/>
  <c r="E706" i="3"/>
  <c r="F706" i="3"/>
  <c r="G706" i="3"/>
  <c r="B707" i="3"/>
  <c r="C707" i="3"/>
  <c r="D707" i="3"/>
  <c r="E707" i="3"/>
  <c r="F707" i="3"/>
  <c r="G707" i="3"/>
  <c r="B708" i="3"/>
  <c r="C708" i="3"/>
  <c r="D708" i="3"/>
  <c r="E708" i="3"/>
  <c r="F708" i="3"/>
  <c r="G708" i="3"/>
  <c r="B709" i="3"/>
  <c r="C709" i="3"/>
  <c r="D709" i="3"/>
  <c r="E709" i="3"/>
  <c r="F709" i="3"/>
  <c r="G709" i="3"/>
  <c r="B710" i="3"/>
  <c r="C710" i="3"/>
  <c r="D710" i="3"/>
  <c r="E710" i="3"/>
  <c r="F710" i="3"/>
  <c r="G710" i="3"/>
  <c r="B711" i="3"/>
  <c r="C711" i="3"/>
  <c r="D711" i="3"/>
  <c r="E711" i="3"/>
  <c r="F711" i="3"/>
  <c r="G711" i="3"/>
  <c r="B712" i="3"/>
  <c r="C712" i="3"/>
  <c r="D712" i="3"/>
  <c r="E712" i="3"/>
  <c r="F712" i="3"/>
  <c r="G712" i="3"/>
  <c r="B713" i="3"/>
  <c r="C713" i="3"/>
  <c r="D713" i="3"/>
  <c r="E713" i="3"/>
  <c r="F713" i="3"/>
  <c r="G713" i="3"/>
  <c r="B714" i="3"/>
  <c r="C714" i="3"/>
  <c r="D714" i="3"/>
  <c r="E714" i="3"/>
  <c r="F714" i="3"/>
  <c r="G714" i="3"/>
  <c r="B715" i="3"/>
  <c r="C715" i="3"/>
  <c r="D715" i="3"/>
  <c r="E715" i="3"/>
  <c r="F715" i="3"/>
  <c r="G715" i="3"/>
  <c r="B716" i="3"/>
  <c r="C716" i="3"/>
  <c r="D716" i="3"/>
  <c r="E716" i="3"/>
  <c r="F716" i="3"/>
  <c r="G716" i="3"/>
  <c r="B717" i="3"/>
  <c r="C717" i="3"/>
  <c r="D717" i="3"/>
  <c r="E717" i="3"/>
  <c r="F717" i="3"/>
  <c r="G717" i="3"/>
  <c r="B718" i="3"/>
  <c r="C718" i="3"/>
  <c r="D718" i="3"/>
  <c r="E718" i="3"/>
  <c r="F718" i="3"/>
  <c r="G718" i="3"/>
  <c r="B719" i="3"/>
  <c r="C719" i="3"/>
  <c r="D719" i="3"/>
  <c r="E719" i="3"/>
  <c r="F719" i="3"/>
  <c r="G719" i="3"/>
  <c r="B720" i="3"/>
  <c r="C720" i="3"/>
  <c r="D720" i="3"/>
  <c r="E720" i="3"/>
  <c r="F720" i="3"/>
  <c r="G720" i="3"/>
  <c r="B721" i="3"/>
  <c r="C721" i="3"/>
  <c r="D721" i="3"/>
  <c r="E721" i="3"/>
  <c r="F721" i="3"/>
  <c r="G721" i="3"/>
  <c r="B722" i="3"/>
  <c r="C722" i="3"/>
  <c r="D722" i="3"/>
  <c r="E722" i="3"/>
  <c r="F722" i="3"/>
  <c r="G722" i="3"/>
  <c r="B723" i="3"/>
  <c r="C723" i="3"/>
  <c r="D723" i="3"/>
  <c r="E723" i="3"/>
  <c r="F723" i="3"/>
  <c r="G723" i="3"/>
  <c r="B724" i="3"/>
  <c r="C724" i="3"/>
  <c r="D724" i="3"/>
  <c r="E724" i="3"/>
  <c r="F724" i="3"/>
  <c r="G724" i="3"/>
  <c r="B725" i="3"/>
  <c r="C725" i="3"/>
  <c r="D725" i="3"/>
  <c r="E725" i="3"/>
  <c r="F725" i="3"/>
  <c r="G725" i="3"/>
  <c r="B726" i="3"/>
  <c r="C726" i="3"/>
  <c r="D726" i="3"/>
  <c r="E726" i="3"/>
  <c r="F726" i="3"/>
  <c r="G726" i="3"/>
  <c r="B727" i="3"/>
  <c r="C727" i="3"/>
  <c r="D727" i="3"/>
  <c r="E727" i="3"/>
  <c r="F727" i="3"/>
  <c r="G727" i="3"/>
  <c r="B728" i="3"/>
  <c r="C728" i="3"/>
  <c r="D728" i="3"/>
  <c r="E728" i="3"/>
  <c r="F728" i="3"/>
  <c r="G728" i="3"/>
  <c r="B729" i="3"/>
  <c r="C729" i="3"/>
  <c r="D729" i="3"/>
  <c r="E729" i="3"/>
  <c r="F729" i="3"/>
  <c r="G729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189" i="3"/>
  <c r="A190" i="3"/>
  <c r="A191" i="3"/>
  <c r="A192" i="3"/>
  <c r="A193" i="3"/>
  <c r="A194" i="3"/>
  <c r="A195" i="3"/>
  <c r="A196" i="3"/>
  <c r="B189" i="2"/>
  <c r="C189" i="2"/>
  <c r="D189" i="2"/>
  <c r="F189" i="2"/>
  <c r="G189" i="2"/>
  <c r="H189" i="2"/>
  <c r="B190" i="2"/>
  <c r="C190" i="2"/>
  <c r="D190" i="2"/>
  <c r="F190" i="2"/>
  <c r="G190" i="2"/>
  <c r="H190" i="2"/>
  <c r="B191" i="2"/>
  <c r="C191" i="2"/>
  <c r="D191" i="2"/>
  <c r="F191" i="2"/>
  <c r="G191" i="2"/>
  <c r="H191" i="2"/>
  <c r="B192" i="2"/>
  <c r="C192" i="2"/>
  <c r="D192" i="2"/>
  <c r="F192" i="2"/>
  <c r="G192" i="2"/>
  <c r="H192" i="2"/>
  <c r="B193" i="2"/>
  <c r="C193" i="2"/>
  <c r="D193" i="2"/>
  <c r="F193" i="2"/>
  <c r="G193" i="2"/>
  <c r="H193" i="2"/>
  <c r="B194" i="2"/>
  <c r="C194" i="2"/>
  <c r="D194" i="2"/>
  <c r="F194" i="2"/>
  <c r="G194" i="2"/>
  <c r="H194" i="2"/>
  <c r="B195" i="2"/>
  <c r="C195" i="2"/>
  <c r="D195" i="2"/>
  <c r="F195" i="2"/>
  <c r="G195" i="2"/>
  <c r="H195" i="2"/>
  <c r="B196" i="2"/>
  <c r="C196" i="2"/>
  <c r="D196" i="2"/>
  <c r="F196" i="2"/>
  <c r="G196" i="2"/>
  <c r="H196" i="2"/>
  <c r="B197" i="2"/>
  <c r="C197" i="2"/>
  <c r="D197" i="2"/>
  <c r="F197" i="2"/>
  <c r="G197" i="2"/>
  <c r="H197" i="2"/>
  <c r="B198" i="2"/>
  <c r="C198" i="2"/>
  <c r="D198" i="2"/>
  <c r="F198" i="2"/>
  <c r="G198" i="2"/>
  <c r="H198" i="2"/>
  <c r="B199" i="2"/>
  <c r="C199" i="2"/>
  <c r="D199" i="2"/>
  <c r="F199" i="2"/>
  <c r="G199" i="2"/>
  <c r="H199" i="2"/>
  <c r="B200" i="2"/>
  <c r="C200" i="2"/>
  <c r="D200" i="2"/>
  <c r="F200" i="2"/>
  <c r="G200" i="2"/>
  <c r="H200" i="2"/>
  <c r="B201" i="2"/>
  <c r="C201" i="2"/>
  <c r="D201" i="2"/>
  <c r="F201" i="2"/>
  <c r="G201" i="2"/>
  <c r="H201" i="2"/>
  <c r="B202" i="2"/>
  <c r="C202" i="2"/>
  <c r="D202" i="2"/>
  <c r="F202" i="2"/>
  <c r="G202" i="2"/>
  <c r="H202" i="2"/>
  <c r="B203" i="2"/>
  <c r="C203" i="2"/>
  <c r="D203" i="2"/>
  <c r="F203" i="2"/>
  <c r="G203" i="2"/>
  <c r="H203" i="2"/>
  <c r="B204" i="2"/>
  <c r="C204" i="2"/>
  <c r="D204" i="2"/>
  <c r="F204" i="2"/>
  <c r="G204" i="2"/>
  <c r="H204" i="2"/>
  <c r="B205" i="2"/>
  <c r="C205" i="2"/>
  <c r="D205" i="2"/>
  <c r="F205" i="2"/>
  <c r="G205" i="2"/>
  <c r="H205" i="2"/>
  <c r="B206" i="2"/>
  <c r="C206" i="2"/>
  <c r="D206" i="2"/>
  <c r="F206" i="2"/>
  <c r="G206" i="2"/>
  <c r="H206" i="2"/>
  <c r="B207" i="2"/>
  <c r="C207" i="2"/>
  <c r="D207" i="2"/>
  <c r="F207" i="2"/>
  <c r="G207" i="2"/>
  <c r="H207" i="2"/>
  <c r="B208" i="2"/>
  <c r="C208" i="2"/>
  <c r="D208" i="2"/>
  <c r="F208" i="2"/>
  <c r="G208" i="2"/>
  <c r="H208" i="2"/>
  <c r="B209" i="2"/>
  <c r="C209" i="2"/>
  <c r="D209" i="2"/>
  <c r="F209" i="2"/>
  <c r="G209" i="2"/>
  <c r="H209" i="2"/>
  <c r="B210" i="2"/>
  <c r="C210" i="2"/>
  <c r="D210" i="2"/>
  <c r="F210" i="2"/>
  <c r="G210" i="2"/>
  <c r="H210" i="2"/>
  <c r="B211" i="2"/>
  <c r="C211" i="2"/>
  <c r="D211" i="2"/>
  <c r="F211" i="2"/>
  <c r="G211" i="2"/>
  <c r="H211" i="2"/>
  <c r="B212" i="2"/>
  <c r="C212" i="2"/>
  <c r="D212" i="2"/>
  <c r="F212" i="2"/>
  <c r="G212" i="2"/>
  <c r="H212" i="2"/>
  <c r="B213" i="2"/>
  <c r="C213" i="2"/>
  <c r="D213" i="2"/>
  <c r="F213" i="2"/>
  <c r="G213" i="2"/>
  <c r="H213" i="2"/>
  <c r="B214" i="2"/>
  <c r="C214" i="2"/>
  <c r="D214" i="2"/>
  <c r="F214" i="2"/>
  <c r="G214" i="2"/>
  <c r="H214" i="2"/>
  <c r="B215" i="2"/>
  <c r="C215" i="2"/>
  <c r="D215" i="2"/>
  <c r="F215" i="2"/>
  <c r="G215" i="2"/>
  <c r="H215" i="2"/>
  <c r="B216" i="2"/>
  <c r="C216" i="2"/>
  <c r="D216" i="2"/>
  <c r="F216" i="2"/>
  <c r="G216" i="2"/>
  <c r="H216" i="2"/>
  <c r="B217" i="2"/>
  <c r="C217" i="2"/>
  <c r="D217" i="2"/>
  <c r="F217" i="2"/>
  <c r="G217" i="2"/>
  <c r="H217" i="2"/>
  <c r="B218" i="2"/>
  <c r="C218" i="2"/>
  <c r="D218" i="2"/>
  <c r="F218" i="2"/>
  <c r="G218" i="2"/>
  <c r="H218" i="2"/>
  <c r="B219" i="2"/>
  <c r="C219" i="2"/>
  <c r="D219" i="2"/>
  <c r="F219" i="2"/>
  <c r="G219" i="2"/>
  <c r="H219" i="2"/>
  <c r="B220" i="2"/>
  <c r="C220" i="2"/>
  <c r="D220" i="2"/>
  <c r="F220" i="2"/>
  <c r="G220" i="2"/>
  <c r="H220" i="2"/>
  <c r="B221" i="2"/>
  <c r="C221" i="2"/>
  <c r="D221" i="2"/>
  <c r="F221" i="2"/>
  <c r="G221" i="2"/>
  <c r="H221" i="2"/>
  <c r="B222" i="2"/>
  <c r="C222" i="2"/>
  <c r="D222" i="2"/>
  <c r="F222" i="2"/>
  <c r="G222" i="2"/>
  <c r="H222" i="2"/>
  <c r="B223" i="2"/>
  <c r="C223" i="2"/>
  <c r="D223" i="2"/>
  <c r="F223" i="2"/>
  <c r="G223" i="2"/>
  <c r="H223" i="2"/>
  <c r="B224" i="2"/>
  <c r="C224" i="2"/>
  <c r="D224" i="2"/>
  <c r="F224" i="2"/>
  <c r="G224" i="2"/>
  <c r="H224" i="2"/>
  <c r="B225" i="2"/>
  <c r="C225" i="2"/>
  <c r="D225" i="2"/>
  <c r="F225" i="2"/>
  <c r="G225" i="2"/>
  <c r="H225" i="2"/>
  <c r="B226" i="2"/>
  <c r="C226" i="2"/>
  <c r="D226" i="2"/>
  <c r="F226" i="2"/>
  <c r="G226" i="2"/>
  <c r="H226" i="2"/>
  <c r="B227" i="2"/>
  <c r="C227" i="2"/>
  <c r="D227" i="2"/>
  <c r="F227" i="2"/>
  <c r="G227" i="2"/>
  <c r="H227" i="2"/>
  <c r="B228" i="2"/>
  <c r="C228" i="2"/>
  <c r="D228" i="2"/>
  <c r="F228" i="2"/>
  <c r="G228" i="2"/>
  <c r="H228" i="2"/>
  <c r="B229" i="2"/>
  <c r="C229" i="2"/>
  <c r="D229" i="2"/>
  <c r="F229" i="2"/>
  <c r="G229" i="2"/>
  <c r="H229" i="2"/>
  <c r="B230" i="2"/>
  <c r="C230" i="2"/>
  <c r="D230" i="2"/>
  <c r="F230" i="2"/>
  <c r="G230" i="2"/>
  <c r="H230" i="2"/>
  <c r="B231" i="2"/>
  <c r="C231" i="2"/>
  <c r="D231" i="2"/>
  <c r="F231" i="2"/>
  <c r="G231" i="2"/>
  <c r="H231" i="2"/>
  <c r="B232" i="2"/>
  <c r="C232" i="2"/>
  <c r="D232" i="2"/>
  <c r="F232" i="2"/>
  <c r="G232" i="2"/>
  <c r="H232" i="2"/>
  <c r="B233" i="2"/>
  <c r="C233" i="2"/>
  <c r="D233" i="2"/>
  <c r="F233" i="2"/>
  <c r="G233" i="2"/>
  <c r="H233" i="2"/>
  <c r="B234" i="2"/>
  <c r="C234" i="2"/>
  <c r="D234" i="2"/>
  <c r="F234" i="2"/>
  <c r="G234" i="2"/>
  <c r="H234" i="2"/>
  <c r="B235" i="2"/>
  <c r="C235" i="2"/>
  <c r="D235" i="2"/>
  <c r="F235" i="2"/>
  <c r="G235" i="2"/>
  <c r="H235" i="2"/>
  <c r="B236" i="2"/>
  <c r="C236" i="2"/>
  <c r="D236" i="2"/>
  <c r="F236" i="2"/>
  <c r="G236" i="2"/>
  <c r="H236" i="2"/>
  <c r="B237" i="2"/>
  <c r="C237" i="2"/>
  <c r="D237" i="2"/>
  <c r="F237" i="2"/>
  <c r="G237" i="2"/>
  <c r="H237" i="2"/>
  <c r="B238" i="2"/>
  <c r="C238" i="2"/>
  <c r="D238" i="2"/>
  <c r="F238" i="2"/>
  <c r="G238" i="2"/>
  <c r="H238" i="2"/>
  <c r="B239" i="2"/>
  <c r="C239" i="2"/>
  <c r="D239" i="2"/>
  <c r="F239" i="2"/>
  <c r="G239" i="2"/>
  <c r="H239" i="2"/>
  <c r="B240" i="2"/>
  <c r="C240" i="2"/>
  <c r="D240" i="2"/>
  <c r="F240" i="2"/>
  <c r="G240" i="2"/>
  <c r="H240" i="2"/>
  <c r="B241" i="2"/>
  <c r="C241" i="2"/>
  <c r="D241" i="2"/>
  <c r="F241" i="2"/>
  <c r="G241" i="2"/>
  <c r="H241" i="2"/>
  <c r="B242" i="2"/>
  <c r="C242" i="2"/>
  <c r="D242" i="2"/>
  <c r="F242" i="2"/>
  <c r="G242" i="2"/>
  <c r="H242" i="2"/>
  <c r="B243" i="2"/>
  <c r="C243" i="2"/>
  <c r="D243" i="2"/>
  <c r="F243" i="2"/>
  <c r="G243" i="2"/>
  <c r="H243" i="2"/>
  <c r="B244" i="2"/>
  <c r="C244" i="2"/>
  <c r="D244" i="2"/>
  <c r="F244" i="2"/>
  <c r="G244" i="2"/>
  <c r="H244" i="2"/>
  <c r="B245" i="2"/>
  <c r="C245" i="2"/>
  <c r="D245" i="2"/>
  <c r="F245" i="2"/>
  <c r="G245" i="2"/>
  <c r="H245" i="2"/>
  <c r="B246" i="2"/>
  <c r="C246" i="2"/>
  <c r="D246" i="2"/>
  <c r="F246" i="2"/>
  <c r="G246" i="2"/>
  <c r="H246" i="2"/>
  <c r="B247" i="2"/>
  <c r="C247" i="2"/>
  <c r="D247" i="2"/>
  <c r="F247" i="2"/>
  <c r="G247" i="2"/>
  <c r="H247" i="2"/>
  <c r="B248" i="2"/>
  <c r="C248" i="2"/>
  <c r="D248" i="2"/>
  <c r="F248" i="2"/>
  <c r="G248" i="2"/>
  <c r="H248" i="2"/>
  <c r="B249" i="2"/>
  <c r="C249" i="2"/>
  <c r="D249" i="2"/>
  <c r="F249" i="2"/>
  <c r="G249" i="2"/>
  <c r="H249" i="2"/>
  <c r="B250" i="2"/>
  <c r="C250" i="2"/>
  <c r="D250" i="2"/>
  <c r="F250" i="2"/>
  <c r="G250" i="2"/>
  <c r="H250" i="2"/>
  <c r="B251" i="2"/>
  <c r="C251" i="2"/>
  <c r="D251" i="2"/>
  <c r="F251" i="2"/>
  <c r="G251" i="2"/>
  <c r="H251" i="2"/>
  <c r="B252" i="2"/>
  <c r="C252" i="2"/>
  <c r="D252" i="2"/>
  <c r="F252" i="2"/>
  <c r="G252" i="2"/>
  <c r="H252" i="2"/>
  <c r="B253" i="2"/>
  <c r="C253" i="2"/>
  <c r="D253" i="2"/>
  <c r="F253" i="2"/>
  <c r="G253" i="2"/>
  <c r="H253" i="2"/>
  <c r="B254" i="2"/>
  <c r="C254" i="2"/>
  <c r="D254" i="2"/>
  <c r="F254" i="2"/>
  <c r="G254" i="2"/>
  <c r="H254" i="2"/>
  <c r="B255" i="2"/>
  <c r="C255" i="2"/>
  <c r="D255" i="2"/>
  <c r="F255" i="2"/>
  <c r="G255" i="2"/>
  <c r="H255" i="2"/>
  <c r="B256" i="2"/>
  <c r="C256" i="2"/>
  <c r="D256" i="2"/>
  <c r="F256" i="2"/>
  <c r="G256" i="2"/>
  <c r="H256" i="2"/>
  <c r="B257" i="2"/>
  <c r="C257" i="2"/>
  <c r="D257" i="2"/>
  <c r="F257" i="2"/>
  <c r="G257" i="2"/>
  <c r="H257" i="2"/>
  <c r="B258" i="2"/>
  <c r="C258" i="2"/>
  <c r="D258" i="2"/>
  <c r="F258" i="2"/>
  <c r="G258" i="2"/>
  <c r="H258" i="2"/>
  <c r="B259" i="2"/>
  <c r="C259" i="2"/>
  <c r="D259" i="2"/>
  <c r="F259" i="2"/>
  <c r="G259" i="2"/>
  <c r="H259" i="2"/>
  <c r="B260" i="2"/>
  <c r="C260" i="2"/>
  <c r="D260" i="2"/>
  <c r="F260" i="2"/>
  <c r="G260" i="2"/>
  <c r="H260" i="2"/>
  <c r="B261" i="2"/>
  <c r="C261" i="2"/>
  <c r="D261" i="2"/>
  <c r="F261" i="2"/>
  <c r="G261" i="2"/>
  <c r="H261" i="2"/>
  <c r="B262" i="2"/>
  <c r="C262" i="2"/>
  <c r="D262" i="2"/>
  <c r="F262" i="2"/>
  <c r="G262" i="2"/>
  <c r="H262" i="2"/>
  <c r="B263" i="2"/>
  <c r="C263" i="2"/>
  <c r="D263" i="2"/>
  <c r="F263" i="2"/>
  <c r="G263" i="2"/>
  <c r="H263" i="2"/>
  <c r="B264" i="2"/>
  <c r="C264" i="2"/>
  <c r="D264" i="2"/>
  <c r="F264" i="2"/>
  <c r="G264" i="2"/>
  <c r="H264" i="2"/>
  <c r="B265" i="2"/>
  <c r="C265" i="2"/>
  <c r="D265" i="2"/>
  <c r="F265" i="2"/>
  <c r="G265" i="2"/>
  <c r="H265" i="2"/>
  <c r="B266" i="2"/>
  <c r="C266" i="2"/>
  <c r="D266" i="2"/>
  <c r="F266" i="2"/>
  <c r="G266" i="2"/>
  <c r="H266" i="2"/>
  <c r="B267" i="2"/>
  <c r="C267" i="2"/>
  <c r="D267" i="2"/>
  <c r="F267" i="2"/>
  <c r="G267" i="2"/>
  <c r="H267" i="2"/>
  <c r="B268" i="2"/>
  <c r="C268" i="2"/>
  <c r="D268" i="2"/>
  <c r="F268" i="2"/>
  <c r="G268" i="2"/>
  <c r="H268" i="2"/>
  <c r="B269" i="2"/>
  <c r="C269" i="2"/>
  <c r="D269" i="2"/>
  <c r="F269" i="2"/>
  <c r="G269" i="2"/>
  <c r="H269" i="2"/>
  <c r="B270" i="2"/>
  <c r="C270" i="2"/>
  <c r="D270" i="2"/>
  <c r="F270" i="2"/>
  <c r="G270" i="2"/>
  <c r="H270" i="2"/>
  <c r="B271" i="2"/>
  <c r="C271" i="2"/>
  <c r="D271" i="2"/>
  <c r="F271" i="2"/>
  <c r="G271" i="2"/>
  <c r="H271" i="2"/>
  <c r="B272" i="2"/>
  <c r="C272" i="2"/>
  <c r="D272" i="2"/>
  <c r="F272" i="2"/>
  <c r="G272" i="2"/>
  <c r="H272" i="2"/>
  <c r="B273" i="2"/>
  <c r="C273" i="2"/>
  <c r="D273" i="2"/>
  <c r="F273" i="2"/>
  <c r="G273" i="2"/>
  <c r="H273" i="2"/>
  <c r="B274" i="2"/>
  <c r="C274" i="2"/>
  <c r="D274" i="2"/>
  <c r="F274" i="2"/>
  <c r="G274" i="2"/>
  <c r="H274" i="2"/>
  <c r="B275" i="2"/>
  <c r="C275" i="2"/>
  <c r="D275" i="2"/>
  <c r="F275" i="2"/>
  <c r="G275" i="2"/>
  <c r="H275" i="2"/>
  <c r="B276" i="2"/>
  <c r="C276" i="2"/>
  <c r="D276" i="2"/>
  <c r="F276" i="2"/>
  <c r="G276" i="2"/>
  <c r="H276" i="2"/>
  <c r="B277" i="2"/>
  <c r="C277" i="2"/>
  <c r="D277" i="2"/>
  <c r="F277" i="2"/>
  <c r="G277" i="2"/>
  <c r="H277" i="2"/>
  <c r="B278" i="2"/>
  <c r="C278" i="2"/>
  <c r="D278" i="2"/>
  <c r="F278" i="2"/>
  <c r="G278" i="2"/>
  <c r="H278" i="2"/>
  <c r="B279" i="2"/>
  <c r="C279" i="2"/>
  <c r="D279" i="2"/>
  <c r="F279" i="2"/>
  <c r="G279" i="2"/>
  <c r="H279" i="2"/>
  <c r="B280" i="2"/>
  <c r="C280" i="2"/>
  <c r="D280" i="2"/>
  <c r="F280" i="2"/>
  <c r="G280" i="2"/>
  <c r="H280" i="2"/>
  <c r="B281" i="2"/>
  <c r="C281" i="2"/>
  <c r="D281" i="2"/>
  <c r="F281" i="2"/>
  <c r="G281" i="2"/>
  <c r="H281" i="2"/>
  <c r="B282" i="2"/>
  <c r="C282" i="2"/>
  <c r="D282" i="2"/>
  <c r="F282" i="2"/>
  <c r="G282" i="2"/>
  <c r="H282" i="2"/>
  <c r="B283" i="2"/>
  <c r="C283" i="2"/>
  <c r="D283" i="2"/>
  <c r="F283" i="2"/>
  <c r="G283" i="2"/>
  <c r="H283" i="2"/>
  <c r="B284" i="2"/>
  <c r="C284" i="2"/>
  <c r="D284" i="2"/>
  <c r="F284" i="2"/>
  <c r="G284" i="2"/>
  <c r="H284" i="2"/>
  <c r="B285" i="2"/>
  <c r="C285" i="2"/>
  <c r="D285" i="2"/>
  <c r="F285" i="2"/>
  <c r="G285" i="2"/>
  <c r="H285" i="2"/>
  <c r="B286" i="2"/>
  <c r="C286" i="2"/>
  <c r="D286" i="2"/>
  <c r="F286" i="2"/>
  <c r="G286" i="2"/>
  <c r="H286" i="2"/>
  <c r="B287" i="2"/>
  <c r="C287" i="2"/>
  <c r="D287" i="2"/>
  <c r="F287" i="2"/>
  <c r="G287" i="2"/>
  <c r="H287" i="2"/>
  <c r="B288" i="2"/>
  <c r="C288" i="2"/>
  <c r="D288" i="2"/>
  <c r="F288" i="2"/>
  <c r="G288" i="2"/>
  <c r="H288" i="2"/>
  <c r="B289" i="2"/>
  <c r="C289" i="2"/>
  <c r="D289" i="2"/>
  <c r="F289" i="2"/>
  <c r="G289" i="2"/>
  <c r="H289" i="2"/>
  <c r="B290" i="2"/>
  <c r="C290" i="2"/>
  <c r="D290" i="2"/>
  <c r="F290" i="2"/>
  <c r="G290" i="2"/>
  <c r="H290" i="2"/>
  <c r="B291" i="2"/>
  <c r="C291" i="2"/>
  <c r="D291" i="2"/>
  <c r="F291" i="2"/>
  <c r="G291" i="2"/>
  <c r="H291" i="2"/>
  <c r="B292" i="2"/>
  <c r="C292" i="2"/>
  <c r="D292" i="2"/>
  <c r="F292" i="2"/>
  <c r="G292" i="2"/>
  <c r="H292" i="2"/>
  <c r="B293" i="2"/>
  <c r="C293" i="2"/>
  <c r="D293" i="2"/>
  <c r="F293" i="2"/>
  <c r="G293" i="2"/>
  <c r="H293" i="2"/>
  <c r="B294" i="2"/>
  <c r="C294" i="2"/>
  <c r="D294" i="2"/>
  <c r="F294" i="2"/>
  <c r="G294" i="2"/>
  <c r="H294" i="2"/>
  <c r="B295" i="2"/>
  <c r="C295" i="2"/>
  <c r="D295" i="2"/>
  <c r="F295" i="2"/>
  <c r="G295" i="2"/>
  <c r="H295" i="2"/>
  <c r="B296" i="2"/>
  <c r="C296" i="2"/>
  <c r="D296" i="2"/>
  <c r="F296" i="2"/>
  <c r="G296" i="2"/>
  <c r="H296" i="2"/>
  <c r="B297" i="2"/>
  <c r="C297" i="2"/>
  <c r="D297" i="2"/>
  <c r="F297" i="2"/>
  <c r="G297" i="2"/>
  <c r="H297" i="2"/>
  <c r="B298" i="2"/>
  <c r="C298" i="2"/>
  <c r="D298" i="2"/>
  <c r="F298" i="2"/>
  <c r="G298" i="2"/>
  <c r="H298" i="2"/>
  <c r="B299" i="2"/>
  <c r="C299" i="2"/>
  <c r="D299" i="2"/>
  <c r="F299" i="2"/>
  <c r="G299" i="2"/>
  <c r="H299" i="2"/>
  <c r="B300" i="2"/>
  <c r="C300" i="2"/>
  <c r="D300" i="2"/>
  <c r="F300" i="2"/>
  <c r="G300" i="2"/>
  <c r="H300" i="2"/>
  <c r="B301" i="2"/>
  <c r="C301" i="2"/>
  <c r="D301" i="2"/>
  <c r="F301" i="2"/>
  <c r="G301" i="2"/>
  <c r="H301" i="2"/>
  <c r="B302" i="2"/>
  <c r="C302" i="2"/>
  <c r="D302" i="2"/>
  <c r="F302" i="2"/>
  <c r="G302" i="2"/>
  <c r="H302" i="2"/>
  <c r="B303" i="2"/>
  <c r="C303" i="2"/>
  <c r="D303" i="2"/>
  <c r="F303" i="2"/>
  <c r="G303" i="2"/>
  <c r="H303" i="2"/>
  <c r="B304" i="2"/>
  <c r="C304" i="2"/>
  <c r="D304" i="2"/>
  <c r="F304" i="2"/>
  <c r="G304" i="2"/>
  <c r="H304" i="2"/>
  <c r="B305" i="2"/>
  <c r="C305" i="2"/>
  <c r="D305" i="2"/>
  <c r="F305" i="2"/>
  <c r="G305" i="2"/>
  <c r="H305" i="2"/>
  <c r="B306" i="2"/>
  <c r="C306" i="2"/>
  <c r="D306" i="2"/>
  <c r="F306" i="2"/>
  <c r="G306" i="2"/>
  <c r="H306" i="2"/>
  <c r="B307" i="2"/>
  <c r="C307" i="2"/>
  <c r="D307" i="2"/>
  <c r="F307" i="2"/>
  <c r="G307" i="2"/>
  <c r="H307" i="2"/>
  <c r="B308" i="2"/>
  <c r="C308" i="2"/>
  <c r="D308" i="2"/>
  <c r="F308" i="2"/>
  <c r="G308" i="2"/>
  <c r="H308" i="2"/>
  <c r="B309" i="2"/>
  <c r="C309" i="2"/>
  <c r="D309" i="2"/>
  <c r="F309" i="2"/>
  <c r="G309" i="2"/>
  <c r="H309" i="2"/>
  <c r="B310" i="2"/>
  <c r="C310" i="2"/>
  <c r="D310" i="2"/>
  <c r="F310" i="2"/>
  <c r="G310" i="2"/>
  <c r="H310" i="2"/>
  <c r="B311" i="2"/>
  <c r="C311" i="2"/>
  <c r="D311" i="2"/>
  <c r="F311" i="2"/>
  <c r="G311" i="2"/>
  <c r="H311" i="2"/>
  <c r="B312" i="2"/>
  <c r="C312" i="2"/>
  <c r="D312" i="2"/>
  <c r="F312" i="2"/>
  <c r="G312" i="2"/>
  <c r="H312" i="2"/>
  <c r="B313" i="2"/>
  <c r="C313" i="2"/>
  <c r="D313" i="2"/>
  <c r="F313" i="2"/>
  <c r="G313" i="2"/>
  <c r="H313" i="2"/>
  <c r="B314" i="2"/>
  <c r="C314" i="2"/>
  <c r="D314" i="2"/>
  <c r="F314" i="2"/>
  <c r="G314" i="2"/>
  <c r="H314" i="2"/>
  <c r="B315" i="2"/>
  <c r="C315" i="2"/>
  <c r="D315" i="2"/>
  <c r="F315" i="2"/>
  <c r="G315" i="2"/>
  <c r="H315" i="2"/>
  <c r="B316" i="2"/>
  <c r="C316" i="2"/>
  <c r="D316" i="2"/>
  <c r="F316" i="2"/>
  <c r="G316" i="2"/>
  <c r="H316" i="2"/>
  <c r="B317" i="2"/>
  <c r="C317" i="2"/>
  <c r="D317" i="2"/>
  <c r="F317" i="2"/>
  <c r="G317" i="2"/>
  <c r="H317" i="2"/>
  <c r="B318" i="2"/>
  <c r="C318" i="2"/>
  <c r="D318" i="2"/>
  <c r="F318" i="2"/>
  <c r="G318" i="2"/>
  <c r="H318" i="2"/>
  <c r="B319" i="2"/>
  <c r="C319" i="2"/>
  <c r="D319" i="2"/>
  <c r="F319" i="2"/>
  <c r="G319" i="2"/>
  <c r="H319" i="2"/>
  <c r="B320" i="2"/>
  <c r="C320" i="2"/>
  <c r="D320" i="2"/>
  <c r="F320" i="2"/>
  <c r="G320" i="2"/>
  <c r="H320" i="2"/>
  <c r="B321" i="2"/>
  <c r="C321" i="2"/>
  <c r="D321" i="2"/>
  <c r="F321" i="2"/>
  <c r="G321" i="2"/>
  <c r="H321" i="2"/>
  <c r="B322" i="2"/>
  <c r="C322" i="2"/>
  <c r="D322" i="2"/>
  <c r="F322" i="2"/>
  <c r="G322" i="2"/>
  <c r="H322" i="2"/>
  <c r="B323" i="2"/>
  <c r="C323" i="2"/>
  <c r="D323" i="2"/>
  <c r="F323" i="2"/>
  <c r="G323" i="2"/>
  <c r="H323" i="2"/>
  <c r="B324" i="2"/>
  <c r="C324" i="2"/>
  <c r="D324" i="2"/>
  <c r="F324" i="2"/>
  <c r="G324" i="2"/>
  <c r="H324" i="2"/>
  <c r="B325" i="2"/>
  <c r="C325" i="2"/>
  <c r="D325" i="2"/>
  <c r="F325" i="2"/>
  <c r="G325" i="2"/>
  <c r="H325" i="2"/>
  <c r="B326" i="2"/>
  <c r="C326" i="2"/>
  <c r="D326" i="2"/>
  <c r="F326" i="2"/>
  <c r="G326" i="2"/>
  <c r="H326" i="2"/>
  <c r="B327" i="2"/>
  <c r="C327" i="2"/>
  <c r="D327" i="2"/>
  <c r="F327" i="2"/>
  <c r="G327" i="2"/>
  <c r="H327" i="2"/>
  <c r="B328" i="2"/>
  <c r="C328" i="2"/>
  <c r="D328" i="2"/>
  <c r="F328" i="2"/>
  <c r="G328" i="2"/>
  <c r="H328" i="2"/>
  <c r="B329" i="2"/>
  <c r="C329" i="2"/>
  <c r="D329" i="2"/>
  <c r="F329" i="2"/>
  <c r="G329" i="2"/>
  <c r="H329" i="2"/>
  <c r="B330" i="2"/>
  <c r="C330" i="2"/>
  <c r="D330" i="2"/>
  <c r="F330" i="2"/>
  <c r="G330" i="2"/>
  <c r="H330" i="2"/>
  <c r="B331" i="2"/>
  <c r="C331" i="2"/>
  <c r="D331" i="2"/>
  <c r="F331" i="2"/>
  <c r="G331" i="2"/>
  <c r="H331" i="2"/>
  <c r="B332" i="2"/>
  <c r="C332" i="2"/>
  <c r="D332" i="2"/>
  <c r="F332" i="2"/>
  <c r="G332" i="2"/>
  <c r="H332" i="2"/>
  <c r="B333" i="2"/>
  <c r="C333" i="2"/>
  <c r="D333" i="2"/>
  <c r="F333" i="2"/>
  <c r="G333" i="2"/>
  <c r="H333" i="2"/>
  <c r="B334" i="2"/>
  <c r="C334" i="2"/>
  <c r="D334" i="2"/>
  <c r="F334" i="2"/>
  <c r="G334" i="2"/>
  <c r="H334" i="2"/>
  <c r="B335" i="2"/>
  <c r="C335" i="2"/>
  <c r="D335" i="2"/>
  <c r="F335" i="2"/>
  <c r="G335" i="2"/>
  <c r="H335" i="2"/>
  <c r="B336" i="2"/>
  <c r="C336" i="2"/>
  <c r="D336" i="2"/>
  <c r="F336" i="2"/>
  <c r="G336" i="2"/>
  <c r="H336" i="2"/>
  <c r="B337" i="2"/>
  <c r="C337" i="2"/>
  <c r="D337" i="2"/>
  <c r="F337" i="2"/>
  <c r="G337" i="2"/>
  <c r="H337" i="2"/>
  <c r="B338" i="2"/>
  <c r="C338" i="2"/>
  <c r="D338" i="2"/>
  <c r="F338" i="2"/>
  <c r="G338" i="2"/>
  <c r="H338" i="2"/>
  <c r="B339" i="2"/>
  <c r="C339" i="2"/>
  <c r="D339" i="2"/>
  <c r="F339" i="2"/>
  <c r="G339" i="2"/>
  <c r="H339" i="2"/>
  <c r="B340" i="2"/>
  <c r="C340" i="2"/>
  <c r="D340" i="2"/>
  <c r="F340" i="2"/>
  <c r="G340" i="2"/>
  <c r="H340" i="2"/>
  <c r="B341" i="2"/>
  <c r="C341" i="2"/>
  <c r="D341" i="2"/>
  <c r="F341" i="2"/>
  <c r="G341" i="2"/>
  <c r="H341" i="2"/>
  <c r="B342" i="2"/>
  <c r="C342" i="2"/>
  <c r="D342" i="2"/>
  <c r="F342" i="2"/>
  <c r="G342" i="2"/>
  <c r="H342" i="2"/>
  <c r="B343" i="2"/>
  <c r="C343" i="2"/>
  <c r="D343" i="2"/>
  <c r="F343" i="2"/>
  <c r="G343" i="2"/>
  <c r="H343" i="2"/>
  <c r="B344" i="2"/>
  <c r="C344" i="2"/>
  <c r="D344" i="2"/>
  <c r="F344" i="2"/>
  <c r="G344" i="2"/>
  <c r="H344" i="2"/>
  <c r="B345" i="2"/>
  <c r="C345" i="2"/>
  <c r="D345" i="2"/>
  <c r="F345" i="2"/>
  <c r="G345" i="2"/>
  <c r="H345" i="2"/>
  <c r="B346" i="2"/>
  <c r="C346" i="2"/>
  <c r="D346" i="2"/>
  <c r="F346" i="2"/>
  <c r="G346" i="2"/>
  <c r="H346" i="2"/>
  <c r="B347" i="2"/>
  <c r="C347" i="2"/>
  <c r="D347" i="2"/>
  <c r="F347" i="2"/>
  <c r="G347" i="2"/>
  <c r="H347" i="2"/>
  <c r="B348" i="2"/>
  <c r="C348" i="2"/>
  <c r="D348" i="2"/>
  <c r="F348" i="2"/>
  <c r="G348" i="2"/>
  <c r="H348" i="2"/>
  <c r="B349" i="2"/>
  <c r="C349" i="2"/>
  <c r="D349" i="2"/>
  <c r="F349" i="2"/>
  <c r="G349" i="2"/>
  <c r="H349" i="2"/>
  <c r="B350" i="2"/>
  <c r="C350" i="2"/>
  <c r="D350" i="2"/>
  <c r="F350" i="2"/>
  <c r="G350" i="2"/>
  <c r="H350" i="2"/>
  <c r="B351" i="2"/>
  <c r="C351" i="2"/>
  <c r="D351" i="2"/>
  <c r="F351" i="2"/>
  <c r="G351" i="2"/>
  <c r="H351" i="2"/>
  <c r="B352" i="2"/>
  <c r="C352" i="2"/>
  <c r="D352" i="2"/>
  <c r="F352" i="2"/>
  <c r="G352" i="2"/>
  <c r="H352" i="2"/>
  <c r="B353" i="2"/>
  <c r="C353" i="2"/>
  <c r="D353" i="2"/>
  <c r="F353" i="2"/>
  <c r="G353" i="2"/>
  <c r="H353" i="2"/>
  <c r="B354" i="2"/>
  <c r="C354" i="2"/>
  <c r="D354" i="2"/>
  <c r="F354" i="2"/>
  <c r="G354" i="2"/>
  <c r="H354" i="2"/>
  <c r="B355" i="2"/>
  <c r="C355" i="2"/>
  <c r="D355" i="2"/>
  <c r="F355" i="2"/>
  <c r="G355" i="2"/>
  <c r="H355" i="2"/>
  <c r="B356" i="2"/>
  <c r="C356" i="2"/>
  <c r="D356" i="2"/>
  <c r="F356" i="2"/>
  <c r="G356" i="2"/>
  <c r="H356" i="2"/>
  <c r="B357" i="2"/>
  <c r="C357" i="2"/>
  <c r="D357" i="2"/>
  <c r="F357" i="2"/>
  <c r="G357" i="2"/>
  <c r="H357" i="2"/>
  <c r="B358" i="2"/>
  <c r="C358" i="2"/>
  <c r="D358" i="2"/>
  <c r="F358" i="2"/>
  <c r="G358" i="2"/>
  <c r="H358" i="2"/>
  <c r="B359" i="2"/>
  <c r="C359" i="2"/>
  <c r="D359" i="2"/>
  <c r="F359" i="2"/>
  <c r="G359" i="2"/>
  <c r="H359" i="2"/>
  <c r="B360" i="2"/>
  <c r="C360" i="2"/>
  <c r="D360" i="2"/>
  <c r="F360" i="2"/>
  <c r="G360" i="2"/>
  <c r="H360" i="2"/>
  <c r="B361" i="2"/>
  <c r="C361" i="2"/>
  <c r="D361" i="2"/>
  <c r="F361" i="2"/>
  <c r="G361" i="2"/>
  <c r="H361" i="2"/>
  <c r="B362" i="2"/>
  <c r="C362" i="2"/>
  <c r="D362" i="2"/>
  <c r="F362" i="2"/>
  <c r="G362" i="2"/>
  <c r="H362" i="2"/>
  <c r="B363" i="2"/>
  <c r="C363" i="2"/>
  <c r="D363" i="2"/>
  <c r="F363" i="2"/>
  <c r="G363" i="2"/>
  <c r="H363" i="2"/>
  <c r="B364" i="2"/>
  <c r="C364" i="2"/>
  <c r="D364" i="2"/>
  <c r="F364" i="2"/>
  <c r="G364" i="2"/>
  <c r="H364" i="2"/>
  <c r="B365" i="2"/>
  <c r="C365" i="2"/>
  <c r="D365" i="2"/>
  <c r="F365" i="2"/>
  <c r="G365" i="2"/>
  <c r="H365" i="2"/>
  <c r="B366" i="2"/>
  <c r="C366" i="2"/>
  <c r="D366" i="2"/>
  <c r="F366" i="2"/>
  <c r="G366" i="2"/>
  <c r="H366" i="2"/>
  <c r="B367" i="2"/>
  <c r="C367" i="2"/>
  <c r="D367" i="2"/>
  <c r="F367" i="2"/>
  <c r="G367" i="2"/>
  <c r="H367" i="2"/>
  <c r="B368" i="2"/>
  <c r="C368" i="2"/>
  <c r="D368" i="2"/>
  <c r="F368" i="2"/>
  <c r="G368" i="2"/>
  <c r="H368" i="2"/>
  <c r="B369" i="2"/>
  <c r="C369" i="2"/>
  <c r="D369" i="2"/>
  <c r="F369" i="2"/>
  <c r="G369" i="2"/>
  <c r="H369" i="2"/>
  <c r="B370" i="2"/>
  <c r="C370" i="2"/>
  <c r="D370" i="2"/>
  <c r="F370" i="2"/>
  <c r="G370" i="2"/>
  <c r="H370" i="2"/>
  <c r="B371" i="2"/>
  <c r="C371" i="2"/>
  <c r="D371" i="2"/>
  <c r="F371" i="2"/>
  <c r="G371" i="2"/>
  <c r="H371" i="2"/>
  <c r="B372" i="2"/>
  <c r="C372" i="2"/>
  <c r="D372" i="2"/>
  <c r="F372" i="2"/>
  <c r="G372" i="2"/>
  <c r="H372" i="2"/>
  <c r="B373" i="2"/>
  <c r="C373" i="2"/>
  <c r="D373" i="2"/>
  <c r="F373" i="2"/>
  <c r="G373" i="2"/>
  <c r="H373" i="2"/>
  <c r="B374" i="2"/>
  <c r="C374" i="2"/>
  <c r="D374" i="2"/>
  <c r="F374" i="2"/>
  <c r="G374" i="2"/>
  <c r="H374" i="2"/>
  <c r="B375" i="2"/>
  <c r="C375" i="2"/>
  <c r="D375" i="2"/>
  <c r="F375" i="2"/>
  <c r="G375" i="2"/>
  <c r="H375" i="2"/>
  <c r="B376" i="2"/>
  <c r="C376" i="2"/>
  <c r="D376" i="2"/>
  <c r="F376" i="2"/>
  <c r="G376" i="2"/>
  <c r="H376" i="2"/>
  <c r="B377" i="2"/>
  <c r="C377" i="2"/>
  <c r="D377" i="2"/>
  <c r="F377" i="2"/>
  <c r="G377" i="2"/>
  <c r="H377" i="2"/>
  <c r="B378" i="2"/>
  <c r="C378" i="2"/>
  <c r="D378" i="2"/>
  <c r="F378" i="2"/>
  <c r="G378" i="2"/>
  <c r="H378" i="2"/>
  <c r="B379" i="2"/>
  <c r="C379" i="2"/>
  <c r="D379" i="2"/>
  <c r="F379" i="2"/>
  <c r="G379" i="2"/>
  <c r="H379" i="2"/>
  <c r="B380" i="2"/>
  <c r="C380" i="2"/>
  <c r="D380" i="2"/>
  <c r="F380" i="2"/>
  <c r="G380" i="2"/>
  <c r="H380" i="2"/>
  <c r="B381" i="2"/>
  <c r="C381" i="2"/>
  <c r="D381" i="2"/>
  <c r="F381" i="2"/>
  <c r="G381" i="2"/>
  <c r="H381" i="2"/>
  <c r="B382" i="2"/>
  <c r="C382" i="2"/>
  <c r="D382" i="2"/>
  <c r="F382" i="2"/>
  <c r="G382" i="2"/>
  <c r="H382" i="2"/>
  <c r="B383" i="2"/>
  <c r="C383" i="2"/>
  <c r="D383" i="2"/>
  <c r="F383" i="2"/>
  <c r="G383" i="2"/>
  <c r="H383" i="2"/>
  <c r="B384" i="2"/>
  <c r="C384" i="2"/>
  <c r="D384" i="2"/>
  <c r="F384" i="2"/>
  <c r="G384" i="2"/>
  <c r="H384" i="2"/>
  <c r="B385" i="2"/>
  <c r="C385" i="2"/>
  <c r="D385" i="2"/>
  <c r="F385" i="2"/>
  <c r="G385" i="2"/>
  <c r="H385" i="2"/>
  <c r="B386" i="2"/>
  <c r="C386" i="2"/>
  <c r="D386" i="2"/>
  <c r="F386" i="2"/>
  <c r="G386" i="2"/>
  <c r="H386" i="2"/>
  <c r="B387" i="2"/>
  <c r="C387" i="2"/>
  <c r="D387" i="2"/>
  <c r="F387" i="2"/>
  <c r="G387" i="2"/>
  <c r="H387" i="2"/>
  <c r="B388" i="2"/>
  <c r="C388" i="2"/>
  <c r="D388" i="2"/>
  <c r="F388" i="2"/>
  <c r="G388" i="2"/>
  <c r="H388" i="2"/>
  <c r="B389" i="2"/>
  <c r="C389" i="2"/>
  <c r="D389" i="2"/>
  <c r="F389" i="2"/>
  <c r="G389" i="2"/>
  <c r="H389" i="2"/>
  <c r="B390" i="2"/>
  <c r="C390" i="2"/>
  <c r="D390" i="2"/>
  <c r="F390" i="2"/>
  <c r="G390" i="2"/>
  <c r="H390" i="2"/>
  <c r="B391" i="2"/>
  <c r="C391" i="2"/>
  <c r="D391" i="2"/>
  <c r="F391" i="2"/>
  <c r="G391" i="2"/>
  <c r="H391" i="2"/>
  <c r="B392" i="2"/>
  <c r="C392" i="2"/>
  <c r="D392" i="2"/>
  <c r="F392" i="2"/>
  <c r="G392" i="2"/>
  <c r="H392" i="2"/>
  <c r="B393" i="2"/>
  <c r="C393" i="2"/>
  <c r="D393" i="2"/>
  <c r="F393" i="2"/>
  <c r="G393" i="2"/>
  <c r="H393" i="2"/>
  <c r="B394" i="2"/>
  <c r="C394" i="2"/>
  <c r="D394" i="2"/>
  <c r="F394" i="2"/>
  <c r="G394" i="2"/>
  <c r="H394" i="2"/>
  <c r="B395" i="2"/>
  <c r="C395" i="2"/>
  <c r="D395" i="2"/>
  <c r="F395" i="2"/>
  <c r="G395" i="2"/>
  <c r="H395" i="2"/>
  <c r="B396" i="2"/>
  <c r="C396" i="2"/>
  <c r="D396" i="2"/>
  <c r="F396" i="2"/>
  <c r="G396" i="2"/>
  <c r="H396" i="2"/>
  <c r="B397" i="2"/>
  <c r="C397" i="2"/>
  <c r="D397" i="2"/>
  <c r="F397" i="2"/>
  <c r="G397" i="2"/>
  <c r="H397" i="2"/>
  <c r="B398" i="2"/>
  <c r="C398" i="2"/>
  <c r="D398" i="2"/>
  <c r="F398" i="2"/>
  <c r="G398" i="2"/>
  <c r="H398" i="2"/>
  <c r="B399" i="2"/>
  <c r="C399" i="2"/>
  <c r="D399" i="2"/>
  <c r="F399" i="2"/>
  <c r="G399" i="2"/>
  <c r="H399" i="2"/>
  <c r="B400" i="2"/>
  <c r="C400" i="2"/>
  <c r="D400" i="2"/>
  <c r="F400" i="2"/>
  <c r="G400" i="2"/>
  <c r="H400" i="2"/>
  <c r="B401" i="2"/>
  <c r="C401" i="2"/>
  <c r="D401" i="2"/>
  <c r="F401" i="2"/>
  <c r="G401" i="2"/>
  <c r="H401" i="2"/>
  <c r="B402" i="2"/>
  <c r="C402" i="2"/>
  <c r="D402" i="2"/>
  <c r="F402" i="2"/>
  <c r="G402" i="2"/>
  <c r="H402" i="2"/>
  <c r="B403" i="2"/>
  <c r="C403" i="2"/>
  <c r="D403" i="2"/>
  <c r="F403" i="2"/>
  <c r="G403" i="2"/>
  <c r="H403" i="2"/>
  <c r="B404" i="2"/>
  <c r="C404" i="2"/>
  <c r="D404" i="2"/>
  <c r="F404" i="2"/>
  <c r="G404" i="2"/>
  <c r="H404" i="2"/>
  <c r="B405" i="2"/>
  <c r="C405" i="2"/>
  <c r="D405" i="2"/>
  <c r="F405" i="2"/>
  <c r="G405" i="2"/>
  <c r="H405" i="2"/>
  <c r="B406" i="2"/>
  <c r="C406" i="2"/>
  <c r="D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B731" i="3" l="1"/>
  <c r="B730" i="3"/>
  <c r="B731" i="2"/>
  <c r="B730" i="2"/>
  <c r="I730" i="11"/>
  <c r="T722" i="7"/>
  <c r="Q721" i="7"/>
  <c r="T692" i="7"/>
  <c r="Q691" i="7"/>
  <c r="Q681" i="7"/>
  <c r="Q661" i="7"/>
  <c r="T712" i="7"/>
  <c r="Q711" i="7"/>
  <c r="T672" i="7"/>
  <c r="Q671" i="7"/>
  <c r="Q651" i="7"/>
  <c r="K731" i="7"/>
  <c r="G731" i="11" s="1"/>
  <c r="I731" i="11" s="1"/>
  <c r="Y668" i="7"/>
  <c r="N668" i="11" s="1"/>
  <c r="T652" i="7"/>
  <c r="T619" i="7"/>
  <c r="Q618" i="7"/>
  <c r="T608" i="7"/>
  <c r="T568" i="7"/>
  <c r="Q567" i="7"/>
  <c r="Q557" i="7"/>
  <c r="T548" i="7"/>
  <c r="Q547" i="7"/>
  <c r="Q537" i="7"/>
  <c r="T518" i="7"/>
  <c r="Q517" i="7"/>
  <c r="T508" i="7"/>
  <c r="Q507" i="7"/>
  <c r="Q497" i="7"/>
  <c r="T488" i="7"/>
  <c r="Q487" i="7"/>
  <c r="Q477" i="7"/>
  <c r="T468" i="7"/>
  <c r="T458" i="7"/>
  <c r="Q457" i="7"/>
  <c r="T448" i="7"/>
  <c r="Q447" i="7"/>
  <c r="Q437" i="7"/>
  <c r="Q427" i="7"/>
  <c r="T418" i="7"/>
  <c r="Q407" i="7"/>
  <c r="T398" i="7"/>
  <c r="Q397" i="7"/>
  <c r="T388" i="7"/>
  <c r="Q387" i="7"/>
  <c r="T368" i="7"/>
  <c r="Q367" i="7"/>
  <c r="T358" i="7"/>
  <c r="Q357" i="7"/>
  <c r="Q347" i="7"/>
  <c r="T338" i="7"/>
  <c r="Q337" i="7"/>
  <c r="T318" i="7"/>
  <c r="T308" i="7"/>
  <c r="Q307" i="7"/>
  <c r="Q297" i="7"/>
  <c r="T618" i="7"/>
  <c r="Q607" i="7"/>
  <c r="Q597" i="7"/>
  <c r="T588" i="7"/>
  <c r="T578" i="7"/>
  <c r="Q577" i="7"/>
  <c r="T558" i="7"/>
  <c r="Q527" i="7"/>
  <c r="T729" i="7"/>
  <c r="Q728" i="7"/>
  <c r="N727" i="7"/>
  <c r="F727" i="11" s="1"/>
  <c r="H727" i="11" s="1"/>
  <c r="I727" i="11" s="1"/>
  <c r="T709" i="7"/>
  <c r="Q708" i="7"/>
  <c r="T699" i="7"/>
  <c r="T679" i="7"/>
  <c r="T669" i="7"/>
  <c r="Q648" i="7"/>
  <c r="T719" i="7"/>
  <c r="Q698" i="7"/>
  <c r="Q678" i="7"/>
  <c r="T639" i="7"/>
  <c r="Q638" i="7"/>
  <c r="Q668" i="7"/>
  <c r="T724" i="7"/>
  <c r="N722" i="7"/>
  <c r="F722" i="11" s="1"/>
  <c r="H722" i="11" s="1"/>
  <c r="I722" i="11" s="1"/>
  <c r="T714" i="7"/>
  <c r="Q693" i="7"/>
  <c r="T684" i="7"/>
  <c r="Q683" i="7"/>
  <c r="Q673" i="7"/>
  <c r="T644" i="7"/>
  <c r="T728" i="7"/>
  <c r="Q727" i="7"/>
  <c r="T708" i="7"/>
  <c r="Q707" i="7"/>
  <c r="T698" i="7"/>
  <c r="Q697" i="7"/>
  <c r="Q687" i="7"/>
  <c r="T678" i="7"/>
  <c r="Q677" i="7"/>
  <c r="T668" i="7"/>
  <c r="Q667" i="7"/>
  <c r="Q657" i="7"/>
  <c r="T648" i="7"/>
  <c r="T638" i="7"/>
  <c r="Q279" i="7"/>
  <c r="T270" i="7"/>
  <c r="Q269" i="7"/>
  <c r="T260" i="7"/>
  <c r="Q259" i="7"/>
  <c r="T230" i="7"/>
  <c r="Q229" i="7"/>
  <c r="T220" i="7"/>
  <c r="T210" i="7"/>
  <c r="Q209" i="7"/>
  <c r="T200" i="7"/>
  <c r="Q199" i="7"/>
  <c r="T190" i="7"/>
  <c r="Q189" i="7"/>
  <c r="T620" i="7"/>
  <c r="Q619" i="7"/>
  <c r="T610" i="7"/>
  <c r="Q609" i="7"/>
  <c r="T600" i="7"/>
  <c r="T580" i="7"/>
  <c r="Q579" i="7"/>
  <c r="Q569" i="7"/>
  <c r="T560" i="7"/>
  <c r="Q559" i="7"/>
  <c r="Q549" i="7"/>
  <c r="T540" i="7"/>
  <c r="T530" i="7"/>
  <c r="T520" i="7"/>
  <c r="Q519" i="7"/>
  <c r="T510" i="7"/>
  <c r="Q509" i="7"/>
  <c r="T500" i="7"/>
  <c r="Q499" i="7"/>
  <c r="T490" i="7"/>
  <c r="Q489" i="7"/>
  <c r="T480" i="7"/>
  <c r="T470" i="7"/>
  <c r="Q469" i="7"/>
  <c r="T460" i="7"/>
  <c r="Q459" i="7"/>
  <c r="T450" i="7"/>
  <c r="Q449" i="7"/>
  <c r="Q439" i="7"/>
  <c r="T430" i="7"/>
  <c r="T420" i="7"/>
  <c r="Q419" i="7"/>
  <c r="T410" i="7"/>
  <c r="T400" i="7"/>
  <c r="Q399" i="7"/>
  <c r="Q389" i="7"/>
  <c r="T380" i="7"/>
  <c r="Q379" i="7"/>
  <c r="T370" i="7"/>
  <c r="Q369" i="7"/>
  <c r="T360" i="7"/>
  <c r="Q359" i="7"/>
  <c r="T340" i="7"/>
  <c r="T330" i="7"/>
  <c r="Q329" i="7"/>
  <c r="T320" i="7"/>
  <c r="Q309" i="7"/>
  <c r="T300" i="7"/>
  <c r="T290" i="7"/>
  <c r="Q289" i="7"/>
  <c r="N288" i="7"/>
  <c r="F288" i="11" s="1"/>
  <c r="H288" i="11" s="1"/>
  <c r="Q729" i="7"/>
  <c r="T720" i="7"/>
  <c r="Q719" i="7"/>
  <c r="T710" i="7"/>
  <c r="Q709" i="7"/>
  <c r="T700" i="7"/>
  <c r="Q699" i="7"/>
  <c r="T680" i="7"/>
  <c r="Q679" i="7"/>
  <c r="T670" i="7"/>
  <c r="Q669" i="7"/>
  <c r="T660" i="7"/>
  <c r="T650" i="7"/>
  <c r="Q649" i="7"/>
  <c r="Q639" i="7"/>
  <c r="T630" i="7"/>
  <c r="T721" i="7"/>
  <c r="Q720" i="7"/>
  <c r="T711" i="7"/>
  <c r="Q710" i="7"/>
  <c r="Q700" i="7"/>
  <c r="T691" i="7"/>
  <c r="T681" i="7"/>
  <c r="Q680" i="7"/>
  <c r="T671" i="7"/>
  <c r="Q670" i="7"/>
  <c r="T661" i="7"/>
  <c r="Q660" i="7"/>
  <c r="T651" i="7"/>
  <c r="Q650" i="7"/>
  <c r="T631" i="7"/>
  <c r="Q630" i="7"/>
  <c r="T622" i="7"/>
  <c r="Q621" i="7"/>
  <c r="Q611" i="7"/>
  <c r="T592" i="7"/>
  <c r="Q591" i="7"/>
  <c r="T582" i="7"/>
  <c r="Q581" i="7"/>
  <c r="Q571" i="7"/>
  <c r="T562" i="7"/>
  <c r="Q561" i="7"/>
  <c r="T542" i="7"/>
  <c r="Q541" i="7"/>
  <c r="T532" i="7"/>
  <c r="Q531" i="7"/>
  <c r="T522" i="7"/>
  <c r="Q521" i="7"/>
  <c r="T512" i="7"/>
  <c r="Q511" i="7"/>
  <c r="Q501" i="7"/>
  <c r="T492" i="7"/>
  <c r="T482" i="7"/>
  <c r="Q481" i="7"/>
  <c r="T472" i="7"/>
  <c r="Q471" i="7"/>
  <c r="T462" i="7"/>
  <c r="Q461" i="7"/>
  <c r="Q451" i="7"/>
  <c r="T432" i="7"/>
  <c r="Q431" i="7"/>
  <c r="Q421" i="7"/>
  <c r="T412" i="7"/>
  <c r="T302" i="7"/>
  <c r="Q291" i="7"/>
  <c r="T272" i="7"/>
  <c r="T262" i="7"/>
  <c r="Q261" i="7"/>
  <c r="Q251" i="7"/>
  <c r="T242" i="7"/>
  <c r="Q241" i="7"/>
  <c r="T232" i="7"/>
  <c r="Q231" i="7"/>
  <c r="T212" i="7"/>
  <c r="Q211" i="7"/>
  <c r="T202" i="7"/>
  <c r="Q201" i="7"/>
  <c r="T563" i="7"/>
  <c r="Q562" i="7"/>
  <c r="T214" i="7"/>
  <c r="Q213" i="7"/>
  <c r="Q203" i="7"/>
  <c r="N202" i="7"/>
  <c r="F202" i="11" s="1"/>
  <c r="H202" i="11" s="1"/>
  <c r="T194" i="7"/>
  <c r="Q193" i="7"/>
  <c r="T184" i="7"/>
  <c r="Q183" i="7"/>
  <c r="Q723" i="7"/>
  <c r="Q713" i="7"/>
  <c r="Q653" i="7"/>
  <c r="T634" i="7"/>
  <c r="Q633" i="7"/>
  <c r="T624" i="7"/>
  <c r="Q623" i="7"/>
  <c r="T616" i="7"/>
  <c r="T606" i="7"/>
  <c r="Q605" i="7"/>
  <c r="Q595" i="7"/>
  <c r="T576" i="7"/>
  <c r="Q575" i="7"/>
  <c r="Q565" i="7"/>
  <c r="T556" i="7"/>
  <c r="Q555" i="7"/>
  <c r="T546" i="7"/>
  <c r="Q545" i="7"/>
  <c r="Q535" i="7"/>
  <c r="T526" i="7"/>
  <c r="Q525" i="7"/>
  <c r="T506" i="7"/>
  <c r="Q505" i="7"/>
  <c r="T496" i="7"/>
  <c r="Q495" i="7"/>
  <c r="Q465" i="7"/>
  <c r="T446" i="7"/>
  <c r="Q445" i="7"/>
  <c r="T436" i="7"/>
  <c r="Q435" i="7"/>
  <c r="T406" i="7"/>
  <c r="Q405" i="7"/>
  <c r="T386" i="7"/>
  <c r="Q385" i="7"/>
  <c r="Q375" i="7"/>
  <c r="T346" i="7"/>
  <c r="Q345" i="7"/>
  <c r="T326" i="7"/>
  <c r="Q325" i="7"/>
  <c r="T316" i="7"/>
  <c r="T296" i="7"/>
  <c r="Q295" i="7"/>
  <c r="Q235" i="7"/>
  <c r="T586" i="7"/>
  <c r="T566" i="7"/>
  <c r="T486" i="7"/>
  <c r="Q485" i="7"/>
  <c r="T476" i="7"/>
  <c r="Q475" i="7"/>
  <c r="T456" i="7"/>
  <c r="T426" i="7"/>
  <c r="T416" i="7"/>
  <c r="Q415" i="7"/>
  <c r="T366" i="7"/>
  <c r="Q365" i="7"/>
  <c r="T356" i="7"/>
  <c r="Q355" i="7"/>
  <c r="Q315" i="7"/>
  <c r="K313" i="7"/>
  <c r="G313" i="11" s="1"/>
  <c r="T306" i="7"/>
  <c r="Q305" i="7"/>
  <c r="T286" i="7"/>
  <c r="Q285" i="7"/>
  <c r="Q275" i="7"/>
  <c r="N274" i="7"/>
  <c r="F274" i="11" s="1"/>
  <c r="H274" i="11" s="1"/>
  <c r="T256" i="7"/>
  <c r="T726" i="7"/>
  <c r="Q725" i="7"/>
  <c r="Q715" i="7"/>
  <c r="T706" i="7"/>
  <c r="Q705" i="7"/>
  <c r="T696" i="7"/>
  <c r="Q695" i="7"/>
  <c r="Q685" i="7"/>
  <c r="T666" i="7"/>
  <c r="Q665" i="7"/>
  <c r="Q655" i="7"/>
  <c r="T646" i="7"/>
  <c r="Q645" i="7"/>
  <c r="T636" i="7"/>
  <c r="Q635" i="7"/>
  <c r="Y731" i="7"/>
  <c r="N731" i="11" s="1"/>
  <c r="H731" i="7"/>
  <c r="G36" i="8"/>
  <c r="G37" i="8"/>
  <c r="I37" i="8"/>
  <c r="I36" i="8"/>
  <c r="T725" i="7"/>
  <c r="Q724" i="7"/>
  <c r="T715" i="7"/>
  <c r="Q714" i="7"/>
  <c r="T705" i="7"/>
  <c r="T695" i="7"/>
  <c r="T477" i="7"/>
  <c r="T509" i="7"/>
  <c r="Q508" i="7"/>
  <c r="T499" i="7"/>
  <c r="Q498" i="7"/>
  <c r="T489" i="7"/>
  <c r="Q488" i="7"/>
  <c r="T469" i="7"/>
  <c r="Q468" i="7"/>
  <c r="T459" i="7"/>
  <c r="T449" i="7"/>
  <c r="Q448" i="7"/>
  <c r="T439" i="7"/>
  <c r="Q418" i="7"/>
  <c r="Q388" i="7"/>
  <c r="Q358" i="7"/>
  <c r="T309" i="7"/>
  <c r="T609" i="7"/>
  <c r="Q608" i="7"/>
  <c r="Q588" i="7"/>
  <c r="T579" i="7"/>
  <c r="Q578" i="7"/>
  <c r="T569" i="7"/>
  <c r="Q568" i="7"/>
  <c r="T559" i="7"/>
  <c r="Q558" i="7"/>
  <c r="T549" i="7"/>
  <c r="Q548" i="7"/>
  <c r="T519" i="7"/>
  <c r="Q518" i="7"/>
  <c r="T402" i="7"/>
  <c r="Q401" i="7"/>
  <c r="T392" i="7"/>
  <c r="T382" i="7"/>
  <c r="Q381" i="7"/>
  <c r="Q371" i="7"/>
  <c r="T352" i="7"/>
  <c r="Q351" i="7"/>
  <c r="Q341" i="7"/>
  <c r="T332" i="7"/>
  <c r="Q331" i="7"/>
  <c r="Q321" i="7"/>
  <c r="T535" i="7"/>
  <c r="Q534" i="7"/>
  <c r="T475" i="7"/>
  <c r="T331" i="7"/>
  <c r="Q330" i="7"/>
  <c r="T321" i="7"/>
  <c r="Q320" i="7"/>
  <c r="T393" i="7"/>
  <c r="Q392" i="7"/>
  <c r="T723" i="7"/>
  <c r="Q722" i="7"/>
  <c r="T713" i="7"/>
  <c r="Q712" i="7"/>
  <c r="T693" i="7"/>
  <c r="Q692" i="7"/>
  <c r="T673" i="7"/>
  <c r="T613" i="7"/>
  <c r="T727" i="7"/>
  <c r="Q726" i="7"/>
  <c r="N715" i="7"/>
  <c r="F715" i="11" s="1"/>
  <c r="H715" i="11" s="1"/>
  <c r="I715" i="11" s="1"/>
  <c r="T707" i="7"/>
  <c r="Q706" i="7"/>
  <c r="T697" i="7"/>
  <c r="Q696" i="7"/>
  <c r="T687" i="7"/>
  <c r="T677" i="7"/>
  <c r="T667" i="7"/>
  <c r="Q666" i="7"/>
  <c r="T657" i="7"/>
  <c r="Q646" i="7"/>
  <c r="Q636" i="7"/>
  <c r="Q616" i="7"/>
  <c r="T607" i="7"/>
  <c r="Q606" i="7"/>
  <c r="T597" i="7"/>
  <c r="Q596" i="7"/>
  <c r="Q586" i="7"/>
  <c r="T577" i="7"/>
  <c r="Q576" i="7"/>
  <c r="T567" i="7"/>
  <c r="Q566" i="7"/>
  <c r="T557" i="7"/>
  <c r="Q556" i="7"/>
  <c r="T547" i="7"/>
  <c r="Q546" i="7"/>
  <c r="T537" i="7"/>
  <c r="T527" i="7"/>
  <c r="Q526" i="7"/>
  <c r="T517" i="7"/>
  <c r="T507" i="7"/>
  <c r="Q506" i="7"/>
  <c r="T497" i="7"/>
  <c r="Q496" i="7"/>
  <c r="T487" i="7"/>
  <c r="Q486" i="7"/>
  <c r="Q476" i="7"/>
  <c r="T457" i="7"/>
  <c r="Q456" i="7"/>
  <c r="T447" i="7"/>
  <c r="Q446" i="7"/>
  <c r="T635" i="7"/>
  <c r="Q634" i="7"/>
  <c r="Q624" i="7"/>
  <c r="T605" i="7"/>
  <c r="T575" i="7"/>
  <c r="Q574" i="7"/>
  <c r="T565" i="7"/>
  <c r="T555" i="7"/>
  <c r="Q554" i="7"/>
  <c r="T545" i="7"/>
  <c r="Q544" i="7"/>
  <c r="N533" i="7"/>
  <c r="F533" i="11" s="1"/>
  <c r="H533" i="11" s="1"/>
  <c r="I533" i="11" s="1"/>
  <c r="T525" i="7"/>
  <c r="Q524" i="7"/>
  <c r="T505" i="7"/>
  <c r="Q504" i="7"/>
  <c r="T495" i="7"/>
  <c r="Q494" i="7"/>
  <c r="T685" i="7"/>
  <c r="Q684" i="7"/>
  <c r="T665" i="7"/>
  <c r="T655" i="7"/>
  <c r="T645" i="7"/>
  <c r="Q644" i="7"/>
  <c r="Q306" i="7"/>
  <c r="T437" i="7"/>
  <c r="Q436" i="7"/>
  <c r="T417" i="7"/>
  <c r="Q416" i="7"/>
  <c r="Q406" i="7"/>
  <c r="Q346" i="7"/>
  <c r="T407" i="7"/>
  <c r="T435" i="7"/>
  <c r="Q434" i="7"/>
  <c r="T485" i="7"/>
  <c r="Q484" i="7"/>
  <c r="Q474" i="7"/>
  <c r="T465" i="7"/>
  <c r="Q464" i="7"/>
  <c r="T445" i="7"/>
  <c r="T523" i="7"/>
  <c r="T343" i="7"/>
  <c r="T593" i="7"/>
  <c r="Q592" i="7"/>
  <c r="T583" i="7"/>
  <c r="Q582" i="7"/>
  <c r="T553" i="7"/>
  <c r="T543" i="7"/>
  <c r="Q542" i="7"/>
  <c r="T683" i="7"/>
  <c r="Q672" i="7"/>
  <c r="T653" i="7"/>
  <c r="Q652" i="7"/>
  <c r="T643" i="7"/>
  <c r="T623" i="7"/>
  <c r="Q622" i="7"/>
  <c r="T603" i="7"/>
  <c r="T357" i="7"/>
  <c r="T337" i="7"/>
  <c r="Q326" i="7"/>
  <c r="T305" i="7"/>
  <c r="T307" i="7"/>
  <c r="Q512" i="7"/>
  <c r="T473" i="7"/>
  <c r="Q462" i="7"/>
  <c r="Q402" i="7"/>
  <c r="T186" i="7"/>
  <c r="Q185" i="7"/>
  <c r="T325" i="7"/>
  <c r="Q191" i="7"/>
  <c r="Q181" i="7"/>
  <c r="T419" i="7"/>
  <c r="T399" i="7"/>
  <c r="Q398" i="7"/>
  <c r="T389" i="7"/>
  <c r="T379" i="7"/>
  <c r="T369" i="7"/>
  <c r="Q368" i="7"/>
  <c r="T359" i="7"/>
  <c r="Q338" i="7"/>
  <c r="T329" i="7"/>
  <c r="T443" i="7"/>
  <c r="Q308" i="7"/>
  <c r="T415" i="7"/>
  <c r="T405" i="7"/>
  <c r="Q404" i="7"/>
  <c r="T385" i="7"/>
  <c r="Q384" i="7"/>
  <c r="T375" i="7"/>
  <c r="Q374" i="7"/>
  <c r="T365" i="7"/>
  <c r="T355" i="7"/>
  <c r="T533" i="7"/>
  <c r="T191" i="7"/>
  <c r="Q472" i="7"/>
  <c r="Q532" i="7"/>
  <c r="Q522" i="7"/>
  <c r="T493" i="7"/>
  <c r="Q492" i="7"/>
  <c r="T483" i="7"/>
  <c r="Q482" i="7"/>
  <c r="Q302" i="7"/>
  <c r="Q386" i="7"/>
  <c r="T433" i="7"/>
  <c r="Q432" i="7"/>
  <c r="Q412" i="7"/>
  <c r="T403" i="7"/>
  <c r="T383" i="7"/>
  <c r="Q382" i="7"/>
  <c r="T373" i="7"/>
  <c r="Q372" i="7"/>
  <c r="Q184" i="7"/>
  <c r="T278" i="7"/>
  <c r="T258" i="7"/>
  <c r="Q257" i="7"/>
  <c r="T248" i="7"/>
  <c r="Q247" i="7"/>
  <c r="N246" i="7"/>
  <c r="F246" i="11" s="1"/>
  <c r="H246" i="11" s="1"/>
  <c r="Q237" i="7"/>
  <c r="T218" i="7"/>
  <c r="T208" i="7"/>
  <c r="Q207" i="7"/>
  <c r="T198" i="7"/>
  <c r="Q197" i="7"/>
  <c r="Q230" i="7"/>
  <c r="Q190" i="7"/>
  <c r="T181" i="7"/>
  <c r="T189" i="7"/>
  <c r="Q186" i="7"/>
  <c r="Q344" i="7"/>
  <c r="N547" i="7"/>
  <c r="F547" i="11" s="1"/>
  <c r="H547" i="11" s="1"/>
  <c r="N373" i="7"/>
  <c r="F373" i="11" s="1"/>
  <c r="H373" i="11" s="1"/>
  <c r="N189" i="7"/>
  <c r="F189" i="11" s="1"/>
  <c r="H189" i="11" s="1"/>
  <c r="Q356" i="7"/>
  <c r="T367" i="7"/>
  <c r="Q316" i="7"/>
  <c r="T185" i="7"/>
  <c r="T174" i="7"/>
  <c r="T295" i="7"/>
  <c r="Q296" i="7"/>
  <c r="T353" i="7"/>
  <c r="Q352" i="7"/>
  <c r="Q318" i="7"/>
  <c r="T498" i="7"/>
  <c r="T345" i="7"/>
  <c r="T235" i="7"/>
  <c r="T289" i="7"/>
  <c r="Q288" i="7"/>
  <c r="T279" i="7"/>
  <c r="Q278" i="7"/>
  <c r="T595" i="7"/>
  <c r="Q332" i="7"/>
  <c r="Q304" i="7"/>
  <c r="T315" i="7"/>
  <c r="Q314" i="7"/>
  <c r="T297" i="7"/>
  <c r="T192" i="7"/>
  <c r="T182" i="7"/>
  <c r="T236" i="7"/>
  <c r="Q215" i="7"/>
  <c r="Q195" i="7"/>
  <c r="T246" i="7"/>
  <c r="Q245" i="7"/>
  <c r="Q366" i="7"/>
  <c r="Q300" i="7"/>
  <c r="T291" i="7"/>
  <c r="Q290" i="7"/>
  <c r="T261" i="7"/>
  <c r="Q260" i="7"/>
  <c r="N366" i="7"/>
  <c r="F366" i="11" s="1"/>
  <c r="H366" i="11" s="1"/>
  <c r="N182" i="7"/>
  <c r="F182" i="11" s="1"/>
  <c r="H182" i="11" s="1"/>
  <c r="T283" i="7"/>
  <c r="Q272" i="7"/>
  <c r="Q262" i="7"/>
  <c r="T243" i="7"/>
  <c r="Q242" i="7"/>
  <c r="Q182" i="7"/>
  <c r="Q294" i="7"/>
  <c r="T285" i="7"/>
  <c r="Q284" i="7"/>
  <c r="T275" i="7"/>
  <c r="Q274" i="7"/>
  <c r="N273" i="7"/>
  <c r="F273" i="11" s="1"/>
  <c r="H273" i="11" s="1"/>
  <c r="Q286" i="7"/>
  <c r="T288" i="7"/>
  <c r="N286" i="7"/>
  <c r="F286" i="11" s="1"/>
  <c r="H286" i="11" s="1"/>
  <c r="T269" i="7"/>
  <c r="Q270" i="7"/>
  <c r="N270" i="7"/>
  <c r="F270" i="11" s="1"/>
  <c r="H270" i="11" s="1"/>
  <c r="T273" i="7"/>
  <c r="N275" i="7"/>
  <c r="F275" i="11" s="1"/>
  <c r="H275" i="11" s="1"/>
  <c r="T259" i="7"/>
  <c r="Q258" i="7"/>
  <c r="Q248" i="7"/>
  <c r="Q254" i="7"/>
  <c r="Q256" i="7"/>
  <c r="T257" i="7"/>
  <c r="Q246" i="7"/>
  <c r="T251" i="7"/>
  <c r="T241" i="7"/>
  <c r="T231" i="7"/>
  <c r="Q220" i="7"/>
  <c r="T211" i="7"/>
  <c r="Q210" i="7"/>
  <c r="T245" i="7"/>
  <c r="Q244" i="7"/>
  <c r="Q234" i="7"/>
  <c r="N567" i="7"/>
  <c r="F567" i="11" s="1"/>
  <c r="H567" i="11" s="1"/>
  <c r="N435" i="7"/>
  <c r="F435" i="11" s="1"/>
  <c r="H435" i="11" s="1"/>
  <c r="T229" i="7"/>
  <c r="T209" i="7"/>
  <c r="Q208" i="7"/>
  <c r="T201" i="7"/>
  <c r="Q200" i="7"/>
  <c r="T233" i="7"/>
  <c r="Q232" i="7"/>
  <c r="T213" i="7"/>
  <c r="Q212" i="7"/>
  <c r="T203" i="7"/>
  <c r="Q202" i="7"/>
  <c r="T193" i="7"/>
  <c r="Q192" i="7"/>
  <c r="T247" i="7"/>
  <c r="T237" i="7"/>
  <c r="Q236" i="7"/>
  <c r="T207" i="7"/>
  <c r="T215" i="7"/>
  <c r="Q214" i="7"/>
  <c r="N577" i="7"/>
  <c r="F577" i="11" s="1"/>
  <c r="H577" i="11" s="1"/>
  <c r="N401" i="7"/>
  <c r="F401" i="11" s="1"/>
  <c r="H401" i="11" s="1"/>
  <c r="N211" i="7"/>
  <c r="F211" i="11" s="1"/>
  <c r="H211" i="11" s="1"/>
  <c r="N37" i="7"/>
  <c r="F37" i="11" s="1"/>
  <c r="H37" i="11" s="1"/>
  <c r="N579" i="7"/>
  <c r="F579" i="11" s="1"/>
  <c r="H579" i="11" s="1"/>
  <c r="N403" i="7"/>
  <c r="F403" i="11" s="1"/>
  <c r="H403" i="11" s="1"/>
  <c r="N212" i="7"/>
  <c r="F212" i="11" s="1"/>
  <c r="H212" i="11" s="1"/>
  <c r="N39" i="7"/>
  <c r="F39" i="11" s="1"/>
  <c r="H39" i="11" s="1"/>
  <c r="N188" i="7"/>
  <c r="F188" i="11" s="1"/>
  <c r="H188" i="11" s="1"/>
  <c r="I188" i="11" s="1"/>
  <c r="T170" i="7"/>
  <c r="Q169" i="7"/>
  <c r="T160" i="7"/>
  <c r="Q159" i="7"/>
  <c r="N158" i="7"/>
  <c r="F158" i="11" s="1"/>
  <c r="H158" i="11" s="1"/>
  <c r="I158" i="11" s="1"/>
  <c r="G15" i="8"/>
  <c r="G31" i="8"/>
  <c r="G3" i="8"/>
  <c r="G23" i="8"/>
  <c r="G19" i="8"/>
  <c r="G25" i="8"/>
  <c r="G10" i="8"/>
  <c r="G17" i="8"/>
  <c r="G14" i="8"/>
  <c r="G2" i="8"/>
  <c r="G20" i="8"/>
  <c r="G32" i="8"/>
  <c r="G28" i="8"/>
  <c r="T197" i="7"/>
  <c r="T187" i="7"/>
  <c r="N25" i="7"/>
  <c r="F25" i="11" s="1"/>
  <c r="H25" i="11" s="1"/>
  <c r="T199" i="7"/>
  <c r="Q198" i="7"/>
  <c r="G24" i="8"/>
  <c r="G27" i="8"/>
  <c r="G30" i="8"/>
  <c r="T150" i="7"/>
  <c r="Q149" i="7"/>
  <c r="N148" i="7"/>
  <c r="F148" i="11" s="1"/>
  <c r="H148" i="11" s="1"/>
  <c r="I148" i="11" s="1"/>
  <c r="T130" i="7"/>
  <c r="Q129" i="7"/>
  <c r="T120" i="7"/>
  <c r="Q119" i="7"/>
  <c r="G5" i="8"/>
  <c r="G22" i="8"/>
  <c r="G8" i="8"/>
  <c r="G34" i="8"/>
  <c r="G4" i="8"/>
  <c r="G35" i="8"/>
  <c r="G12" i="8"/>
  <c r="G21" i="8"/>
  <c r="G16" i="8"/>
  <c r="G18" i="8"/>
  <c r="G26" i="8"/>
  <c r="N3" i="7"/>
  <c r="F3" i="11" s="1"/>
  <c r="H3" i="11" s="1"/>
  <c r="G29" i="8"/>
  <c r="G33" i="8"/>
  <c r="N13" i="7"/>
  <c r="F13" i="11" s="1"/>
  <c r="H13" i="11" s="1"/>
  <c r="G6" i="8"/>
  <c r="G13" i="8"/>
  <c r="G9" i="8"/>
  <c r="G11" i="8"/>
  <c r="T195" i="7"/>
  <c r="Q194" i="7"/>
  <c r="T40" i="7"/>
  <c r="N557" i="7"/>
  <c r="F557" i="11" s="1"/>
  <c r="H557" i="11" s="1"/>
  <c r="N383" i="7"/>
  <c r="F383" i="11" s="1"/>
  <c r="H383" i="11" s="1"/>
  <c r="N200" i="7"/>
  <c r="F200" i="11" s="1"/>
  <c r="H200" i="11" s="1"/>
  <c r="N23" i="7"/>
  <c r="F23" i="11" s="1"/>
  <c r="H23" i="11" s="1"/>
  <c r="N559" i="7"/>
  <c r="F559" i="11" s="1"/>
  <c r="H559" i="11" s="1"/>
  <c r="N385" i="7"/>
  <c r="F385" i="11" s="1"/>
  <c r="H385" i="11" s="1"/>
  <c r="Q218" i="7"/>
  <c r="T372" i="7"/>
  <c r="Q361" i="7"/>
  <c r="Q327" i="7"/>
  <c r="T347" i="7"/>
  <c r="T327" i="7"/>
  <c r="Q40" i="7"/>
  <c r="T324" i="7"/>
  <c r="T317" i="7"/>
  <c r="Q317" i="7"/>
  <c r="T342" i="7"/>
  <c r="N340" i="7"/>
  <c r="F340" i="11" s="1"/>
  <c r="H340" i="11" s="1"/>
  <c r="I340" i="11" s="1"/>
  <c r="Q301" i="7"/>
  <c r="Y348" i="7"/>
  <c r="N348" i="11" s="1"/>
  <c r="Q342" i="7"/>
  <c r="T333" i="7"/>
  <c r="Q313" i="7"/>
  <c r="K311" i="7"/>
  <c r="G311" i="11" s="1"/>
  <c r="Q303" i="7"/>
  <c r="Q293" i="7"/>
  <c r="K291" i="7"/>
  <c r="G291" i="11" s="1"/>
  <c r="I291" i="11" s="1"/>
  <c r="Q324" i="7"/>
  <c r="Q354" i="7"/>
  <c r="R1" i="21"/>
  <c r="J236" i="21" s="1"/>
  <c r="T183" i="7"/>
  <c r="Q187" i="7"/>
  <c r="T173" i="7"/>
  <c r="T188" i="7"/>
  <c r="Q188" i="7"/>
  <c r="N546" i="7"/>
  <c r="F546" i="11" s="1"/>
  <c r="H546" i="11" s="1"/>
  <c r="I546" i="11" s="1"/>
  <c r="N372" i="7"/>
  <c r="F372" i="11" s="1"/>
  <c r="H372" i="11" s="1"/>
  <c r="I372" i="11" s="1"/>
  <c r="Q171" i="7"/>
  <c r="T171" i="7"/>
  <c r="Q174" i="7"/>
  <c r="T339" i="7"/>
  <c r="T176" i="7"/>
  <c r="Q175" i="7"/>
  <c r="T177" i="7"/>
  <c r="Q176" i="7"/>
  <c r="T175" i="7"/>
  <c r="N177" i="7"/>
  <c r="F177" i="11" s="1"/>
  <c r="H177" i="11" s="1"/>
  <c r="I177" i="11" s="1"/>
  <c r="T169" i="7"/>
  <c r="T172" i="7"/>
  <c r="T162" i="7"/>
  <c r="Q161" i="7"/>
  <c r="N160" i="7"/>
  <c r="F160" i="11" s="1"/>
  <c r="H160" i="11" s="1"/>
  <c r="I160" i="11" s="1"/>
  <c r="Q151" i="7"/>
  <c r="T142" i="7"/>
  <c r="Q141" i="7"/>
  <c r="Q173" i="7"/>
  <c r="Q170" i="7"/>
  <c r="Q177" i="7"/>
  <c r="N359" i="7"/>
  <c r="F359" i="11" s="1"/>
  <c r="H359" i="11" s="1"/>
  <c r="I359" i="11" s="1"/>
  <c r="Q172" i="7"/>
  <c r="N537" i="7"/>
  <c r="F537" i="11" s="1"/>
  <c r="H537" i="11" s="1"/>
  <c r="I537" i="11" s="1"/>
  <c r="N354" i="7"/>
  <c r="F354" i="11" s="1"/>
  <c r="H354" i="11" s="1"/>
  <c r="I354" i="11" s="1"/>
  <c r="N172" i="7"/>
  <c r="F172" i="11" s="1"/>
  <c r="H172" i="11" s="1"/>
  <c r="I172" i="11" s="1"/>
  <c r="T164" i="7"/>
  <c r="T165" i="7"/>
  <c r="Q164" i="7"/>
  <c r="Q165" i="7"/>
  <c r="T158" i="7"/>
  <c r="Q155" i="7"/>
  <c r="N708" i="7"/>
  <c r="F708" i="11" s="1"/>
  <c r="H708" i="11" s="1"/>
  <c r="I708" i="11" s="1"/>
  <c r="N520" i="7"/>
  <c r="F520" i="11" s="1"/>
  <c r="H520" i="11" s="1"/>
  <c r="I520" i="11" s="1"/>
  <c r="Q160" i="7"/>
  <c r="T163" i="7"/>
  <c r="N163" i="7"/>
  <c r="F163" i="11" s="1"/>
  <c r="H163" i="11" s="1"/>
  <c r="I163" i="11" s="1"/>
  <c r="N710" i="7"/>
  <c r="F710" i="11" s="1"/>
  <c r="H710" i="11" s="1"/>
  <c r="I710" i="11" s="1"/>
  <c r="Q163" i="7"/>
  <c r="Q156" i="7"/>
  <c r="N527" i="7"/>
  <c r="F527" i="11" s="1"/>
  <c r="H527" i="11" s="1"/>
  <c r="I527" i="11" s="1"/>
  <c r="N347" i="7"/>
  <c r="F347" i="11" s="1"/>
  <c r="H347" i="11" s="1"/>
  <c r="I347" i="11" s="1"/>
  <c r="T156" i="7"/>
  <c r="Q162" i="7"/>
  <c r="Q339" i="7"/>
  <c r="T157" i="7"/>
  <c r="Q157" i="7"/>
  <c r="N707" i="7"/>
  <c r="F707" i="11" s="1"/>
  <c r="H707" i="11" s="1"/>
  <c r="I707" i="11" s="1"/>
  <c r="N519" i="7"/>
  <c r="F519" i="11" s="1"/>
  <c r="H519" i="11" s="1"/>
  <c r="I519" i="11" s="1"/>
  <c r="N339" i="7"/>
  <c r="F339" i="11" s="1"/>
  <c r="H339" i="11" s="1"/>
  <c r="I339" i="11" s="1"/>
  <c r="N157" i="7"/>
  <c r="F157" i="11" s="1"/>
  <c r="H157" i="11" s="1"/>
  <c r="I157" i="11" s="1"/>
  <c r="T161" i="7"/>
  <c r="T159" i="7"/>
  <c r="Q142" i="7"/>
  <c r="T147" i="7"/>
  <c r="Q150" i="7"/>
  <c r="Q147" i="7"/>
  <c r="T149" i="7"/>
  <c r="Q148" i="7"/>
  <c r="T313" i="7"/>
  <c r="T146" i="7"/>
  <c r="Q146" i="7"/>
  <c r="T303" i="7"/>
  <c r="T145" i="7"/>
  <c r="Q145" i="7"/>
  <c r="T148" i="7"/>
  <c r="N698" i="7"/>
  <c r="F698" i="11" s="1"/>
  <c r="H698" i="11" s="1"/>
  <c r="I698" i="11" s="1"/>
  <c r="N600" i="7"/>
  <c r="F600" i="11" s="1"/>
  <c r="H600" i="11" s="1"/>
  <c r="I600" i="11" s="1"/>
  <c r="N333" i="7"/>
  <c r="F333" i="11" s="1"/>
  <c r="H333" i="11" s="1"/>
  <c r="I333" i="11" s="1"/>
  <c r="T293" i="7"/>
  <c r="T319" i="7"/>
  <c r="Q144" i="7"/>
  <c r="Y705" i="7"/>
  <c r="N705" i="11" s="1"/>
  <c r="T694" i="7"/>
  <c r="T143" i="7"/>
  <c r="Q694" i="7"/>
  <c r="T144" i="7"/>
  <c r="Q143" i="7"/>
  <c r="N694" i="7"/>
  <c r="F694" i="11" s="1"/>
  <c r="H694" i="11" s="1"/>
  <c r="I694" i="11" s="1"/>
  <c r="N507" i="7"/>
  <c r="F507" i="11" s="1"/>
  <c r="H507" i="11" s="1"/>
  <c r="I507" i="11" s="1"/>
  <c r="N324" i="7"/>
  <c r="F324" i="11" s="1"/>
  <c r="H324" i="11" s="1"/>
  <c r="I324" i="11" s="1"/>
  <c r="N144" i="7"/>
  <c r="F144" i="11" s="1"/>
  <c r="H144" i="11" s="1"/>
  <c r="I144" i="11" s="1"/>
  <c r="T141" i="7"/>
  <c r="T137" i="7"/>
  <c r="N693" i="7"/>
  <c r="F693" i="11" s="1"/>
  <c r="H693" i="11" s="1"/>
  <c r="I693" i="11" s="1"/>
  <c r="N506" i="7"/>
  <c r="F506" i="11" s="1"/>
  <c r="H506" i="11" s="1"/>
  <c r="I506" i="11" s="1"/>
  <c r="N331" i="7"/>
  <c r="F331" i="11" s="1"/>
  <c r="H331" i="11" s="1"/>
  <c r="I331" i="11" s="1"/>
  <c r="N143" i="7"/>
  <c r="F143" i="11" s="1"/>
  <c r="H143" i="11" s="1"/>
  <c r="I143" i="11" s="1"/>
  <c r="Q137" i="7"/>
  <c r="T128" i="7"/>
  <c r="T701" i="7"/>
  <c r="Q701" i="7"/>
  <c r="T151" i="7"/>
  <c r="N701" i="7"/>
  <c r="F701" i="11" s="1"/>
  <c r="H701" i="11" s="1"/>
  <c r="I701" i="11" s="1"/>
  <c r="N513" i="7"/>
  <c r="F513" i="11" s="1"/>
  <c r="H513" i="11" s="1"/>
  <c r="I513" i="11" s="1"/>
  <c r="N327" i="7"/>
  <c r="F327" i="11" s="1"/>
  <c r="H327" i="11" s="1"/>
  <c r="I327" i="11" s="1"/>
  <c r="N151" i="7"/>
  <c r="F151" i="11" s="1"/>
  <c r="H151" i="11" s="1"/>
  <c r="I151" i="11" s="1"/>
  <c r="Q128" i="7"/>
  <c r="T134" i="7"/>
  <c r="T135" i="7"/>
  <c r="Q134" i="7"/>
  <c r="Q135" i="7"/>
  <c r="Q130" i="7"/>
  <c r="T287" i="7"/>
  <c r="T129" i="7"/>
  <c r="Q133" i="7"/>
  <c r="T131" i="7"/>
  <c r="T132" i="7"/>
  <c r="Q131" i="7"/>
  <c r="T122" i="7"/>
  <c r="Q121" i="7"/>
  <c r="T102" i="7"/>
  <c r="Q101" i="7"/>
  <c r="H8" i="7"/>
  <c r="T133" i="7"/>
  <c r="Q132" i="7"/>
  <c r="Q136" i="7"/>
  <c r="T686" i="7"/>
  <c r="Q686" i="7"/>
  <c r="T136" i="7"/>
  <c r="N686" i="7"/>
  <c r="F686" i="11" s="1"/>
  <c r="H686" i="11" s="1"/>
  <c r="I686" i="11" s="1"/>
  <c r="Q319" i="7"/>
  <c r="N657" i="7"/>
  <c r="F657" i="11" s="1"/>
  <c r="H657" i="11" s="1"/>
  <c r="I657" i="11" s="1"/>
  <c r="N319" i="7"/>
  <c r="F319" i="11" s="1"/>
  <c r="H319" i="11" s="1"/>
  <c r="I319" i="11" s="1"/>
  <c r="N136" i="7"/>
  <c r="F136" i="11" s="1"/>
  <c r="H136" i="11" s="1"/>
  <c r="I136" i="11" s="1"/>
  <c r="T682" i="7"/>
  <c r="Q682" i="7"/>
  <c r="N682" i="7"/>
  <c r="F682" i="11" s="1"/>
  <c r="H682" i="11" s="1"/>
  <c r="I682" i="11" s="1"/>
  <c r="N497" i="7"/>
  <c r="F497" i="11" s="1"/>
  <c r="H497" i="11" s="1"/>
  <c r="I497" i="11" s="1"/>
  <c r="N317" i="7"/>
  <c r="F317" i="11" s="1"/>
  <c r="H317" i="11" s="1"/>
  <c r="I317" i="11" s="1"/>
  <c r="N132" i="7"/>
  <c r="F132" i="11" s="1"/>
  <c r="H132" i="11" s="1"/>
  <c r="I132" i="11" s="1"/>
  <c r="Q116" i="7"/>
  <c r="T123" i="7"/>
  <c r="Q122" i="7"/>
  <c r="T116" i="7"/>
  <c r="Q123" i="7"/>
  <c r="Q120" i="7"/>
  <c r="T118" i="7"/>
  <c r="T119" i="7"/>
  <c r="Q118" i="7"/>
  <c r="T114" i="7"/>
  <c r="Q114" i="7"/>
  <c r="Q480" i="7"/>
  <c r="T121" i="7"/>
  <c r="Q109" i="7"/>
  <c r="T100" i="7"/>
  <c r="H6" i="7"/>
  <c r="T115" i="7"/>
  <c r="N115" i="7"/>
  <c r="F115" i="11" s="1"/>
  <c r="H115" i="11" s="1"/>
  <c r="I115" i="11" s="1"/>
  <c r="T301" i="7"/>
  <c r="Q103" i="7"/>
  <c r="Q115" i="7"/>
  <c r="N667" i="7"/>
  <c r="F667" i="11" s="1"/>
  <c r="H667" i="11" s="1"/>
  <c r="I667" i="11" s="1"/>
  <c r="N482" i="7"/>
  <c r="F482" i="11" s="1"/>
  <c r="H482" i="11" s="1"/>
  <c r="I482" i="11" s="1"/>
  <c r="N301" i="7"/>
  <c r="F301" i="11" s="1"/>
  <c r="H301" i="11" s="1"/>
  <c r="I301" i="11" s="1"/>
  <c r="T117" i="7"/>
  <c r="Q117" i="7"/>
  <c r="N669" i="7"/>
  <c r="F669" i="11" s="1"/>
  <c r="H669" i="11" s="1"/>
  <c r="I669" i="11" s="1"/>
  <c r="N303" i="7"/>
  <c r="F303" i="11" s="1"/>
  <c r="H303" i="11" s="1"/>
  <c r="I303" i="11" s="1"/>
  <c r="N293" i="7"/>
  <c r="F293" i="11" s="1"/>
  <c r="H293" i="11" s="1"/>
  <c r="I293" i="11" s="1"/>
  <c r="N117" i="7"/>
  <c r="F117" i="11" s="1"/>
  <c r="H117" i="11" s="1"/>
  <c r="I117" i="11" s="1"/>
  <c r="T103" i="7"/>
  <c r="Q102" i="7"/>
  <c r="Y402" i="7"/>
  <c r="N402" i="11" s="1"/>
  <c r="T396" i="7"/>
  <c r="H392" i="7"/>
  <c r="H17" i="7"/>
  <c r="H268" i="7"/>
  <c r="K259" i="7"/>
  <c r="G259" i="11" s="1"/>
  <c r="I259" i="11" s="1"/>
  <c r="T252" i="7"/>
  <c r="T107" i="7"/>
  <c r="Q107" i="7"/>
  <c r="H659" i="7"/>
  <c r="T109" i="7"/>
  <c r="Q106" i="7"/>
  <c r="H315" i="7"/>
  <c r="T104" i="7"/>
  <c r="Q104" i="7"/>
  <c r="T106" i="7"/>
  <c r="Q42" i="7"/>
  <c r="H29" i="7"/>
  <c r="K214" i="7"/>
  <c r="G214" i="11" s="1"/>
  <c r="I214" i="11" s="1"/>
  <c r="N469" i="7"/>
  <c r="F469" i="11" s="1"/>
  <c r="H469" i="11" s="1"/>
  <c r="I469" i="11" s="1"/>
  <c r="Q100" i="7"/>
  <c r="Q45" i="7"/>
  <c r="Q108" i="7"/>
  <c r="N651" i="7"/>
  <c r="F651" i="11" s="1"/>
  <c r="H651" i="11" s="1"/>
  <c r="I651" i="11" s="1"/>
  <c r="N284" i="7"/>
  <c r="F284" i="11" s="1"/>
  <c r="H284" i="11" s="1"/>
  <c r="N100" i="7"/>
  <c r="F100" i="11" s="1"/>
  <c r="H100" i="11" s="1"/>
  <c r="I100" i="11" s="1"/>
  <c r="T647" i="7"/>
  <c r="T206" i="7"/>
  <c r="T101" i="7"/>
  <c r="K111" i="7"/>
  <c r="G111" i="11" s="1"/>
  <c r="Y110" i="7"/>
  <c r="K71" i="7"/>
  <c r="G71" i="11" s="1"/>
  <c r="I71" i="11" s="1"/>
  <c r="Y182" i="7"/>
  <c r="T438" i="7"/>
  <c r="K435" i="7"/>
  <c r="G435" i="11" s="1"/>
  <c r="H134" i="7"/>
  <c r="N126" i="7"/>
  <c r="F126" i="11" s="1"/>
  <c r="H126" i="11" s="1"/>
  <c r="I126" i="11" s="1"/>
  <c r="K125" i="7"/>
  <c r="G125" i="11" s="1"/>
  <c r="T108" i="7"/>
  <c r="H166" i="7"/>
  <c r="Y619" i="7"/>
  <c r="N619" i="11" s="1"/>
  <c r="N169" i="7"/>
  <c r="F169" i="11" s="1"/>
  <c r="H169" i="11" s="1"/>
  <c r="I169" i="11" s="1"/>
  <c r="Y219" i="7"/>
  <c r="N219" i="11" s="1"/>
  <c r="K210" i="7"/>
  <c r="G210" i="11" s="1"/>
  <c r="I210" i="11" s="1"/>
  <c r="N110" i="7"/>
  <c r="F110" i="11" s="1"/>
  <c r="H110" i="11" s="1"/>
  <c r="I110" i="11" s="1"/>
  <c r="K633" i="7"/>
  <c r="G633" i="11" s="1"/>
  <c r="I633" i="11" s="1"/>
  <c r="T54" i="7"/>
  <c r="T44" i="7"/>
  <c r="K11" i="7"/>
  <c r="G11" i="11" s="1"/>
  <c r="I11" i="11" s="1"/>
  <c r="H484" i="7"/>
  <c r="K475" i="7"/>
  <c r="G475" i="11" s="1"/>
  <c r="I475" i="11" s="1"/>
  <c r="T105" i="7"/>
  <c r="Q287" i="7"/>
  <c r="Q105" i="7"/>
  <c r="K266" i="7"/>
  <c r="G266" i="11" s="1"/>
  <c r="H265" i="7"/>
  <c r="N186" i="7"/>
  <c r="F186" i="11" s="1"/>
  <c r="H186" i="11" s="1"/>
  <c r="I186" i="11" s="1"/>
  <c r="Y135" i="7"/>
  <c r="T59" i="7"/>
  <c r="H618" i="7"/>
  <c r="K288" i="7"/>
  <c r="G288" i="11" s="1"/>
  <c r="H228" i="7"/>
  <c r="H592" i="7"/>
  <c r="Q585" i="7"/>
  <c r="Q80" i="7"/>
  <c r="K422" i="7"/>
  <c r="G422" i="11" s="1"/>
  <c r="Q647" i="7"/>
  <c r="K726" i="7"/>
  <c r="G726" i="11" s="1"/>
  <c r="I726" i="11" s="1"/>
  <c r="Y697" i="7"/>
  <c r="N697" i="11" s="1"/>
  <c r="Q659" i="7"/>
  <c r="H656" i="7"/>
  <c r="N516" i="7"/>
  <c r="F516" i="11" s="1"/>
  <c r="H516" i="11" s="1"/>
  <c r="I516" i="11" s="1"/>
  <c r="T377" i="7"/>
  <c r="K304" i="7"/>
  <c r="G304" i="11" s="1"/>
  <c r="I304" i="11" s="1"/>
  <c r="H677" i="7"/>
  <c r="H667" i="7"/>
  <c r="T228" i="7"/>
  <c r="K225" i="7"/>
  <c r="G225" i="11" s="1"/>
  <c r="Q550" i="7"/>
  <c r="H517" i="7"/>
  <c r="H507" i="7"/>
  <c r="T249" i="7"/>
  <c r="T239" i="7"/>
  <c r="N328" i="7"/>
  <c r="F328" i="11" s="1"/>
  <c r="H328" i="11" s="1"/>
  <c r="I328" i="11" s="1"/>
  <c r="K327" i="7"/>
  <c r="G327" i="11" s="1"/>
  <c r="Y326" i="7"/>
  <c r="N326" i="11" s="1"/>
  <c r="K723" i="7"/>
  <c r="G723" i="11" s="1"/>
  <c r="I723" i="11" s="1"/>
  <c r="K592" i="7"/>
  <c r="G592" i="11" s="1"/>
  <c r="I592" i="11" s="1"/>
  <c r="Q391" i="7"/>
  <c r="Y672" i="7"/>
  <c r="N672" i="11" s="1"/>
  <c r="Y652" i="7"/>
  <c r="N652" i="11" s="1"/>
  <c r="T659" i="7"/>
  <c r="H171" i="7"/>
  <c r="K143" i="7"/>
  <c r="G143" i="11" s="1"/>
  <c r="Y266" i="7"/>
  <c r="N266" i="11" s="1"/>
  <c r="K199" i="7"/>
  <c r="G199" i="11" s="1"/>
  <c r="I199" i="11" s="1"/>
  <c r="H198" i="7"/>
  <c r="H66" i="7"/>
  <c r="N659" i="7"/>
  <c r="F659" i="11" s="1"/>
  <c r="H659" i="11" s="1"/>
  <c r="I659" i="11" s="1"/>
  <c r="N647" i="7"/>
  <c r="F647" i="11" s="1"/>
  <c r="H647" i="11" s="1"/>
  <c r="I647" i="11" s="1"/>
  <c r="N287" i="7"/>
  <c r="F287" i="11" s="1"/>
  <c r="H287" i="11" s="1"/>
  <c r="I287" i="11" s="1"/>
  <c r="N105" i="7"/>
  <c r="F105" i="11" s="1"/>
  <c r="H105" i="11" s="1"/>
  <c r="I105" i="11" s="1"/>
  <c r="T716" i="7"/>
  <c r="K713" i="7"/>
  <c r="G713" i="11" s="1"/>
  <c r="I713" i="11" s="1"/>
  <c r="H712" i="7"/>
  <c r="K683" i="7"/>
  <c r="G683" i="11" s="1"/>
  <c r="I683" i="11" s="1"/>
  <c r="Y631" i="7"/>
  <c r="N631" i="11" s="1"/>
  <c r="K622" i="7"/>
  <c r="G622" i="11" s="1"/>
  <c r="I622" i="11" s="1"/>
  <c r="T584" i="7"/>
  <c r="H447" i="7"/>
  <c r="T441" i="7"/>
  <c r="Q112" i="7"/>
  <c r="Q41" i="7"/>
  <c r="H591" i="7"/>
  <c r="Y458" i="7"/>
  <c r="N458" i="11" s="1"/>
  <c r="Y448" i="7"/>
  <c r="N448" i="11" s="1"/>
  <c r="Q299" i="7"/>
  <c r="K287" i="7"/>
  <c r="G287" i="11" s="1"/>
  <c r="K196" i="7"/>
  <c r="G196" i="11" s="1"/>
  <c r="H151" i="7"/>
  <c r="K141" i="7"/>
  <c r="G141" i="11" s="1"/>
  <c r="K60" i="7"/>
  <c r="G60" i="11" s="1"/>
  <c r="H18" i="7"/>
  <c r="Q676" i="7"/>
  <c r="T637" i="7"/>
  <c r="K551" i="7"/>
  <c r="G551" i="11" s="1"/>
  <c r="H9" i="7"/>
  <c r="T413" i="7"/>
  <c r="N391" i="7"/>
  <c r="F391" i="11" s="1"/>
  <c r="H391" i="11" s="1"/>
  <c r="I391" i="11" s="1"/>
  <c r="K31" i="7"/>
  <c r="G31" i="11" s="1"/>
  <c r="T424" i="7"/>
  <c r="N351" i="7"/>
  <c r="F351" i="11" s="1"/>
  <c r="H351" i="11" s="1"/>
  <c r="I351" i="11" s="1"/>
  <c r="T65" i="7"/>
  <c r="K707" i="7"/>
  <c r="G707" i="11" s="1"/>
  <c r="T640" i="7"/>
  <c r="Q292" i="7"/>
  <c r="K103" i="7"/>
  <c r="G103" i="11" s="1"/>
  <c r="I103" i="11" s="1"/>
  <c r="H102" i="7"/>
  <c r="T96" i="7"/>
  <c r="Q54" i="7"/>
  <c r="K52" i="7"/>
  <c r="G52" i="11" s="1"/>
  <c r="H51" i="7"/>
  <c r="K483" i="7"/>
  <c r="G483" i="11" s="1"/>
  <c r="I483" i="11" s="1"/>
  <c r="Y482" i="7"/>
  <c r="N482" i="11" s="1"/>
  <c r="T15" i="7"/>
  <c r="Q14" i="7"/>
  <c r="K698" i="7"/>
  <c r="G698" i="11" s="1"/>
  <c r="K586" i="7"/>
  <c r="G586" i="11" s="1"/>
  <c r="H452" i="7"/>
  <c r="Y422" i="7"/>
  <c r="N422" i="11" s="1"/>
  <c r="Y361" i="7"/>
  <c r="N361" i="11" s="1"/>
  <c r="Y260" i="7"/>
  <c r="N260" i="11" s="1"/>
  <c r="K659" i="7"/>
  <c r="G659" i="11" s="1"/>
  <c r="H638" i="7"/>
  <c r="K373" i="7"/>
  <c r="G373" i="11" s="1"/>
  <c r="K105" i="7"/>
  <c r="G105" i="11" s="1"/>
  <c r="N96" i="7"/>
  <c r="F96" i="11" s="1"/>
  <c r="H96" i="11" s="1"/>
  <c r="I96" i="11" s="1"/>
  <c r="H251" i="7"/>
  <c r="K710" i="7"/>
  <c r="G710" i="11" s="1"/>
  <c r="H628" i="7"/>
  <c r="N517" i="7"/>
  <c r="F517" i="11" s="1"/>
  <c r="H517" i="11" s="1"/>
  <c r="I517" i="11" s="1"/>
  <c r="K506" i="7"/>
  <c r="G506" i="11" s="1"/>
  <c r="N181" i="7"/>
  <c r="F181" i="11" s="1"/>
  <c r="H181" i="11" s="1"/>
  <c r="I181" i="11" s="1"/>
  <c r="K107" i="7"/>
  <c r="G107" i="11" s="1"/>
  <c r="I107" i="11" s="1"/>
  <c r="T49" i="7"/>
  <c r="K345" i="7"/>
  <c r="G345" i="11" s="1"/>
  <c r="I345" i="11" s="1"/>
  <c r="K672" i="7"/>
  <c r="G672" i="11" s="1"/>
  <c r="I672" i="11" s="1"/>
  <c r="N571" i="7"/>
  <c r="F571" i="11" s="1"/>
  <c r="H571" i="11" s="1"/>
  <c r="I571" i="11" s="1"/>
  <c r="K89" i="7"/>
  <c r="G89" i="11" s="1"/>
  <c r="I89" i="11" s="1"/>
  <c r="H88" i="7"/>
  <c r="K666" i="7"/>
  <c r="G666" i="11" s="1"/>
  <c r="I666" i="11" s="1"/>
  <c r="Q637" i="7"/>
  <c r="K625" i="7"/>
  <c r="G625" i="11" s="1"/>
  <c r="N615" i="7"/>
  <c r="F615" i="11" s="1"/>
  <c r="H615" i="11" s="1"/>
  <c r="I615" i="11" s="1"/>
  <c r="K614" i="7"/>
  <c r="G614" i="11" s="1"/>
  <c r="K559" i="7"/>
  <c r="G559" i="11" s="1"/>
  <c r="H535" i="7"/>
  <c r="Y524" i="7"/>
  <c r="N524" i="11" s="1"/>
  <c r="Q276" i="7"/>
  <c r="Q265" i="7"/>
  <c r="Q702" i="7"/>
  <c r="K646" i="7"/>
  <c r="G646" i="11" s="1"/>
  <c r="I646" i="11" s="1"/>
  <c r="Q628" i="7"/>
  <c r="H580" i="7"/>
  <c r="Q573" i="7"/>
  <c r="Q424" i="7"/>
  <c r="N423" i="7"/>
  <c r="F423" i="11" s="1"/>
  <c r="H423" i="11" s="1"/>
  <c r="I423" i="11" s="1"/>
  <c r="Y349" i="7"/>
  <c r="N349" i="11" s="1"/>
  <c r="K339" i="7"/>
  <c r="G339" i="11" s="1"/>
  <c r="Y338" i="7"/>
  <c r="N338" i="11" s="1"/>
  <c r="K701" i="7"/>
  <c r="G701" i="11" s="1"/>
  <c r="N628" i="7"/>
  <c r="F628" i="11" s="1"/>
  <c r="H628" i="11" s="1"/>
  <c r="I628" i="11" s="1"/>
  <c r="N550" i="7"/>
  <c r="F550" i="11" s="1"/>
  <c r="H550" i="11" s="1"/>
  <c r="I550" i="11" s="1"/>
  <c r="Y548" i="7"/>
  <c r="N548" i="11" s="1"/>
  <c r="N424" i="7"/>
  <c r="F424" i="11" s="1"/>
  <c r="H424" i="11" s="1"/>
  <c r="I424" i="11" s="1"/>
  <c r="K286" i="7"/>
  <c r="G286" i="11" s="1"/>
  <c r="N225" i="7"/>
  <c r="F225" i="11" s="1"/>
  <c r="H225" i="11" s="1"/>
  <c r="I225" i="11" s="1"/>
  <c r="K681" i="7"/>
  <c r="G681" i="11" s="1"/>
  <c r="I681" i="11" s="1"/>
  <c r="T674" i="7"/>
  <c r="Y627" i="7"/>
  <c r="N627" i="11" s="1"/>
  <c r="N467" i="7"/>
  <c r="F467" i="11" s="1"/>
  <c r="H467" i="11" s="1"/>
  <c r="I467" i="11" s="1"/>
  <c r="K158" i="7"/>
  <c r="G158" i="11" s="1"/>
  <c r="H125" i="7"/>
  <c r="N55" i="7"/>
  <c r="F55" i="11" s="1"/>
  <c r="H55" i="11" s="1"/>
  <c r="I55" i="11" s="1"/>
  <c r="T25" i="7"/>
  <c r="H289" i="7"/>
  <c r="Q641" i="7"/>
  <c r="Y596" i="7"/>
  <c r="N596" i="11" s="1"/>
  <c r="H497" i="7"/>
  <c r="Q458" i="7"/>
  <c r="K456" i="7"/>
  <c r="G456" i="11" s="1"/>
  <c r="H455" i="7"/>
  <c r="H413" i="7"/>
  <c r="Y311" i="7"/>
  <c r="N311" i="11" s="1"/>
  <c r="H126" i="7"/>
  <c r="N66" i="7"/>
  <c r="F66" i="11" s="1"/>
  <c r="H66" i="11" s="1"/>
  <c r="I66" i="11" s="1"/>
  <c r="H53" i="7"/>
  <c r="Q46" i="7"/>
  <c r="H170" i="7"/>
  <c r="T89" i="7"/>
  <c r="Y85" i="7"/>
  <c r="T79" i="7"/>
  <c r="K640" i="7"/>
  <c r="G640" i="11" s="1"/>
  <c r="K608" i="7"/>
  <c r="G608" i="11" s="1"/>
  <c r="I608" i="11" s="1"/>
  <c r="K426" i="7"/>
  <c r="G426" i="11" s="1"/>
  <c r="I426" i="11" s="1"/>
  <c r="N365" i="7"/>
  <c r="F365" i="11" s="1"/>
  <c r="H365" i="11" s="1"/>
  <c r="I365" i="11" s="1"/>
  <c r="H363" i="7"/>
  <c r="Q249" i="7"/>
  <c r="N238" i="7"/>
  <c r="F238" i="11" s="1"/>
  <c r="H238" i="11" s="1"/>
  <c r="I238" i="11" s="1"/>
  <c r="H225" i="7"/>
  <c r="K118" i="7"/>
  <c r="G118" i="11" s="1"/>
  <c r="I118" i="11" s="1"/>
  <c r="K630" i="7"/>
  <c r="G630" i="11" s="1"/>
  <c r="Y629" i="7"/>
  <c r="N629" i="11" s="1"/>
  <c r="K542" i="7"/>
  <c r="G542" i="11" s="1"/>
  <c r="I542" i="11" s="1"/>
  <c r="K447" i="7"/>
  <c r="G447" i="11" s="1"/>
  <c r="I447" i="11" s="1"/>
  <c r="Q377" i="7"/>
  <c r="N280" i="7"/>
  <c r="F280" i="11" s="1"/>
  <c r="H280" i="11" s="1"/>
  <c r="I280" i="11" s="1"/>
  <c r="Y267" i="7"/>
  <c r="N267" i="11" s="1"/>
  <c r="Y160" i="7"/>
  <c r="K139" i="7"/>
  <c r="G139" i="11" s="1"/>
  <c r="Y138" i="7"/>
  <c r="N98" i="7"/>
  <c r="F98" i="11" s="1"/>
  <c r="H98" i="11" s="1"/>
  <c r="I98" i="11" s="1"/>
  <c r="K97" i="7"/>
  <c r="G97" i="11" s="1"/>
  <c r="T90" i="7"/>
  <c r="Q89" i="7"/>
  <c r="K87" i="7"/>
  <c r="G87" i="11" s="1"/>
  <c r="I87" i="11" s="1"/>
  <c r="H86" i="7"/>
  <c r="Q664" i="7"/>
  <c r="H650" i="7"/>
  <c r="Y608" i="7"/>
  <c r="N608" i="11" s="1"/>
  <c r="K543" i="7"/>
  <c r="G543" i="11" s="1"/>
  <c r="I543" i="11" s="1"/>
  <c r="T536" i="7"/>
  <c r="K521" i="7"/>
  <c r="G521" i="11" s="1"/>
  <c r="I521" i="11" s="1"/>
  <c r="K469" i="7"/>
  <c r="G469" i="11" s="1"/>
  <c r="Y468" i="7"/>
  <c r="N468" i="11" s="1"/>
  <c r="Y313" i="7"/>
  <c r="N313" i="11" s="1"/>
  <c r="Y134" i="7"/>
  <c r="K163" i="7"/>
  <c r="G163" i="11" s="1"/>
  <c r="H119" i="7"/>
  <c r="H56" i="7"/>
  <c r="N48" i="7"/>
  <c r="F48" i="11" s="1"/>
  <c r="H48" i="11" s="1"/>
  <c r="I48" i="11" s="1"/>
  <c r="Y35" i="7"/>
  <c r="T8" i="7"/>
  <c r="K522" i="7"/>
  <c r="G522" i="11" s="1"/>
  <c r="N378" i="7"/>
  <c r="F378" i="11" s="1"/>
  <c r="H378" i="11" s="1"/>
  <c r="I378" i="11" s="1"/>
  <c r="K346" i="7"/>
  <c r="G346" i="11" s="1"/>
  <c r="I346" i="11" s="1"/>
  <c r="T72" i="7"/>
  <c r="T391" i="7"/>
  <c r="H185" i="7"/>
  <c r="T168" i="7"/>
  <c r="N166" i="7"/>
  <c r="F166" i="11" s="1"/>
  <c r="H166" i="11" s="1"/>
  <c r="I166" i="11" s="1"/>
  <c r="K142" i="7"/>
  <c r="G142" i="11" s="1"/>
  <c r="I142" i="11" s="1"/>
  <c r="H141" i="7"/>
  <c r="Q82" i="7"/>
  <c r="K69" i="7"/>
  <c r="G69" i="11" s="1"/>
  <c r="N18" i="7"/>
  <c r="F18" i="11" s="1"/>
  <c r="H18" i="11" s="1"/>
  <c r="I18" i="11" s="1"/>
  <c r="H707" i="7"/>
  <c r="K665" i="7"/>
  <c r="G665" i="11" s="1"/>
  <c r="Q656" i="7"/>
  <c r="Y621" i="7"/>
  <c r="N621" i="11" s="1"/>
  <c r="T615" i="7"/>
  <c r="K612" i="7"/>
  <c r="G612" i="11" s="1"/>
  <c r="Y611" i="7"/>
  <c r="N611" i="11" s="1"/>
  <c r="H601" i="7"/>
  <c r="Y507" i="7"/>
  <c r="N507" i="11" s="1"/>
  <c r="K492" i="7"/>
  <c r="G492" i="11" s="1"/>
  <c r="K461" i="7"/>
  <c r="G461" i="11" s="1"/>
  <c r="I461" i="11" s="1"/>
  <c r="H459" i="7"/>
  <c r="K450" i="7"/>
  <c r="G450" i="11" s="1"/>
  <c r="K409" i="7"/>
  <c r="G409" i="11" s="1"/>
  <c r="K378" i="7"/>
  <c r="G378" i="11" s="1"/>
  <c r="Y377" i="7"/>
  <c r="N377" i="11" s="1"/>
  <c r="K357" i="7"/>
  <c r="G357" i="11" s="1"/>
  <c r="I357" i="11" s="1"/>
  <c r="N348" i="7"/>
  <c r="F348" i="11" s="1"/>
  <c r="H348" i="11" s="1"/>
  <c r="I348" i="11" s="1"/>
  <c r="K49" i="7"/>
  <c r="G49" i="11" s="1"/>
  <c r="N593" i="7"/>
  <c r="F593" i="11" s="1"/>
  <c r="H593" i="11" s="1"/>
  <c r="I593" i="11" s="1"/>
  <c r="H545" i="7"/>
  <c r="Q538" i="7"/>
  <c r="K493" i="7"/>
  <c r="G493" i="11" s="1"/>
  <c r="I493" i="11" s="1"/>
  <c r="Y492" i="7"/>
  <c r="N492" i="11" s="1"/>
  <c r="N463" i="7"/>
  <c r="F463" i="11" s="1"/>
  <c r="H463" i="11" s="1"/>
  <c r="I463" i="11" s="1"/>
  <c r="T276" i="7"/>
  <c r="K112" i="7"/>
  <c r="G112" i="11" s="1"/>
  <c r="T94" i="7"/>
  <c r="H27" i="7"/>
  <c r="N637" i="7"/>
  <c r="F637" i="11" s="1"/>
  <c r="H637" i="11" s="1"/>
  <c r="I637" i="11" s="1"/>
  <c r="N276" i="7"/>
  <c r="F276" i="11" s="1"/>
  <c r="H276" i="11" s="1"/>
  <c r="K276" i="7"/>
  <c r="G276" i="11" s="1"/>
  <c r="Q376" i="7"/>
  <c r="T323" i="7"/>
  <c r="K585" i="7"/>
  <c r="G585" i="11" s="1"/>
  <c r="T552" i="7"/>
  <c r="K462" i="7"/>
  <c r="G462" i="11" s="1"/>
  <c r="I462" i="11" s="1"/>
  <c r="Y450" i="7"/>
  <c r="N450" i="11" s="1"/>
  <c r="Y275" i="7"/>
  <c r="N275" i="11" s="1"/>
  <c r="Q267" i="7"/>
  <c r="K211" i="7"/>
  <c r="G211" i="11" s="1"/>
  <c r="K679" i="7"/>
  <c r="G679" i="11" s="1"/>
  <c r="I679" i="11" s="1"/>
  <c r="H631" i="7"/>
  <c r="H598" i="7"/>
  <c r="H549" i="7"/>
  <c r="K495" i="7"/>
  <c r="G495" i="11" s="1"/>
  <c r="I495" i="11" s="1"/>
  <c r="H462" i="7"/>
  <c r="N453" i="7"/>
  <c r="F453" i="11" s="1"/>
  <c r="H453" i="11" s="1"/>
  <c r="I453" i="11" s="1"/>
  <c r="Q422" i="7"/>
  <c r="N421" i="7"/>
  <c r="F421" i="11" s="1"/>
  <c r="H421" i="11" s="1"/>
  <c r="I421" i="11" s="1"/>
  <c r="K690" i="7"/>
  <c r="G690" i="11" s="1"/>
  <c r="H666" i="7"/>
  <c r="T614" i="7"/>
  <c r="H586" i="7"/>
  <c r="K564" i="7"/>
  <c r="G564" i="11" s="1"/>
  <c r="K507" i="7"/>
  <c r="G507" i="11" s="1"/>
  <c r="K419" i="7"/>
  <c r="G419" i="11" s="1"/>
  <c r="I419" i="11" s="1"/>
  <c r="H418" i="7"/>
  <c r="Y633" i="7"/>
  <c r="N633" i="11" s="1"/>
  <c r="T479" i="7"/>
  <c r="K552" i="7"/>
  <c r="G552" i="11" s="1"/>
  <c r="Y551" i="7"/>
  <c r="N551" i="11" s="1"/>
  <c r="Q280" i="7"/>
  <c r="K602" i="7"/>
  <c r="G602" i="11" s="1"/>
  <c r="K531" i="7"/>
  <c r="G531" i="11" s="1"/>
  <c r="I531" i="11" s="1"/>
  <c r="N478" i="7"/>
  <c r="F478" i="11" s="1"/>
  <c r="H478" i="11" s="1"/>
  <c r="I478" i="11" s="1"/>
  <c r="Q336" i="7"/>
  <c r="K303" i="7"/>
  <c r="G303" i="11" s="1"/>
  <c r="Y669" i="7"/>
  <c r="N669" i="11" s="1"/>
  <c r="H422" i="7"/>
  <c r="K314" i="7"/>
  <c r="G314" i="11" s="1"/>
  <c r="I314" i="11" s="1"/>
  <c r="K258" i="7"/>
  <c r="G258" i="11" s="1"/>
  <c r="I258" i="11" s="1"/>
  <c r="H257" i="7"/>
  <c r="K648" i="7"/>
  <c r="G648" i="11" s="1"/>
  <c r="I648" i="11" s="1"/>
  <c r="K603" i="7"/>
  <c r="G603" i="11" s="1"/>
  <c r="Y589" i="7"/>
  <c r="N589" i="11" s="1"/>
  <c r="N337" i="7"/>
  <c r="F337" i="11" s="1"/>
  <c r="H337" i="11" s="1"/>
  <c r="I337" i="11" s="1"/>
  <c r="K280" i="7"/>
  <c r="G280" i="11" s="1"/>
  <c r="Q250" i="7"/>
  <c r="H247" i="7"/>
  <c r="H76" i="7"/>
  <c r="Q718" i="7"/>
  <c r="N717" i="7"/>
  <c r="F717" i="11" s="1"/>
  <c r="H717" i="11" s="1"/>
  <c r="I717" i="11" s="1"/>
  <c r="K704" i="7"/>
  <c r="G704" i="11" s="1"/>
  <c r="Q662" i="7"/>
  <c r="K499" i="7"/>
  <c r="G499" i="11" s="1"/>
  <c r="I499" i="11" s="1"/>
  <c r="Q491" i="7"/>
  <c r="N490" i="7"/>
  <c r="F490" i="11" s="1"/>
  <c r="H490" i="11" s="1"/>
  <c r="I490" i="11" s="1"/>
  <c r="K489" i="7"/>
  <c r="G489" i="11" s="1"/>
  <c r="I489" i="11" s="1"/>
  <c r="K206" i="7"/>
  <c r="G206" i="11" s="1"/>
  <c r="K705" i="7"/>
  <c r="G705" i="11" s="1"/>
  <c r="H704" i="7"/>
  <c r="T664" i="7"/>
  <c r="Q663" i="7"/>
  <c r="H660" i="7"/>
  <c r="K436" i="7"/>
  <c r="G436" i="11" s="1"/>
  <c r="I436" i="11" s="1"/>
  <c r="Q394" i="7"/>
  <c r="K381" i="7"/>
  <c r="G381" i="11" s="1"/>
  <c r="I381" i="11" s="1"/>
  <c r="K348" i="7"/>
  <c r="G348" i="11" s="1"/>
  <c r="Y729" i="7"/>
  <c r="N729" i="11" s="1"/>
  <c r="K696" i="7"/>
  <c r="G696" i="11" s="1"/>
  <c r="I696" i="11" s="1"/>
  <c r="K536" i="7"/>
  <c r="G536" i="11" s="1"/>
  <c r="H534" i="7"/>
  <c r="K458" i="7"/>
  <c r="G458" i="11" s="1"/>
  <c r="Y414" i="7"/>
  <c r="N414" i="11" s="1"/>
  <c r="T408" i="7"/>
  <c r="K328" i="7"/>
  <c r="G328" i="11" s="1"/>
  <c r="K296" i="7"/>
  <c r="G296" i="11" s="1"/>
  <c r="I296" i="11" s="1"/>
  <c r="Y163" i="7"/>
  <c r="H163" i="7"/>
  <c r="H546" i="7"/>
  <c r="K515" i="7"/>
  <c r="G515" i="11" s="1"/>
  <c r="H514" i="7"/>
  <c r="T463" i="7"/>
  <c r="Q429" i="7"/>
  <c r="N428" i="7"/>
  <c r="F428" i="11" s="1"/>
  <c r="H428" i="11" s="1"/>
  <c r="I428" i="11" s="1"/>
  <c r="K360" i="7"/>
  <c r="G360" i="11" s="1"/>
  <c r="I360" i="11" s="1"/>
  <c r="Y317" i="7"/>
  <c r="N317" i="11" s="1"/>
  <c r="Q310" i="7"/>
  <c r="K308" i="7"/>
  <c r="G308" i="11" s="1"/>
  <c r="I308" i="11" s="1"/>
  <c r="Q689" i="7"/>
  <c r="N584" i="7"/>
  <c r="F584" i="11" s="1"/>
  <c r="H584" i="11" s="1"/>
  <c r="I584" i="11" s="1"/>
  <c r="T564" i="7"/>
  <c r="K560" i="7"/>
  <c r="G560" i="11" s="1"/>
  <c r="I560" i="11" s="1"/>
  <c r="H559" i="7"/>
  <c r="Y515" i="7"/>
  <c r="N515" i="11" s="1"/>
  <c r="H492" i="7"/>
  <c r="K472" i="7"/>
  <c r="G472" i="11" s="1"/>
  <c r="I472" i="11" s="1"/>
  <c r="Q441" i="7"/>
  <c r="N440" i="7"/>
  <c r="F440" i="11" s="1"/>
  <c r="H440" i="11" s="1"/>
  <c r="I440" i="11" s="1"/>
  <c r="Y394" i="7"/>
  <c r="N394" i="11" s="1"/>
  <c r="H371" i="7"/>
  <c r="K166" i="7"/>
  <c r="G166" i="11" s="1"/>
  <c r="H107" i="7"/>
  <c r="K55" i="7"/>
  <c r="G55" i="11" s="1"/>
  <c r="N33" i="7"/>
  <c r="F33" i="11" s="1"/>
  <c r="H33" i="11" s="1"/>
  <c r="I33" i="11" s="1"/>
  <c r="H31" i="7"/>
  <c r="H697" i="7"/>
  <c r="K629" i="7"/>
  <c r="G629" i="11" s="1"/>
  <c r="K500" i="7"/>
  <c r="G500" i="11" s="1"/>
  <c r="I500" i="11" s="1"/>
  <c r="K424" i="7"/>
  <c r="G424" i="11" s="1"/>
  <c r="H423" i="7"/>
  <c r="Y411" i="7"/>
  <c r="N411" i="11" s="1"/>
  <c r="Y400" i="7"/>
  <c r="N400" i="11" s="1"/>
  <c r="H378" i="7"/>
  <c r="N266" i="7"/>
  <c r="F266" i="11" s="1"/>
  <c r="H266" i="11" s="1"/>
  <c r="H264" i="7"/>
  <c r="K190" i="7"/>
  <c r="G190" i="11" s="1"/>
  <c r="I190" i="11" s="1"/>
  <c r="K109" i="7"/>
  <c r="G109" i="11" s="1"/>
  <c r="I109" i="11" s="1"/>
  <c r="T91" i="7"/>
  <c r="T24" i="7"/>
  <c r="H698" i="7"/>
  <c r="Y555" i="7"/>
  <c r="N555" i="11" s="1"/>
  <c r="K535" i="7"/>
  <c r="G535" i="11" s="1"/>
  <c r="I535" i="11" s="1"/>
  <c r="Y500" i="7"/>
  <c r="N500" i="11" s="1"/>
  <c r="Q335" i="7"/>
  <c r="K201" i="7"/>
  <c r="G201" i="11" s="1"/>
  <c r="I201" i="11" s="1"/>
  <c r="N168" i="7"/>
  <c r="F168" i="11" s="1"/>
  <c r="H168" i="11" s="1"/>
  <c r="I168" i="11" s="1"/>
  <c r="T216" i="7"/>
  <c r="Q180" i="7"/>
  <c r="H167" i="7"/>
  <c r="T82" i="7"/>
  <c r="Q81" i="7"/>
  <c r="N69" i="7"/>
  <c r="F69" i="11" s="1"/>
  <c r="H69" i="11" s="1"/>
  <c r="I69" i="11" s="1"/>
  <c r="N269" i="7"/>
  <c r="F269" i="11" s="1"/>
  <c r="H269" i="11" s="1"/>
  <c r="I269" i="11" s="1"/>
  <c r="K268" i="7"/>
  <c r="G268" i="11" s="1"/>
  <c r="K100" i="7"/>
  <c r="G100" i="11" s="1"/>
  <c r="Y99" i="7"/>
  <c r="Q92" i="7"/>
  <c r="T39" i="7"/>
  <c r="T16" i="7"/>
  <c r="Q15" i="7"/>
  <c r="Q217" i="7"/>
  <c r="Y143" i="7"/>
  <c r="K133" i="7"/>
  <c r="G133" i="11" s="1"/>
  <c r="I133" i="11" s="1"/>
  <c r="Q26" i="7"/>
  <c r="H23" i="7"/>
  <c r="N206" i="7"/>
  <c r="F206" i="11" s="1"/>
  <c r="H206" i="11" s="1"/>
  <c r="I206" i="11" s="1"/>
  <c r="Y156" i="7"/>
  <c r="K134" i="7"/>
  <c r="G134" i="11" s="1"/>
  <c r="I134" i="11" s="1"/>
  <c r="K124" i="7"/>
  <c r="G124" i="11" s="1"/>
  <c r="T95" i="7"/>
  <c r="T85" i="7"/>
  <c r="Y70" i="7"/>
  <c r="Q62" i="7"/>
  <c r="H36" i="7"/>
  <c r="T6" i="7"/>
  <c r="N283" i="7"/>
  <c r="F283" i="11" s="1"/>
  <c r="H283" i="11" s="1"/>
  <c r="Y270" i="7"/>
  <c r="N270" i="11" s="1"/>
  <c r="K260" i="7"/>
  <c r="G260" i="11" s="1"/>
  <c r="I260" i="11" s="1"/>
  <c r="Y259" i="7"/>
  <c r="N259" i="11" s="1"/>
  <c r="T253" i="7"/>
  <c r="Y216" i="7"/>
  <c r="N216" i="11" s="1"/>
  <c r="T139" i="7"/>
  <c r="Q138" i="7"/>
  <c r="Q95" i="7"/>
  <c r="Q85" i="7"/>
  <c r="K61" i="7"/>
  <c r="G61" i="11" s="1"/>
  <c r="K26" i="7"/>
  <c r="G26" i="11" s="1"/>
  <c r="I26" i="11" s="1"/>
  <c r="T19" i="7"/>
  <c r="K159" i="7"/>
  <c r="G159" i="11" s="1"/>
  <c r="I159" i="11" s="1"/>
  <c r="K148" i="7"/>
  <c r="G148" i="11" s="1"/>
  <c r="K116" i="7"/>
  <c r="G116" i="11" s="1"/>
  <c r="I116" i="11" s="1"/>
  <c r="H115" i="7"/>
  <c r="K51" i="7"/>
  <c r="G51" i="11" s="1"/>
  <c r="I51" i="11" s="1"/>
  <c r="Y38" i="7"/>
  <c r="K27" i="7"/>
  <c r="G27" i="11" s="1"/>
  <c r="I27" i="11" s="1"/>
  <c r="N5" i="7"/>
  <c r="F5" i="11" s="1"/>
  <c r="H5" i="11" s="1"/>
  <c r="I5" i="11" s="1"/>
  <c r="K197" i="7"/>
  <c r="G197" i="11" s="1"/>
  <c r="K185" i="7"/>
  <c r="G185" i="11" s="1"/>
  <c r="I185" i="11" s="1"/>
  <c r="Y159" i="7"/>
  <c r="Y94" i="7"/>
  <c r="K63" i="7"/>
  <c r="G63" i="11" s="1"/>
  <c r="I63" i="11" s="1"/>
  <c r="K319" i="7"/>
  <c r="G319" i="11" s="1"/>
  <c r="H308" i="7"/>
  <c r="K298" i="7"/>
  <c r="G298" i="11" s="1"/>
  <c r="H218" i="7"/>
  <c r="Y284" i="7"/>
  <c r="N284" i="11" s="1"/>
  <c r="T277" i="7"/>
  <c r="H186" i="7"/>
  <c r="K162" i="7"/>
  <c r="G162" i="11" s="1"/>
  <c r="I162" i="11" s="1"/>
  <c r="H117" i="7"/>
  <c r="Y29" i="7"/>
  <c r="Y661" i="7"/>
  <c r="N661" i="11" s="1"/>
  <c r="Q629" i="7"/>
  <c r="K605" i="7"/>
  <c r="G605" i="11" s="1"/>
  <c r="K455" i="7"/>
  <c r="G455" i="11" s="1"/>
  <c r="H432" i="7"/>
  <c r="N390" i="7"/>
  <c r="F390" i="11" s="1"/>
  <c r="H390" i="11" s="1"/>
  <c r="I390" i="11" s="1"/>
  <c r="H388" i="7"/>
  <c r="K377" i="7"/>
  <c r="G377" i="11" s="1"/>
  <c r="K341" i="7"/>
  <c r="G341" i="11" s="1"/>
  <c r="I341" i="11" s="1"/>
  <c r="K275" i="7"/>
  <c r="G275" i="11" s="1"/>
  <c r="N255" i="7"/>
  <c r="F255" i="11" s="1"/>
  <c r="H255" i="11" s="1"/>
  <c r="I255" i="11" s="1"/>
  <c r="K108" i="7"/>
  <c r="G108" i="11" s="1"/>
  <c r="I108" i="11" s="1"/>
  <c r="Q79" i="7"/>
  <c r="T23" i="7"/>
  <c r="H19" i="7"/>
  <c r="Y7" i="7"/>
  <c r="K720" i="7"/>
  <c r="G720" i="11" s="1"/>
  <c r="I720" i="11" s="1"/>
  <c r="K694" i="7"/>
  <c r="G694" i="11" s="1"/>
  <c r="H679" i="7"/>
  <c r="N640" i="7"/>
  <c r="F640" i="11" s="1"/>
  <c r="H640" i="11" s="1"/>
  <c r="I640" i="11" s="1"/>
  <c r="H474" i="7"/>
  <c r="N397" i="7"/>
  <c r="F397" i="11" s="1"/>
  <c r="H397" i="11" s="1"/>
  <c r="I397" i="11" s="1"/>
  <c r="K307" i="7"/>
  <c r="G307" i="11" s="1"/>
  <c r="I307" i="11" s="1"/>
  <c r="Y18" i="7"/>
  <c r="K695" i="7"/>
  <c r="G695" i="11" s="1"/>
  <c r="I695" i="11" s="1"/>
  <c r="K651" i="7"/>
  <c r="G651" i="11" s="1"/>
  <c r="Q642" i="7"/>
  <c r="K626" i="7"/>
  <c r="G626" i="11" s="1"/>
  <c r="Y625" i="7"/>
  <c r="N625" i="11" s="1"/>
  <c r="Y558" i="7"/>
  <c r="N558" i="11" s="1"/>
  <c r="N298" i="7"/>
  <c r="F298" i="11" s="1"/>
  <c r="H298" i="11" s="1"/>
  <c r="I298" i="11" s="1"/>
  <c r="T97" i="7"/>
  <c r="Y36" i="7"/>
  <c r="H35" i="7"/>
  <c r="N642" i="7"/>
  <c r="F642" i="11" s="1"/>
  <c r="H642" i="11" s="1"/>
  <c r="I642" i="11" s="1"/>
  <c r="H588" i="7"/>
  <c r="K504" i="7"/>
  <c r="G504" i="11" s="1"/>
  <c r="K463" i="7"/>
  <c r="G463" i="11" s="1"/>
  <c r="K446" i="7"/>
  <c r="G446" i="11" s="1"/>
  <c r="I446" i="11" s="1"/>
  <c r="Q239" i="7"/>
  <c r="K213" i="7"/>
  <c r="G213" i="11" s="1"/>
  <c r="I213" i="11" s="1"/>
  <c r="K128" i="7"/>
  <c r="G128" i="11" s="1"/>
  <c r="I128" i="11" s="1"/>
  <c r="H127" i="7"/>
  <c r="Y127" i="7"/>
  <c r="Y24" i="7"/>
  <c r="H24" i="7"/>
  <c r="K722" i="7"/>
  <c r="G722" i="11" s="1"/>
  <c r="H721" i="7"/>
  <c r="K709" i="7"/>
  <c r="G709" i="11" s="1"/>
  <c r="I709" i="11" s="1"/>
  <c r="K616" i="7"/>
  <c r="G616" i="11" s="1"/>
  <c r="H615" i="7"/>
  <c r="N536" i="7"/>
  <c r="F536" i="11" s="1"/>
  <c r="H536" i="11" s="1"/>
  <c r="I536" i="11" s="1"/>
  <c r="K519" i="7"/>
  <c r="G519" i="11" s="1"/>
  <c r="N480" i="7"/>
  <c r="F480" i="11" s="1"/>
  <c r="H480" i="11" s="1"/>
  <c r="I480" i="11" s="1"/>
  <c r="Y478" i="7"/>
  <c r="N478" i="11" s="1"/>
  <c r="H461" i="7"/>
  <c r="H460" i="7"/>
  <c r="N438" i="7"/>
  <c r="F438" i="11" s="1"/>
  <c r="H438" i="11" s="1"/>
  <c r="I438" i="11" s="1"/>
  <c r="Y424" i="7"/>
  <c r="N424" i="11" s="1"/>
  <c r="H386" i="7"/>
  <c r="K271" i="7"/>
  <c r="G271" i="11" s="1"/>
  <c r="H236" i="7"/>
  <c r="T205" i="7"/>
  <c r="H448" i="7"/>
  <c r="K168" i="7"/>
  <c r="G168" i="11" s="1"/>
  <c r="N141" i="7"/>
  <c r="F141" i="11" s="1"/>
  <c r="H141" i="11" s="1"/>
  <c r="I141" i="11" s="1"/>
  <c r="Y139" i="7"/>
  <c r="K96" i="7"/>
  <c r="G96" i="11" s="1"/>
  <c r="H14" i="7"/>
  <c r="Y653" i="7"/>
  <c r="N653" i="11" s="1"/>
  <c r="N630" i="7"/>
  <c r="F630" i="11" s="1"/>
  <c r="H630" i="11" s="1"/>
  <c r="I630" i="11" s="1"/>
  <c r="H627" i="7"/>
  <c r="T598" i="7"/>
  <c r="K547" i="7"/>
  <c r="G547" i="11" s="1"/>
  <c r="Y532" i="7"/>
  <c r="N532" i="11" s="1"/>
  <c r="H531" i="7"/>
  <c r="Y531" i="7"/>
  <c r="N531" i="11" s="1"/>
  <c r="H519" i="7"/>
  <c r="H450" i="7"/>
  <c r="Y437" i="7"/>
  <c r="N437" i="11" s="1"/>
  <c r="T429" i="7"/>
  <c r="K402" i="7"/>
  <c r="G402" i="11" s="1"/>
  <c r="I402" i="11" s="1"/>
  <c r="K401" i="7"/>
  <c r="G401" i="11" s="1"/>
  <c r="H387" i="7"/>
  <c r="Q350" i="7"/>
  <c r="N336" i="7"/>
  <c r="F336" i="11" s="1"/>
  <c r="H336" i="11" s="1"/>
  <c r="I336" i="11" s="1"/>
  <c r="K299" i="7"/>
  <c r="G299" i="11" s="1"/>
  <c r="H669" i="7"/>
  <c r="K466" i="7"/>
  <c r="G466" i="11" s="1"/>
  <c r="N376" i="7"/>
  <c r="F376" i="11" s="1"/>
  <c r="H376" i="11" s="1"/>
  <c r="I376" i="11" s="1"/>
  <c r="T364" i="7"/>
  <c r="T263" i="7"/>
  <c r="K249" i="7"/>
  <c r="G249" i="11" s="1"/>
  <c r="H215" i="7"/>
  <c r="K40" i="7"/>
  <c r="G40" i="11" s="1"/>
  <c r="I40" i="11" s="1"/>
  <c r="N30" i="7"/>
  <c r="F30" i="11" s="1"/>
  <c r="H30" i="11" s="1"/>
  <c r="I30" i="11" s="1"/>
  <c r="K29" i="7"/>
  <c r="G29" i="11" s="1"/>
  <c r="I29" i="11" s="1"/>
  <c r="H26" i="7"/>
  <c r="Q690" i="7"/>
  <c r="K644" i="7"/>
  <c r="G644" i="11" s="1"/>
  <c r="I644" i="11" s="1"/>
  <c r="Y591" i="7"/>
  <c r="N591" i="11" s="1"/>
  <c r="T585" i="7"/>
  <c r="Y563" i="7"/>
  <c r="N563" i="11" s="1"/>
  <c r="Y535" i="7"/>
  <c r="N535" i="11" s="1"/>
  <c r="N468" i="7"/>
  <c r="F468" i="11" s="1"/>
  <c r="H468" i="11" s="1"/>
  <c r="I468" i="11" s="1"/>
  <c r="H401" i="7"/>
  <c r="Q263" i="7"/>
  <c r="K261" i="7"/>
  <c r="G261" i="11" s="1"/>
  <c r="K250" i="7"/>
  <c r="G250" i="11" s="1"/>
  <c r="H179" i="7"/>
  <c r="N155" i="7"/>
  <c r="F155" i="11" s="1"/>
  <c r="H155" i="11" s="1"/>
  <c r="I155" i="11" s="1"/>
  <c r="H130" i="7"/>
  <c r="Y130" i="7"/>
  <c r="K41" i="7"/>
  <c r="G41" i="11" s="1"/>
  <c r="I41" i="11" s="1"/>
  <c r="K700" i="7"/>
  <c r="G700" i="11" s="1"/>
  <c r="I700" i="11" s="1"/>
  <c r="K673" i="7"/>
  <c r="G673" i="11" s="1"/>
  <c r="I673" i="11" s="1"/>
  <c r="H630" i="7"/>
  <c r="K428" i="7"/>
  <c r="G428" i="11" s="1"/>
  <c r="K301" i="7"/>
  <c r="G301" i="11" s="1"/>
  <c r="K217" i="7"/>
  <c r="G217" i="11" s="1"/>
  <c r="Q56" i="7"/>
  <c r="K714" i="7"/>
  <c r="G714" i="11" s="1"/>
  <c r="I714" i="11" s="1"/>
  <c r="T704" i="7"/>
  <c r="Q703" i="7"/>
  <c r="N702" i="7"/>
  <c r="F702" i="11" s="1"/>
  <c r="H702" i="11" s="1"/>
  <c r="I702" i="11" s="1"/>
  <c r="N690" i="7"/>
  <c r="F690" i="11" s="1"/>
  <c r="H690" i="11" s="1"/>
  <c r="I690" i="11" s="1"/>
  <c r="K619" i="7"/>
  <c r="G619" i="11" s="1"/>
  <c r="I619" i="11" s="1"/>
  <c r="T612" i="7"/>
  <c r="T570" i="7"/>
  <c r="K566" i="7"/>
  <c r="G566" i="11" s="1"/>
  <c r="I566" i="11" s="1"/>
  <c r="K539" i="7"/>
  <c r="G539" i="11" s="1"/>
  <c r="Y517" i="7"/>
  <c r="N517" i="11" s="1"/>
  <c r="N455" i="7"/>
  <c r="F455" i="11" s="1"/>
  <c r="H455" i="11" s="1"/>
  <c r="I455" i="11" s="1"/>
  <c r="Y439" i="7"/>
  <c r="N439" i="11" s="1"/>
  <c r="H439" i="7"/>
  <c r="K363" i="7"/>
  <c r="G363" i="11" s="1"/>
  <c r="K326" i="7"/>
  <c r="G326" i="11" s="1"/>
  <c r="I326" i="11" s="1"/>
  <c r="T265" i="7"/>
  <c r="Q264" i="7"/>
  <c r="T255" i="7"/>
  <c r="H250" i="7"/>
  <c r="H154" i="7"/>
  <c r="T69" i="7"/>
  <c r="Q68" i="7"/>
  <c r="Y64" i="7"/>
  <c r="K54" i="7"/>
  <c r="G54" i="11" s="1"/>
  <c r="I54" i="11" s="1"/>
  <c r="N45" i="7"/>
  <c r="F45" i="11" s="1"/>
  <c r="H45" i="11" s="1"/>
  <c r="I45" i="11" s="1"/>
  <c r="N44" i="7"/>
  <c r="F44" i="11" s="1"/>
  <c r="H44" i="11" s="1"/>
  <c r="I44" i="11" s="1"/>
  <c r="K43" i="7"/>
  <c r="G43" i="11" s="1"/>
  <c r="I43" i="11" s="1"/>
  <c r="Y42" i="7"/>
  <c r="H41" i="7"/>
  <c r="Y41" i="7"/>
  <c r="Q704" i="7"/>
  <c r="Q612" i="7"/>
  <c r="T587" i="7"/>
  <c r="K579" i="7"/>
  <c r="G579" i="11" s="1"/>
  <c r="N264" i="7"/>
  <c r="F264" i="11" s="1"/>
  <c r="H264" i="11" s="1"/>
  <c r="I264" i="11" s="1"/>
  <c r="H483" i="7"/>
  <c r="N456" i="7"/>
  <c r="F456" i="11" s="1"/>
  <c r="H456" i="11" s="1"/>
  <c r="I456" i="11" s="1"/>
  <c r="K393" i="7"/>
  <c r="G393" i="11" s="1"/>
  <c r="I393" i="11" s="1"/>
  <c r="N329" i="7"/>
  <c r="F329" i="11" s="1"/>
  <c r="H329" i="11" s="1"/>
  <c r="I329" i="11" s="1"/>
  <c r="Y44" i="7"/>
  <c r="H44" i="7"/>
  <c r="K676" i="7"/>
  <c r="G676" i="11" s="1"/>
  <c r="H635" i="7"/>
  <c r="K611" i="7"/>
  <c r="G611" i="11" s="1"/>
  <c r="I611" i="11" s="1"/>
  <c r="N586" i="7"/>
  <c r="F586" i="11" s="1"/>
  <c r="H586" i="11" s="1"/>
  <c r="I586" i="11" s="1"/>
  <c r="H551" i="7"/>
  <c r="K526" i="7"/>
  <c r="G526" i="11" s="1"/>
  <c r="I526" i="11" s="1"/>
  <c r="Q444" i="7"/>
  <c r="N443" i="7"/>
  <c r="F443" i="11" s="1"/>
  <c r="H443" i="11" s="1"/>
  <c r="I443" i="11" s="1"/>
  <c r="K442" i="7"/>
  <c r="G442" i="11" s="1"/>
  <c r="H339" i="7"/>
  <c r="N81" i="7"/>
  <c r="F81" i="11" s="1"/>
  <c r="H81" i="11" s="1"/>
  <c r="I81" i="11" s="1"/>
  <c r="Q602" i="7"/>
  <c r="N601" i="7"/>
  <c r="F601" i="11" s="1"/>
  <c r="H601" i="11" s="1"/>
  <c r="I601" i="11" s="1"/>
  <c r="H599" i="7"/>
  <c r="N528" i="7"/>
  <c r="F528" i="11" s="1"/>
  <c r="H528" i="11" s="1"/>
  <c r="I528" i="11" s="1"/>
  <c r="K514" i="7"/>
  <c r="G514" i="11" s="1"/>
  <c r="N502" i="7"/>
  <c r="F502" i="11" s="1"/>
  <c r="H502" i="11" s="1"/>
  <c r="I502" i="11" s="1"/>
  <c r="Y407" i="7"/>
  <c r="N407" i="11" s="1"/>
  <c r="Y401" i="7"/>
  <c r="N401" i="11" s="1"/>
  <c r="H393" i="7"/>
  <c r="K365" i="7"/>
  <c r="G365" i="11" s="1"/>
  <c r="H364" i="7"/>
  <c r="Y352" i="7"/>
  <c r="N352" i="11" s="1"/>
  <c r="H328" i="7"/>
  <c r="T225" i="7"/>
  <c r="Q223" i="7"/>
  <c r="K221" i="7"/>
  <c r="G221" i="11" s="1"/>
  <c r="I221" i="11" s="1"/>
  <c r="Y220" i="7"/>
  <c r="N220" i="11" s="1"/>
  <c r="K186" i="7"/>
  <c r="G186" i="11" s="1"/>
  <c r="Q83" i="7"/>
  <c r="Y718" i="7"/>
  <c r="N718" i="11" s="1"/>
  <c r="Y648" i="7"/>
  <c r="N648" i="11" s="1"/>
  <c r="Y622" i="7"/>
  <c r="N622" i="11" s="1"/>
  <c r="Q615" i="7"/>
  <c r="N614" i="7"/>
  <c r="F614" i="11" s="1"/>
  <c r="H614" i="11" s="1"/>
  <c r="I614" i="11" s="1"/>
  <c r="N602" i="7"/>
  <c r="F602" i="11" s="1"/>
  <c r="H602" i="11" s="1"/>
  <c r="I602" i="11" s="1"/>
  <c r="K601" i="7"/>
  <c r="G601" i="11" s="1"/>
  <c r="K555" i="7"/>
  <c r="G555" i="11" s="1"/>
  <c r="I555" i="11" s="1"/>
  <c r="K420" i="7"/>
  <c r="G420" i="11" s="1"/>
  <c r="I420" i="11" s="1"/>
  <c r="N396" i="7"/>
  <c r="F396" i="11" s="1"/>
  <c r="H396" i="11" s="1"/>
  <c r="I396" i="11" s="1"/>
  <c r="K383" i="7"/>
  <c r="G383" i="11" s="1"/>
  <c r="K354" i="7"/>
  <c r="G354" i="11" s="1"/>
  <c r="Y353" i="7"/>
  <c r="N353" i="11" s="1"/>
  <c r="Q225" i="7"/>
  <c r="Q224" i="7"/>
  <c r="K222" i="7"/>
  <c r="G222" i="11" s="1"/>
  <c r="Y221" i="7"/>
  <c r="N221" i="11" s="1"/>
  <c r="K188" i="7"/>
  <c r="G188" i="11" s="1"/>
  <c r="H91" i="7"/>
  <c r="T312" i="7"/>
  <c r="K309" i="7"/>
  <c r="G309" i="11" s="1"/>
  <c r="I309" i="11" s="1"/>
  <c r="K269" i="7"/>
  <c r="G269" i="11" s="1"/>
  <c r="N224" i="7"/>
  <c r="F224" i="11" s="1"/>
  <c r="H224" i="11" s="1"/>
  <c r="I224" i="11" s="1"/>
  <c r="K181" i="7"/>
  <c r="G181" i="11" s="1"/>
  <c r="K114" i="7"/>
  <c r="G114" i="11" s="1"/>
  <c r="I114" i="11" s="1"/>
  <c r="Q91" i="7"/>
  <c r="K39" i="7"/>
  <c r="G39" i="11" s="1"/>
  <c r="Q29" i="7"/>
  <c r="Y715" i="7"/>
  <c r="N715" i="11" s="1"/>
  <c r="N677" i="7"/>
  <c r="F677" i="11" s="1"/>
  <c r="H677" i="11" s="1"/>
  <c r="I677" i="11" s="1"/>
  <c r="N676" i="7"/>
  <c r="F676" i="11" s="1"/>
  <c r="H676" i="11" s="1"/>
  <c r="I676" i="11" s="1"/>
  <c r="K635" i="7"/>
  <c r="G635" i="11" s="1"/>
  <c r="I635" i="11" s="1"/>
  <c r="Y594" i="7"/>
  <c r="N594" i="11" s="1"/>
  <c r="Q536" i="7"/>
  <c r="H516" i="7"/>
  <c r="N503" i="7"/>
  <c r="F503" i="11" s="1"/>
  <c r="H503" i="11" s="1"/>
  <c r="I503" i="11" s="1"/>
  <c r="K502" i="7"/>
  <c r="G502" i="11" s="1"/>
  <c r="H499" i="7"/>
  <c r="K476" i="7"/>
  <c r="G476" i="11" s="1"/>
  <c r="I476" i="11" s="1"/>
  <c r="Q409" i="7"/>
  <c r="K404" i="7"/>
  <c r="G404" i="11" s="1"/>
  <c r="I404" i="11" s="1"/>
  <c r="K390" i="7"/>
  <c r="G390" i="11" s="1"/>
  <c r="N363" i="7"/>
  <c r="F363" i="11" s="1"/>
  <c r="H363" i="11" s="1"/>
  <c r="I363" i="11" s="1"/>
  <c r="K362" i="7"/>
  <c r="G362" i="11" s="1"/>
  <c r="K361" i="7"/>
  <c r="G361" i="11" s="1"/>
  <c r="I361" i="11" s="1"/>
  <c r="K310" i="7"/>
  <c r="G310" i="11" s="1"/>
  <c r="H282" i="7"/>
  <c r="K270" i="7"/>
  <c r="G270" i="11" s="1"/>
  <c r="Y269" i="7"/>
  <c r="N269" i="11" s="1"/>
  <c r="H256" i="7"/>
  <c r="K90" i="7"/>
  <c r="G90" i="11" s="1"/>
  <c r="I90" i="11" s="1"/>
  <c r="H89" i="7"/>
  <c r="T56" i="7"/>
  <c r="T17" i="7"/>
  <c r="Q205" i="7"/>
  <c r="Y202" i="7"/>
  <c r="N202" i="11" s="1"/>
  <c r="H155" i="7"/>
  <c r="K119" i="7"/>
  <c r="G119" i="11" s="1"/>
  <c r="I119" i="11" s="1"/>
  <c r="N94" i="7"/>
  <c r="F94" i="11" s="1"/>
  <c r="H94" i="11" s="1"/>
  <c r="I94" i="11" s="1"/>
  <c r="K93" i="7"/>
  <c r="G93" i="11" s="1"/>
  <c r="T86" i="7"/>
  <c r="Y81" i="7"/>
  <c r="Y80" i="7"/>
  <c r="K56" i="7"/>
  <c r="G56" i="11" s="1"/>
  <c r="I56" i="11" s="1"/>
  <c r="H55" i="7"/>
  <c r="T48" i="7"/>
  <c r="Q20" i="7"/>
  <c r="K17" i="7"/>
  <c r="G17" i="11" s="1"/>
  <c r="H16" i="7"/>
  <c r="T10" i="7"/>
  <c r="Q8" i="7"/>
  <c r="Q5" i="7"/>
  <c r="H193" i="7"/>
  <c r="K160" i="7"/>
  <c r="G160" i="11" s="1"/>
  <c r="K132" i="7"/>
  <c r="G132" i="11" s="1"/>
  <c r="T112" i="7"/>
  <c r="T111" i="7"/>
  <c r="Q98" i="7"/>
  <c r="T87" i="7"/>
  <c r="T75" i="7"/>
  <c r="Y56" i="7"/>
  <c r="Q21" i="7"/>
  <c r="K19" i="7"/>
  <c r="G19" i="11" s="1"/>
  <c r="N207" i="7"/>
  <c r="F207" i="11" s="1"/>
  <c r="H207" i="11" s="1"/>
  <c r="I207" i="11" s="1"/>
  <c r="K205" i="7"/>
  <c r="G205" i="11" s="1"/>
  <c r="K161" i="7"/>
  <c r="G161" i="11" s="1"/>
  <c r="I161" i="11" s="1"/>
  <c r="K121" i="7"/>
  <c r="G121" i="11" s="1"/>
  <c r="I121" i="11" s="1"/>
  <c r="Q87" i="7"/>
  <c r="H83" i="7"/>
  <c r="Q75" i="7"/>
  <c r="T38" i="7"/>
  <c r="K33" i="7"/>
  <c r="G33" i="11" s="1"/>
  <c r="Q22" i="7"/>
  <c r="K7" i="7"/>
  <c r="G7" i="11" s="1"/>
  <c r="I7" i="11" s="1"/>
  <c r="T702" i="7"/>
  <c r="K668" i="7"/>
  <c r="G668" i="11" s="1"/>
  <c r="I668" i="11" s="1"/>
  <c r="K653" i="7"/>
  <c r="G653" i="11" s="1"/>
  <c r="I653" i="11" s="1"/>
  <c r="K652" i="7"/>
  <c r="G652" i="11" s="1"/>
  <c r="I652" i="11" s="1"/>
  <c r="Y651" i="7"/>
  <c r="N651" i="11" s="1"/>
  <c r="K627" i="7"/>
  <c r="G627" i="11" s="1"/>
  <c r="Y585" i="7"/>
  <c r="N585" i="11" s="1"/>
  <c r="K570" i="7"/>
  <c r="G570" i="11" s="1"/>
  <c r="K553" i="7"/>
  <c r="G553" i="11" s="1"/>
  <c r="T528" i="7"/>
  <c r="T516" i="7"/>
  <c r="T515" i="7"/>
  <c r="K439" i="7"/>
  <c r="G439" i="11" s="1"/>
  <c r="I439" i="11" s="1"/>
  <c r="Q428" i="7"/>
  <c r="K344" i="7"/>
  <c r="G344" i="11" s="1"/>
  <c r="I344" i="11" s="1"/>
  <c r="K317" i="7"/>
  <c r="G317" i="11" s="1"/>
  <c r="K305" i="7"/>
  <c r="G305" i="11" s="1"/>
  <c r="I305" i="11" s="1"/>
  <c r="T152" i="7"/>
  <c r="Q88" i="7"/>
  <c r="K59" i="7"/>
  <c r="G59" i="11" s="1"/>
  <c r="K615" i="7"/>
  <c r="G615" i="11" s="1"/>
  <c r="H524" i="7"/>
  <c r="N514" i="7"/>
  <c r="F514" i="11" s="1"/>
  <c r="H514" i="11" s="1"/>
  <c r="I514" i="11" s="1"/>
  <c r="H512" i="7"/>
  <c r="T502" i="7"/>
  <c r="K399" i="7"/>
  <c r="G399" i="11" s="1"/>
  <c r="I399" i="11" s="1"/>
  <c r="H397" i="7"/>
  <c r="Q348" i="7"/>
  <c r="T223" i="7"/>
  <c r="K21" i="7"/>
  <c r="G21" i="11" s="1"/>
  <c r="I21" i="11" s="1"/>
  <c r="K165" i="7"/>
  <c r="G165" i="11" s="1"/>
  <c r="I165" i="11" s="1"/>
  <c r="Y148" i="7"/>
  <c r="H110" i="7"/>
  <c r="K98" i="7"/>
  <c r="G98" i="11" s="1"/>
  <c r="Y48" i="7"/>
  <c r="H136" i="7"/>
  <c r="Q39" i="7"/>
  <c r="T154" i="7"/>
  <c r="H149" i="7"/>
  <c r="H87" i="7"/>
  <c r="Q78" i="7"/>
  <c r="T53" i="7"/>
  <c r="K50" i="7"/>
  <c r="G50" i="11" s="1"/>
  <c r="I50" i="11" s="1"/>
  <c r="H49" i="7"/>
  <c r="T28" i="7"/>
  <c r="K716" i="7"/>
  <c r="G716" i="11" s="1"/>
  <c r="K715" i="7"/>
  <c r="G715" i="11" s="1"/>
  <c r="Y713" i="7"/>
  <c r="N713" i="11" s="1"/>
  <c r="K678" i="7"/>
  <c r="G678" i="11" s="1"/>
  <c r="I678" i="11" s="1"/>
  <c r="Q658" i="7"/>
  <c r="K642" i="7"/>
  <c r="G642" i="11" s="1"/>
  <c r="Y641" i="7"/>
  <c r="N641" i="11" s="1"/>
  <c r="K610" i="7"/>
  <c r="G610" i="11" s="1"/>
  <c r="I610" i="11" s="1"/>
  <c r="H607" i="7"/>
  <c r="T601" i="7"/>
  <c r="H470" i="7"/>
  <c r="K396" i="7"/>
  <c r="G396" i="11" s="1"/>
  <c r="Q312" i="7"/>
  <c r="Y194" i="7"/>
  <c r="N194" i="11" s="1"/>
  <c r="N82" i="7"/>
  <c r="F82" i="11" s="1"/>
  <c r="H82" i="11" s="1"/>
  <c r="I82" i="11" s="1"/>
  <c r="H680" i="7"/>
  <c r="K656" i="7"/>
  <c r="G656" i="11" s="1"/>
  <c r="K643" i="7"/>
  <c r="G643" i="11" s="1"/>
  <c r="I643" i="11" s="1"/>
  <c r="Y268" i="7"/>
  <c r="N268" i="11" s="1"/>
  <c r="Q179" i="7"/>
  <c r="H160" i="7"/>
  <c r="K120" i="7"/>
  <c r="G120" i="11" s="1"/>
  <c r="I120" i="11" s="1"/>
  <c r="K94" i="7"/>
  <c r="G94" i="11" s="1"/>
  <c r="Q86" i="7"/>
  <c r="Y39" i="7"/>
  <c r="K682" i="7"/>
  <c r="G682" i="11" s="1"/>
  <c r="H676" i="7"/>
  <c r="N658" i="7"/>
  <c r="F658" i="11" s="1"/>
  <c r="H658" i="11" s="1"/>
  <c r="I658" i="11" s="1"/>
  <c r="Q564" i="7"/>
  <c r="Y554" i="7"/>
  <c r="N554" i="11" s="1"/>
  <c r="H521" i="7"/>
  <c r="N491" i="7"/>
  <c r="F491" i="11" s="1"/>
  <c r="H491" i="11" s="1"/>
  <c r="I491" i="11" s="1"/>
  <c r="K415" i="7"/>
  <c r="G415" i="11" s="1"/>
  <c r="I415" i="11" s="1"/>
  <c r="K397" i="7"/>
  <c r="G397" i="11" s="1"/>
  <c r="Y383" i="7"/>
  <c r="N383" i="11" s="1"/>
  <c r="Y310" i="7"/>
  <c r="N310" i="11" s="1"/>
  <c r="K246" i="7"/>
  <c r="G246" i="11" s="1"/>
  <c r="Y245" i="7"/>
  <c r="N245" i="11" s="1"/>
  <c r="H245" i="7"/>
  <c r="T124" i="7"/>
  <c r="K14" i="7"/>
  <c r="G14" i="11" s="1"/>
  <c r="I14" i="11" s="1"/>
  <c r="H352" i="7"/>
  <c r="T690" i="7"/>
  <c r="Y683" i="7"/>
  <c r="N683" i="11" s="1"/>
  <c r="K645" i="7"/>
  <c r="G645" i="11" s="1"/>
  <c r="I645" i="11" s="1"/>
  <c r="N544" i="7"/>
  <c r="F544" i="11" s="1"/>
  <c r="H544" i="11" s="1"/>
  <c r="I544" i="11" s="1"/>
  <c r="Y523" i="7"/>
  <c r="N523" i="11" s="1"/>
  <c r="Q514" i="7"/>
  <c r="K429" i="7"/>
  <c r="G429" i="11" s="1"/>
  <c r="H428" i="7"/>
  <c r="H326" i="7"/>
  <c r="Y325" i="7"/>
  <c r="N325" i="11" s="1"/>
  <c r="H270" i="7"/>
  <c r="K247" i="7"/>
  <c r="G247" i="11" s="1"/>
  <c r="I247" i="11" s="1"/>
  <c r="Y162" i="7"/>
  <c r="T138" i="7"/>
  <c r="H28" i="7"/>
  <c r="H146" i="7"/>
  <c r="N46" i="7"/>
  <c r="F46" i="11" s="1"/>
  <c r="H46" i="11" s="1"/>
  <c r="I46" i="11" s="1"/>
  <c r="T3" i="7"/>
  <c r="K702" i="7"/>
  <c r="G702" i="11" s="1"/>
  <c r="H700" i="7"/>
  <c r="K647" i="7"/>
  <c r="G647" i="11" s="1"/>
  <c r="K544" i="7"/>
  <c r="G544" i="11" s="1"/>
  <c r="K527" i="7"/>
  <c r="G527" i="11" s="1"/>
  <c r="Y429" i="7"/>
  <c r="N429" i="11" s="1"/>
  <c r="K417" i="7"/>
  <c r="G417" i="11" s="1"/>
  <c r="Y386" i="7"/>
  <c r="N386" i="11" s="1"/>
  <c r="Y340" i="7"/>
  <c r="N340" i="11" s="1"/>
  <c r="T217" i="7"/>
  <c r="T4" i="7"/>
  <c r="H719" i="7"/>
  <c r="N688" i="7"/>
  <c r="F688" i="11" s="1"/>
  <c r="H688" i="11" s="1"/>
  <c r="I688" i="11" s="1"/>
  <c r="K687" i="7"/>
  <c r="G687" i="11" s="1"/>
  <c r="I687" i="11" s="1"/>
  <c r="Q584" i="7"/>
  <c r="H577" i="7"/>
  <c r="K562" i="7"/>
  <c r="G562" i="11" s="1"/>
  <c r="I562" i="11" s="1"/>
  <c r="K545" i="7"/>
  <c r="G545" i="11" s="1"/>
  <c r="I545" i="11" s="1"/>
  <c r="Y526" i="7"/>
  <c r="N526" i="11" s="1"/>
  <c r="K388" i="7"/>
  <c r="G388" i="11" s="1"/>
  <c r="I388" i="11" s="1"/>
  <c r="Y301" i="7"/>
  <c r="N301" i="11" s="1"/>
  <c r="Q216" i="7"/>
  <c r="H45" i="7"/>
  <c r="Y720" i="7"/>
  <c r="N720" i="11" s="1"/>
  <c r="K703" i="7"/>
  <c r="G703" i="11" s="1"/>
  <c r="H702" i="7"/>
  <c r="Y679" i="7"/>
  <c r="N679" i="11" s="1"/>
  <c r="N616" i="7"/>
  <c r="F616" i="11" s="1"/>
  <c r="H616" i="11" s="1"/>
  <c r="I616" i="11" s="1"/>
  <c r="Y607" i="7"/>
  <c r="N607" i="11" s="1"/>
  <c r="N603" i="7"/>
  <c r="F603" i="11" s="1"/>
  <c r="H603" i="11" s="1"/>
  <c r="I603" i="11" s="1"/>
  <c r="H600" i="7"/>
  <c r="H563" i="7"/>
  <c r="K329" i="7"/>
  <c r="G329" i="11" s="1"/>
  <c r="H71" i="7"/>
  <c r="Y71" i="7"/>
  <c r="Q61" i="7"/>
  <c r="N705" i="7"/>
  <c r="F705" i="11" s="1"/>
  <c r="H705" i="11" s="1"/>
  <c r="I705" i="11" s="1"/>
  <c r="Y686" i="7"/>
  <c r="N686" i="11" s="1"/>
  <c r="H686" i="7"/>
  <c r="N585" i="7"/>
  <c r="F585" i="11" s="1"/>
  <c r="H585" i="11" s="1"/>
  <c r="I585" i="11" s="1"/>
  <c r="K565" i="7"/>
  <c r="G565" i="11" s="1"/>
  <c r="I565" i="11" s="1"/>
  <c r="Y564" i="7"/>
  <c r="N564" i="11" s="1"/>
  <c r="Q467" i="7"/>
  <c r="Y444" i="7"/>
  <c r="N444" i="11" s="1"/>
  <c r="Q423" i="7"/>
  <c r="N408" i="7"/>
  <c r="F408" i="11" s="1"/>
  <c r="H408" i="11" s="1"/>
  <c r="I408" i="11" s="1"/>
  <c r="K405" i="7"/>
  <c r="G405" i="11" s="1"/>
  <c r="I405" i="11" s="1"/>
  <c r="Y290" i="7"/>
  <c r="N290" i="11" s="1"/>
  <c r="T280" i="7"/>
  <c r="Y181" i="7"/>
  <c r="K58" i="7"/>
  <c r="G58" i="11" s="1"/>
  <c r="Q49" i="7"/>
  <c r="Y722" i="7"/>
  <c r="N722" i="11" s="1"/>
  <c r="N691" i="7"/>
  <c r="F691" i="11" s="1"/>
  <c r="H691" i="11" s="1"/>
  <c r="I691" i="11" s="1"/>
  <c r="K689" i="7"/>
  <c r="G689" i="11" s="1"/>
  <c r="H634" i="7"/>
  <c r="T589" i="7"/>
  <c r="K583" i="7"/>
  <c r="G583" i="11" s="1"/>
  <c r="I583" i="11" s="1"/>
  <c r="K581" i="7"/>
  <c r="G581" i="11" s="1"/>
  <c r="I581" i="11" s="1"/>
  <c r="Q570" i="7"/>
  <c r="K548" i="7"/>
  <c r="G548" i="11" s="1"/>
  <c r="I548" i="11" s="1"/>
  <c r="Y546" i="7"/>
  <c r="N546" i="11" s="1"/>
  <c r="K532" i="7"/>
  <c r="G532" i="11" s="1"/>
  <c r="I532" i="11" s="1"/>
  <c r="Y495" i="7"/>
  <c r="N495" i="11" s="1"/>
  <c r="H445" i="7"/>
  <c r="Y413" i="7"/>
  <c r="N413" i="11" s="1"/>
  <c r="K407" i="7"/>
  <c r="G407" i="11" s="1"/>
  <c r="I407" i="11" s="1"/>
  <c r="Q362" i="7"/>
  <c r="H331" i="7"/>
  <c r="H330" i="7"/>
  <c r="Y330" i="7"/>
  <c r="N330" i="11" s="1"/>
  <c r="H138" i="7"/>
  <c r="T78" i="7"/>
  <c r="Q77" i="7"/>
  <c r="N76" i="7"/>
  <c r="F76" i="11" s="1"/>
  <c r="H76" i="11" s="1"/>
  <c r="I76" i="11" s="1"/>
  <c r="T64" i="7"/>
  <c r="K18" i="7"/>
  <c r="G18" i="11" s="1"/>
  <c r="K3" i="7"/>
  <c r="G3" i="11" s="1"/>
  <c r="Y723" i="7"/>
  <c r="N723" i="11" s="1"/>
  <c r="K691" i="7"/>
  <c r="G691" i="11" s="1"/>
  <c r="T590" i="7"/>
  <c r="Q589" i="7"/>
  <c r="K534" i="7"/>
  <c r="G534" i="11" s="1"/>
  <c r="I534" i="11" s="1"/>
  <c r="H263" i="7"/>
  <c r="Y263" i="7"/>
  <c r="N263" i="11" s="1"/>
  <c r="K76" i="7"/>
  <c r="G76" i="11" s="1"/>
  <c r="Q38" i="7"/>
  <c r="K727" i="7"/>
  <c r="G727" i="11" s="1"/>
  <c r="K725" i="7"/>
  <c r="G725" i="11" s="1"/>
  <c r="I725" i="11" s="1"/>
  <c r="H724" i="7"/>
  <c r="Y700" i="7"/>
  <c r="N700" i="11" s="1"/>
  <c r="H637" i="7"/>
  <c r="K620" i="7"/>
  <c r="G620" i="11" s="1"/>
  <c r="I620" i="11" s="1"/>
  <c r="H617" i="7"/>
  <c r="H585" i="7"/>
  <c r="Q572" i="7"/>
  <c r="K498" i="7"/>
  <c r="G498" i="11" s="1"/>
  <c r="I498" i="11" s="1"/>
  <c r="T454" i="7"/>
  <c r="Q453" i="7"/>
  <c r="K451" i="7"/>
  <c r="G451" i="11" s="1"/>
  <c r="I451" i="11" s="1"/>
  <c r="K437" i="7"/>
  <c r="G437" i="11" s="1"/>
  <c r="I437" i="11" s="1"/>
  <c r="K423" i="7"/>
  <c r="G423" i="11" s="1"/>
  <c r="Y374" i="7"/>
  <c r="N374" i="11" s="1"/>
  <c r="H358" i="7"/>
  <c r="Y358" i="7"/>
  <c r="N358" i="11" s="1"/>
  <c r="N334" i="7"/>
  <c r="F334" i="11" s="1"/>
  <c r="H334" i="11" s="1"/>
  <c r="I334" i="11" s="1"/>
  <c r="Y278" i="7"/>
  <c r="N278" i="11" s="1"/>
  <c r="H278" i="7"/>
  <c r="Y251" i="7"/>
  <c r="N251" i="11" s="1"/>
  <c r="T222" i="7"/>
  <c r="Q221" i="7"/>
  <c r="K102" i="7"/>
  <c r="G102" i="11" s="1"/>
  <c r="I102" i="11" s="1"/>
  <c r="K639" i="7"/>
  <c r="G639" i="11" s="1"/>
  <c r="I639" i="11" s="1"/>
  <c r="T626" i="7"/>
  <c r="K501" i="7"/>
  <c r="G501" i="11" s="1"/>
  <c r="I501" i="11" s="1"/>
  <c r="K485" i="7"/>
  <c r="G485" i="11" s="1"/>
  <c r="I485" i="11" s="1"/>
  <c r="K231" i="7"/>
  <c r="G231" i="11" s="1"/>
  <c r="I231" i="11" s="1"/>
  <c r="H153" i="7"/>
  <c r="Y116" i="7"/>
  <c r="K91" i="7"/>
  <c r="G91" i="11" s="1"/>
  <c r="I91" i="11" s="1"/>
  <c r="H708" i="7"/>
  <c r="N641" i="7"/>
  <c r="F641" i="11" s="1"/>
  <c r="H641" i="11" s="1"/>
  <c r="I641" i="11" s="1"/>
  <c r="Y630" i="7"/>
  <c r="N630" i="11" s="1"/>
  <c r="T628" i="7"/>
  <c r="Y600" i="7"/>
  <c r="N600" i="11" s="1"/>
  <c r="K571" i="7"/>
  <c r="G571" i="11" s="1"/>
  <c r="H569" i="7"/>
  <c r="N268" i="7"/>
  <c r="F268" i="11" s="1"/>
  <c r="H268" i="11" s="1"/>
  <c r="H242" i="7"/>
  <c r="H622" i="7"/>
  <c r="H621" i="7"/>
  <c r="H518" i="7"/>
  <c r="Y518" i="7"/>
  <c r="N518" i="11" s="1"/>
  <c r="H451" i="7"/>
  <c r="Y451" i="7"/>
  <c r="N451" i="11" s="1"/>
  <c r="H713" i="7"/>
  <c r="Y712" i="7"/>
  <c r="N712" i="11" s="1"/>
  <c r="H711" i="7"/>
  <c r="Y710" i="7"/>
  <c r="N710" i="11" s="1"/>
  <c r="Y709" i="7"/>
  <c r="N709" i="11" s="1"/>
  <c r="K680" i="7"/>
  <c r="G680" i="11" s="1"/>
  <c r="I680" i="11" s="1"/>
  <c r="Y634" i="7"/>
  <c r="N634" i="11" s="1"/>
  <c r="H594" i="7"/>
  <c r="N504" i="7"/>
  <c r="F504" i="11" s="1"/>
  <c r="H504" i="11" s="1"/>
  <c r="I504" i="11" s="1"/>
  <c r="H502" i="7"/>
  <c r="Y502" i="7"/>
  <c r="N502" i="11" s="1"/>
  <c r="T478" i="7"/>
  <c r="Y459" i="7"/>
  <c r="N459" i="11" s="1"/>
  <c r="K255" i="7"/>
  <c r="G255" i="11" s="1"/>
  <c r="K194" i="7"/>
  <c r="G194" i="11" s="1"/>
  <c r="I194" i="11" s="1"/>
  <c r="K157" i="7"/>
  <c r="G157" i="11" s="1"/>
  <c r="Y155" i="7"/>
  <c r="H129" i="7"/>
  <c r="Y129" i="7"/>
  <c r="T71" i="7"/>
  <c r="K65" i="7"/>
  <c r="G65" i="11" s="1"/>
  <c r="Y726" i="7"/>
  <c r="N726" i="11" s="1"/>
  <c r="Y725" i="7"/>
  <c r="N725" i="11" s="1"/>
  <c r="T717" i="7"/>
  <c r="K708" i="7"/>
  <c r="G708" i="11" s="1"/>
  <c r="Y707" i="7"/>
  <c r="N707" i="11" s="1"/>
  <c r="H706" i="7"/>
  <c r="H687" i="7"/>
  <c r="K658" i="7"/>
  <c r="G658" i="11" s="1"/>
  <c r="K657" i="7"/>
  <c r="G657" i="11" s="1"/>
  <c r="T629" i="7"/>
  <c r="T627" i="7"/>
  <c r="Q626" i="7"/>
  <c r="N609" i="7"/>
  <c r="F609" i="11" s="1"/>
  <c r="H609" i="11" s="1"/>
  <c r="I609" i="11" s="1"/>
  <c r="K584" i="7"/>
  <c r="G584" i="11" s="1"/>
  <c r="H583" i="7"/>
  <c r="Y582" i="7"/>
  <c r="N582" i="11" s="1"/>
  <c r="H581" i="7"/>
  <c r="Y580" i="7"/>
  <c r="N580" i="11" s="1"/>
  <c r="T572" i="7"/>
  <c r="H567" i="7"/>
  <c r="K546" i="7"/>
  <c r="G546" i="11" s="1"/>
  <c r="N529" i="7"/>
  <c r="F529" i="11" s="1"/>
  <c r="H529" i="11" s="1"/>
  <c r="I529" i="11" s="1"/>
  <c r="K510" i="7"/>
  <c r="G510" i="11" s="1"/>
  <c r="I510" i="11" s="1"/>
  <c r="T453" i="7"/>
  <c r="Q452" i="7"/>
  <c r="K448" i="7"/>
  <c r="G448" i="11" s="1"/>
  <c r="I448" i="11" s="1"/>
  <c r="H403" i="7"/>
  <c r="T390" i="7"/>
  <c r="K386" i="7"/>
  <c r="G386" i="11" s="1"/>
  <c r="I386" i="11" s="1"/>
  <c r="T350" i="7"/>
  <c r="T349" i="7"/>
  <c r="K331" i="7"/>
  <c r="G331" i="11" s="1"/>
  <c r="K289" i="7"/>
  <c r="G289" i="11" s="1"/>
  <c r="I289" i="11" s="1"/>
  <c r="Y228" i="7"/>
  <c r="N228" i="11" s="1"/>
  <c r="T221" i="7"/>
  <c r="H159" i="7"/>
  <c r="Q94" i="7"/>
  <c r="K92" i="7"/>
  <c r="G92" i="11" s="1"/>
  <c r="I92" i="11" s="1"/>
  <c r="T83" i="7"/>
  <c r="H77" i="7"/>
  <c r="T68" i="7"/>
  <c r="T67" i="7"/>
  <c r="T37" i="7"/>
  <c r="K32" i="7"/>
  <c r="G32" i="11" s="1"/>
  <c r="T9" i="7"/>
  <c r="Q6" i="7"/>
  <c r="H424" i="7"/>
  <c r="Y387" i="7"/>
  <c r="N387" i="11" s="1"/>
  <c r="H291" i="7"/>
  <c r="T240" i="7"/>
  <c r="H133" i="7"/>
  <c r="T125" i="7"/>
  <c r="K81" i="7"/>
  <c r="G81" i="11" s="1"/>
  <c r="N52" i="7"/>
  <c r="F52" i="11" s="1"/>
  <c r="H52" i="11" s="1"/>
  <c r="I52" i="11" s="1"/>
  <c r="Y19" i="7"/>
  <c r="Q11" i="7"/>
  <c r="N718" i="7"/>
  <c r="F718" i="11" s="1"/>
  <c r="H718" i="11" s="1"/>
  <c r="I718" i="11" s="1"/>
  <c r="K717" i="7"/>
  <c r="G717" i="11" s="1"/>
  <c r="H714" i="7"/>
  <c r="K692" i="7"/>
  <c r="G692" i="11" s="1"/>
  <c r="I692" i="11" s="1"/>
  <c r="K669" i="7"/>
  <c r="G669" i="11" s="1"/>
  <c r="K663" i="7"/>
  <c r="G663" i="11" s="1"/>
  <c r="H661" i="7"/>
  <c r="N650" i="7"/>
  <c r="F650" i="11" s="1"/>
  <c r="H650" i="11" s="1"/>
  <c r="I650" i="11" s="1"/>
  <c r="N632" i="7"/>
  <c r="F632" i="11" s="1"/>
  <c r="H632" i="11" s="1"/>
  <c r="I632" i="11" s="1"/>
  <c r="H608" i="7"/>
  <c r="T602" i="7"/>
  <c r="Q601" i="7"/>
  <c r="K591" i="7"/>
  <c r="G591" i="11" s="1"/>
  <c r="I591" i="11" s="1"/>
  <c r="Y590" i="7"/>
  <c r="N590" i="11" s="1"/>
  <c r="N573" i="7"/>
  <c r="F573" i="11" s="1"/>
  <c r="H573" i="11" s="1"/>
  <c r="I573" i="11" s="1"/>
  <c r="H571" i="7"/>
  <c r="H550" i="7"/>
  <c r="Q539" i="7"/>
  <c r="N538" i="7"/>
  <c r="F538" i="11" s="1"/>
  <c r="H538" i="11" s="1"/>
  <c r="I538" i="11" s="1"/>
  <c r="K491" i="7"/>
  <c r="G491" i="11" s="1"/>
  <c r="K473" i="7"/>
  <c r="G473" i="11" s="1"/>
  <c r="I473" i="11" s="1"/>
  <c r="Y471" i="7"/>
  <c r="N471" i="11" s="1"/>
  <c r="K453" i="7"/>
  <c r="G453" i="11" s="1"/>
  <c r="T442" i="7"/>
  <c r="Y408" i="7"/>
  <c r="N408" i="11" s="1"/>
  <c r="T395" i="7"/>
  <c r="T376" i="7"/>
  <c r="N370" i="7"/>
  <c r="F370" i="11" s="1"/>
  <c r="H370" i="11" s="1"/>
  <c r="I370" i="11" s="1"/>
  <c r="Y363" i="7"/>
  <c r="N363" i="11" s="1"/>
  <c r="K293" i="7"/>
  <c r="G293" i="11" s="1"/>
  <c r="H292" i="7"/>
  <c r="T224" i="7"/>
  <c r="H220" i="7"/>
  <c r="K169" i="7"/>
  <c r="G169" i="11" s="1"/>
  <c r="Y166" i="7"/>
  <c r="Y106" i="7"/>
  <c r="H106" i="7"/>
  <c r="Q99" i="7"/>
  <c r="K83" i="7"/>
  <c r="G83" i="11" s="1"/>
  <c r="K82" i="7"/>
  <c r="G82" i="11" s="1"/>
  <c r="T42" i="7"/>
  <c r="H20" i="7"/>
  <c r="Y20" i="7"/>
  <c r="Y4" i="7"/>
  <c r="H4" i="7"/>
  <c r="Y717" i="7"/>
  <c r="N717" i="11" s="1"/>
  <c r="T703" i="7"/>
  <c r="Y693" i="7"/>
  <c r="N693" i="11" s="1"/>
  <c r="Q675" i="7"/>
  <c r="K667" i="7"/>
  <c r="G667" i="11" s="1"/>
  <c r="K650" i="7"/>
  <c r="G650" i="11" s="1"/>
  <c r="Q614" i="7"/>
  <c r="N599" i="7"/>
  <c r="F599" i="11" s="1"/>
  <c r="H599" i="11" s="1"/>
  <c r="I599" i="11" s="1"/>
  <c r="K598" i="7"/>
  <c r="G598" i="11" s="1"/>
  <c r="Y597" i="7"/>
  <c r="N597" i="11" s="1"/>
  <c r="K574" i="7"/>
  <c r="G574" i="11" s="1"/>
  <c r="I574" i="11" s="1"/>
  <c r="Y572" i="7"/>
  <c r="N572" i="11" s="1"/>
  <c r="H490" i="7"/>
  <c r="H475" i="7"/>
  <c r="K411" i="7"/>
  <c r="G411" i="11" s="1"/>
  <c r="Q378" i="7"/>
  <c r="Y334" i="7"/>
  <c r="N334" i="11" s="1"/>
  <c r="H334" i="7"/>
  <c r="K306" i="7"/>
  <c r="G306" i="11" s="1"/>
  <c r="I306" i="11" s="1"/>
  <c r="H219" i="7"/>
  <c r="Q139" i="7"/>
  <c r="N138" i="7"/>
  <c r="F138" i="11" s="1"/>
  <c r="H138" i="11" s="1"/>
  <c r="I138" i="11" s="1"/>
  <c r="K137" i="7"/>
  <c r="G137" i="11" s="1"/>
  <c r="I137" i="11" s="1"/>
  <c r="H96" i="7"/>
  <c r="T58" i="7"/>
  <c r="Q57" i="7"/>
  <c r="Q43" i="7"/>
  <c r="K22" i="7"/>
  <c r="G22" i="11" s="1"/>
  <c r="I22" i="11" s="1"/>
  <c r="K10" i="7"/>
  <c r="G10" i="11" s="1"/>
  <c r="I10" i="11" s="1"/>
  <c r="H696" i="7"/>
  <c r="Y390" i="7"/>
  <c r="N390" i="11" s="1"/>
  <c r="H390" i="7"/>
  <c r="N153" i="7"/>
  <c r="F153" i="11" s="1"/>
  <c r="H153" i="11" s="1"/>
  <c r="I153" i="11" s="1"/>
  <c r="K152" i="7"/>
  <c r="G152" i="11" s="1"/>
  <c r="Y109" i="7"/>
  <c r="H109" i="7"/>
  <c r="T46" i="7"/>
  <c r="T29" i="7"/>
  <c r="T14" i="7"/>
  <c r="K674" i="7"/>
  <c r="G674" i="11" s="1"/>
  <c r="H664" i="7"/>
  <c r="T617" i="7"/>
  <c r="T604" i="7"/>
  <c r="K599" i="7"/>
  <c r="G599" i="11" s="1"/>
  <c r="K575" i="7"/>
  <c r="G575" i="11" s="1"/>
  <c r="I575" i="11" s="1"/>
  <c r="Y538" i="7"/>
  <c r="N538" i="11" s="1"/>
  <c r="H538" i="7"/>
  <c r="K478" i="7"/>
  <c r="G478" i="11" s="1"/>
  <c r="Y474" i="7"/>
  <c r="N474" i="11" s="1"/>
  <c r="N458" i="7"/>
  <c r="F458" i="11" s="1"/>
  <c r="H458" i="11" s="1"/>
  <c r="I458" i="11" s="1"/>
  <c r="Y454" i="7"/>
  <c r="N454" i="11" s="1"/>
  <c r="K441" i="7"/>
  <c r="G441" i="11" s="1"/>
  <c r="K427" i="7"/>
  <c r="G427" i="11" s="1"/>
  <c r="I427" i="11" s="1"/>
  <c r="N395" i="7"/>
  <c r="F395" i="11" s="1"/>
  <c r="H395" i="11" s="1"/>
  <c r="I395" i="11" s="1"/>
  <c r="K337" i="7"/>
  <c r="G337" i="11" s="1"/>
  <c r="Y306" i="7"/>
  <c r="N306" i="11" s="1"/>
  <c r="N281" i="7"/>
  <c r="F281" i="11" s="1"/>
  <c r="H281" i="11" s="1"/>
  <c r="I281" i="11" s="1"/>
  <c r="H277" i="7"/>
  <c r="Y277" i="7"/>
  <c r="N277" i="11" s="1"/>
  <c r="K264" i="7"/>
  <c r="G264" i="11" s="1"/>
  <c r="K251" i="7"/>
  <c r="G251" i="11" s="1"/>
  <c r="I251" i="11" s="1"/>
  <c r="K240" i="7"/>
  <c r="G240" i="11" s="1"/>
  <c r="Q196" i="7"/>
  <c r="K193" i="7"/>
  <c r="G193" i="11" s="1"/>
  <c r="I193" i="11" s="1"/>
  <c r="Q140" i="7"/>
  <c r="Y54" i="7"/>
  <c r="H38" i="7"/>
  <c r="Q28" i="7"/>
  <c r="H347" i="7"/>
  <c r="K324" i="7"/>
  <c r="G324" i="11" s="1"/>
  <c r="K265" i="7"/>
  <c r="G265" i="11" s="1"/>
  <c r="Y262" i="7"/>
  <c r="N262" i="11" s="1"/>
  <c r="N250" i="7"/>
  <c r="F250" i="11" s="1"/>
  <c r="H250" i="11" s="1"/>
  <c r="I250" i="11" s="1"/>
  <c r="K248" i="7"/>
  <c r="G248" i="11" s="1"/>
  <c r="I248" i="11" s="1"/>
  <c r="Y185" i="7"/>
  <c r="Y150" i="7"/>
  <c r="Y149" i="7"/>
  <c r="K135" i="7"/>
  <c r="G135" i="11" s="1"/>
  <c r="I135" i="11" s="1"/>
  <c r="N93" i="7"/>
  <c r="F93" i="11" s="1"/>
  <c r="H93" i="11" s="1"/>
  <c r="I93" i="11" s="1"/>
  <c r="Q24" i="7"/>
  <c r="K16" i="7"/>
  <c r="G16" i="11" s="1"/>
  <c r="K15" i="7"/>
  <c r="G15" i="11" s="1"/>
  <c r="I15" i="11" s="1"/>
  <c r="H13" i="7"/>
  <c r="N410" i="7"/>
  <c r="F410" i="11" s="1"/>
  <c r="H410" i="11" s="1"/>
  <c r="I410" i="11" s="1"/>
  <c r="K408" i="7"/>
  <c r="G408" i="11" s="1"/>
  <c r="Y404" i="7"/>
  <c r="N404" i="11" s="1"/>
  <c r="K351" i="7"/>
  <c r="G351" i="11" s="1"/>
  <c r="H350" i="7"/>
  <c r="H324" i="7"/>
  <c r="N271" i="7"/>
  <c r="F271" i="11" s="1"/>
  <c r="H271" i="11" s="1"/>
  <c r="I271" i="11" s="1"/>
  <c r="N229" i="7"/>
  <c r="F229" i="11" s="1"/>
  <c r="H229" i="11" s="1"/>
  <c r="I229" i="11" s="1"/>
  <c r="K212" i="7"/>
  <c r="G212" i="11" s="1"/>
  <c r="K191" i="7"/>
  <c r="G191" i="11" s="1"/>
  <c r="I191" i="11" s="1"/>
  <c r="H189" i="7"/>
  <c r="K170" i="7"/>
  <c r="G170" i="11" s="1"/>
  <c r="I170" i="11" s="1"/>
  <c r="K167" i="7"/>
  <c r="G167" i="11" s="1"/>
  <c r="N154" i="7"/>
  <c r="F154" i="11" s="1"/>
  <c r="H154" i="11" s="1"/>
  <c r="I154" i="11" s="1"/>
  <c r="K136" i="7"/>
  <c r="G136" i="11" s="1"/>
  <c r="Y107" i="7"/>
  <c r="T77" i="7"/>
  <c r="N74" i="7"/>
  <c r="F74" i="11" s="1"/>
  <c r="H74" i="11" s="1"/>
  <c r="I74" i="11" s="1"/>
  <c r="K73" i="7"/>
  <c r="G73" i="11" s="1"/>
  <c r="H70" i="7"/>
  <c r="K53" i="7"/>
  <c r="G53" i="11" s="1"/>
  <c r="I53" i="11" s="1"/>
  <c r="Q33" i="7"/>
  <c r="K30" i="7"/>
  <c r="G30" i="11" s="1"/>
  <c r="K497" i="7"/>
  <c r="G497" i="11" s="1"/>
  <c r="H477" i="7"/>
  <c r="Q455" i="7"/>
  <c r="N454" i="7"/>
  <c r="F454" i="11" s="1"/>
  <c r="H454" i="11" s="1"/>
  <c r="I454" i="11" s="1"/>
  <c r="Q395" i="7"/>
  <c r="K392" i="7"/>
  <c r="G392" i="11" s="1"/>
  <c r="I392" i="11" s="1"/>
  <c r="K391" i="7"/>
  <c r="G391" i="11" s="1"/>
  <c r="Q364" i="7"/>
  <c r="K359" i="7"/>
  <c r="G359" i="11" s="1"/>
  <c r="H357" i="7"/>
  <c r="Y347" i="7"/>
  <c r="N347" i="11" s="1"/>
  <c r="N313" i="7"/>
  <c r="F313" i="11" s="1"/>
  <c r="H313" i="11" s="1"/>
  <c r="I313" i="11" s="1"/>
  <c r="N312" i="7"/>
  <c r="F312" i="11" s="1"/>
  <c r="H312" i="11" s="1"/>
  <c r="I312" i="11" s="1"/>
  <c r="K295" i="7"/>
  <c r="G295" i="11" s="1"/>
  <c r="I295" i="11" s="1"/>
  <c r="H294" i="7"/>
  <c r="T282" i="7"/>
  <c r="N277" i="7"/>
  <c r="F277" i="11" s="1"/>
  <c r="H277" i="11" s="1"/>
  <c r="I277" i="11" s="1"/>
  <c r="K254" i="7"/>
  <c r="G254" i="11" s="1"/>
  <c r="N233" i="7"/>
  <c r="F233" i="11" s="1"/>
  <c r="H233" i="11" s="1"/>
  <c r="I233" i="11" s="1"/>
  <c r="Q222" i="7"/>
  <c r="K216" i="7"/>
  <c r="G216" i="11" s="1"/>
  <c r="T204" i="7"/>
  <c r="T179" i="7"/>
  <c r="K140" i="7"/>
  <c r="G140" i="11" s="1"/>
  <c r="H98" i="7"/>
  <c r="T84" i="7"/>
  <c r="Y76" i="7"/>
  <c r="K62" i="7"/>
  <c r="G62" i="11" s="1"/>
  <c r="I62" i="11" s="1"/>
  <c r="H60" i="7"/>
  <c r="Y59" i="7"/>
  <c r="T11" i="7"/>
  <c r="Y670" i="7"/>
  <c r="N670" i="11" s="1"/>
  <c r="H663" i="7"/>
  <c r="Y662" i="7"/>
  <c r="N662" i="11" s="1"/>
  <c r="H647" i="7"/>
  <c r="T632" i="7"/>
  <c r="Y623" i="7"/>
  <c r="N623" i="11" s="1"/>
  <c r="H603" i="7"/>
  <c r="Y528" i="7"/>
  <c r="N528" i="11" s="1"/>
  <c r="K505" i="7"/>
  <c r="G505" i="11" s="1"/>
  <c r="I505" i="11" s="1"/>
  <c r="Y504" i="7"/>
  <c r="N504" i="11" s="1"/>
  <c r="H498" i="7"/>
  <c r="K480" i="7"/>
  <c r="G480" i="11" s="1"/>
  <c r="H479" i="7"/>
  <c r="T466" i="7"/>
  <c r="K416" i="7"/>
  <c r="G416" i="11" s="1"/>
  <c r="I416" i="11" s="1"/>
  <c r="Y359" i="7"/>
  <c r="N359" i="11" s="1"/>
  <c r="H274" i="7"/>
  <c r="N240" i="7"/>
  <c r="F240" i="11" s="1"/>
  <c r="H240" i="11" s="1"/>
  <c r="I240" i="11" s="1"/>
  <c r="K234" i="7"/>
  <c r="G234" i="11" s="1"/>
  <c r="I234" i="11" s="1"/>
  <c r="T226" i="7"/>
  <c r="Q204" i="7"/>
  <c r="K198" i="7"/>
  <c r="G198" i="11" s="1"/>
  <c r="I198" i="11" s="1"/>
  <c r="N125" i="7"/>
  <c r="F125" i="11" s="1"/>
  <c r="H125" i="11" s="1"/>
  <c r="I125" i="11" s="1"/>
  <c r="K79" i="7"/>
  <c r="G79" i="11" s="1"/>
  <c r="I79" i="11" s="1"/>
  <c r="N65" i="7"/>
  <c r="F65" i="11" s="1"/>
  <c r="H65" i="11" s="1"/>
  <c r="I65" i="11" s="1"/>
  <c r="K64" i="7"/>
  <c r="G64" i="11" s="1"/>
  <c r="I64" i="11" s="1"/>
  <c r="Q48" i="7"/>
  <c r="N47" i="7"/>
  <c r="F47" i="11" s="1"/>
  <c r="H47" i="11" s="1"/>
  <c r="I47" i="11" s="1"/>
  <c r="K9" i="7"/>
  <c r="G9" i="11" s="1"/>
  <c r="I9" i="11" s="1"/>
  <c r="K8" i="7"/>
  <c r="G8" i="11" s="1"/>
  <c r="I8" i="11" s="1"/>
  <c r="K6" i="7"/>
  <c r="G6" i="11" s="1"/>
  <c r="I6" i="11" s="1"/>
  <c r="Q323" i="7"/>
  <c r="K316" i="7"/>
  <c r="G316" i="11" s="1"/>
  <c r="I316" i="11" s="1"/>
  <c r="H280" i="7"/>
  <c r="H275" i="7"/>
  <c r="T268" i="7"/>
  <c r="T267" i="7"/>
  <c r="Y236" i="7"/>
  <c r="N236" i="11" s="1"/>
  <c r="N205" i="7"/>
  <c r="F205" i="11" s="1"/>
  <c r="H205" i="11" s="1"/>
  <c r="I205" i="11" s="1"/>
  <c r="K203" i="7"/>
  <c r="G203" i="11" s="1"/>
  <c r="I203" i="11" s="1"/>
  <c r="K202" i="7"/>
  <c r="G202" i="11" s="1"/>
  <c r="N180" i="7"/>
  <c r="F180" i="11" s="1"/>
  <c r="H180" i="11" s="1"/>
  <c r="I180" i="11" s="1"/>
  <c r="T153" i="7"/>
  <c r="K127" i="7"/>
  <c r="G127" i="11" s="1"/>
  <c r="K126" i="7"/>
  <c r="G126" i="11" s="1"/>
  <c r="T113" i="7"/>
  <c r="Q111" i="7"/>
  <c r="N88" i="7"/>
  <c r="F88" i="11" s="1"/>
  <c r="H88" i="11" s="1"/>
  <c r="I88" i="11" s="1"/>
  <c r="K86" i="7"/>
  <c r="G86" i="11" s="1"/>
  <c r="N85" i="7"/>
  <c r="F85" i="11" s="1"/>
  <c r="H85" i="11" s="1"/>
  <c r="I85" i="11" s="1"/>
  <c r="K84" i="7"/>
  <c r="G84" i="11" s="1"/>
  <c r="H81" i="7"/>
  <c r="Y79" i="7"/>
  <c r="Q71" i="7"/>
  <c r="K66" i="7"/>
  <c r="G66" i="11" s="1"/>
  <c r="H65" i="7"/>
  <c r="H64" i="7"/>
  <c r="T52" i="7"/>
  <c r="T51" i="7"/>
  <c r="H46" i="7"/>
  <c r="T31" i="7"/>
  <c r="Q13" i="7"/>
  <c r="Y9" i="7"/>
  <c r="N464" i="7"/>
  <c r="F464" i="11" s="1"/>
  <c r="H464" i="11" s="1"/>
  <c r="I464" i="11" s="1"/>
  <c r="K418" i="7"/>
  <c r="G418" i="11" s="1"/>
  <c r="I418" i="11" s="1"/>
  <c r="Y417" i="7"/>
  <c r="N417" i="11" s="1"/>
  <c r="K398" i="7"/>
  <c r="G398" i="11" s="1"/>
  <c r="I398" i="11" s="1"/>
  <c r="Y649" i="7"/>
  <c r="N649" i="11" s="1"/>
  <c r="T641" i="7"/>
  <c r="K636" i="7"/>
  <c r="G636" i="11" s="1"/>
  <c r="I636" i="11" s="1"/>
  <c r="K632" i="7"/>
  <c r="G632" i="11" s="1"/>
  <c r="Y484" i="7"/>
  <c r="N484" i="11" s="1"/>
  <c r="K459" i="7"/>
  <c r="G459" i="11" s="1"/>
  <c r="I459" i="11" s="1"/>
  <c r="K457" i="7"/>
  <c r="G457" i="11" s="1"/>
  <c r="I457" i="11" s="1"/>
  <c r="N441" i="7"/>
  <c r="F441" i="11" s="1"/>
  <c r="H441" i="11" s="1"/>
  <c r="I441" i="11" s="1"/>
  <c r="H396" i="7"/>
  <c r="K371" i="7"/>
  <c r="G371" i="11" s="1"/>
  <c r="I371" i="11" s="1"/>
  <c r="K369" i="7"/>
  <c r="G369" i="11" s="1"/>
  <c r="I369" i="11" s="1"/>
  <c r="K368" i="7"/>
  <c r="G368" i="11" s="1"/>
  <c r="I368" i="11" s="1"/>
  <c r="N323" i="7"/>
  <c r="F323" i="11" s="1"/>
  <c r="H323" i="11" s="1"/>
  <c r="I323" i="11" s="1"/>
  <c r="H299" i="7"/>
  <c r="N226" i="7"/>
  <c r="F226" i="11" s="1"/>
  <c r="H226" i="11" s="1"/>
  <c r="I226" i="11" s="1"/>
  <c r="K224" i="7"/>
  <c r="G224" i="11" s="1"/>
  <c r="Y203" i="7"/>
  <c r="N203" i="11" s="1"/>
  <c r="K180" i="7"/>
  <c r="G180" i="11" s="1"/>
  <c r="K129" i="7"/>
  <c r="G129" i="11" s="1"/>
  <c r="I129" i="11" s="1"/>
  <c r="Y125" i="7"/>
  <c r="Q113" i="7"/>
  <c r="N111" i="7"/>
  <c r="F111" i="11" s="1"/>
  <c r="H111" i="11" s="1"/>
  <c r="I111" i="11" s="1"/>
  <c r="T93" i="7"/>
  <c r="Q90" i="7"/>
  <c r="Y86" i="7"/>
  <c r="T74" i="7"/>
  <c r="Q72" i="7"/>
  <c r="Y66" i="7"/>
  <c r="T57" i="7"/>
  <c r="T27" i="7"/>
  <c r="Q654" i="7"/>
  <c r="Q598" i="7"/>
  <c r="K595" i="7"/>
  <c r="G595" i="11" s="1"/>
  <c r="I595" i="11" s="1"/>
  <c r="Y586" i="7"/>
  <c r="N586" i="11" s="1"/>
  <c r="Q490" i="7"/>
  <c r="K421" i="7"/>
  <c r="G421" i="11" s="1"/>
  <c r="Q408" i="7"/>
  <c r="N377" i="7"/>
  <c r="F377" i="11" s="1"/>
  <c r="H377" i="11" s="1"/>
  <c r="I377" i="11" s="1"/>
  <c r="K375" i="7"/>
  <c r="G375" i="11" s="1"/>
  <c r="I375" i="11" s="1"/>
  <c r="K347" i="7"/>
  <c r="G347" i="11" s="1"/>
  <c r="Y322" i="7"/>
  <c r="N322" i="11" s="1"/>
  <c r="H320" i="7"/>
  <c r="N263" i="7"/>
  <c r="F263" i="11" s="1"/>
  <c r="H263" i="11" s="1"/>
  <c r="I263" i="11" s="1"/>
  <c r="N245" i="7"/>
  <c r="F245" i="11" s="1"/>
  <c r="H245" i="11" s="1"/>
  <c r="I245" i="11" s="1"/>
  <c r="N227" i="7"/>
  <c r="F227" i="11" s="1"/>
  <c r="H227" i="11" s="1"/>
  <c r="I227" i="11" s="1"/>
  <c r="Y180" i="7"/>
  <c r="N152" i="7"/>
  <c r="F152" i="11" s="1"/>
  <c r="H152" i="11" s="1"/>
  <c r="I152" i="11" s="1"/>
  <c r="K151" i="7"/>
  <c r="G151" i="11" s="1"/>
  <c r="K150" i="7"/>
  <c r="G150" i="11" s="1"/>
  <c r="I150" i="11" s="1"/>
  <c r="K147" i="7"/>
  <c r="G147" i="11" s="1"/>
  <c r="I147" i="11" s="1"/>
  <c r="N72" i="7"/>
  <c r="F72" i="11" s="1"/>
  <c r="H72" i="11" s="1"/>
  <c r="I72" i="11" s="1"/>
  <c r="N70" i="7"/>
  <c r="F70" i="11" s="1"/>
  <c r="H70" i="11" s="1"/>
  <c r="I70" i="11" s="1"/>
  <c r="Q31" i="7"/>
  <c r="K13" i="7"/>
  <c r="G13" i="11" s="1"/>
  <c r="Y703" i="7"/>
  <c r="N703" i="11" s="1"/>
  <c r="H703" i="7"/>
  <c r="H613" i="7"/>
  <c r="Y613" i="7"/>
  <c r="N613" i="11" s="1"/>
  <c r="Y612" i="7"/>
  <c r="N612" i="11" s="1"/>
  <c r="H612" i="7"/>
  <c r="H337" i="7"/>
  <c r="Y337" i="7"/>
  <c r="N337" i="11" s="1"/>
  <c r="K719" i="7"/>
  <c r="G719" i="11" s="1"/>
  <c r="N638" i="7"/>
  <c r="F638" i="11" s="1"/>
  <c r="H638" i="11" s="1"/>
  <c r="I638" i="11" s="1"/>
  <c r="K596" i="7"/>
  <c r="G596" i="11" s="1"/>
  <c r="I596" i="11" s="1"/>
  <c r="Y587" i="7"/>
  <c r="N587" i="11" s="1"/>
  <c r="T514" i="7"/>
  <c r="Y431" i="7"/>
  <c r="N431" i="11" s="1"/>
  <c r="Y409" i="7"/>
  <c r="N409" i="11" s="1"/>
  <c r="H409" i="7"/>
  <c r="Y372" i="7"/>
  <c r="N372" i="11" s="1"/>
  <c r="H372" i="7"/>
  <c r="H369" i="7"/>
  <c r="Y369" i="7"/>
  <c r="N369" i="11" s="1"/>
  <c r="N253" i="7"/>
  <c r="F253" i="11" s="1"/>
  <c r="H253" i="11" s="1"/>
  <c r="I253" i="11" s="1"/>
  <c r="K252" i="7"/>
  <c r="G252" i="11" s="1"/>
  <c r="K183" i="7"/>
  <c r="G183" i="11" s="1"/>
  <c r="I183" i="11" s="1"/>
  <c r="K728" i="7"/>
  <c r="G728" i="11" s="1"/>
  <c r="I728" i="11" s="1"/>
  <c r="Y727" i="7"/>
  <c r="N727" i="11" s="1"/>
  <c r="H727" i="7"/>
  <c r="K724" i="7"/>
  <c r="G724" i="11" s="1"/>
  <c r="I724" i="11" s="1"/>
  <c r="K721" i="7"/>
  <c r="G721" i="11" s="1"/>
  <c r="I721" i="11" s="1"/>
  <c r="N625" i="7"/>
  <c r="F625" i="11" s="1"/>
  <c r="H625" i="11" s="1"/>
  <c r="I625" i="11" s="1"/>
  <c r="K623" i="7"/>
  <c r="G623" i="11" s="1"/>
  <c r="K593" i="7"/>
  <c r="G593" i="11" s="1"/>
  <c r="Q502" i="7"/>
  <c r="K434" i="7"/>
  <c r="G434" i="11" s="1"/>
  <c r="H433" i="7"/>
  <c r="Y433" i="7"/>
  <c r="N433" i="11" s="1"/>
  <c r="Y432" i="7"/>
  <c r="N432" i="11" s="1"/>
  <c r="Q390" i="7"/>
  <c r="K380" i="7"/>
  <c r="G380" i="11" s="1"/>
  <c r="I380" i="11" s="1"/>
  <c r="Y379" i="7"/>
  <c r="N379" i="11" s="1"/>
  <c r="H379" i="7"/>
  <c r="H271" i="7"/>
  <c r="Y271" i="7"/>
  <c r="N271" i="11" s="1"/>
  <c r="Y207" i="7"/>
  <c r="N207" i="11" s="1"/>
  <c r="H207" i="7"/>
  <c r="H723" i="7"/>
  <c r="H722" i="7"/>
  <c r="Y721" i="7"/>
  <c r="N721" i="11" s="1"/>
  <c r="Y676" i="7"/>
  <c r="N676" i="11" s="1"/>
  <c r="T658" i="7"/>
  <c r="H595" i="7"/>
  <c r="Y595" i="7"/>
  <c r="N595" i="11" s="1"/>
  <c r="K590" i="7"/>
  <c r="G590" i="11" s="1"/>
  <c r="Y588" i="7"/>
  <c r="N588" i="11" s="1"/>
  <c r="K577" i="7"/>
  <c r="G577" i="11" s="1"/>
  <c r="Q516" i="7"/>
  <c r="K494" i="7"/>
  <c r="G494" i="11" s="1"/>
  <c r="I494" i="11" s="1"/>
  <c r="Y447" i="7"/>
  <c r="N447" i="11" s="1"/>
  <c r="Y209" i="7"/>
  <c r="N209" i="11" s="1"/>
  <c r="H209" i="7"/>
  <c r="Y189" i="7"/>
  <c r="N189" i="11" s="1"/>
  <c r="H94" i="7"/>
  <c r="Y593" i="7"/>
  <c r="N593" i="11" s="1"/>
  <c r="H593" i="7"/>
  <c r="Y489" i="7"/>
  <c r="N489" i="11" s="1"/>
  <c r="H489" i="7"/>
  <c r="H188" i="7"/>
  <c r="Y188" i="7"/>
  <c r="Y97" i="7"/>
  <c r="H97" i="7"/>
  <c r="Y466" i="7"/>
  <c r="N466" i="11" s="1"/>
  <c r="H466" i="7"/>
  <c r="H436" i="7"/>
  <c r="Y436" i="7"/>
  <c r="N436" i="11" s="1"/>
  <c r="H384" i="7"/>
  <c r="Y384" i="7"/>
  <c r="N384" i="11" s="1"/>
  <c r="H190" i="7"/>
  <c r="Y190" i="7"/>
  <c r="N190" i="11" s="1"/>
  <c r="T689" i="7"/>
  <c r="K600" i="7"/>
  <c r="G600" i="11" s="1"/>
  <c r="H578" i="7"/>
  <c r="Y578" i="7"/>
  <c r="N578" i="11" s="1"/>
  <c r="T538" i="7"/>
  <c r="H468" i="7"/>
  <c r="H464" i="7"/>
  <c r="H437" i="7"/>
  <c r="H319" i="7"/>
  <c r="Y319" i="7"/>
  <c r="N319" i="11" s="1"/>
  <c r="H318" i="7"/>
  <c r="Y318" i="7"/>
  <c r="N318" i="11" s="1"/>
  <c r="H191" i="7"/>
  <c r="Y191" i="7"/>
  <c r="N191" i="11" s="1"/>
  <c r="Y147" i="7"/>
  <c r="H147" i="7"/>
  <c r="Q688" i="7"/>
  <c r="T676" i="7"/>
  <c r="T675" i="7"/>
  <c r="Y635" i="7"/>
  <c r="N635" i="11" s="1"/>
  <c r="K634" i="7"/>
  <c r="G634" i="11" s="1"/>
  <c r="I634" i="11" s="1"/>
  <c r="N564" i="7"/>
  <c r="F564" i="11" s="1"/>
  <c r="H564" i="11" s="1"/>
  <c r="I564" i="11" s="1"/>
  <c r="T539" i="7"/>
  <c r="K512" i="7"/>
  <c r="G512" i="11" s="1"/>
  <c r="I512" i="11" s="1"/>
  <c r="K477" i="7"/>
  <c r="G477" i="11" s="1"/>
  <c r="I477" i="11" s="1"/>
  <c r="H469" i="7"/>
  <c r="H440" i="7"/>
  <c r="K389" i="7"/>
  <c r="G389" i="11" s="1"/>
  <c r="I389" i="11" s="1"/>
  <c r="N282" i="7"/>
  <c r="F282" i="11" s="1"/>
  <c r="H282" i="11" s="1"/>
  <c r="I282" i="11" s="1"/>
  <c r="K281" i="7"/>
  <c r="G281" i="11" s="1"/>
  <c r="H192" i="7"/>
  <c r="K34" i="7"/>
  <c r="G34" i="11" s="1"/>
  <c r="I34" i="11" s="1"/>
  <c r="Y33" i="7"/>
  <c r="H33" i="7"/>
  <c r="Q7" i="7"/>
  <c r="Q4" i="7"/>
  <c r="Y472" i="7"/>
  <c r="N472" i="11" s="1"/>
  <c r="H472" i="7"/>
  <c r="Y704" i="7"/>
  <c r="N704" i="11" s="1"/>
  <c r="N662" i="7"/>
  <c r="F662" i="11" s="1"/>
  <c r="H662" i="11" s="1"/>
  <c r="I662" i="11" s="1"/>
  <c r="K661" i="7"/>
  <c r="G661" i="11" s="1"/>
  <c r="I661" i="11" s="1"/>
  <c r="N656" i="7"/>
  <c r="F656" i="11" s="1"/>
  <c r="H656" i="11" s="1"/>
  <c r="I656" i="11" s="1"/>
  <c r="H651" i="7"/>
  <c r="H582" i="7"/>
  <c r="T529" i="7"/>
  <c r="Y521" i="7"/>
  <c r="N521" i="11" s="1"/>
  <c r="K517" i="7"/>
  <c r="G517" i="11" s="1"/>
  <c r="K516" i="7"/>
  <c r="G516" i="11" s="1"/>
  <c r="Y513" i="7"/>
  <c r="N513" i="11" s="1"/>
  <c r="K511" i="7"/>
  <c r="G511" i="11" s="1"/>
  <c r="I511" i="11" s="1"/>
  <c r="K443" i="7"/>
  <c r="G443" i="11" s="1"/>
  <c r="T336" i="7"/>
  <c r="K256" i="7"/>
  <c r="G256" i="11" s="1"/>
  <c r="I256" i="11" s="1"/>
  <c r="H255" i="7"/>
  <c r="Y255" i="7"/>
  <c r="N255" i="11" s="1"/>
  <c r="N222" i="7"/>
  <c r="F222" i="11" s="1"/>
  <c r="H222" i="11" s="1"/>
  <c r="I222" i="11" s="1"/>
  <c r="K219" i="7"/>
  <c r="G219" i="11" s="1"/>
  <c r="I219" i="11" s="1"/>
  <c r="H122" i="7"/>
  <c r="Y122" i="7"/>
  <c r="H683" i="7"/>
  <c r="Y545" i="7"/>
  <c r="N545" i="11" s="1"/>
  <c r="N689" i="7"/>
  <c r="F689" i="11" s="1"/>
  <c r="H689" i="11" s="1"/>
  <c r="I689" i="11" s="1"/>
  <c r="K688" i="7"/>
  <c r="G688" i="11" s="1"/>
  <c r="K686" i="7"/>
  <c r="G686" i="11" s="1"/>
  <c r="K685" i="7"/>
  <c r="G685" i="11" s="1"/>
  <c r="I685" i="11" s="1"/>
  <c r="K662" i="7"/>
  <c r="G662" i="11" s="1"/>
  <c r="K660" i="7"/>
  <c r="G660" i="11" s="1"/>
  <c r="I660" i="11" s="1"/>
  <c r="H648" i="7"/>
  <c r="H643" i="7"/>
  <c r="K554" i="7"/>
  <c r="G554" i="11" s="1"/>
  <c r="I554" i="11" s="1"/>
  <c r="Y553" i="7"/>
  <c r="N553" i="11" s="1"/>
  <c r="N539" i="7"/>
  <c r="F539" i="11" s="1"/>
  <c r="H539" i="11" s="1"/>
  <c r="I539" i="11" s="1"/>
  <c r="K524" i="7"/>
  <c r="G524" i="11" s="1"/>
  <c r="I524" i="11" s="1"/>
  <c r="H522" i="7"/>
  <c r="Y519" i="7"/>
  <c r="N519" i="11" s="1"/>
  <c r="H515" i="7"/>
  <c r="Y416" i="7"/>
  <c r="N416" i="11" s="1"/>
  <c r="H416" i="7"/>
  <c r="K395" i="7"/>
  <c r="G395" i="11" s="1"/>
  <c r="Y392" i="7"/>
  <c r="N392" i="11" s="1"/>
  <c r="N292" i="7"/>
  <c r="F292" i="11" s="1"/>
  <c r="H292" i="11" s="1"/>
  <c r="I292" i="11" s="1"/>
  <c r="K290" i="7"/>
  <c r="G290" i="11" s="1"/>
  <c r="I290" i="11" s="1"/>
  <c r="H284" i="7"/>
  <c r="K283" i="7"/>
  <c r="G283" i="11" s="1"/>
  <c r="N241" i="7"/>
  <c r="F241" i="11" s="1"/>
  <c r="H241" i="11" s="1"/>
  <c r="I241" i="11" s="1"/>
  <c r="H237" i="7"/>
  <c r="Y237" i="7"/>
  <c r="N237" i="11" s="1"/>
  <c r="H235" i="7"/>
  <c r="Y235" i="7"/>
  <c r="N235" i="11" s="1"/>
  <c r="H156" i="7"/>
  <c r="K131" i="7"/>
  <c r="G131" i="11" s="1"/>
  <c r="I131" i="11" s="1"/>
  <c r="K104" i="7"/>
  <c r="G104" i="11" s="1"/>
  <c r="I104" i="11" s="1"/>
  <c r="N83" i="7"/>
  <c r="F83" i="11" s="1"/>
  <c r="H83" i="11" s="1"/>
  <c r="I83" i="11" s="1"/>
  <c r="Y464" i="7"/>
  <c r="N464" i="11" s="1"/>
  <c r="H290" i="7"/>
  <c r="H240" i="7"/>
  <c r="Y98" i="7"/>
  <c r="T718" i="7"/>
  <c r="Q717" i="7"/>
  <c r="Q716" i="7"/>
  <c r="K712" i="7"/>
  <c r="G712" i="11" s="1"/>
  <c r="I712" i="11" s="1"/>
  <c r="Y688" i="7"/>
  <c r="N688" i="11" s="1"/>
  <c r="H688" i="7"/>
  <c r="H685" i="7"/>
  <c r="Y685" i="7"/>
  <c r="N685" i="11" s="1"/>
  <c r="H668" i="7"/>
  <c r="K664" i="7"/>
  <c r="G664" i="11" s="1"/>
  <c r="H662" i="7"/>
  <c r="Y658" i="7"/>
  <c r="N658" i="11" s="1"/>
  <c r="H658" i="7"/>
  <c r="Y605" i="7"/>
  <c r="N605" i="11" s="1"/>
  <c r="H605" i="7"/>
  <c r="Y561" i="7"/>
  <c r="N561" i="11" s="1"/>
  <c r="N540" i="7"/>
  <c r="F540" i="11" s="1"/>
  <c r="H540" i="11" s="1"/>
  <c r="I540" i="11" s="1"/>
  <c r="K484" i="7"/>
  <c r="G484" i="11" s="1"/>
  <c r="I484" i="11" s="1"/>
  <c r="K482" i="7"/>
  <c r="G482" i="11" s="1"/>
  <c r="N422" i="7"/>
  <c r="F422" i="11" s="1"/>
  <c r="H422" i="11" s="1"/>
  <c r="I422" i="11" s="1"/>
  <c r="Y327" i="7"/>
  <c r="N327" i="11" s="1"/>
  <c r="H285" i="7"/>
  <c r="Y285" i="7"/>
  <c r="N285" i="11" s="1"/>
  <c r="N112" i="7"/>
  <c r="F112" i="11" s="1"/>
  <c r="H112" i="11" s="1"/>
  <c r="I112" i="11" s="1"/>
  <c r="Y562" i="7"/>
  <c r="N562" i="11" s="1"/>
  <c r="H562" i="7"/>
  <c r="Y469" i="7"/>
  <c r="N469" i="11" s="1"/>
  <c r="H329" i="7"/>
  <c r="Y329" i="7"/>
  <c r="N329" i="11" s="1"/>
  <c r="N265" i="7"/>
  <c r="F265" i="11" s="1"/>
  <c r="H265" i="11" s="1"/>
  <c r="I265" i="11" s="1"/>
  <c r="K242" i="7"/>
  <c r="G242" i="11" s="1"/>
  <c r="I242" i="11" s="1"/>
  <c r="Y175" i="7"/>
  <c r="H175" i="7"/>
  <c r="Y689" i="7"/>
  <c r="N689" i="11" s="1"/>
  <c r="H674" i="7"/>
  <c r="Y674" i="7"/>
  <c r="N674" i="11" s="1"/>
  <c r="Y667" i="7"/>
  <c r="N667" i="11" s="1"/>
  <c r="Y663" i="7"/>
  <c r="N663" i="11" s="1"/>
  <c r="K607" i="7"/>
  <c r="G607" i="11" s="1"/>
  <c r="I607" i="11" s="1"/>
  <c r="K540" i="7"/>
  <c r="G540" i="11" s="1"/>
  <c r="K533" i="7"/>
  <c r="G533" i="11" s="1"/>
  <c r="H527" i="7"/>
  <c r="H482" i="7"/>
  <c r="K425" i="7"/>
  <c r="G425" i="11" s="1"/>
  <c r="T411" i="7"/>
  <c r="K400" i="7"/>
  <c r="G400" i="11" s="1"/>
  <c r="I400" i="11" s="1"/>
  <c r="Y197" i="7"/>
  <c r="N197" i="11" s="1"/>
  <c r="H197" i="7"/>
  <c r="Q50" i="7"/>
  <c r="T21" i="7"/>
  <c r="T20" i="7"/>
  <c r="H699" i="7"/>
  <c r="Y698" i="7"/>
  <c r="N698" i="11" s="1"/>
  <c r="H690" i="7"/>
  <c r="Y690" i="7"/>
  <c r="N690" i="11" s="1"/>
  <c r="Y665" i="7"/>
  <c r="N665" i="11" s="1"/>
  <c r="Y664" i="7"/>
  <c r="N664" i="11" s="1"/>
  <c r="N587" i="7"/>
  <c r="F587" i="11" s="1"/>
  <c r="H587" i="11" s="1"/>
  <c r="I587" i="11" s="1"/>
  <c r="Y581" i="7"/>
  <c r="N581" i="11" s="1"/>
  <c r="K541" i="7"/>
  <c r="G541" i="11" s="1"/>
  <c r="I541" i="11" s="1"/>
  <c r="Y536" i="7"/>
  <c r="N536" i="11" s="1"/>
  <c r="H536" i="7"/>
  <c r="N530" i="7"/>
  <c r="F530" i="11" s="1"/>
  <c r="H530" i="11" s="1"/>
  <c r="I530" i="11" s="1"/>
  <c r="Y199" i="7"/>
  <c r="N199" i="11" s="1"/>
  <c r="H199" i="7"/>
  <c r="Q51" i="7"/>
  <c r="Y692" i="7"/>
  <c r="N692" i="11" s="1"/>
  <c r="Y691" i="7"/>
  <c r="N691" i="11" s="1"/>
  <c r="H691" i="7"/>
  <c r="H540" i="7"/>
  <c r="Y540" i="7"/>
  <c r="N540" i="11" s="1"/>
  <c r="H485" i="7"/>
  <c r="Y485" i="7"/>
  <c r="N485" i="11" s="1"/>
  <c r="K431" i="7"/>
  <c r="G431" i="11" s="1"/>
  <c r="I431" i="11" s="1"/>
  <c r="K430" i="7"/>
  <c r="G430" i="11" s="1"/>
  <c r="H421" i="7"/>
  <c r="Y421" i="7"/>
  <c r="N421" i="11" s="1"/>
  <c r="H310" i="7"/>
  <c r="H200" i="7"/>
  <c r="Y200" i="7"/>
  <c r="N200" i="11" s="1"/>
  <c r="H139" i="7"/>
  <c r="H709" i="7"/>
  <c r="H701" i="7"/>
  <c r="Y701" i="7"/>
  <c r="N701" i="11" s="1"/>
  <c r="Y694" i="7"/>
  <c r="N694" i="11" s="1"/>
  <c r="H694" i="7"/>
  <c r="Y541" i="7"/>
  <c r="N541" i="11" s="1"/>
  <c r="H541" i="7"/>
  <c r="H429" i="7"/>
  <c r="H226" i="7"/>
  <c r="Y226" i="7"/>
  <c r="N226" i="11" s="1"/>
  <c r="H203" i="7"/>
  <c r="H201" i="7"/>
  <c r="Y201" i="7"/>
  <c r="N201" i="11" s="1"/>
  <c r="N719" i="7"/>
  <c r="F719" i="11" s="1"/>
  <c r="H719" i="11" s="1"/>
  <c r="I719" i="11" s="1"/>
  <c r="K718" i="7"/>
  <c r="G718" i="11" s="1"/>
  <c r="Y716" i="7"/>
  <c r="N716" i="11" s="1"/>
  <c r="K617" i="7"/>
  <c r="G617" i="11" s="1"/>
  <c r="Y610" i="7"/>
  <c r="N610" i="11" s="1"/>
  <c r="H610" i="7"/>
  <c r="Q599" i="7"/>
  <c r="Q590" i="7"/>
  <c r="H543" i="7"/>
  <c r="N492" i="7"/>
  <c r="F492" i="11" s="1"/>
  <c r="H492" i="11" s="1"/>
  <c r="I492" i="11" s="1"/>
  <c r="K487" i="7"/>
  <c r="G487" i="11" s="1"/>
  <c r="I487" i="11" s="1"/>
  <c r="K432" i="7"/>
  <c r="G432" i="11" s="1"/>
  <c r="I432" i="11" s="1"/>
  <c r="H431" i="7"/>
  <c r="K366" i="7"/>
  <c r="G366" i="11" s="1"/>
  <c r="Y364" i="7"/>
  <c r="N364" i="11" s="1"/>
  <c r="Y360" i="7"/>
  <c r="N360" i="11" s="1"/>
  <c r="H360" i="7"/>
  <c r="T348" i="7"/>
  <c r="Y204" i="7"/>
  <c r="N204" i="11" s="1"/>
  <c r="H204" i="7"/>
  <c r="Y728" i="7"/>
  <c r="N728" i="11" s="1"/>
  <c r="N716" i="7"/>
  <c r="F716" i="11" s="1"/>
  <c r="H716" i="11" s="1"/>
  <c r="I716" i="11" s="1"/>
  <c r="Y702" i="7"/>
  <c r="N702" i="11" s="1"/>
  <c r="K699" i="7"/>
  <c r="G699" i="11" s="1"/>
  <c r="I699" i="11" s="1"/>
  <c r="Y678" i="7"/>
  <c r="N678" i="11" s="1"/>
  <c r="Y677" i="7"/>
  <c r="N677" i="11" s="1"/>
  <c r="H672" i="7"/>
  <c r="Y671" i="7"/>
  <c r="N671" i="11" s="1"/>
  <c r="N665" i="7"/>
  <c r="F665" i="11" s="1"/>
  <c r="H665" i="11" s="1"/>
  <c r="I665" i="11" s="1"/>
  <c r="T656" i="7"/>
  <c r="T654" i="7"/>
  <c r="K580" i="7"/>
  <c r="G580" i="11" s="1"/>
  <c r="I580" i="11" s="1"/>
  <c r="Y560" i="7"/>
  <c r="N560" i="11" s="1"/>
  <c r="H560" i="7"/>
  <c r="Y477" i="7"/>
  <c r="N477" i="11" s="1"/>
  <c r="K465" i="7"/>
  <c r="G465" i="11" s="1"/>
  <c r="I465" i="11" s="1"/>
  <c r="N429" i="7"/>
  <c r="F429" i="11" s="1"/>
  <c r="H429" i="11" s="1"/>
  <c r="I429" i="11" s="1"/>
  <c r="N425" i="7"/>
  <c r="F425" i="11" s="1"/>
  <c r="H425" i="11" s="1"/>
  <c r="I425" i="11" s="1"/>
  <c r="Q334" i="7"/>
  <c r="H300" i="7"/>
  <c r="Y300" i="7"/>
  <c r="N300" i="11" s="1"/>
  <c r="T281" i="7"/>
  <c r="N267" i="7"/>
  <c r="F267" i="11" s="1"/>
  <c r="H267" i="11" s="1"/>
  <c r="Y206" i="7"/>
  <c r="N206" i="11" s="1"/>
  <c r="H206" i="7"/>
  <c r="K175" i="7"/>
  <c r="G175" i="11" s="1"/>
  <c r="I175" i="11" s="1"/>
  <c r="H173" i="7"/>
  <c r="Y173" i="7"/>
  <c r="N124" i="7"/>
  <c r="F124" i="11" s="1"/>
  <c r="H124" i="11" s="1"/>
  <c r="I124" i="11" s="1"/>
  <c r="Y30" i="7"/>
  <c r="H30" i="7"/>
  <c r="K468" i="7"/>
  <c r="G468" i="11" s="1"/>
  <c r="K467" i="7"/>
  <c r="G467" i="11" s="1"/>
  <c r="K464" i="7"/>
  <c r="G464" i="11" s="1"/>
  <c r="N430" i="7"/>
  <c r="F430" i="11" s="1"/>
  <c r="H430" i="11" s="1"/>
  <c r="I430" i="11" s="1"/>
  <c r="K358" i="7"/>
  <c r="G358" i="11" s="1"/>
  <c r="I358" i="11" s="1"/>
  <c r="K325" i="7"/>
  <c r="G325" i="11" s="1"/>
  <c r="I325" i="11" s="1"/>
  <c r="H323" i="7"/>
  <c r="Y323" i="7"/>
  <c r="N323" i="11" s="1"/>
  <c r="Q281" i="7"/>
  <c r="Y256" i="7"/>
  <c r="N256" i="11" s="1"/>
  <c r="K239" i="7"/>
  <c r="G239" i="11" s="1"/>
  <c r="K238" i="7"/>
  <c r="G238" i="11" s="1"/>
  <c r="K237" i="7"/>
  <c r="G237" i="11" s="1"/>
  <c r="K236" i="7"/>
  <c r="G236" i="11" s="1"/>
  <c r="I236" i="11" s="1"/>
  <c r="N216" i="7"/>
  <c r="F216" i="11" s="1"/>
  <c r="H216" i="11" s="1"/>
  <c r="I216" i="11" s="1"/>
  <c r="K215" i="7"/>
  <c r="G215" i="11" s="1"/>
  <c r="I215" i="11" s="1"/>
  <c r="K176" i="7"/>
  <c r="G176" i="11" s="1"/>
  <c r="I176" i="11" s="1"/>
  <c r="Y174" i="7"/>
  <c r="H174" i="7"/>
  <c r="K122" i="7"/>
  <c r="G122" i="11" s="1"/>
  <c r="I122" i="11" s="1"/>
  <c r="H100" i="7"/>
  <c r="Y100" i="7"/>
  <c r="T80" i="7"/>
  <c r="Y711" i="7"/>
  <c r="N711" i="11" s="1"/>
  <c r="H710" i="7"/>
  <c r="K684" i="7"/>
  <c r="G684" i="11" s="1"/>
  <c r="I684" i="11" s="1"/>
  <c r="K655" i="7"/>
  <c r="G655" i="11" s="1"/>
  <c r="I655" i="11" s="1"/>
  <c r="Y654" i="7"/>
  <c r="N654" i="11" s="1"/>
  <c r="H652" i="7"/>
  <c r="Y650" i="7"/>
  <c r="N650" i="11" s="1"/>
  <c r="H640" i="7"/>
  <c r="Y640" i="7"/>
  <c r="N640" i="11" s="1"/>
  <c r="Y638" i="7"/>
  <c r="N638" i="11" s="1"/>
  <c r="Y637" i="7"/>
  <c r="N637" i="11" s="1"/>
  <c r="H636" i="7"/>
  <c r="T625" i="7"/>
  <c r="K597" i="7"/>
  <c r="G597" i="11" s="1"/>
  <c r="N589" i="7"/>
  <c r="F589" i="11" s="1"/>
  <c r="H589" i="11" s="1"/>
  <c r="I589" i="11" s="1"/>
  <c r="T550" i="7"/>
  <c r="H537" i="7"/>
  <c r="K525" i="7"/>
  <c r="G525" i="11" s="1"/>
  <c r="I525" i="11" s="1"/>
  <c r="K523" i="7"/>
  <c r="G523" i="11" s="1"/>
  <c r="I523" i="11" s="1"/>
  <c r="H434" i="7"/>
  <c r="Y368" i="7"/>
  <c r="N368" i="11" s="1"/>
  <c r="H368" i="7"/>
  <c r="H336" i="7"/>
  <c r="Y336" i="7"/>
  <c r="N336" i="11" s="1"/>
  <c r="K292" i="7"/>
  <c r="G292" i="11" s="1"/>
  <c r="Y291" i="7"/>
  <c r="N291" i="11" s="1"/>
  <c r="Y289" i="7"/>
  <c r="N289" i="11" s="1"/>
  <c r="Y280" i="7"/>
  <c r="N280" i="11" s="1"/>
  <c r="K277" i="7"/>
  <c r="G277" i="11" s="1"/>
  <c r="N249" i="7"/>
  <c r="F249" i="11" s="1"/>
  <c r="H249" i="11" s="1"/>
  <c r="I249" i="11" s="1"/>
  <c r="Q228" i="7"/>
  <c r="K182" i="7"/>
  <c r="G182" i="11" s="1"/>
  <c r="Q167" i="7"/>
  <c r="N113" i="7"/>
  <c r="F113" i="11" s="1"/>
  <c r="H113" i="11" s="1"/>
  <c r="I113" i="11" s="1"/>
  <c r="Y708" i="7"/>
  <c r="N708" i="11" s="1"/>
  <c r="K706" i="7"/>
  <c r="G706" i="11" s="1"/>
  <c r="I706" i="11" s="1"/>
  <c r="N703" i="7"/>
  <c r="F703" i="11" s="1"/>
  <c r="H703" i="11" s="1"/>
  <c r="I703" i="11" s="1"/>
  <c r="Y647" i="7"/>
  <c r="N647" i="11" s="1"/>
  <c r="H646" i="7"/>
  <c r="N629" i="7"/>
  <c r="F629" i="11" s="1"/>
  <c r="H629" i="11" s="1"/>
  <c r="I629" i="11" s="1"/>
  <c r="N627" i="7"/>
  <c r="F627" i="11" s="1"/>
  <c r="H627" i="11" s="1"/>
  <c r="I627" i="11" s="1"/>
  <c r="N626" i="7"/>
  <c r="F626" i="11" s="1"/>
  <c r="H626" i="11" s="1"/>
  <c r="I626" i="11" s="1"/>
  <c r="H623" i="7"/>
  <c r="K618" i="7"/>
  <c r="G618" i="11" s="1"/>
  <c r="I618" i="11" s="1"/>
  <c r="Q552" i="7"/>
  <c r="H532" i="7"/>
  <c r="H529" i="7"/>
  <c r="T455" i="7"/>
  <c r="K445" i="7"/>
  <c r="G445" i="11" s="1"/>
  <c r="I445" i="11" s="1"/>
  <c r="H444" i="7"/>
  <c r="H443" i="7"/>
  <c r="H400" i="7"/>
  <c r="H394" i="7"/>
  <c r="Y388" i="7"/>
  <c r="N388" i="11" s="1"/>
  <c r="Y294" i="7"/>
  <c r="N294" i="11" s="1"/>
  <c r="Q255" i="7"/>
  <c r="N254" i="7"/>
  <c r="F254" i="11" s="1"/>
  <c r="H254" i="11" s="1"/>
  <c r="I254" i="11" s="1"/>
  <c r="Y250" i="7"/>
  <c r="N250" i="11" s="1"/>
  <c r="N196" i="7"/>
  <c r="F196" i="11" s="1"/>
  <c r="H196" i="11" s="1"/>
  <c r="I196" i="11" s="1"/>
  <c r="Y193" i="7"/>
  <c r="N193" i="11" s="1"/>
  <c r="H67" i="7"/>
  <c r="Y67" i="7"/>
  <c r="T22" i="7"/>
  <c r="Q16" i="7"/>
  <c r="H681" i="7"/>
  <c r="H645" i="7"/>
  <c r="Y644" i="7"/>
  <c r="N644" i="11" s="1"/>
  <c r="H633" i="7"/>
  <c r="Y632" i="7"/>
  <c r="N632" i="11" s="1"/>
  <c r="H632" i="7"/>
  <c r="K621" i="7"/>
  <c r="G621" i="11" s="1"/>
  <c r="I621" i="11" s="1"/>
  <c r="K604" i="7"/>
  <c r="G604" i="11" s="1"/>
  <c r="N572" i="7"/>
  <c r="F572" i="11" s="1"/>
  <c r="H572" i="11" s="1"/>
  <c r="I572" i="11" s="1"/>
  <c r="N570" i="7"/>
  <c r="F570" i="11" s="1"/>
  <c r="H570" i="11" s="1"/>
  <c r="I570" i="11" s="1"/>
  <c r="K569" i="7"/>
  <c r="G569" i="11" s="1"/>
  <c r="I569" i="11" s="1"/>
  <c r="K567" i="7"/>
  <c r="G567" i="11" s="1"/>
  <c r="K563" i="7"/>
  <c r="G563" i="11" s="1"/>
  <c r="I563" i="11" s="1"/>
  <c r="H548" i="7"/>
  <c r="N411" i="7"/>
  <c r="F411" i="11" s="1"/>
  <c r="H411" i="11" s="1"/>
  <c r="I411" i="11" s="1"/>
  <c r="N409" i="7"/>
  <c r="F409" i="11" s="1"/>
  <c r="H409" i="11" s="1"/>
  <c r="I409" i="11" s="1"/>
  <c r="Y397" i="7"/>
  <c r="N397" i="11" s="1"/>
  <c r="H312" i="7"/>
  <c r="Y312" i="7"/>
  <c r="N312" i="11" s="1"/>
  <c r="N299" i="7"/>
  <c r="F299" i="11" s="1"/>
  <c r="H299" i="11" s="1"/>
  <c r="I299" i="11" s="1"/>
  <c r="H296" i="7"/>
  <c r="Y296" i="7"/>
  <c r="N296" i="11" s="1"/>
  <c r="T266" i="7"/>
  <c r="T264" i="7"/>
  <c r="N204" i="7"/>
  <c r="F204" i="11" s="1"/>
  <c r="H204" i="11" s="1"/>
  <c r="I204" i="11" s="1"/>
  <c r="N197" i="7"/>
  <c r="F197" i="11" s="1"/>
  <c r="H197" i="11" s="1"/>
  <c r="I197" i="11" s="1"/>
  <c r="K195" i="7"/>
  <c r="G195" i="11" s="1"/>
  <c r="I195" i="11" s="1"/>
  <c r="H620" i="7"/>
  <c r="Y620" i="7"/>
  <c r="N620" i="11" s="1"/>
  <c r="Y510" i="7"/>
  <c r="N510" i="11" s="1"/>
  <c r="H510" i="7"/>
  <c r="H69" i="7"/>
  <c r="Y69" i="7"/>
  <c r="Y706" i="7"/>
  <c r="N706" i="11" s="1"/>
  <c r="Y680" i="7"/>
  <c r="N680" i="11" s="1"/>
  <c r="K582" i="7"/>
  <c r="G582" i="11" s="1"/>
  <c r="I582" i="11" s="1"/>
  <c r="Y566" i="7"/>
  <c r="N566" i="11" s="1"/>
  <c r="Y550" i="7"/>
  <c r="N550" i="11" s="1"/>
  <c r="H500" i="7"/>
  <c r="Y497" i="7"/>
  <c r="N497" i="11" s="1"/>
  <c r="N466" i="7"/>
  <c r="F466" i="11" s="1"/>
  <c r="H466" i="11" s="1"/>
  <c r="I466" i="11" s="1"/>
  <c r="H446" i="7"/>
  <c r="Y446" i="7"/>
  <c r="N446" i="11" s="1"/>
  <c r="T428" i="7"/>
  <c r="T414" i="7"/>
  <c r="Y315" i="7"/>
  <c r="N315" i="11" s="1"/>
  <c r="Q268" i="7"/>
  <c r="K200" i="7"/>
  <c r="G200" i="11" s="1"/>
  <c r="Y195" i="7"/>
  <c r="N195" i="11" s="1"/>
  <c r="Y151" i="7"/>
  <c r="Y146" i="7"/>
  <c r="Y89" i="7"/>
  <c r="N675" i="7"/>
  <c r="F675" i="11" s="1"/>
  <c r="H675" i="11" s="1"/>
  <c r="I675" i="11" s="1"/>
  <c r="K670" i="7"/>
  <c r="G670" i="11" s="1"/>
  <c r="I670" i="11" s="1"/>
  <c r="T662" i="7"/>
  <c r="Y626" i="7"/>
  <c r="N626" i="11" s="1"/>
  <c r="N612" i="7"/>
  <c r="F612" i="11" s="1"/>
  <c r="H612" i="11" s="1"/>
  <c r="I612" i="11" s="1"/>
  <c r="H584" i="7"/>
  <c r="K576" i="7"/>
  <c r="G576" i="11" s="1"/>
  <c r="I576" i="11" s="1"/>
  <c r="K573" i="7"/>
  <c r="G573" i="11" s="1"/>
  <c r="Y499" i="7"/>
  <c r="N499" i="11" s="1"/>
  <c r="N479" i="7"/>
  <c r="F479" i="11" s="1"/>
  <c r="H479" i="11" s="1"/>
  <c r="I479" i="11" s="1"/>
  <c r="Q425" i="7"/>
  <c r="T335" i="7"/>
  <c r="Q271" i="7"/>
  <c r="H196" i="7"/>
  <c r="N58" i="7"/>
  <c r="F58" i="11" s="1"/>
  <c r="H58" i="11" s="1"/>
  <c r="I58" i="11" s="1"/>
  <c r="Y46" i="7"/>
  <c r="K631" i="7"/>
  <c r="G631" i="11" s="1"/>
  <c r="I631" i="11" s="1"/>
  <c r="Q625" i="7"/>
  <c r="N623" i="7"/>
  <c r="F623" i="11" s="1"/>
  <c r="H623" i="11" s="1"/>
  <c r="I623" i="11" s="1"/>
  <c r="N617" i="7"/>
  <c r="F617" i="11" s="1"/>
  <c r="H617" i="11" s="1"/>
  <c r="I617" i="11" s="1"/>
  <c r="H579" i="7"/>
  <c r="Y576" i="7"/>
  <c r="N576" i="11" s="1"/>
  <c r="Y575" i="7"/>
  <c r="N575" i="11" s="1"/>
  <c r="Y573" i="7"/>
  <c r="N573" i="11" s="1"/>
  <c r="Y565" i="7"/>
  <c r="N565" i="11" s="1"/>
  <c r="H564" i="7"/>
  <c r="K550" i="7"/>
  <c r="G550" i="11" s="1"/>
  <c r="H547" i="7"/>
  <c r="Y544" i="7"/>
  <c r="N544" i="11" s="1"/>
  <c r="N515" i="7"/>
  <c r="F515" i="11" s="1"/>
  <c r="H515" i="11" s="1"/>
  <c r="I515" i="11" s="1"/>
  <c r="T491" i="7"/>
  <c r="Q478" i="7"/>
  <c r="H449" i="7"/>
  <c r="H441" i="7"/>
  <c r="H367" i="7"/>
  <c r="K323" i="7"/>
  <c r="G323" i="11" s="1"/>
  <c r="H322" i="7"/>
  <c r="H317" i="7"/>
  <c r="H316" i="7"/>
  <c r="Y316" i="7"/>
  <c r="N316" i="11" s="1"/>
  <c r="K294" i="7"/>
  <c r="G294" i="11" s="1"/>
  <c r="I294" i="11" s="1"/>
  <c r="Y292" i="7"/>
  <c r="N292" i="11" s="1"/>
  <c r="K285" i="7"/>
  <c r="G285" i="11" s="1"/>
  <c r="I285" i="11" s="1"/>
  <c r="K278" i="7"/>
  <c r="G278" i="11" s="1"/>
  <c r="K273" i="7"/>
  <c r="G273" i="11" s="1"/>
  <c r="Y272" i="7"/>
  <c r="N272" i="11" s="1"/>
  <c r="Y257" i="7"/>
  <c r="N257" i="11" s="1"/>
  <c r="K220" i="7"/>
  <c r="G220" i="11" s="1"/>
  <c r="I220" i="11" s="1"/>
  <c r="K218" i="7"/>
  <c r="G218" i="11" s="1"/>
  <c r="I218" i="11" s="1"/>
  <c r="N217" i="7"/>
  <c r="F217" i="11" s="1"/>
  <c r="H217" i="11" s="1"/>
  <c r="I217" i="11" s="1"/>
  <c r="T167" i="7"/>
  <c r="H148" i="7"/>
  <c r="Y145" i="7"/>
  <c r="H143" i="7"/>
  <c r="Y140" i="7"/>
  <c r="H140" i="7"/>
  <c r="Q110" i="7"/>
  <c r="H75" i="7"/>
  <c r="Y75" i="7"/>
  <c r="K300" i="7"/>
  <c r="G300" i="11" s="1"/>
  <c r="I300" i="11" s="1"/>
  <c r="N228" i="7"/>
  <c r="F228" i="11" s="1"/>
  <c r="H228" i="11" s="1"/>
  <c r="I228" i="11" s="1"/>
  <c r="K115" i="7"/>
  <c r="G115" i="11" s="1"/>
  <c r="N86" i="7"/>
  <c r="F86" i="11" s="1"/>
  <c r="H86" i="11" s="1"/>
  <c r="I86" i="11" s="1"/>
  <c r="N84" i="7"/>
  <c r="F84" i="11" s="1"/>
  <c r="H84" i="11" s="1"/>
  <c r="I84" i="11" s="1"/>
  <c r="N31" i="7"/>
  <c r="F31" i="11" s="1"/>
  <c r="H31" i="11" s="1"/>
  <c r="I31" i="11" s="1"/>
  <c r="K12" i="7"/>
  <c r="G12" i="11" s="1"/>
  <c r="I12" i="11" s="1"/>
  <c r="H7" i="7"/>
  <c r="T688" i="7"/>
  <c r="K677" i="7"/>
  <c r="G677" i="11" s="1"/>
  <c r="Q674" i="7"/>
  <c r="Y660" i="7"/>
  <c r="N660" i="11" s="1"/>
  <c r="K654" i="7"/>
  <c r="G654" i="11" s="1"/>
  <c r="I654" i="11" s="1"/>
  <c r="T642" i="7"/>
  <c r="Y618" i="7"/>
  <c r="N618" i="11" s="1"/>
  <c r="Y616" i="7"/>
  <c r="N616" i="11" s="1"/>
  <c r="N605" i="7"/>
  <c r="F605" i="11" s="1"/>
  <c r="H605" i="11" s="1"/>
  <c r="I605" i="11" s="1"/>
  <c r="N604" i="7"/>
  <c r="F604" i="11" s="1"/>
  <c r="H604" i="11" s="1"/>
  <c r="I604" i="11" s="1"/>
  <c r="Y601" i="7"/>
  <c r="N601" i="11" s="1"/>
  <c r="Y598" i="7"/>
  <c r="N598" i="11" s="1"/>
  <c r="N590" i="7"/>
  <c r="F590" i="11" s="1"/>
  <c r="H590" i="11" s="1"/>
  <c r="I590" i="11" s="1"/>
  <c r="K587" i="7"/>
  <c r="G587" i="11" s="1"/>
  <c r="H554" i="7"/>
  <c r="Y512" i="7"/>
  <c r="N512" i="11" s="1"/>
  <c r="K486" i="7"/>
  <c r="G486" i="11" s="1"/>
  <c r="I486" i="11" s="1"/>
  <c r="Y483" i="7"/>
  <c r="N483" i="11" s="1"/>
  <c r="K481" i="7"/>
  <c r="G481" i="11" s="1"/>
  <c r="I481" i="11" s="1"/>
  <c r="Q466" i="7"/>
  <c r="Y449" i="7"/>
  <c r="N449" i="11" s="1"/>
  <c r="Y367" i="7"/>
  <c r="N367" i="11" s="1"/>
  <c r="Y320" i="7"/>
  <c r="N320" i="11" s="1"/>
  <c r="K302" i="7"/>
  <c r="G302" i="11" s="1"/>
  <c r="I302" i="11" s="1"/>
  <c r="H298" i="7"/>
  <c r="Y298" i="7"/>
  <c r="N298" i="11" s="1"/>
  <c r="Q238" i="7"/>
  <c r="K228" i="7"/>
  <c r="G228" i="11" s="1"/>
  <c r="K223" i="7"/>
  <c r="G223" i="11" s="1"/>
  <c r="H222" i="7"/>
  <c r="Q178" i="7"/>
  <c r="K171" i="7"/>
  <c r="G171" i="11" s="1"/>
  <c r="I171" i="11" s="1"/>
  <c r="K117" i="7"/>
  <c r="G117" i="11" s="1"/>
  <c r="K106" i="7"/>
  <c r="G106" i="11" s="1"/>
  <c r="I106" i="11" s="1"/>
  <c r="K80" i="7"/>
  <c r="G80" i="11" s="1"/>
  <c r="I80" i="11" s="1"/>
  <c r="T34" i="7"/>
  <c r="N32" i="7"/>
  <c r="F32" i="11" s="1"/>
  <c r="H32" i="11" s="1"/>
  <c r="I32" i="11" s="1"/>
  <c r="H11" i="7"/>
  <c r="H116" i="7"/>
  <c r="Q44" i="7"/>
  <c r="Q23" i="7"/>
  <c r="H12" i="7"/>
  <c r="Y12" i="7"/>
  <c r="Y299" i="7"/>
  <c r="N299" i="11" s="1"/>
  <c r="N178" i="7"/>
  <c r="F178" i="11" s="1"/>
  <c r="H178" i="11" s="1"/>
  <c r="I178" i="11" s="1"/>
  <c r="K177" i="7"/>
  <c r="G177" i="11" s="1"/>
  <c r="K174" i="7"/>
  <c r="G174" i="11" s="1"/>
  <c r="I174" i="11" s="1"/>
  <c r="K172" i="7"/>
  <c r="G172" i="11" s="1"/>
  <c r="Y501" i="7"/>
  <c r="N501" i="11" s="1"/>
  <c r="K490" i="7"/>
  <c r="G490" i="11" s="1"/>
  <c r="H480" i="7"/>
  <c r="K470" i="7"/>
  <c r="G470" i="11" s="1"/>
  <c r="I470" i="11" s="1"/>
  <c r="Q311" i="7"/>
  <c r="Y302" i="7"/>
  <c r="N302" i="11" s="1"/>
  <c r="K229" i="7"/>
  <c r="G229" i="11" s="1"/>
  <c r="N179" i="7"/>
  <c r="F179" i="11" s="1"/>
  <c r="H179" i="11" s="1"/>
  <c r="I179" i="11" s="1"/>
  <c r="Y170" i="7"/>
  <c r="K164" i="7"/>
  <c r="G164" i="11" s="1"/>
  <c r="I164" i="11" s="1"/>
  <c r="Y119" i="7"/>
  <c r="H118" i="7"/>
  <c r="Y117" i="7"/>
  <c r="Y114" i="7"/>
  <c r="H114" i="7"/>
  <c r="K85" i="7"/>
  <c r="G85" i="11" s="1"/>
  <c r="Q36" i="7"/>
  <c r="Y696" i="7"/>
  <c r="N696" i="11" s="1"/>
  <c r="K675" i="7"/>
  <c r="G675" i="11" s="1"/>
  <c r="Y673" i="7"/>
  <c r="N673" i="11" s="1"/>
  <c r="K671" i="7"/>
  <c r="G671" i="11" s="1"/>
  <c r="I671" i="11" s="1"/>
  <c r="H657" i="7"/>
  <c r="H649" i="7"/>
  <c r="K613" i="7"/>
  <c r="G613" i="11" s="1"/>
  <c r="I613" i="11" s="1"/>
  <c r="K609" i="7"/>
  <c r="G609" i="11" s="1"/>
  <c r="K606" i="7"/>
  <c r="G606" i="11" s="1"/>
  <c r="I606" i="11" s="1"/>
  <c r="H604" i="7"/>
  <c r="Y604" i="7"/>
  <c r="N604" i="11" s="1"/>
  <c r="Y592" i="7"/>
  <c r="N592" i="11" s="1"/>
  <c r="K496" i="7"/>
  <c r="G496" i="11" s="1"/>
  <c r="I496" i="11" s="1"/>
  <c r="Y494" i="7"/>
  <c r="N494" i="11" s="1"/>
  <c r="Y491" i="7"/>
  <c r="N491" i="11" s="1"/>
  <c r="K488" i="7"/>
  <c r="G488" i="11" s="1"/>
  <c r="I488" i="11" s="1"/>
  <c r="H487" i="7"/>
  <c r="Y487" i="7"/>
  <c r="N487" i="11" s="1"/>
  <c r="K471" i="7"/>
  <c r="G471" i="11" s="1"/>
  <c r="I471" i="11" s="1"/>
  <c r="T452" i="7"/>
  <c r="T425" i="7"/>
  <c r="T422" i="7"/>
  <c r="Q411" i="7"/>
  <c r="Y354" i="7"/>
  <c r="N354" i="11" s="1"/>
  <c r="H354" i="7"/>
  <c r="T271" i="7"/>
  <c r="Q253" i="7"/>
  <c r="N237" i="7"/>
  <c r="F237" i="11" s="1"/>
  <c r="H237" i="11" s="1"/>
  <c r="I237" i="11" s="1"/>
  <c r="K230" i="7"/>
  <c r="G230" i="11" s="1"/>
  <c r="I230" i="11" s="1"/>
  <c r="Q206" i="7"/>
  <c r="K192" i="7"/>
  <c r="G192" i="11" s="1"/>
  <c r="I192" i="11" s="1"/>
  <c r="K189" i="7"/>
  <c r="G189" i="11" s="1"/>
  <c r="K179" i="7"/>
  <c r="G179" i="11" s="1"/>
  <c r="T126" i="7"/>
  <c r="Q93" i="7"/>
  <c r="Q52" i="7"/>
  <c r="T50" i="7"/>
  <c r="N139" i="7"/>
  <c r="F139" i="11" s="1"/>
  <c r="H139" i="11" s="1"/>
  <c r="I139" i="11" s="1"/>
  <c r="Q84" i="7"/>
  <c r="K72" i="7"/>
  <c r="G72" i="11" s="1"/>
  <c r="K67" i="7"/>
  <c r="G67" i="11" s="1"/>
  <c r="I67" i="11" s="1"/>
  <c r="T45" i="7"/>
  <c r="N140" i="7"/>
  <c r="F140" i="11" s="1"/>
  <c r="H140" i="11" s="1"/>
  <c r="I140" i="11" s="1"/>
  <c r="H99" i="7"/>
  <c r="K95" i="7"/>
  <c r="G95" i="11" s="1"/>
  <c r="I95" i="11" s="1"/>
  <c r="N75" i="7"/>
  <c r="F75" i="11" s="1"/>
  <c r="H75" i="11" s="1"/>
  <c r="I75" i="11" s="1"/>
  <c r="T47" i="7"/>
  <c r="Q10" i="7"/>
  <c r="Q9" i="7"/>
  <c r="T7" i="7"/>
  <c r="Y141" i="7"/>
  <c r="H104" i="7"/>
  <c r="Y91" i="7"/>
  <c r="Q58" i="7"/>
  <c r="K47" i="7"/>
  <c r="G47" i="11" s="1"/>
  <c r="K45" i="7"/>
  <c r="G45" i="11" s="1"/>
  <c r="K44" i="7"/>
  <c r="G44" i="11" s="1"/>
  <c r="K460" i="7"/>
  <c r="G460" i="11" s="1"/>
  <c r="I460" i="11" s="1"/>
  <c r="K452" i="7"/>
  <c r="G452" i="11" s="1"/>
  <c r="N450" i="7"/>
  <c r="F450" i="11" s="1"/>
  <c r="H450" i="11" s="1"/>
  <c r="I450" i="11" s="1"/>
  <c r="Y428" i="7"/>
  <c r="N428" i="11" s="1"/>
  <c r="Y423" i="7"/>
  <c r="N423" i="11" s="1"/>
  <c r="K374" i="7"/>
  <c r="G374" i="11" s="1"/>
  <c r="I374" i="11" s="1"/>
  <c r="N350" i="7"/>
  <c r="F350" i="11" s="1"/>
  <c r="H350" i="11" s="1"/>
  <c r="I350" i="11" s="1"/>
  <c r="H267" i="7"/>
  <c r="H266" i="7"/>
  <c r="K262" i="7"/>
  <c r="G262" i="11" s="1"/>
  <c r="I262" i="11" s="1"/>
  <c r="H249" i="7"/>
  <c r="Y247" i="7"/>
  <c r="N247" i="11" s="1"/>
  <c r="K245" i="7"/>
  <c r="G245" i="11" s="1"/>
  <c r="Y242" i="7"/>
  <c r="N242" i="11" s="1"/>
  <c r="H183" i="7"/>
  <c r="H181" i="7"/>
  <c r="Y124" i="7"/>
  <c r="H123" i="7"/>
  <c r="N60" i="7"/>
  <c r="F60" i="11" s="1"/>
  <c r="H60" i="11" s="1"/>
  <c r="I60" i="11" s="1"/>
  <c r="N59" i="7"/>
  <c r="F59" i="11" s="1"/>
  <c r="H59" i="11" s="1"/>
  <c r="I59" i="11" s="1"/>
  <c r="Y45" i="7"/>
  <c r="K36" i="7"/>
  <c r="G36" i="11" s="1"/>
  <c r="I36" i="11" s="1"/>
  <c r="K35" i="7"/>
  <c r="G35" i="11" s="1"/>
  <c r="I35" i="11" s="1"/>
  <c r="Y15" i="7"/>
  <c r="H15" i="7"/>
  <c r="Y14" i="7"/>
  <c r="T551" i="7"/>
  <c r="Y511" i="7"/>
  <c r="N511" i="11" s="1"/>
  <c r="K508" i="7"/>
  <c r="G508" i="11" s="1"/>
  <c r="I508" i="11" s="1"/>
  <c r="Y461" i="7"/>
  <c r="N461" i="11" s="1"/>
  <c r="N417" i="7"/>
  <c r="F417" i="11" s="1"/>
  <c r="H417" i="11" s="1"/>
  <c r="I417" i="11" s="1"/>
  <c r="K410" i="7"/>
  <c r="G410" i="11" s="1"/>
  <c r="K403" i="7"/>
  <c r="G403" i="11" s="1"/>
  <c r="Y378" i="7"/>
  <c r="N378" i="11" s="1"/>
  <c r="H374" i="7"/>
  <c r="N349" i="7"/>
  <c r="F349" i="11" s="1"/>
  <c r="H349" i="11" s="1"/>
  <c r="I349" i="11" s="1"/>
  <c r="K340" i="7"/>
  <c r="G340" i="11" s="1"/>
  <c r="T328" i="7"/>
  <c r="Y265" i="7"/>
  <c r="N265" i="11" s="1"/>
  <c r="N61" i="7"/>
  <c r="F61" i="11" s="1"/>
  <c r="H61" i="11" s="1"/>
  <c r="I61" i="11" s="1"/>
  <c r="Y57" i="7"/>
  <c r="Y49" i="7"/>
  <c r="K42" i="7"/>
  <c r="G42" i="11" s="1"/>
  <c r="I42" i="11" s="1"/>
  <c r="Y34" i="7"/>
  <c r="H34" i="7"/>
  <c r="Y615" i="7"/>
  <c r="N615" i="11" s="1"/>
  <c r="T599" i="7"/>
  <c r="K561" i="7"/>
  <c r="G561" i="11" s="1"/>
  <c r="I561" i="11" s="1"/>
  <c r="Q551" i="7"/>
  <c r="Y534" i="7"/>
  <c r="N534" i="11" s="1"/>
  <c r="Q528" i="7"/>
  <c r="K503" i="7"/>
  <c r="G503" i="11" s="1"/>
  <c r="H476" i="7"/>
  <c r="Y460" i="7"/>
  <c r="N460" i="11" s="1"/>
  <c r="K454" i="7"/>
  <c r="G454" i="11" s="1"/>
  <c r="T444" i="7"/>
  <c r="T440" i="7"/>
  <c r="K412" i="7"/>
  <c r="G412" i="11" s="1"/>
  <c r="I412" i="11" s="1"/>
  <c r="K406" i="7"/>
  <c r="G406" i="11" s="1"/>
  <c r="I406" i="11" s="1"/>
  <c r="H402" i="7"/>
  <c r="K376" i="7"/>
  <c r="G376" i="11" s="1"/>
  <c r="K372" i="7"/>
  <c r="G372" i="11" s="1"/>
  <c r="K350" i="7"/>
  <c r="G350" i="11" s="1"/>
  <c r="K349" i="7"/>
  <c r="G349" i="11" s="1"/>
  <c r="H338" i="7"/>
  <c r="N335" i="7"/>
  <c r="F335" i="11" s="1"/>
  <c r="H335" i="11" s="1"/>
  <c r="I335" i="11" s="1"/>
  <c r="K334" i="7"/>
  <c r="G334" i="11" s="1"/>
  <c r="T322" i="7"/>
  <c r="T99" i="7"/>
  <c r="T98" i="7"/>
  <c r="H52" i="7"/>
  <c r="H43" i="7"/>
  <c r="K37" i="7"/>
  <c r="G37" i="11" s="1"/>
  <c r="H454" i="7"/>
  <c r="Y453" i="7"/>
  <c r="N453" i="11" s="1"/>
  <c r="Q440" i="7"/>
  <c r="K413" i="7"/>
  <c r="G413" i="11" s="1"/>
  <c r="Y341" i="7"/>
  <c r="N341" i="11" s="1"/>
  <c r="T76" i="7"/>
  <c r="T73" i="7"/>
  <c r="T70" i="7"/>
  <c r="Q66" i="7"/>
  <c r="H59" i="7"/>
  <c r="H58" i="7"/>
  <c r="Y58" i="7"/>
  <c r="Y51" i="7"/>
  <c r="Q632" i="7"/>
  <c r="N551" i="7"/>
  <c r="F551" i="11" s="1"/>
  <c r="H551" i="11" s="1"/>
  <c r="I551" i="11" s="1"/>
  <c r="K529" i="7"/>
  <c r="G529" i="11" s="1"/>
  <c r="Y475" i="7"/>
  <c r="N475" i="11" s="1"/>
  <c r="Y455" i="7"/>
  <c r="N455" i="11" s="1"/>
  <c r="Q442" i="7"/>
  <c r="H420" i="7"/>
  <c r="H417" i="7"/>
  <c r="H408" i="7"/>
  <c r="H407" i="7"/>
  <c r="Y350" i="7"/>
  <c r="N350" i="11" s="1"/>
  <c r="K336" i="7"/>
  <c r="G336" i="11" s="1"/>
  <c r="K333" i="7"/>
  <c r="G333" i="11" s="1"/>
  <c r="Q322" i="7"/>
  <c r="T227" i="7"/>
  <c r="H158" i="7"/>
  <c r="K156" i="7"/>
  <c r="G156" i="11" s="1"/>
  <c r="I156" i="11" s="1"/>
  <c r="Q97" i="7"/>
  <c r="Q96" i="7"/>
  <c r="T88" i="7"/>
  <c r="Q76" i="7"/>
  <c r="Q73" i="7"/>
  <c r="Q70" i="7"/>
  <c r="Q604" i="7"/>
  <c r="N598" i="7"/>
  <c r="F598" i="11" s="1"/>
  <c r="H598" i="11" s="1"/>
  <c r="I598" i="11" s="1"/>
  <c r="N553" i="7"/>
  <c r="F553" i="11" s="1"/>
  <c r="H553" i="11" s="1"/>
  <c r="I553" i="11" s="1"/>
  <c r="K530" i="7"/>
  <c r="G530" i="11" s="1"/>
  <c r="Y476" i="7"/>
  <c r="N476" i="11" s="1"/>
  <c r="T467" i="7"/>
  <c r="K449" i="7"/>
  <c r="G449" i="11" s="1"/>
  <c r="I449" i="11" s="1"/>
  <c r="N442" i="7"/>
  <c r="F442" i="11" s="1"/>
  <c r="H442" i="11" s="1"/>
  <c r="I442" i="11" s="1"/>
  <c r="H414" i="7"/>
  <c r="K356" i="7"/>
  <c r="G356" i="11" s="1"/>
  <c r="I356" i="11" s="1"/>
  <c r="K355" i="7"/>
  <c r="G355" i="11" s="1"/>
  <c r="I355" i="11" s="1"/>
  <c r="H353" i="7"/>
  <c r="H348" i="7"/>
  <c r="Y345" i="7"/>
  <c r="N345" i="11" s="1"/>
  <c r="K330" i="7"/>
  <c r="G330" i="11" s="1"/>
  <c r="I330" i="11" s="1"/>
  <c r="T298" i="7"/>
  <c r="Y249" i="7"/>
  <c r="N249" i="11" s="1"/>
  <c r="Q219" i="7"/>
  <c r="Y183" i="7"/>
  <c r="K155" i="7"/>
  <c r="G155" i="11" s="1"/>
  <c r="K154" i="7"/>
  <c r="G154" i="11" s="1"/>
  <c r="T81" i="7"/>
  <c r="Q266" i="7"/>
  <c r="Y233" i="7"/>
  <c r="N233" i="11" s="1"/>
  <c r="H231" i="7"/>
  <c r="Y215" i="7"/>
  <c r="N215" i="11" s="1"/>
  <c r="Y167" i="7"/>
  <c r="Y136" i="7"/>
  <c r="Y115" i="7"/>
  <c r="K113" i="7"/>
  <c r="G113" i="11" s="1"/>
  <c r="Q74" i="7"/>
  <c r="T36" i="7"/>
  <c r="Y396" i="7"/>
  <c r="N396" i="11" s="1"/>
  <c r="Y393" i="7"/>
  <c r="N393" i="11" s="1"/>
  <c r="Y371" i="7"/>
  <c r="N371" i="11" s="1"/>
  <c r="K370" i="7"/>
  <c r="G370" i="11" s="1"/>
  <c r="T362" i="7"/>
  <c r="T310" i="7"/>
  <c r="K284" i="7"/>
  <c r="G284" i="11" s="1"/>
  <c r="H281" i="7"/>
  <c r="N278" i="7"/>
  <c r="F278" i="11" s="1"/>
  <c r="H278" i="11" s="1"/>
  <c r="I278" i="11" s="1"/>
  <c r="K272" i="7"/>
  <c r="G272" i="11" s="1"/>
  <c r="I272" i="11" s="1"/>
  <c r="Y225" i="7"/>
  <c r="N225" i="11" s="1"/>
  <c r="Y218" i="7"/>
  <c r="N218" i="11" s="1"/>
  <c r="H216" i="7"/>
  <c r="Y211" i="7"/>
  <c r="N211" i="11" s="1"/>
  <c r="K209" i="7"/>
  <c r="G209" i="11" s="1"/>
  <c r="I209" i="11" s="1"/>
  <c r="K207" i="7"/>
  <c r="G207" i="11" s="1"/>
  <c r="K187" i="7"/>
  <c r="G187" i="11" s="1"/>
  <c r="I187" i="11" s="1"/>
  <c r="T180" i="7"/>
  <c r="K149" i="7"/>
  <c r="G149" i="11" s="1"/>
  <c r="I149" i="11" s="1"/>
  <c r="H135" i="7"/>
  <c r="T127" i="7"/>
  <c r="K110" i="7"/>
  <c r="G110" i="11" s="1"/>
  <c r="H85" i="7"/>
  <c r="K77" i="7"/>
  <c r="G77" i="11" s="1"/>
  <c r="I77" i="11" s="1"/>
  <c r="Q69" i="7"/>
  <c r="T63" i="7"/>
  <c r="T62" i="7"/>
  <c r="T35" i="7"/>
  <c r="K25" i="7"/>
  <c r="G25" i="11" s="1"/>
  <c r="K24" i="7"/>
  <c r="G24" i="11" s="1"/>
  <c r="I24" i="11" s="1"/>
  <c r="Q19" i="7"/>
  <c r="Q18" i="7"/>
  <c r="Y8" i="7"/>
  <c r="T60" i="7"/>
  <c r="Y43" i="7"/>
  <c r="T33" i="7"/>
  <c r="T32" i="7"/>
  <c r="K5" i="7"/>
  <c r="G5" i="11" s="1"/>
  <c r="K4" i="7"/>
  <c r="G4" i="11" s="1"/>
  <c r="I4" i="11" s="1"/>
  <c r="T140" i="7"/>
  <c r="Y133" i="7"/>
  <c r="K130" i="7"/>
  <c r="G130" i="11" s="1"/>
  <c r="I130" i="11" s="1"/>
  <c r="Q127" i="7"/>
  <c r="H80" i="7"/>
  <c r="K78" i="7"/>
  <c r="G78" i="11" s="1"/>
  <c r="I78" i="11" s="1"/>
  <c r="K74" i="7"/>
  <c r="G74" i="11" s="1"/>
  <c r="Y73" i="7"/>
  <c r="K70" i="7"/>
  <c r="G70" i="11" s="1"/>
  <c r="Q65" i="7"/>
  <c r="Q63" i="7"/>
  <c r="Q35" i="7"/>
  <c r="Y27" i="7"/>
  <c r="Y26" i="7"/>
  <c r="H22" i="7"/>
  <c r="N17" i="7"/>
  <c r="F17" i="11" s="1"/>
  <c r="H17" i="11" s="1"/>
  <c r="I17" i="11" s="1"/>
  <c r="Y389" i="7"/>
  <c r="N389" i="11" s="1"/>
  <c r="H325" i="7"/>
  <c r="Y324" i="7"/>
  <c r="N324" i="11" s="1"/>
  <c r="K318" i="7"/>
  <c r="G318" i="11" s="1"/>
  <c r="I318" i="11" s="1"/>
  <c r="N311" i="7"/>
  <c r="F311" i="11" s="1"/>
  <c r="H311" i="11" s="1"/>
  <c r="I311" i="11" s="1"/>
  <c r="N310" i="7"/>
  <c r="F310" i="11" s="1"/>
  <c r="H310" i="11" s="1"/>
  <c r="I310" i="11" s="1"/>
  <c r="T292" i="7"/>
  <c r="K274" i="7"/>
  <c r="G274" i="11" s="1"/>
  <c r="K267" i="7"/>
  <c r="G267" i="11" s="1"/>
  <c r="Q252" i="7"/>
  <c r="Y231" i="7"/>
  <c r="N231" i="11" s="1"/>
  <c r="K184" i="7"/>
  <c r="G184" i="11" s="1"/>
  <c r="I184" i="11" s="1"/>
  <c r="K146" i="7"/>
  <c r="G146" i="11" s="1"/>
  <c r="I146" i="11" s="1"/>
  <c r="K145" i="7"/>
  <c r="G145" i="11" s="1"/>
  <c r="I145" i="11" s="1"/>
  <c r="K144" i="7"/>
  <c r="G144" i="11" s="1"/>
  <c r="N127" i="7"/>
  <c r="F127" i="11" s="1"/>
  <c r="H127" i="11" s="1"/>
  <c r="I127" i="11" s="1"/>
  <c r="Q126" i="7"/>
  <c r="Q124" i="7"/>
  <c r="K99" i="7"/>
  <c r="G99" i="11" s="1"/>
  <c r="N97" i="7"/>
  <c r="F97" i="11" s="1"/>
  <c r="H97" i="11" s="1"/>
  <c r="I97" i="11" s="1"/>
  <c r="K75" i="7"/>
  <c r="G75" i="11" s="1"/>
  <c r="Y74" i="7"/>
  <c r="Q64" i="7"/>
  <c r="Q60" i="7"/>
  <c r="T55" i="7"/>
  <c r="H42" i="7"/>
  <c r="Q34" i="7"/>
  <c r="T30" i="7"/>
  <c r="T12" i="7"/>
  <c r="Y6" i="7"/>
  <c r="T92" i="7"/>
  <c r="H79" i="7"/>
  <c r="Q59" i="7"/>
  <c r="Q55" i="7"/>
  <c r="H39" i="7"/>
  <c r="Q30" i="7"/>
  <c r="Q12" i="7"/>
  <c r="H361" i="7"/>
  <c r="Y357" i="7"/>
  <c r="N357" i="11" s="1"/>
  <c r="H340" i="7"/>
  <c r="Y339" i="7"/>
  <c r="N339" i="11" s="1"/>
  <c r="Y309" i="7"/>
  <c r="N309" i="11" s="1"/>
  <c r="H306" i="7"/>
  <c r="H301" i="7"/>
  <c r="Y264" i="7"/>
  <c r="N264" i="11" s="1"/>
  <c r="K263" i="7"/>
  <c r="G263" i="11" s="1"/>
  <c r="K257" i="7"/>
  <c r="G257" i="11" s="1"/>
  <c r="I257" i="11" s="1"/>
  <c r="Q240" i="7"/>
  <c r="Q227" i="7"/>
  <c r="Y179" i="7"/>
  <c r="Q168" i="7"/>
  <c r="T166" i="7"/>
  <c r="Q154" i="7"/>
  <c r="Q153" i="7"/>
  <c r="Q152" i="7"/>
  <c r="Y126" i="7"/>
  <c r="Y96" i="7"/>
  <c r="H63" i="7"/>
  <c r="K57" i="7"/>
  <c r="G57" i="11" s="1"/>
  <c r="I57" i="11" s="1"/>
  <c r="Y16" i="7"/>
  <c r="Y684" i="7"/>
  <c r="N684" i="11" s="1"/>
  <c r="H684" i="7"/>
  <c r="Y496" i="7"/>
  <c r="N496" i="11" s="1"/>
  <c r="H496" i="7"/>
  <c r="Y410" i="7"/>
  <c r="N410" i="11" s="1"/>
  <c r="H410" i="7"/>
  <c r="Y229" i="7"/>
  <c r="N229" i="11" s="1"/>
  <c r="H229" i="7"/>
  <c r="K729" i="7"/>
  <c r="G729" i="11" s="1"/>
  <c r="I729" i="11" s="1"/>
  <c r="H725" i="7"/>
  <c r="K693" i="7"/>
  <c r="G693" i="11" s="1"/>
  <c r="H552" i="7"/>
  <c r="Y552" i="7"/>
  <c r="N552" i="11" s="1"/>
  <c r="Y539" i="7"/>
  <c r="N539" i="11" s="1"/>
  <c r="H539" i="7"/>
  <c r="Y525" i="7"/>
  <c r="N525" i="11" s="1"/>
  <c r="K513" i="7"/>
  <c r="G513" i="11" s="1"/>
  <c r="Y506" i="7"/>
  <c r="N506" i="11" s="1"/>
  <c r="H505" i="7"/>
  <c r="Y505" i="7"/>
  <c r="N505" i="11" s="1"/>
  <c r="H504" i="7"/>
  <c r="H495" i="7"/>
  <c r="H488" i="7"/>
  <c r="Y488" i="7"/>
  <c r="N488" i="11" s="1"/>
  <c r="Y346" i="7"/>
  <c r="N346" i="11" s="1"/>
  <c r="H346" i="7"/>
  <c r="K315" i="7"/>
  <c r="G315" i="11" s="1"/>
  <c r="I315" i="11" s="1"/>
  <c r="H227" i="7"/>
  <c r="Y227" i="7"/>
  <c r="N227" i="11" s="1"/>
  <c r="Y178" i="7"/>
  <c r="H178" i="7"/>
  <c r="Q125" i="7"/>
  <c r="H729" i="7"/>
  <c r="Y724" i="7"/>
  <c r="N724" i="11" s="1"/>
  <c r="H693" i="7"/>
  <c r="H689" i="7"/>
  <c r="H678" i="7"/>
  <c r="Y657" i="7"/>
  <c r="N657" i="11" s="1"/>
  <c r="Y639" i="7"/>
  <c r="N639" i="11" s="1"/>
  <c r="H639" i="7"/>
  <c r="Y628" i="7"/>
  <c r="N628" i="11" s="1"/>
  <c r="H611" i="7"/>
  <c r="H602" i="7"/>
  <c r="Y602" i="7"/>
  <c r="N602" i="11" s="1"/>
  <c r="K549" i="7"/>
  <c r="G549" i="11" s="1"/>
  <c r="I549" i="11" s="1"/>
  <c r="H494" i="7"/>
  <c r="H457" i="7"/>
  <c r="Y457" i="7"/>
  <c r="N457" i="11" s="1"/>
  <c r="H456" i="7"/>
  <c r="Y456" i="7"/>
  <c r="N456" i="11" s="1"/>
  <c r="Q438" i="7"/>
  <c r="K367" i="7"/>
  <c r="G367" i="11" s="1"/>
  <c r="I367" i="11" s="1"/>
  <c r="K342" i="7"/>
  <c r="G342" i="11" s="1"/>
  <c r="H262" i="7"/>
  <c r="N252" i="7"/>
  <c r="F252" i="11" s="1"/>
  <c r="H252" i="11" s="1"/>
  <c r="I252" i="11" s="1"/>
  <c r="H230" i="7"/>
  <c r="Y230" i="7"/>
  <c r="N230" i="11" s="1"/>
  <c r="Y714" i="7"/>
  <c r="N714" i="11" s="1"/>
  <c r="Y656" i="7"/>
  <c r="N656" i="11" s="1"/>
  <c r="H616" i="7"/>
  <c r="Y603" i="7"/>
  <c r="N603" i="11" s="1"/>
  <c r="Y503" i="7"/>
  <c r="N503" i="11" s="1"/>
  <c r="H503" i="7"/>
  <c r="Y467" i="7"/>
  <c r="N467" i="11" s="1"/>
  <c r="H467" i="7"/>
  <c r="H288" i="7"/>
  <c r="Y288" i="7"/>
  <c r="N288" i="11" s="1"/>
  <c r="Y493" i="7"/>
  <c r="N493" i="11" s="1"/>
  <c r="H493" i="7"/>
  <c r="H344" i="7"/>
  <c r="Y344" i="7"/>
  <c r="N344" i="11" s="1"/>
  <c r="Y342" i="7"/>
  <c r="N342" i="11" s="1"/>
  <c r="H342" i="7"/>
  <c r="Y261" i="7"/>
  <c r="N261" i="11" s="1"/>
  <c r="H261" i="7"/>
  <c r="H655" i="7"/>
  <c r="Y537" i="7"/>
  <c r="N537" i="11" s="1"/>
  <c r="K474" i="7"/>
  <c r="G474" i="11" s="1"/>
  <c r="I474" i="11" s="1"/>
  <c r="Y427" i="7"/>
  <c r="N427" i="11" s="1"/>
  <c r="H427" i="7"/>
  <c r="Y425" i="7"/>
  <c r="N425" i="11" s="1"/>
  <c r="H425" i="7"/>
  <c r="H391" i="7"/>
  <c r="Y391" i="7"/>
  <c r="N391" i="11" s="1"/>
  <c r="H343" i="7"/>
  <c r="Y157" i="7"/>
  <c r="H157" i="7"/>
  <c r="H728" i="7"/>
  <c r="H718" i="7"/>
  <c r="K697" i="7"/>
  <c r="G697" i="11" s="1"/>
  <c r="I697" i="11" s="1"/>
  <c r="H692" i="7"/>
  <c r="K637" i="7"/>
  <c r="G637" i="11" s="1"/>
  <c r="H626" i="7"/>
  <c r="K624" i="7"/>
  <c r="G624" i="11" s="1"/>
  <c r="I624" i="11" s="1"/>
  <c r="H568" i="7"/>
  <c r="Y568" i="7"/>
  <c r="N568" i="11" s="1"/>
  <c r="Y530" i="7"/>
  <c r="N530" i="11" s="1"/>
  <c r="H530" i="7"/>
  <c r="Y426" i="7"/>
  <c r="N426" i="11" s="1"/>
  <c r="H426" i="7"/>
  <c r="H389" i="7"/>
  <c r="Y376" i="7"/>
  <c r="N376" i="11" s="1"/>
  <c r="H376" i="7"/>
  <c r="Y252" i="7"/>
  <c r="N252" i="11" s="1"/>
  <c r="H252" i="7"/>
  <c r="K153" i="7"/>
  <c r="G153" i="11" s="1"/>
  <c r="Q3" i="7"/>
  <c r="Y719" i="7"/>
  <c r="N719" i="11" s="1"/>
  <c r="H682" i="7"/>
  <c r="Y682" i="7"/>
  <c r="N682" i="11" s="1"/>
  <c r="H332" i="7"/>
  <c r="Y332" i="7"/>
  <c r="N332" i="11" s="1"/>
  <c r="H142" i="7"/>
  <c r="Y142" i="7"/>
  <c r="H717" i="7"/>
  <c r="H625" i="7"/>
  <c r="N597" i="7"/>
  <c r="F597" i="11" s="1"/>
  <c r="H597" i="11" s="1"/>
  <c r="I597" i="11" s="1"/>
  <c r="Y567" i="7"/>
  <c r="N567" i="11" s="1"/>
  <c r="H566" i="7"/>
  <c r="H511" i="7"/>
  <c r="H501" i="7"/>
  <c r="H473" i="7"/>
  <c r="Y473" i="7"/>
  <c r="N473" i="11" s="1"/>
  <c r="H463" i="7"/>
  <c r="Y463" i="7"/>
  <c r="N463" i="11" s="1"/>
  <c r="H438" i="7"/>
  <c r="Y438" i="7"/>
  <c r="N438" i="11" s="1"/>
  <c r="H404" i="7"/>
  <c r="Y335" i="7"/>
  <c r="N335" i="11" s="1"/>
  <c r="H335" i="7"/>
  <c r="Y254" i="7"/>
  <c r="N254" i="11" s="1"/>
  <c r="H254" i="7"/>
  <c r="K711" i="7"/>
  <c r="G711" i="11" s="1"/>
  <c r="I711" i="11" s="1"/>
  <c r="H671" i="7"/>
  <c r="Y666" i="7"/>
  <c r="N666" i="11" s="1"/>
  <c r="Y584" i="7"/>
  <c r="N584" i="11" s="1"/>
  <c r="T573" i="7"/>
  <c r="H558" i="7"/>
  <c r="K557" i="7"/>
  <c r="G557" i="11" s="1"/>
  <c r="K479" i="7"/>
  <c r="G479" i="11" s="1"/>
  <c r="Y403" i="7"/>
  <c r="N403" i="11" s="1"/>
  <c r="H302" i="7"/>
  <c r="Y655" i="7"/>
  <c r="N655" i="11" s="1"/>
  <c r="Y405" i="7"/>
  <c r="N405" i="11" s="1"/>
  <c r="H405" i="7"/>
  <c r="H305" i="7"/>
  <c r="Y305" i="7"/>
  <c r="N305" i="11" s="1"/>
  <c r="Y304" i="7"/>
  <c r="N304" i="11" s="1"/>
  <c r="H304" i="7"/>
  <c r="H303" i="7"/>
  <c r="Y303" i="7"/>
  <c r="N303" i="11" s="1"/>
  <c r="H168" i="7"/>
  <c r="Y168" i="7"/>
  <c r="Y636" i="7"/>
  <c r="N636" i="11" s="1"/>
  <c r="Y614" i="7"/>
  <c r="N614" i="11" s="1"/>
  <c r="H614" i="7"/>
  <c r="Q587" i="7"/>
  <c r="Y583" i="7"/>
  <c r="N583" i="11" s="1"/>
  <c r="K520" i="7"/>
  <c r="G520" i="11" s="1"/>
  <c r="K509" i="7"/>
  <c r="G509" i="11" s="1"/>
  <c r="I509" i="11" s="1"/>
  <c r="Q349" i="7"/>
  <c r="Y343" i="7"/>
  <c r="N343" i="11" s="1"/>
  <c r="N239" i="7"/>
  <c r="F239" i="11" s="1"/>
  <c r="H239" i="11" s="1"/>
  <c r="I239" i="11" s="1"/>
  <c r="Y5" i="7"/>
  <c r="H5" i="7"/>
  <c r="H670" i="7"/>
  <c r="H597" i="7"/>
  <c r="K589" i="7"/>
  <c r="G589" i="11" s="1"/>
  <c r="H576" i="7"/>
  <c r="H544" i="7"/>
  <c r="H520" i="7"/>
  <c r="Y520" i="7"/>
  <c r="N520" i="11" s="1"/>
  <c r="H491" i="7"/>
  <c r="Y479" i="7"/>
  <c r="N479" i="11" s="1"/>
  <c r="H478" i="7"/>
  <c r="K433" i="7"/>
  <c r="G433" i="11" s="1"/>
  <c r="I433" i="11" s="1"/>
  <c r="H359" i="7"/>
  <c r="K352" i="7"/>
  <c r="G352" i="11" s="1"/>
  <c r="I352" i="11" s="1"/>
  <c r="N674" i="7"/>
  <c r="F674" i="11" s="1"/>
  <c r="H674" i="11" s="1"/>
  <c r="I674" i="11" s="1"/>
  <c r="N663" i="7"/>
  <c r="F663" i="11" s="1"/>
  <c r="H663" i="11" s="1"/>
  <c r="I663" i="11" s="1"/>
  <c r="Y646" i="7"/>
  <c r="N646" i="11" s="1"/>
  <c r="H644" i="7"/>
  <c r="Q640" i="7"/>
  <c r="H619" i="7"/>
  <c r="H596" i="7"/>
  <c r="H590" i="7"/>
  <c r="H589" i="7"/>
  <c r="Y355" i="7"/>
  <c r="N355" i="11" s="1"/>
  <c r="H355" i="7"/>
  <c r="K353" i="7"/>
  <c r="G353" i="11" s="1"/>
  <c r="I353" i="11" s="1"/>
  <c r="K204" i="7"/>
  <c r="G204" i="11" s="1"/>
  <c r="Y687" i="7"/>
  <c r="N687" i="11" s="1"/>
  <c r="Y659" i="7"/>
  <c r="N659" i="11" s="1"/>
  <c r="H575" i="7"/>
  <c r="Y522" i="7"/>
  <c r="N522" i="11" s="1"/>
  <c r="Y441" i="7"/>
  <c r="N441" i="11" s="1"/>
  <c r="H695" i="7"/>
  <c r="Y695" i="7"/>
  <c r="N695" i="11" s="1"/>
  <c r="Y681" i="7"/>
  <c r="N681" i="11" s="1"/>
  <c r="H508" i="7"/>
  <c r="Y508" i="7"/>
  <c r="N508" i="11" s="1"/>
  <c r="K382" i="7"/>
  <c r="G382" i="11" s="1"/>
  <c r="I382" i="11" s="1"/>
  <c r="H248" i="7"/>
  <c r="Y248" i="7"/>
  <c r="N248" i="11" s="1"/>
  <c r="H238" i="7"/>
  <c r="Y238" i="7"/>
  <c r="N238" i="11" s="1"/>
  <c r="H715" i="7"/>
  <c r="H675" i="7"/>
  <c r="K649" i="7"/>
  <c r="G649" i="11" s="1"/>
  <c r="I649" i="11" s="1"/>
  <c r="Y643" i="7"/>
  <c r="N643" i="11" s="1"/>
  <c r="K641" i="7"/>
  <c r="G641" i="11" s="1"/>
  <c r="Q627" i="7"/>
  <c r="Y577" i="7"/>
  <c r="N577" i="11" s="1"/>
  <c r="Y543" i="7"/>
  <c r="N543" i="11" s="1"/>
  <c r="Y498" i="7"/>
  <c r="N498" i="11" s="1"/>
  <c r="Y470" i="7"/>
  <c r="N470" i="11" s="1"/>
  <c r="H411" i="7"/>
  <c r="Y382" i="7"/>
  <c r="N382" i="11" s="1"/>
  <c r="H382" i="7"/>
  <c r="Y246" i="7"/>
  <c r="N246" i="11" s="1"/>
  <c r="H246" i="7"/>
  <c r="Y243" i="7"/>
  <c r="N243" i="11" s="1"/>
  <c r="H243" i="7"/>
  <c r="H205" i="7"/>
  <c r="Y205" i="7"/>
  <c r="N205" i="11" s="1"/>
  <c r="H726" i="7"/>
  <c r="Y645" i="7"/>
  <c r="N645" i="11" s="1"/>
  <c r="Y642" i="7"/>
  <c r="N642" i="11" s="1"/>
  <c r="H642" i="7"/>
  <c r="H641" i="7"/>
  <c r="K572" i="7"/>
  <c r="G572" i="11" s="1"/>
  <c r="H555" i="7"/>
  <c r="N552" i="7"/>
  <c r="F552" i="11" s="1"/>
  <c r="H552" i="11" s="1"/>
  <c r="I552" i="11" s="1"/>
  <c r="Y490" i="7"/>
  <c r="N490" i="11" s="1"/>
  <c r="Y480" i="7"/>
  <c r="N480" i="11" s="1"/>
  <c r="Y398" i="7"/>
  <c r="N398" i="11" s="1"/>
  <c r="H398" i="7"/>
  <c r="H383" i="7"/>
  <c r="K379" i="7"/>
  <c r="G379" i="11" s="1"/>
  <c r="K320" i="7"/>
  <c r="G320" i="11" s="1"/>
  <c r="I320" i="11" s="1"/>
  <c r="Y244" i="7"/>
  <c r="N244" i="11" s="1"/>
  <c r="H244" i="7"/>
  <c r="H241" i="7"/>
  <c r="Y241" i="7"/>
  <c r="N241" i="11" s="1"/>
  <c r="Y47" i="7"/>
  <c r="H47" i="7"/>
  <c r="T26" i="7"/>
  <c r="H720" i="7"/>
  <c r="H629" i="7"/>
  <c r="H572" i="7"/>
  <c r="Y542" i="7"/>
  <c r="N542" i="11" s="1"/>
  <c r="H542" i="7"/>
  <c r="H526" i="7"/>
  <c r="H458" i="7"/>
  <c r="Y412" i="7"/>
  <c r="N412" i="11" s="1"/>
  <c r="H412" i="7"/>
  <c r="Y699" i="7"/>
  <c r="N699" i="11" s="1"/>
  <c r="Y675" i="7"/>
  <c r="N675" i="11" s="1"/>
  <c r="H673" i="7"/>
  <c r="K628" i="7"/>
  <c r="G628" i="11" s="1"/>
  <c r="H573" i="7"/>
  <c r="Q529" i="7"/>
  <c r="Y527" i="7"/>
  <c r="N527" i="11" s="1"/>
  <c r="H525" i="7"/>
  <c r="H506" i="7"/>
  <c r="N444" i="7"/>
  <c r="F444" i="11" s="1"/>
  <c r="H444" i="11" s="1"/>
  <c r="I444" i="11" s="1"/>
  <c r="H419" i="7"/>
  <c r="Y419" i="7"/>
  <c r="N419" i="11" s="1"/>
  <c r="K414" i="7"/>
  <c r="G414" i="11" s="1"/>
  <c r="H380" i="7"/>
  <c r="Y380" i="7"/>
  <c r="N380" i="11" s="1"/>
  <c r="T250" i="7"/>
  <c r="K343" i="7"/>
  <c r="G343" i="11" s="1"/>
  <c r="I343" i="11" s="1"/>
  <c r="T299" i="7"/>
  <c r="K244" i="7"/>
  <c r="G244" i="11" s="1"/>
  <c r="I244" i="11" s="1"/>
  <c r="H131" i="7"/>
  <c r="Y131" i="7"/>
  <c r="Q617" i="7"/>
  <c r="H553" i="7"/>
  <c r="Y465" i="7"/>
  <c r="N465" i="11" s="1"/>
  <c r="H465" i="7"/>
  <c r="Y415" i="7"/>
  <c r="N415" i="11" s="1"/>
  <c r="H415" i="7"/>
  <c r="H653" i="7"/>
  <c r="Y609" i="7"/>
  <c r="N609" i="11" s="1"/>
  <c r="H609" i="7"/>
  <c r="Y559" i="7"/>
  <c r="N559" i="11" s="1"/>
  <c r="K558" i="7"/>
  <c r="G558" i="11" s="1"/>
  <c r="I558" i="11" s="1"/>
  <c r="Y509" i="7"/>
  <c r="N509" i="11" s="1"/>
  <c r="H509" i="7"/>
  <c r="Y486" i="7"/>
  <c r="N486" i="11" s="1"/>
  <c r="H486" i="7"/>
  <c r="Y462" i="7"/>
  <c r="N462" i="11" s="1"/>
  <c r="H399" i="7"/>
  <c r="K332" i="7"/>
  <c r="G332" i="11" s="1"/>
  <c r="I332" i="11" s="1"/>
  <c r="H283" i="7"/>
  <c r="Y283" i="7"/>
  <c r="N283" i="11" s="1"/>
  <c r="H272" i="7"/>
  <c r="Y253" i="7"/>
  <c r="N253" i="11" s="1"/>
  <c r="H253" i="7"/>
  <c r="H73" i="7"/>
  <c r="Y3" i="7"/>
  <c r="H3" i="7"/>
  <c r="T238" i="7"/>
  <c r="Y108" i="7"/>
  <c r="H108" i="7"/>
  <c r="Y78" i="7"/>
  <c r="H78" i="7"/>
  <c r="K594" i="7"/>
  <c r="G594" i="11" s="1"/>
  <c r="I594" i="11" s="1"/>
  <c r="H587" i="7"/>
  <c r="Y571" i="7"/>
  <c r="N571" i="11" s="1"/>
  <c r="Y514" i="7"/>
  <c r="N514" i="11" s="1"/>
  <c r="H513" i="7"/>
  <c r="H453" i="7"/>
  <c r="Y452" i="7"/>
  <c r="N452" i="11" s="1"/>
  <c r="K440" i="7"/>
  <c r="G440" i="11" s="1"/>
  <c r="N394" i="7"/>
  <c r="F394" i="11" s="1"/>
  <c r="H394" i="11" s="1"/>
  <c r="I394" i="11" s="1"/>
  <c r="Y297" i="7"/>
  <c r="N297" i="11" s="1"/>
  <c r="H297" i="7"/>
  <c r="Y276" i="7"/>
  <c r="N276" i="11" s="1"/>
  <c r="H273" i="7"/>
  <c r="Y273" i="7"/>
  <c r="N273" i="11" s="1"/>
  <c r="Y103" i="7"/>
  <c r="H103" i="7"/>
  <c r="Y557" i="7"/>
  <c r="N557" i="11" s="1"/>
  <c r="H557" i="7"/>
  <c r="H105" i="7"/>
  <c r="Y105" i="7"/>
  <c r="Y547" i="7"/>
  <c r="N547" i="11" s="1"/>
  <c r="Y533" i="7"/>
  <c r="N533" i="11" s="1"/>
  <c r="H533" i="7"/>
  <c r="K394" i="7"/>
  <c r="G394" i="11" s="1"/>
  <c r="Y373" i="7"/>
  <c r="N373" i="11" s="1"/>
  <c r="H373" i="7"/>
  <c r="H366" i="7"/>
  <c r="Y366" i="7"/>
  <c r="N366" i="11" s="1"/>
  <c r="Y120" i="7"/>
  <c r="H120" i="7"/>
  <c r="Y624" i="7"/>
  <c r="N624" i="11" s="1"/>
  <c r="H624" i="7"/>
  <c r="Y606" i="7"/>
  <c r="N606" i="11" s="1"/>
  <c r="H606" i="7"/>
  <c r="H570" i="7"/>
  <c r="Y570" i="7"/>
  <c r="N570" i="11" s="1"/>
  <c r="Y440" i="7"/>
  <c r="N440" i="11" s="1"/>
  <c r="Y434" i="7"/>
  <c r="N434" i="11" s="1"/>
  <c r="Y406" i="7"/>
  <c r="N406" i="11" s="1"/>
  <c r="H406" i="7"/>
  <c r="Y399" i="7"/>
  <c r="N399" i="11" s="1"/>
  <c r="Y121" i="7"/>
  <c r="H121" i="7"/>
  <c r="Y95" i="7"/>
  <c r="H95" i="7"/>
  <c r="K537" i="7"/>
  <c r="G537" i="11" s="1"/>
  <c r="Y365" i="7"/>
  <c r="N365" i="11" s="1"/>
  <c r="H365" i="7"/>
  <c r="N362" i="7"/>
  <c r="F362" i="11" s="1"/>
  <c r="H362" i="11" s="1"/>
  <c r="I362" i="11" s="1"/>
  <c r="H356" i="7"/>
  <c r="K338" i="7"/>
  <c r="G338" i="11" s="1"/>
  <c r="I338" i="11" s="1"/>
  <c r="Y314" i="7"/>
  <c r="N314" i="11" s="1"/>
  <c r="H314" i="7"/>
  <c r="Q298" i="7"/>
  <c r="H287" i="7"/>
  <c r="Y287" i="7"/>
  <c r="N287" i="11" s="1"/>
  <c r="H217" i="7"/>
  <c r="Y217" i="7"/>
  <c r="N217" i="11" s="1"/>
  <c r="H214" i="7"/>
  <c r="T196" i="7"/>
  <c r="Y186" i="7"/>
  <c r="Y154" i="7"/>
  <c r="Y153" i="7"/>
  <c r="Y529" i="7"/>
  <c r="N529" i="11" s="1"/>
  <c r="K518" i="7"/>
  <c r="G518" i="11" s="1"/>
  <c r="I518" i="11" s="1"/>
  <c r="Q454" i="7"/>
  <c r="Y445" i="7"/>
  <c r="N445" i="11" s="1"/>
  <c r="K444" i="7"/>
  <c r="G444" i="11" s="1"/>
  <c r="Y395" i="7"/>
  <c r="N395" i="11" s="1"/>
  <c r="H395" i="7"/>
  <c r="K387" i="7"/>
  <c r="G387" i="11" s="1"/>
  <c r="I387" i="11" s="1"/>
  <c r="H213" i="7"/>
  <c r="Y213" i="7"/>
  <c r="N213" i="11" s="1"/>
  <c r="Y165" i="7"/>
  <c r="Y164" i="7"/>
  <c r="H164" i="7"/>
  <c r="H152" i="7"/>
  <c r="Y152" i="7"/>
  <c r="H716" i="7"/>
  <c r="T663" i="7"/>
  <c r="H654" i="7"/>
  <c r="Y579" i="7"/>
  <c r="N579" i="11" s="1"/>
  <c r="H565" i="7"/>
  <c r="H561" i="7"/>
  <c r="K556" i="7"/>
  <c r="G556" i="11" s="1"/>
  <c r="I556" i="11" s="1"/>
  <c r="K528" i="7"/>
  <c r="G528" i="11" s="1"/>
  <c r="H430" i="7"/>
  <c r="Y418" i="7"/>
  <c r="N418" i="11" s="1"/>
  <c r="K385" i="7"/>
  <c r="G385" i="11" s="1"/>
  <c r="Y362" i="7"/>
  <c r="N362" i="11" s="1"/>
  <c r="H362" i="7"/>
  <c r="Y351" i="7"/>
  <c r="N351" i="11" s="1"/>
  <c r="H351" i="7"/>
  <c r="Y328" i="7"/>
  <c r="N328" i="11" s="1"/>
  <c r="Y286" i="7"/>
  <c r="N286" i="11" s="1"/>
  <c r="Y234" i="7"/>
  <c r="N234" i="11" s="1"/>
  <c r="H234" i="7"/>
  <c r="H233" i="7"/>
  <c r="K232" i="7"/>
  <c r="G232" i="11" s="1"/>
  <c r="I232" i="11" s="1"/>
  <c r="H210" i="7"/>
  <c r="Y210" i="7"/>
  <c r="N210" i="11" s="1"/>
  <c r="Y574" i="7"/>
  <c r="N574" i="11" s="1"/>
  <c r="H574" i="7"/>
  <c r="Y556" i="7"/>
  <c r="N556" i="11" s="1"/>
  <c r="H556" i="7"/>
  <c r="N704" i="7"/>
  <c r="F704" i="11" s="1"/>
  <c r="H704" i="11" s="1"/>
  <c r="I704" i="11" s="1"/>
  <c r="N664" i="7"/>
  <c r="F664" i="11" s="1"/>
  <c r="H664" i="11" s="1"/>
  <c r="I664" i="11" s="1"/>
  <c r="K578" i="7"/>
  <c r="G578" i="11" s="1"/>
  <c r="I578" i="11" s="1"/>
  <c r="H528" i="7"/>
  <c r="Q479" i="7"/>
  <c r="N452" i="7"/>
  <c r="F452" i="11" s="1"/>
  <c r="H452" i="11" s="1"/>
  <c r="I452" i="11" s="1"/>
  <c r="Y385" i="7"/>
  <c r="N385" i="11" s="1"/>
  <c r="H385" i="7"/>
  <c r="Y356" i="7"/>
  <c r="N356" i="11" s="1"/>
  <c r="K321" i="7"/>
  <c r="G321" i="11" s="1"/>
  <c r="I321" i="11" s="1"/>
  <c r="K297" i="7"/>
  <c r="G297" i="11" s="1"/>
  <c r="I297" i="11" s="1"/>
  <c r="K282" i="7"/>
  <c r="G282" i="11" s="1"/>
  <c r="Q32" i="7"/>
  <c r="H705" i="7"/>
  <c r="H665" i="7"/>
  <c r="Y617" i="7"/>
  <c r="N617" i="11" s="1"/>
  <c r="Y569" i="7"/>
  <c r="N569" i="11" s="1"/>
  <c r="K568" i="7"/>
  <c r="G568" i="11" s="1"/>
  <c r="I568" i="11" s="1"/>
  <c r="H523" i="7"/>
  <c r="Q515" i="7"/>
  <c r="H471" i="7"/>
  <c r="Y443" i="7"/>
  <c r="N443" i="11" s="1"/>
  <c r="T423" i="7"/>
  <c r="Q414" i="7"/>
  <c r="Q413" i="7"/>
  <c r="H349" i="7"/>
  <c r="K335" i="7"/>
  <c r="G335" i="11" s="1"/>
  <c r="K322" i="7"/>
  <c r="G322" i="11" s="1"/>
  <c r="Y481" i="7"/>
  <c r="N481" i="11" s="1"/>
  <c r="H481" i="7"/>
  <c r="Y430" i="7"/>
  <c r="N430" i="11" s="1"/>
  <c r="H321" i="7"/>
  <c r="Y321" i="7"/>
  <c r="N321" i="11" s="1"/>
  <c r="Y176" i="7"/>
  <c r="H176" i="7"/>
  <c r="Y198" i="7"/>
  <c r="N198" i="11" s="1"/>
  <c r="T178" i="7"/>
  <c r="Q166" i="7"/>
  <c r="Y144" i="7"/>
  <c r="H144" i="7"/>
  <c r="H74" i="7"/>
  <c r="T503" i="7"/>
  <c r="N413" i="7"/>
  <c r="F413" i="11" s="1"/>
  <c r="H413" i="11" s="1"/>
  <c r="I413" i="11" s="1"/>
  <c r="Y370" i="7"/>
  <c r="N370" i="11" s="1"/>
  <c r="H370" i="7"/>
  <c r="K364" i="7"/>
  <c r="G364" i="11" s="1"/>
  <c r="Q328" i="7"/>
  <c r="H311" i="7"/>
  <c r="Y282" i="7"/>
  <c r="N282" i="11" s="1"/>
  <c r="Y281" i="7"/>
  <c r="N281" i="11" s="1"/>
  <c r="Y239" i="7"/>
  <c r="N239" i="11" s="1"/>
  <c r="H239" i="7"/>
  <c r="K226" i="7"/>
  <c r="G226" i="11" s="1"/>
  <c r="K28" i="7"/>
  <c r="G28" i="11" s="1"/>
  <c r="I28" i="11" s="1"/>
  <c r="K638" i="7"/>
  <c r="G638" i="11" s="1"/>
  <c r="K588" i="7"/>
  <c r="G588" i="11" s="1"/>
  <c r="I588" i="11" s="1"/>
  <c r="K538" i="7"/>
  <c r="G538" i="11" s="1"/>
  <c r="H442" i="7"/>
  <c r="Y420" i="7"/>
  <c r="N420" i="11" s="1"/>
  <c r="T394" i="7"/>
  <c r="Y375" i="7"/>
  <c r="N375" i="11" s="1"/>
  <c r="H375" i="7"/>
  <c r="T334" i="7"/>
  <c r="H260" i="7"/>
  <c r="K235" i="7"/>
  <c r="G235" i="11" s="1"/>
  <c r="I235" i="11" s="1"/>
  <c r="Y111" i="7"/>
  <c r="H111" i="7"/>
  <c r="H54" i="7"/>
  <c r="Y28" i="7"/>
  <c r="Y10" i="7"/>
  <c r="H10" i="7"/>
  <c r="Y224" i="7"/>
  <c r="N224" i="11" s="1"/>
  <c r="H224" i="7"/>
  <c r="Y223" i="7"/>
  <c r="N223" i="11" s="1"/>
  <c r="H223" i="7"/>
  <c r="Y599" i="7"/>
  <c r="N599" i="11" s="1"/>
  <c r="Y549" i="7"/>
  <c r="N549" i="11" s="1"/>
  <c r="Y516" i="7"/>
  <c r="N516" i="11" s="1"/>
  <c r="Y442" i="7"/>
  <c r="N442" i="11" s="1"/>
  <c r="Y381" i="7"/>
  <c r="N381" i="11" s="1"/>
  <c r="H381" i="7"/>
  <c r="Y308" i="7"/>
  <c r="N308" i="11" s="1"/>
  <c r="H259" i="7"/>
  <c r="Y161" i="7"/>
  <c r="H161" i="7"/>
  <c r="Y55" i="7"/>
  <c r="Y307" i="7"/>
  <c r="N307" i="11" s="1"/>
  <c r="H307" i="7"/>
  <c r="H258" i="7"/>
  <c r="Y258" i="7"/>
  <c r="N258" i="11" s="1"/>
  <c r="Y208" i="7"/>
  <c r="N208" i="11" s="1"/>
  <c r="H208" i="7"/>
  <c r="H187" i="7"/>
  <c r="Y187" i="7"/>
  <c r="H172" i="7"/>
  <c r="Y172" i="7"/>
  <c r="T43" i="7"/>
  <c r="H37" i="7"/>
  <c r="Y37" i="7"/>
  <c r="K23" i="7"/>
  <c r="G23" i="11" s="1"/>
  <c r="H113" i="7"/>
  <c r="H101" i="7"/>
  <c r="Y101" i="7"/>
  <c r="T66" i="7"/>
  <c r="N414" i="7"/>
  <c r="F414" i="11" s="1"/>
  <c r="H414" i="11" s="1"/>
  <c r="I414" i="11" s="1"/>
  <c r="H377" i="7"/>
  <c r="H333" i="7"/>
  <c r="Y333" i="7"/>
  <c r="N333" i="11" s="1"/>
  <c r="Y295" i="7"/>
  <c r="N295" i="11" s="1"/>
  <c r="Q277" i="7"/>
  <c r="K241" i="7"/>
  <c r="G241" i="11" s="1"/>
  <c r="H211" i="7"/>
  <c r="Y171" i="7"/>
  <c r="K46" i="7"/>
  <c r="G46" i="11" s="1"/>
  <c r="Q463" i="7"/>
  <c r="Y435" i="7"/>
  <c r="N435" i="11" s="1"/>
  <c r="H435" i="7"/>
  <c r="T378" i="7"/>
  <c r="H293" i="7"/>
  <c r="Y293" i="7"/>
  <c r="N293" i="11" s="1"/>
  <c r="H279" i="7"/>
  <c r="Y169" i="7"/>
  <c r="H169" i="7"/>
  <c r="Q53" i="7"/>
  <c r="H48" i="7"/>
  <c r="Y93" i="7"/>
  <c r="H93" i="7"/>
  <c r="H25" i="7"/>
  <c r="Y25" i="7"/>
  <c r="K438" i="7"/>
  <c r="G438" i="11" s="1"/>
  <c r="N379" i="7"/>
  <c r="F379" i="11" s="1"/>
  <c r="H379" i="11" s="1"/>
  <c r="I379" i="11" s="1"/>
  <c r="H269" i="7"/>
  <c r="Y240" i="7"/>
  <c r="N240" i="11" s="1"/>
  <c r="H180" i="7"/>
  <c r="K178" i="7"/>
  <c r="G178" i="11" s="1"/>
  <c r="H92" i="7"/>
  <c r="Y92" i="7"/>
  <c r="Y88" i="7"/>
  <c r="Y61" i="7"/>
  <c r="H61" i="7"/>
  <c r="Y279" i="7"/>
  <c r="N279" i="11" s="1"/>
  <c r="H177" i="7"/>
  <c r="Y177" i="7"/>
  <c r="K208" i="7"/>
  <c r="G208" i="11" s="1"/>
  <c r="I208" i="11" s="1"/>
  <c r="H137" i="7"/>
  <c r="Y87" i="7"/>
  <c r="Y68" i="7"/>
  <c r="H68" i="7"/>
  <c r="T18" i="7"/>
  <c r="N434" i="7"/>
  <c r="F434" i="11" s="1"/>
  <c r="H434" i="11" s="1"/>
  <c r="I434" i="11" s="1"/>
  <c r="H341" i="7"/>
  <c r="K312" i="7"/>
  <c r="G312" i="11" s="1"/>
  <c r="H286" i="7"/>
  <c r="Y128" i="7"/>
  <c r="H128" i="7"/>
  <c r="Y23" i="7"/>
  <c r="K384" i="7"/>
  <c r="G384" i="11" s="1"/>
  <c r="I384" i="11" s="1"/>
  <c r="T363" i="7"/>
  <c r="Y331" i="7"/>
  <c r="N331" i="11" s="1"/>
  <c r="N223" i="7"/>
  <c r="F223" i="11" s="1"/>
  <c r="H223" i="11" s="1"/>
  <c r="I223" i="11" s="1"/>
  <c r="N73" i="7"/>
  <c r="F73" i="11" s="1"/>
  <c r="H73" i="11" s="1"/>
  <c r="I73" i="11" s="1"/>
  <c r="Y65" i="7"/>
  <c r="Y21" i="7"/>
  <c r="H21" i="7"/>
  <c r="Y158" i="7"/>
  <c r="Y137" i="7"/>
  <c r="N364" i="7"/>
  <c r="F364" i="11" s="1"/>
  <c r="H364" i="11" s="1"/>
  <c r="I364" i="11" s="1"/>
  <c r="Q363" i="7"/>
  <c r="Y274" i="7"/>
  <c r="N274" i="11" s="1"/>
  <c r="N261" i="7"/>
  <c r="F261" i="11" s="1"/>
  <c r="H261" i="11" s="1"/>
  <c r="I261" i="11" s="1"/>
  <c r="K243" i="7"/>
  <c r="G243" i="11" s="1"/>
  <c r="I243" i="11" s="1"/>
  <c r="Y184" i="7"/>
  <c r="H184" i="7"/>
  <c r="Y118" i="7"/>
  <c r="Y84" i="7"/>
  <c r="H84" i="7"/>
  <c r="H62" i="7"/>
  <c r="Y62" i="7"/>
  <c r="Y40" i="7"/>
  <c r="H40" i="7"/>
  <c r="Q27" i="7"/>
  <c r="T311" i="7"/>
  <c r="K233" i="7"/>
  <c r="G233" i="11" s="1"/>
  <c r="H145" i="7"/>
  <c r="Y104" i="7"/>
  <c r="N16" i="7"/>
  <c r="F16" i="11" s="1"/>
  <c r="H16" i="11" s="1"/>
  <c r="I16" i="11" s="1"/>
  <c r="Y11" i="7"/>
  <c r="H345" i="7"/>
  <c r="H327" i="7"/>
  <c r="H313" i="7"/>
  <c r="H309" i="7"/>
  <c r="H295" i="7"/>
  <c r="H276" i="7"/>
  <c r="Q226" i="7"/>
  <c r="H212" i="7"/>
  <c r="Y196" i="7"/>
  <c r="N196" i="11" s="1"/>
  <c r="K138" i="7"/>
  <c r="G138" i="11" s="1"/>
  <c r="Q67" i="7"/>
  <c r="Y60" i="7"/>
  <c r="Q47" i="7"/>
  <c r="T13" i="7"/>
  <c r="K227" i="7"/>
  <c r="G227" i="11" s="1"/>
  <c r="Y222" i="7"/>
  <c r="N222" i="11" s="1"/>
  <c r="T219" i="7"/>
  <c r="H194" i="7"/>
  <c r="N167" i="7"/>
  <c r="F167" i="11" s="1"/>
  <c r="H167" i="11" s="1"/>
  <c r="I167" i="11" s="1"/>
  <c r="H150" i="7"/>
  <c r="H132" i="7"/>
  <c r="Y132" i="7"/>
  <c r="N99" i="7"/>
  <c r="F99" i="11" s="1"/>
  <c r="H99" i="11" s="1"/>
  <c r="I99" i="11" s="1"/>
  <c r="K68" i="7"/>
  <c r="G68" i="11" s="1"/>
  <c r="I68" i="11" s="1"/>
  <c r="N49" i="7"/>
  <c r="F49" i="11" s="1"/>
  <c r="H49" i="11" s="1"/>
  <c r="I49" i="11" s="1"/>
  <c r="Y17" i="7"/>
  <c r="N322" i="7"/>
  <c r="F322" i="11" s="1"/>
  <c r="H322" i="11" s="1"/>
  <c r="I322" i="11" s="1"/>
  <c r="Q282" i="7"/>
  <c r="K279" i="7"/>
  <c r="G279" i="11" s="1"/>
  <c r="I279" i="11" s="1"/>
  <c r="Y232" i="7"/>
  <c r="N232" i="11" s="1"/>
  <c r="H232" i="7"/>
  <c r="Y212" i="7"/>
  <c r="N212" i="11" s="1"/>
  <c r="H195" i="7"/>
  <c r="H182" i="7"/>
  <c r="H162" i="7"/>
  <c r="K101" i="7"/>
  <c r="G101" i="11" s="1"/>
  <c r="I101" i="11" s="1"/>
  <c r="Y50" i="7"/>
  <c r="H50" i="7"/>
  <c r="T110" i="7"/>
  <c r="H72" i="7"/>
  <c r="Y72" i="7"/>
  <c r="K253" i="7"/>
  <c r="G253" i="11" s="1"/>
  <c r="H221" i="7"/>
  <c r="H202" i="7"/>
  <c r="H165" i="7"/>
  <c r="H124" i="7"/>
  <c r="Y90" i="7"/>
  <c r="H90" i="7"/>
  <c r="Y77" i="7"/>
  <c r="K38" i="7"/>
  <c r="G38" i="11" s="1"/>
  <c r="I38" i="11" s="1"/>
  <c r="H32" i="7"/>
  <c r="Y32" i="7"/>
  <c r="Q25" i="7"/>
  <c r="N19" i="7"/>
  <c r="F19" i="11" s="1"/>
  <c r="H19" i="11" s="1"/>
  <c r="I19" i="11" s="1"/>
  <c r="Y214" i="7"/>
  <c r="N214" i="11" s="1"/>
  <c r="K173" i="7"/>
  <c r="G173" i="11" s="1"/>
  <c r="I173" i="11" s="1"/>
  <c r="K123" i="7"/>
  <c r="G123" i="11" s="1"/>
  <c r="I123" i="11" s="1"/>
  <c r="Y113" i="7"/>
  <c r="Y52" i="7"/>
  <c r="Q17" i="7"/>
  <c r="H112" i="7"/>
  <c r="Y112" i="7"/>
  <c r="Y102" i="7"/>
  <c r="Y83" i="7"/>
  <c r="H57" i="7"/>
  <c r="T41" i="7"/>
  <c r="T5" i="7"/>
  <c r="K88" i="7"/>
  <c r="G88" i="11" s="1"/>
  <c r="H82" i="7"/>
  <c r="Y82" i="7"/>
  <c r="T61" i="7"/>
  <c r="Y31" i="7"/>
  <c r="Y13" i="7"/>
  <c r="Y63" i="7"/>
  <c r="Y123" i="7"/>
  <c r="K48" i="7"/>
  <c r="G48" i="11" s="1"/>
  <c r="Y22" i="7"/>
  <c r="Y192" i="7"/>
  <c r="N192" i="11" s="1"/>
  <c r="Y53" i="7"/>
  <c r="Q37" i="7"/>
  <c r="K20" i="7"/>
  <c r="G20" i="11" s="1"/>
  <c r="I20" i="11" s="1"/>
  <c r="N2" i="7"/>
  <c r="B106" i="3"/>
  <c r="C106" i="3"/>
  <c r="D106" i="3"/>
  <c r="E106" i="3"/>
  <c r="F106" i="3"/>
  <c r="G106" i="3"/>
  <c r="B107" i="3"/>
  <c r="C107" i="3"/>
  <c r="D107" i="3"/>
  <c r="E107" i="3"/>
  <c r="F107" i="3"/>
  <c r="G107" i="3"/>
  <c r="B108" i="3"/>
  <c r="C108" i="3"/>
  <c r="D108" i="3"/>
  <c r="E108" i="3"/>
  <c r="F108" i="3"/>
  <c r="G108" i="3"/>
  <c r="B109" i="3"/>
  <c r="C109" i="3"/>
  <c r="D109" i="3"/>
  <c r="E109" i="3"/>
  <c r="F109" i="3"/>
  <c r="G109" i="3"/>
  <c r="B110" i="3"/>
  <c r="C110" i="3"/>
  <c r="D110" i="3"/>
  <c r="E110" i="3"/>
  <c r="F110" i="3"/>
  <c r="G110" i="3"/>
  <c r="B111" i="3"/>
  <c r="C111" i="3"/>
  <c r="D111" i="3"/>
  <c r="E111" i="3"/>
  <c r="F111" i="3"/>
  <c r="G111" i="3"/>
  <c r="B112" i="3"/>
  <c r="C112" i="3"/>
  <c r="D112" i="3"/>
  <c r="E112" i="3"/>
  <c r="F112" i="3"/>
  <c r="G112" i="3"/>
  <c r="B113" i="3"/>
  <c r="C113" i="3"/>
  <c r="D113" i="3"/>
  <c r="E113" i="3"/>
  <c r="F113" i="3"/>
  <c r="G113" i="3"/>
  <c r="B114" i="3"/>
  <c r="C114" i="3"/>
  <c r="D114" i="3"/>
  <c r="E114" i="3"/>
  <c r="F114" i="3"/>
  <c r="G114" i="3"/>
  <c r="B115" i="3"/>
  <c r="C115" i="3"/>
  <c r="D115" i="3"/>
  <c r="E115" i="3"/>
  <c r="F115" i="3"/>
  <c r="G115" i="3"/>
  <c r="B116" i="3"/>
  <c r="C116" i="3"/>
  <c r="D116" i="3"/>
  <c r="E116" i="3"/>
  <c r="F116" i="3"/>
  <c r="G116" i="3"/>
  <c r="B117" i="3"/>
  <c r="C117" i="3"/>
  <c r="D117" i="3"/>
  <c r="E117" i="3"/>
  <c r="F117" i="3"/>
  <c r="G117" i="3"/>
  <c r="B118" i="3"/>
  <c r="C118" i="3"/>
  <c r="D118" i="3"/>
  <c r="E118" i="3"/>
  <c r="F118" i="3"/>
  <c r="G118" i="3"/>
  <c r="B119" i="3"/>
  <c r="C119" i="3"/>
  <c r="D119" i="3"/>
  <c r="E119" i="3"/>
  <c r="F119" i="3"/>
  <c r="G119" i="3"/>
  <c r="B120" i="3"/>
  <c r="C120" i="3"/>
  <c r="D120" i="3"/>
  <c r="E120" i="3"/>
  <c r="F120" i="3"/>
  <c r="G120" i="3"/>
  <c r="B121" i="3"/>
  <c r="C121" i="3"/>
  <c r="D121" i="3"/>
  <c r="E121" i="3"/>
  <c r="F121" i="3"/>
  <c r="G121" i="3"/>
  <c r="B122" i="3"/>
  <c r="C122" i="3"/>
  <c r="D122" i="3"/>
  <c r="E122" i="3"/>
  <c r="F122" i="3"/>
  <c r="G122" i="3"/>
  <c r="B123" i="3"/>
  <c r="C123" i="3"/>
  <c r="D123" i="3"/>
  <c r="E123" i="3"/>
  <c r="F123" i="3"/>
  <c r="G123" i="3"/>
  <c r="B124" i="3"/>
  <c r="C124" i="3"/>
  <c r="D124" i="3"/>
  <c r="E124" i="3"/>
  <c r="F124" i="3"/>
  <c r="G124" i="3"/>
  <c r="B125" i="3"/>
  <c r="C125" i="3"/>
  <c r="D125" i="3"/>
  <c r="E125" i="3"/>
  <c r="F125" i="3"/>
  <c r="G125" i="3"/>
  <c r="B126" i="3"/>
  <c r="C126" i="3"/>
  <c r="D126" i="3"/>
  <c r="E126" i="3"/>
  <c r="F126" i="3"/>
  <c r="G126" i="3"/>
  <c r="B127" i="3"/>
  <c r="C127" i="3"/>
  <c r="D127" i="3"/>
  <c r="E127" i="3"/>
  <c r="F127" i="3"/>
  <c r="G127" i="3"/>
  <c r="B128" i="3"/>
  <c r="C128" i="3"/>
  <c r="D128" i="3"/>
  <c r="E128" i="3"/>
  <c r="F128" i="3"/>
  <c r="G128" i="3"/>
  <c r="B129" i="3"/>
  <c r="C129" i="3"/>
  <c r="D129" i="3"/>
  <c r="E129" i="3"/>
  <c r="F129" i="3"/>
  <c r="G129" i="3"/>
  <c r="B130" i="3"/>
  <c r="C130" i="3"/>
  <c r="D130" i="3"/>
  <c r="E130" i="3"/>
  <c r="F130" i="3"/>
  <c r="G130" i="3"/>
  <c r="B131" i="3"/>
  <c r="C131" i="3"/>
  <c r="D131" i="3"/>
  <c r="E131" i="3"/>
  <c r="F131" i="3"/>
  <c r="G131" i="3"/>
  <c r="B132" i="3"/>
  <c r="C132" i="3"/>
  <c r="D132" i="3"/>
  <c r="E132" i="3"/>
  <c r="F132" i="3"/>
  <c r="G132" i="3"/>
  <c r="B133" i="3"/>
  <c r="C133" i="3"/>
  <c r="D133" i="3"/>
  <c r="E133" i="3"/>
  <c r="F133" i="3"/>
  <c r="G133" i="3"/>
  <c r="B134" i="3"/>
  <c r="C134" i="3"/>
  <c r="D134" i="3"/>
  <c r="E134" i="3"/>
  <c r="F134" i="3"/>
  <c r="G134" i="3"/>
  <c r="B135" i="3"/>
  <c r="C135" i="3"/>
  <c r="D135" i="3"/>
  <c r="E135" i="3"/>
  <c r="F135" i="3"/>
  <c r="G135" i="3"/>
  <c r="B136" i="3"/>
  <c r="C136" i="3"/>
  <c r="D136" i="3"/>
  <c r="E136" i="3"/>
  <c r="F136" i="3"/>
  <c r="G136" i="3"/>
  <c r="B137" i="3"/>
  <c r="C137" i="3"/>
  <c r="D137" i="3"/>
  <c r="E137" i="3"/>
  <c r="F137" i="3"/>
  <c r="G137" i="3"/>
  <c r="B138" i="3"/>
  <c r="C138" i="3"/>
  <c r="D138" i="3"/>
  <c r="E138" i="3"/>
  <c r="F138" i="3"/>
  <c r="G138" i="3"/>
  <c r="B139" i="3"/>
  <c r="C139" i="3"/>
  <c r="D139" i="3"/>
  <c r="E139" i="3"/>
  <c r="F139" i="3"/>
  <c r="G139" i="3"/>
  <c r="B140" i="3"/>
  <c r="C140" i="3"/>
  <c r="D140" i="3"/>
  <c r="E140" i="3"/>
  <c r="F140" i="3"/>
  <c r="G140" i="3"/>
  <c r="B141" i="3"/>
  <c r="C141" i="3"/>
  <c r="D141" i="3"/>
  <c r="E141" i="3"/>
  <c r="F141" i="3"/>
  <c r="G141" i="3"/>
  <c r="B142" i="3"/>
  <c r="C142" i="3"/>
  <c r="D142" i="3"/>
  <c r="E142" i="3"/>
  <c r="F142" i="3"/>
  <c r="G142" i="3"/>
  <c r="B143" i="3"/>
  <c r="C143" i="3"/>
  <c r="D143" i="3"/>
  <c r="E143" i="3"/>
  <c r="F143" i="3"/>
  <c r="G143" i="3"/>
  <c r="B144" i="3"/>
  <c r="C144" i="3"/>
  <c r="D144" i="3"/>
  <c r="E144" i="3"/>
  <c r="F144" i="3"/>
  <c r="G144" i="3"/>
  <c r="B145" i="3"/>
  <c r="C145" i="3"/>
  <c r="D145" i="3"/>
  <c r="E145" i="3"/>
  <c r="F145" i="3"/>
  <c r="G145" i="3"/>
  <c r="B146" i="3"/>
  <c r="C146" i="3"/>
  <c r="D146" i="3"/>
  <c r="E146" i="3"/>
  <c r="F146" i="3"/>
  <c r="G146" i="3"/>
  <c r="B147" i="3"/>
  <c r="C147" i="3"/>
  <c r="D147" i="3"/>
  <c r="E147" i="3"/>
  <c r="F147" i="3"/>
  <c r="G147" i="3"/>
  <c r="B148" i="3"/>
  <c r="C148" i="3"/>
  <c r="D148" i="3"/>
  <c r="E148" i="3"/>
  <c r="F148" i="3"/>
  <c r="G148" i="3"/>
  <c r="B149" i="3"/>
  <c r="C149" i="3"/>
  <c r="D149" i="3"/>
  <c r="E149" i="3"/>
  <c r="F149" i="3"/>
  <c r="G149" i="3"/>
  <c r="B150" i="3"/>
  <c r="C150" i="3"/>
  <c r="D150" i="3"/>
  <c r="E150" i="3"/>
  <c r="F150" i="3"/>
  <c r="G150" i="3"/>
  <c r="B151" i="3"/>
  <c r="C151" i="3"/>
  <c r="D151" i="3"/>
  <c r="E151" i="3"/>
  <c r="F151" i="3"/>
  <c r="G151" i="3"/>
  <c r="B152" i="3"/>
  <c r="C152" i="3"/>
  <c r="D152" i="3"/>
  <c r="E152" i="3"/>
  <c r="F152" i="3"/>
  <c r="G152" i="3"/>
  <c r="B153" i="3"/>
  <c r="C153" i="3"/>
  <c r="D153" i="3"/>
  <c r="E153" i="3"/>
  <c r="F153" i="3"/>
  <c r="G153" i="3"/>
  <c r="B154" i="3"/>
  <c r="C154" i="3"/>
  <c r="D154" i="3"/>
  <c r="E154" i="3"/>
  <c r="F154" i="3"/>
  <c r="G154" i="3"/>
  <c r="B155" i="3"/>
  <c r="C155" i="3"/>
  <c r="D155" i="3"/>
  <c r="E155" i="3"/>
  <c r="F155" i="3"/>
  <c r="G155" i="3"/>
  <c r="B156" i="3"/>
  <c r="C156" i="3"/>
  <c r="D156" i="3"/>
  <c r="E156" i="3"/>
  <c r="F156" i="3"/>
  <c r="G156" i="3"/>
  <c r="B157" i="3"/>
  <c r="C157" i="3"/>
  <c r="D157" i="3"/>
  <c r="E157" i="3"/>
  <c r="F157" i="3"/>
  <c r="G157" i="3"/>
  <c r="B158" i="3"/>
  <c r="C158" i="3"/>
  <c r="D158" i="3"/>
  <c r="E158" i="3"/>
  <c r="F158" i="3"/>
  <c r="G158" i="3"/>
  <c r="B159" i="3"/>
  <c r="C159" i="3"/>
  <c r="D159" i="3"/>
  <c r="E159" i="3"/>
  <c r="F159" i="3"/>
  <c r="G159" i="3"/>
  <c r="B160" i="3"/>
  <c r="C160" i="3"/>
  <c r="D160" i="3"/>
  <c r="E160" i="3"/>
  <c r="F160" i="3"/>
  <c r="G160" i="3"/>
  <c r="B161" i="3"/>
  <c r="C161" i="3"/>
  <c r="D161" i="3"/>
  <c r="E161" i="3"/>
  <c r="F161" i="3"/>
  <c r="G161" i="3"/>
  <c r="B162" i="3"/>
  <c r="C162" i="3"/>
  <c r="D162" i="3"/>
  <c r="E162" i="3"/>
  <c r="F162" i="3"/>
  <c r="G162" i="3"/>
  <c r="B163" i="3"/>
  <c r="C163" i="3"/>
  <c r="D163" i="3"/>
  <c r="E163" i="3"/>
  <c r="F163" i="3"/>
  <c r="G163" i="3"/>
  <c r="B164" i="3"/>
  <c r="C164" i="3"/>
  <c r="D164" i="3"/>
  <c r="E164" i="3"/>
  <c r="F164" i="3"/>
  <c r="G164" i="3"/>
  <c r="B165" i="3"/>
  <c r="C165" i="3"/>
  <c r="D165" i="3"/>
  <c r="E165" i="3"/>
  <c r="F165" i="3"/>
  <c r="G165" i="3"/>
  <c r="B166" i="3"/>
  <c r="C166" i="3"/>
  <c r="D166" i="3"/>
  <c r="E166" i="3"/>
  <c r="F166" i="3"/>
  <c r="G166" i="3"/>
  <c r="B167" i="3"/>
  <c r="C167" i="3"/>
  <c r="D167" i="3"/>
  <c r="E167" i="3"/>
  <c r="F167" i="3"/>
  <c r="G167" i="3"/>
  <c r="B168" i="3"/>
  <c r="C168" i="3"/>
  <c r="D168" i="3"/>
  <c r="E168" i="3"/>
  <c r="F168" i="3"/>
  <c r="G168" i="3"/>
  <c r="B169" i="3"/>
  <c r="C169" i="3"/>
  <c r="D169" i="3"/>
  <c r="E169" i="3"/>
  <c r="F169" i="3"/>
  <c r="G169" i="3"/>
  <c r="B170" i="3"/>
  <c r="C170" i="3"/>
  <c r="D170" i="3"/>
  <c r="E170" i="3"/>
  <c r="F170" i="3"/>
  <c r="G170" i="3"/>
  <c r="B171" i="3"/>
  <c r="C171" i="3"/>
  <c r="D171" i="3"/>
  <c r="E171" i="3"/>
  <c r="F171" i="3"/>
  <c r="G171" i="3"/>
  <c r="B172" i="3"/>
  <c r="C172" i="3"/>
  <c r="D172" i="3"/>
  <c r="E172" i="3"/>
  <c r="F172" i="3"/>
  <c r="G172" i="3"/>
  <c r="B173" i="3"/>
  <c r="C173" i="3"/>
  <c r="D173" i="3"/>
  <c r="E173" i="3"/>
  <c r="F173" i="3"/>
  <c r="G173" i="3"/>
  <c r="B174" i="3"/>
  <c r="C174" i="3"/>
  <c r="D174" i="3"/>
  <c r="E174" i="3"/>
  <c r="F174" i="3"/>
  <c r="G174" i="3"/>
  <c r="B175" i="3"/>
  <c r="C175" i="3"/>
  <c r="D175" i="3"/>
  <c r="E175" i="3"/>
  <c r="F175" i="3"/>
  <c r="G175" i="3"/>
  <c r="B176" i="3"/>
  <c r="C176" i="3"/>
  <c r="D176" i="3"/>
  <c r="E176" i="3"/>
  <c r="F176" i="3"/>
  <c r="G176" i="3"/>
  <c r="B177" i="3"/>
  <c r="C177" i="3"/>
  <c r="D177" i="3"/>
  <c r="E177" i="3"/>
  <c r="F177" i="3"/>
  <c r="G177" i="3"/>
  <c r="B178" i="3"/>
  <c r="C178" i="3"/>
  <c r="D178" i="3"/>
  <c r="E178" i="3"/>
  <c r="F178" i="3"/>
  <c r="G178" i="3"/>
  <c r="B179" i="3"/>
  <c r="C179" i="3"/>
  <c r="D179" i="3"/>
  <c r="E179" i="3"/>
  <c r="F179" i="3"/>
  <c r="G179" i="3"/>
  <c r="B180" i="3"/>
  <c r="C180" i="3"/>
  <c r="D180" i="3"/>
  <c r="E180" i="3"/>
  <c r="F180" i="3"/>
  <c r="G180" i="3"/>
  <c r="B181" i="3"/>
  <c r="C181" i="3"/>
  <c r="D181" i="3"/>
  <c r="E181" i="3"/>
  <c r="F181" i="3"/>
  <c r="G181" i="3"/>
  <c r="B182" i="3"/>
  <c r="C182" i="3"/>
  <c r="D182" i="3"/>
  <c r="E182" i="3"/>
  <c r="F182" i="3"/>
  <c r="G182" i="3"/>
  <c r="B183" i="3"/>
  <c r="C183" i="3"/>
  <c r="D183" i="3"/>
  <c r="E183" i="3"/>
  <c r="F183" i="3"/>
  <c r="G183" i="3"/>
  <c r="B184" i="3"/>
  <c r="C184" i="3"/>
  <c r="D184" i="3"/>
  <c r="E184" i="3"/>
  <c r="F184" i="3"/>
  <c r="G184" i="3"/>
  <c r="B185" i="3"/>
  <c r="C185" i="3"/>
  <c r="D185" i="3"/>
  <c r="E185" i="3"/>
  <c r="F185" i="3"/>
  <c r="G185" i="3"/>
  <c r="B186" i="3"/>
  <c r="C186" i="3"/>
  <c r="D186" i="3"/>
  <c r="E186" i="3"/>
  <c r="F186" i="3"/>
  <c r="G186" i="3"/>
  <c r="B187" i="3"/>
  <c r="C187" i="3"/>
  <c r="D187" i="3"/>
  <c r="E187" i="3"/>
  <c r="F187" i="3"/>
  <c r="G187" i="3"/>
  <c r="B188" i="3"/>
  <c r="C188" i="3"/>
  <c r="D188" i="3"/>
  <c r="E188" i="3"/>
  <c r="F188" i="3"/>
  <c r="G188" i="3"/>
  <c r="A187" i="3"/>
  <c r="A188" i="3"/>
  <c r="A176" i="3"/>
  <c r="A177" i="3"/>
  <c r="A178" i="3"/>
  <c r="A179" i="3"/>
  <c r="A180" i="3"/>
  <c r="A181" i="3"/>
  <c r="A182" i="3"/>
  <c r="A183" i="3"/>
  <c r="A184" i="3"/>
  <c r="A185" i="3"/>
  <c r="A186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59" i="3"/>
  <c r="A160" i="3"/>
  <c r="A161" i="3"/>
  <c r="A158" i="3"/>
  <c r="A153" i="3"/>
  <c r="A154" i="3"/>
  <c r="A155" i="3"/>
  <c r="A156" i="3"/>
  <c r="A157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B137" i="2"/>
  <c r="C137" i="2"/>
  <c r="D137" i="2"/>
  <c r="F137" i="2"/>
  <c r="G137" i="2"/>
  <c r="H137" i="2"/>
  <c r="B138" i="2"/>
  <c r="C138" i="2"/>
  <c r="D138" i="2"/>
  <c r="F138" i="2"/>
  <c r="G138" i="2"/>
  <c r="H138" i="2"/>
  <c r="B139" i="2"/>
  <c r="C139" i="2"/>
  <c r="D139" i="2"/>
  <c r="F139" i="2"/>
  <c r="G139" i="2"/>
  <c r="H139" i="2"/>
  <c r="B140" i="2"/>
  <c r="C140" i="2"/>
  <c r="D140" i="2"/>
  <c r="F140" i="2"/>
  <c r="G140" i="2"/>
  <c r="H140" i="2"/>
  <c r="B141" i="2"/>
  <c r="C141" i="2"/>
  <c r="D141" i="2"/>
  <c r="F141" i="2"/>
  <c r="G141" i="2"/>
  <c r="H141" i="2"/>
  <c r="B142" i="2"/>
  <c r="C142" i="2"/>
  <c r="D142" i="2"/>
  <c r="F142" i="2"/>
  <c r="G142" i="2"/>
  <c r="H142" i="2"/>
  <c r="B143" i="2"/>
  <c r="C143" i="2"/>
  <c r="D143" i="2"/>
  <c r="F143" i="2"/>
  <c r="G143" i="2"/>
  <c r="H143" i="2"/>
  <c r="B144" i="2"/>
  <c r="C144" i="2"/>
  <c r="D144" i="2"/>
  <c r="F144" i="2"/>
  <c r="G144" i="2"/>
  <c r="H144" i="2"/>
  <c r="B145" i="2"/>
  <c r="C145" i="2"/>
  <c r="D145" i="2"/>
  <c r="F145" i="2"/>
  <c r="G145" i="2"/>
  <c r="H145" i="2"/>
  <c r="B146" i="2"/>
  <c r="C146" i="2"/>
  <c r="D146" i="2"/>
  <c r="F146" i="2"/>
  <c r="G146" i="2"/>
  <c r="H146" i="2"/>
  <c r="B147" i="2"/>
  <c r="C147" i="2"/>
  <c r="D147" i="2"/>
  <c r="F147" i="2"/>
  <c r="G147" i="2"/>
  <c r="H147" i="2"/>
  <c r="B148" i="2"/>
  <c r="C148" i="2"/>
  <c r="D148" i="2"/>
  <c r="F148" i="2"/>
  <c r="G148" i="2"/>
  <c r="H148" i="2"/>
  <c r="B149" i="2"/>
  <c r="C149" i="2"/>
  <c r="D149" i="2"/>
  <c r="F149" i="2"/>
  <c r="G149" i="2"/>
  <c r="H149" i="2"/>
  <c r="B150" i="2"/>
  <c r="C150" i="2"/>
  <c r="D150" i="2"/>
  <c r="F150" i="2"/>
  <c r="G150" i="2"/>
  <c r="H150" i="2"/>
  <c r="B151" i="2"/>
  <c r="C151" i="2"/>
  <c r="D151" i="2"/>
  <c r="F151" i="2"/>
  <c r="G151" i="2"/>
  <c r="H151" i="2"/>
  <c r="B152" i="2"/>
  <c r="C152" i="2"/>
  <c r="D152" i="2"/>
  <c r="F152" i="2"/>
  <c r="G152" i="2"/>
  <c r="H152" i="2"/>
  <c r="B153" i="2"/>
  <c r="C153" i="2"/>
  <c r="D153" i="2"/>
  <c r="F153" i="2"/>
  <c r="G153" i="2"/>
  <c r="H153" i="2"/>
  <c r="B154" i="2"/>
  <c r="C154" i="2"/>
  <c r="D154" i="2"/>
  <c r="F154" i="2"/>
  <c r="G154" i="2"/>
  <c r="H154" i="2"/>
  <c r="B155" i="2"/>
  <c r="C155" i="2"/>
  <c r="D155" i="2"/>
  <c r="F155" i="2"/>
  <c r="G155" i="2"/>
  <c r="H155" i="2"/>
  <c r="B156" i="2"/>
  <c r="C156" i="2"/>
  <c r="D156" i="2"/>
  <c r="F156" i="2"/>
  <c r="G156" i="2"/>
  <c r="H156" i="2"/>
  <c r="B157" i="2"/>
  <c r="C157" i="2"/>
  <c r="D157" i="2"/>
  <c r="F157" i="2"/>
  <c r="G157" i="2"/>
  <c r="H157" i="2"/>
  <c r="B158" i="2"/>
  <c r="C158" i="2"/>
  <c r="D158" i="2"/>
  <c r="F158" i="2"/>
  <c r="G158" i="2"/>
  <c r="H158" i="2"/>
  <c r="B159" i="2"/>
  <c r="C159" i="2"/>
  <c r="D159" i="2"/>
  <c r="F159" i="2"/>
  <c r="G159" i="2"/>
  <c r="H159" i="2"/>
  <c r="B160" i="2"/>
  <c r="C160" i="2"/>
  <c r="D160" i="2"/>
  <c r="F160" i="2"/>
  <c r="G160" i="2"/>
  <c r="H160" i="2"/>
  <c r="B161" i="2"/>
  <c r="C161" i="2"/>
  <c r="D161" i="2"/>
  <c r="F161" i="2"/>
  <c r="G161" i="2"/>
  <c r="H161" i="2"/>
  <c r="B162" i="2"/>
  <c r="C162" i="2"/>
  <c r="D162" i="2"/>
  <c r="F162" i="2"/>
  <c r="G162" i="2"/>
  <c r="H162" i="2"/>
  <c r="B163" i="2"/>
  <c r="C163" i="2"/>
  <c r="D163" i="2"/>
  <c r="F163" i="2"/>
  <c r="G163" i="2"/>
  <c r="H163" i="2"/>
  <c r="B164" i="2"/>
  <c r="C164" i="2"/>
  <c r="D164" i="2"/>
  <c r="F164" i="2"/>
  <c r="G164" i="2"/>
  <c r="H164" i="2"/>
  <c r="B165" i="2"/>
  <c r="C165" i="2"/>
  <c r="D165" i="2"/>
  <c r="F165" i="2"/>
  <c r="G165" i="2"/>
  <c r="H165" i="2"/>
  <c r="B166" i="2"/>
  <c r="C166" i="2"/>
  <c r="D166" i="2"/>
  <c r="F166" i="2"/>
  <c r="G166" i="2"/>
  <c r="H166" i="2"/>
  <c r="B167" i="2"/>
  <c r="C167" i="2"/>
  <c r="D167" i="2"/>
  <c r="F167" i="2"/>
  <c r="G167" i="2"/>
  <c r="H167" i="2"/>
  <c r="B168" i="2"/>
  <c r="C168" i="2"/>
  <c r="D168" i="2"/>
  <c r="F168" i="2"/>
  <c r="G168" i="2"/>
  <c r="H168" i="2"/>
  <c r="B169" i="2"/>
  <c r="C169" i="2"/>
  <c r="D169" i="2"/>
  <c r="F169" i="2"/>
  <c r="G169" i="2"/>
  <c r="H169" i="2"/>
  <c r="B170" i="2"/>
  <c r="C170" i="2"/>
  <c r="D170" i="2"/>
  <c r="F170" i="2"/>
  <c r="G170" i="2"/>
  <c r="H170" i="2"/>
  <c r="B171" i="2"/>
  <c r="C171" i="2"/>
  <c r="D171" i="2"/>
  <c r="F171" i="2"/>
  <c r="G171" i="2"/>
  <c r="H171" i="2"/>
  <c r="B172" i="2"/>
  <c r="C172" i="2"/>
  <c r="D172" i="2"/>
  <c r="F172" i="2"/>
  <c r="G172" i="2"/>
  <c r="H172" i="2"/>
  <c r="B173" i="2"/>
  <c r="C173" i="2"/>
  <c r="D173" i="2"/>
  <c r="F173" i="2"/>
  <c r="G173" i="2"/>
  <c r="H173" i="2"/>
  <c r="B174" i="2"/>
  <c r="C174" i="2"/>
  <c r="D174" i="2"/>
  <c r="F174" i="2"/>
  <c r="G174" i="2"/>
  <c r="H174" i="2"/>
  <c r="B175" i="2"/>
  <c r="C175" i="2"/>
  <c r="D175" i="2"/>
  <c r="F175" i="2"/>
  <c r="G175" i="2"/>
  <c r="H175" i="2"/>
  <c r="B176" i="2"/>
  <c r="C176" i="2"/>
  <c r="D176" i="2"/>
  <c r="F176" i="2"/>
  <c r="G176" i="2"/>
  <c r="H176" i="2"/>
  <c r="B177" i="2"/>
  <c r="C177" i="2"/>
  <c r="D177" i="2"/>
  <c r="F177" i="2"/>
  <c r="G177" i="2"/>
  <c r="H177" i="2"/>
  <c r="B178" i="2"/>
  <c r="C178" i="2"/>
  <c r="D178" i="2"/>
  <c r="F178" i="2"/>
  <c r="G178" i="2"/>
  <c r="H178" i="2"/>
  <c r="B179" i="2"/>
  <c r="C179" i="2"/>
  <c r="D179" i="2"/>
  <c r="F179" i="2"/>
  <c r="G179" i="2"/>
  <c r="H179" i="2"/>
  <c r="B180" i="2"/>
  <c r="C180" i="2"/>
  <c r="D180" i="2"/>
  <c r="F180" i="2"/>
  <c r="G180" i="2"/>
  <c r="H180" i="2"/>
  <c r="B181" i="2"/>
  <c r="C181" i="2"/>
  <c r="D181" i="2"/>
  <c r="F181" i="2"/>
  <c r="G181" i="2"/>
  <c r="H181" i="2"/>
  <c r="B182" i="2"/>
  <c r="C182" i="2"/>
  <c r="D182" i="2"/>
  <c r="F182" i="2"/>
  <c r="G182" i="2"/>
  <c r="H182" i="2"/>
  <c r="B183" i="2"/>
  <c r="C183" i="2"/>
  <c r="D183" i="2"/>
  <c r="F183" i="2"/>
  <c r="G183" i="2"/>
  <c r="H183" i="2"/>
  <c r="B184" i="2"/>
  <c r="C184" i="2"/>
  <c r="D184" i="2"/>
  <c r="F184" i="2"/>
  <c r="G184" i="2"/>
  <c r="H184" i="2"/>
  <c r="B185" i="2"/>
  <c r="C185" i="2"/>
  <c r="D185" i="2"/>
  <c r="F185" i="2"/>
  <c r="G185" i="2"/>
  <c r="H185" i="2"/>
  <c r="B186" i="2"/>
  <c r="C186" i="2"/>
  <c r="D186" i="2"/>
  <c r="F186" i="2"/>
  <c r="G186" i="2"/>
  <c r="H186" i="2"/>
  <c r="B187" i="2"/>
  <c r="C187" i="2"/>
  <c r="D187" i="2"/>
  <c r="F187" i="2"/>
  <c r="G187" i="2"/>
  <c r="H187" i="2"/>
  <c r="B188" i="2"/>
  <c r="C188" i="2"/>
  <c r="D188" i="2"/>
  <c r="F188" i="2"/>
  <c r="G188" i="2"/>
  <c r="H18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47" i="2"/>
  <c r="A148" i="2"/>
  <c r="A149" i="2"/>
  <c r="A150" i="2"/>
  <c r="A151" i="2"/>
  <c r="A152" i="2"/>
  <c r="A153" i="2"/>
  <c r="A154" i="2"/>
  <c r="A137" i="2"/>
  <c r="A138" i="2"/>
  <c r="A139" i="2"/>
  <c r="A140" i="2"/>
  <c r="A141" i="2"/>
  <c r="A142" i="2"/>
  <c r="A143" i="2"/>
  <c r="A144" i="2"/>
  <c r="A145" i="2"/>
  <c r="A146" i="2"/>
  <c r="M184" i="11"/>
  <c r="M185" i="11"/>
  <c r="M186" i="11"/>
  <c r="M187" i="11"/>
  <c r="M188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I288" i="11" l="1"/>
  <c r="I274" i="11"/>
  <c r="I202" i="11"/>
  <c r="K37" i="8"/>
  <c r="I33" i="8"/>
  <c r="K33" i="8"/>
  <c r="I31" i="8"/>
  <c r="K31" i="8"/>
  <c r="I27" i="8"/>
  <c r="K27" i="8"/>
  <c r="I24" i="8"/>
  <c r="K24" i="8"/>
  <c r="I18" i="8"/>
  <c r="K18" i="8"/>
  <c r="I26" i="8"/>
  <c r="K26" i="8"/>
  <c r="I16" i="8"/>
  <c r="K16" i="8"/>
  <c r="I21" i="8"/>
  <c r="K21" i="8"/>
  <c r="I12" i="8"/>
  <c r="K12" i="8"/>
  <c r="I35" i="8"/>
  <c r="K35" i="8"/>
  <c r="I4" i="8"/>
  <c r="K4" i="8"/>
  <c r="I28" i="8"/>
  <c r="K28" i="8"/>
  <c r="I34" i="8"/>
  <c r="K34" i="8"/>
  <c r="I32" i="8"/>
  <c r="K32" i="8"/>
  <c r="I8" i="8"/>
  <c r="K8" i="8"/>
  <c r="I20" i="8"/>
  <c r="K20" i="8"/>
  <c r="K731" i="11" s="1"/>
  <c r="I22" i="8"/>
  <c r="K22" i="8"/>
  <c r="I2" i="8"/>
  <c r="K2" i="8"/>
  <c r="I5" i="8"/>
  <c r="K5" i="8"/>
  <c r="I14" i="8"/>
  <c r="K14" i="8"/>
  <c r="I17" i="8"/>
  <c r="K17" i="8"/>
  <c r="I11" i="8"/>
  <c r="K11" i="8"/>
  <c r="I10" i="8"/>
  <c r="K10" i="8"/>
  <c r="I9" i="8"/>
  <c r="K9" i="8"/>
  <c r="I25" i="8"/>
  <c r="K25" i="8"/>
  <c r="I13" i="8"/>
  <c r="K13" i="8"/>
  <c r="I19" i="8"/>
  <c r="K19" i="8"/>
  <c r="I6" i="8"/>
  <c r="K6" i="8"/>
  <c r="I23" i="8"/>
  <c r="K23" i="8"/>
  <c r="I3" i="8"/>
  <c r="K3" i="8"/>
  <c r="I29" i="8"/>
  <c r="K29" i="8"/>
  <c r="I30" i="8"/>
  <c r="K30" i="8"/>
  <c r="I15" i="8"/>
  <c r="K15" i="8"/>
  <c r="K36" i="8"/>
  <c r="I246" i="11"/>
  <c r="I182" i="11"/>
  <c r="I579" i="11"/>
  <c r="I189" i="11"/>
  <c r="I547" i="11"/>
  <c r="I373" i="11"/>
  <c r="I366" i="11"/>
  <c r="I37" i="11"/>
  <c r="I273" i="11"/>
  <c r="I567" i="11"/>
  <c r="I286" i="11"/>
  <c r="I283" i="11"/>
  <c r="I284" i="11"/>
  <c r="I276" i="11"/>
  <c r="I275" i="11"/>
  <c r="I268" i="11"/>
  <c r="I270" i="11"/>
  <c r="I267" i="11"/>
  <c r="I266" i="11"/>
  <c r="I200" i="11"/>
  <c r="I557" i="11"/>
  <c r="I13" i="11"/>
  <c r="I577" i="11"/>
  <c r="I435" i="11"/>
  <c r="I403" i="11"/>
  <c r="I212" i="11"/>
  <c r="I25" i="11"/>
  <c r="I39" i="11"/>
  <c r="I385" i="11"/>
  <c r="I3" i="11"/>
  <c r="I211" i="11"/>
  <c r="I401" i="11"/>
  <c r="I383" i="11"/>
  <c r="I23" i="11"/>
  <c r="I559" i="11"/>
  <c r="J538" i="21"/>
  <c r="J187" i="21"/>
  <c r="J216" i="21"/>
  <c r="J354" i="21"/>
  <c r="J373" i="21"/>
  <c r="J392" i="21"/>
  <c r="J470" i="21"/>
  <c r="J509" i="21"/>
  <c r="J335" i="21"/>
  <c r="J431" i="21"/>
  <c r="J548" i="21"/>
  <c r="J226" i="21"/>
  <c r="J265" i="21"/>
  <c r="J304" i="21"/>
  <c r="J343" i="21"/>
  <c r="J382" i="21"/>
  <c r="J421" i="21"/>
  <c r="J460" i="21"/>
  <c r="J499" i="21"/>
  <c r="J315" i="21"/>
  <c r="J334" i="21"/>
  <c r="J353" i="21"/>
  <c r="J372" i="21"/>
  <c r="J411" i="21"/>
  <c r="J450" i="21"/>
  <c r="J489" i="21"/>
  <c r="J528" i="21"/>
  <c r="J206" i="21"/>
  <c r="J245" i="21"/>
  <c r="J284" i="21"/>
  <c r="J323" i="21"/>
  <c r="J362" i="21"/>
  <c r="J401" i="21"/>
  <c r="J440" i="21"/>
  <c r="J479" i="21"/>
  <c r="J518" i="21"/>
  <c r="J196" i="21"/>
  <c r="J295" i="21"/>
  <c r="J314" i="21"/>
  <c r="J333" i="21"/>
  <c r="J352" i="21"/>
  <c r="J391" i="21"/>
  <c r="J430" i="21"/>
  <c r="J469" i="21"/>
  <c r="J508" i="21"/>
  <c r="J547" i="21"/>
  <c r="J186" i="21"/>
  <c r="J225" i="21"/>
  <c r="J264" i="21"/>
  <c r="J303" i="21"/>
  <c r="J342" i="21"/>
  <c r="J381" i="21"/>
  <c r="J420" i="21"/>
  <c r="J459" i="21"/>
  <c r="J498" i="21"/>
  <c r="J537" i="21"/>
  <c r="J275" i="21"/>
  <c r="J294" i="21"/>
  <c r="J313" i="21"/>
  <c r="J332" i="21"/>
  <c r="J371" i="21"/>
  <c r="J410" i="21"/>
  <c r="J449" i="21"/>
  <c r="J488" i="21"/>
  <c r="J527" i="21"/>
  <c r="J205" i="21"/>
  <c r="J244" i="21"/>
  <c r="J283" i="21"/>
  <c r="J322" i="21"/>
  <c r="J361" i="21"/>
  <c r="J400" i="21"/>
  <c r="J439" i="21"/>
  <c r="J478" i="21"/>
  <c r="J517" i="21"/>
  <c r="J255" i="21"/>
  <c r="J274" i="21"/>
  <c r="J293" i="21"/>
  <c r="J312" i="21"/>
  <c r="J351" i="21"/>
  <c r="J390" i="21"/>
  <c r="J429" i="21"/>
  <c r="J468" i="21"/>
  <c r="J507" i="21"/>
  <c r="J546" i="21"/>
  <c r="J185" i="21"/>
  <c r="J224" i="21"/>
  <c r="J263" i="21"/>
  <c r="J302" i="21"/>
  <c r="J341" i="21"/>
  <c r="J380" i="21"/>
  <c r="J419" i="21"/>
  <c r="J458" i="21"/>
  <c r="J497" i="21"/>
  <c r="J536" i="21"/>
  <c r="J235" i="21"/>
  <c r="J254" i="21"/>
  <c r="J273" i="21"/>
  <c r="J292" i="21"/>
  <c r="J331" i="21"/>
  <c r="J370" i="21"/>
  <c r="J409" i="21"/>
  <c r="J448" i="21"/>
  <c r="J487" i="21"/>
  <c r="J526" i="21"/>
  <c r="J204" i="21"/>
  <c r="J243" i="21"/>
  <c r="J282" i="21"/>
  <c r="J321" i="21"/>
  <c r="J360" i="21"/>
  <c r="J399" i="21"/>
  <c r="J438" i="21"/>
  <c r="J477" i="21"/>
  <c r="J516" i="21"/>
  <c r="J215" i="21"/>
  <c r="J234" i="21"/>
  <c r="J253" i="21"/>
  <c r="J272" i="21"/>
  <c r="J311" i="21"/>
  <c r="J350" i="21"/>
  <c r="J389" i="21"/>
  <c r="J428" i="21"/>
  <c r="J467" i="21"/>
  <c r="J506" i="21"/>
  <c r="J545" i="21"/>
  <c r="J184" i="21"/>
  <c r="J223" i="21"/>
  <c r="J262" i="21"/>
  <c r="J301" i="21"/>
  <c r="J340" i="21"/>
  <c r="J379" i="21"/>
  <c r="J418" i="21"/>
  <c r="J457" i="21"/>
  <c r="J496" i="21"/>
  <c r="J195" i="21"/>
  <c r="J214" i="21"/>
  <c r="J233" i="21"/>
  <c r="J252" i="21"/>
  <c r="J291" i="21"/>
  <c r="J330" i="21"/>
  <c r="J369" i="21"/>
  <c r="J408" i="21"/>
  <c r="J447" i="21"/>
  <c r="J486" i="21"/>
  <c r="J525" i="21"/>
  <c r="J203" i="21"/>
  <c r="J242" i="21"/>
  <c r="J281" i="21"/>
  <c r="J320" i="21"/>
  <c r="J359" i="21"/>
  <c r="J398" i="21"/>
  <c r="J437" i="21"/>
  <c r="J476" i="21"/>
  <c r="J194" i="21"/>
  <c r="J213" i="21"/>
  <c r="J232" i="21"/>
  <c r="J271" i="21"/>
  <c r="J310" i="21"/>
  <c r="J349" i="21"/>
  <c r="J388" i="21"/>
  <c r="J427" i="21"/>
  <c r="J466" i="21"/>
  <c r="J505" i="21"/>
  <c r="J544" i="21"/>
  <c r="J183" i="21"/>
  <c r="J222" i="21"/>
  <c r="J261" i="21"/>
  <c r="J300" i="21"/>
  <c r="J339" i="21"/>
  <c r="J378" i="21"/>
  <c r="J417" i="21"/>
  <c r="J456" i="21"/>
  <c r="J193" i="21"/>
  <c r="J212" i="21"/>
  <c r="J251" i="21"/>
  <c r="J290" i="21"/>
  <c r="J329" i="21"/>
  <c r="J368" i="21"/>
  <c r="J407" i="21"/>
  <c r="J446" i="21"/>
  <c r="J485" i="21"/>
  <c r="J524" i="21"/>
  <c r="J202" i="21"/>
  <c r="J241" i="21"/>
  <c r="J280" i="21"/>
  <c r="J319" i="21"/>
  <c r="J358" i="21"/>
  <c r="J397" i="21"/>
  <c r="J436" i="21"/>
  <c r="J535" i="21"/>
  <c r="J192" i="21"/>
  <c r="J231" i="21"/>
  <c r="J270" i="21"/>
  <c r="J309" i="21"/>
  <c r="J348" i="21"/>
  <c r="J387" i="21"/>
  <c r="J426" i="21"/>
  <c r="J465" i="21"/>
  <c r="J504" i="21"/>
  <c r="J543" i="21"/>
  <c r="J182" i="21"/>
  <c r="J221" i="21"/>
  <c r="J260" i="21"/>
  <c r="J299" i="21"/>
  <c r="J338" i="21"/>
  <c r="J377" i="21"/>
  <c r="J416" i="21"/>
  <c r="J515" i="21"/>
  <c r="J534" i="21"/>
  <c r="J211" i="21"/>
  <c r="J250" i="21"/>
  <c r="J289" i="21"/>
  <c r="J328" i="21"/>
  <c r="J367" i="21"/>
  <c r="J406" i="21"/>
  <c r="J445" i="21"/>
  <c r="J484" i="21"/>
  <c r="J523" i="21"/>
  <c r="J201" i="21"/>
  <c r="J240" i="21"/>
  <c r="J279" i="21"/>
  <c r="J318" i="21"/>
  <c r="J357" i="21"/>
  <c r="J396" i="21"/>
  <c r="J495" i="21"/>
  <c r="J514" i="21"/>
  <c r="J533" i="21"/>
  <c r="J191" i="21"/>
  <c r="J230" i="21"/>
  <c r="J269" i="21"/>
  <c r="J308" i="21"/>
  <c r="J347" i="21"/>
  <c r="J386" i="21"/>
  <c r="J425" i="21"/>
  <c r="J464" i="21"/>
  <c r="J503" i="21"/>
  <c r="J542" i="21"/>
  <c r="J220" i="21"/>
  <c r="J259" i="21"/>
  <c r="J298" i="21"/>
  <c r="J337" i="21"/>
  <c r="J376" i="21"/>
  <c r="J475" i="21"/>
  <c r="J494" i="21"/>
  <c r="J513" i="21"/>
  <c r="J532" i="21"/>
  <c r="J210" i="21"/>
  <c r="J249" i="21"/>
  <c r="J288" i="21"/>
  <c r="J327" i="21"/>
  <c r="J366" i="21"/>
  <c r="J405" i="21"/>
  <c r="J444" i="21"/>
  <c r="J483" i="21"/>
  <c r="J522" i="21"/>
  <c r="J200" i="21"/>
  <c r="J239" i="21"/>
  <c r="J278" i="21"/>
  <c r="J317" i="21"/>
  <c r="J356" i="21"/>
  <c r="J455" i="21"/>
  <c r="J474" i="21"/>
  <c r="J493" i="21"/>
  <c r="J512" i="21"/>
  <c r="J551" i="21"/>
  <c r="J190" i="21"/>
  <c r="J229" i="21"/>
  <c r="J268" i="21"/>
  <c r="J307" i="21"/>
  <c r="J346" i="21"/>
  <c r="J385" i="21"/>
  <c r="J424" i="21"/>
  <c r="J463" i="21"/>
  <c r="J502" i="21"/>
  <c r="J541" i="21"/>
  <c r="J219" i="21"/>
  <c r="J258" i="21"/>
  <c r="J297" i="21"/>
  <c r="J336" i="21"/>
  <c r="J435" i="21"/>
  <c r="J454" i="21"/>
  <c r="J473" i="21"/>
  <c r="J492" i="21"/>
  <c r="J531" i="21"/>
  <c r="J209" i="21"/>
  <c r="J248" i="21"/>
  <c r="J287" i="21"/>
  <c r="J326" i="21"/>
  <c r="J365" i="21"/>
  <c r="J404" i="21"/>
  <c r="J443" i="21"/>
  <c r="J482" i="21"/>
  <c r="J521" i="21"/>
  <c r="J199" i="21"/>
  <c r="J238" i="21"/>
  <c r="J277" i="21"/>
  <c r="J316" i="21"/>
  <c r="J415" i="21"/>
  <c r="J434" i="21"/>
  <c r="J453" i="21"/>
  <c r="J472" i="21"/>
  <c r="J511" i="21"/>
  <c r="J550" i="21"/>
  <c r="J189" i="21"/>
  <c r="J228" i="21"/>
  <c r="J267" i="21"/>
  <c r="J306" i="21"/>
  <c r="J345" i="21"/>
  <c r="J384" i="21"/>
  <c r="J423" i="21"/>
  <c r="J462" i="21"/>
  <c r="J501" i="21"/>
  <c r="J540" i="21"/>
  <c r="J218" i="21"/>
  <c r="J257" i="21"/>
  <c r="J296" i="21"/>
  <c r="J395" i="21"/>
  <c r="J414" i="21"/>
  <c r="J433" i="21"/>
  <c r="J452" i="21"/>
  <c r="J491" i="21"/>
  <c r="J530" i="21"/>
  <c r="J208" i="21"/>
  <c r="J247" i="21"/>
  <c r="J286" i="21"/>
  <c r="J325" i="21"/>
  <c r="J364" i="21"/>
  <c r="J403" i="21"/>
  <c r="J442" i="21"/>
  <c r="J481" i="21"/>
  <c r="J520" i="21"/>
  <c r="J198" i="21"/>
  <c r="J237" i="21"/>
  <c r="J276" i="21"/>
  <c r="J375" i="21"/>
  <c r="J394" i="21"/>
  <c r="J413" i="21"/>
  <c r="J432" i="21"/>
  <c r="J471" i="21"/>
  <c r="J510" i="21"/>
  <c r="J549" i="21"/>
  <c r="J188" i="21"/>
  <c r="J227" i="21"/>
  <c r="J266" i="21"/>
  <c r="J305" i="21"/>
  <c r="J344" i="21"/>
  <c r="J383" i="21"/>
  <c r="J422" i="21"/>
  <c r="J461" i="21"/>
  <c r="J500" i="21"/>
  <c r="J539" i="21"/>
  <c r="J217" i="21"/>
  <c r="J256" i="21"/>
  <c r="J355" i="21"/>
  <c r="J374" i="21"/>
  <c r="J393" i="21"/>
  <c r="J412" i="21"/>
  <c r="J451" i="21"/>
  <c r="J490" i="21"/>
  <c r="J529" i="21"/>
  <c r="J207" i="21"/>
  <c r="J246" i="21"/>
  <c r="J285" i="21"/>
  <c r="J324" i="21"/>
  <c r="J363" i="21"/>
  <c r="J402" i="21"/>
  <c r="J441" i="21"/>
  <c r="J480" i="21"/>
  <c r="J519" i="21"/>
  <c r="J197" i="21"/>
  <c r="N144" i="11"/>
  <c r="N174" i="11"/>
  <c r="N157" i="11"/>
  <c r="N140" i="11"/>
  <c r="N186" i="11"/>
  <c r="N185" i="11"/>
  <c r="N188" i="11"/>
  <c r="N177" i="11"/>
  <c r="N152" i="11"/>
  <c r="N137" i="11"/>
  <c r="N172" i="11"/>
  <c r="N168" i="11"/>
  <c r="N150" i="11"/>
  <c r="N146" i="11"/>
  <c r="N166" i="11"/>
  <c r="N175" i="11"/>
  <c r="N147" i="11"/>
  <c r="N156" i="11"/>
  <c r="N145" i="11"/>
  <c r="N153" i="11"/>
  <c r="N169" i="11"/>
  <c r="N149" i="11"/>
  <c r="N173" i="11"/>
  <c r="N160" i="11"/>
  <c r="N165" i="11"/>
  <c r="N171" i="11"/>
  <c r="N155" i="11"/>
  <c r="N184" i="11"/>
  <c r="N183" i="11"/>
  <c r="N148" i="11"/>
  <c r="N170" i="11"/>
  <c r="N178" i="11"/>
  <c r="N163" i="11"/>
  <c r="N164" i="11"/>
  <c r="N158" i="11"/>
  <c r="N143" i="11"/>
  <c r="N154" i="11"/>
  <c r="N180" i="11"/>
  <c r="N187" i="11"/>
  <c r="N138" i="11"/>
  <c r="N167" i="11"/>
  <c r="N151" i="11"/>
  <c r="N176" i="11"/>
  <c r="N182" i="11"/>
  <c r="N162" i="11"/>
  <c r="N142" i="11"/>
  <c r="N181" i="11"/>
  <c r="N161" i="11"/>
  <c r="N141" i="11"/>
  <c r="N179" i="11"/>
  <c r="N159" i="11"/>
  <c r="N139" i="11"/>
  <c r="C106" i="2"/>
  <c r="D106" i="2"/>
  <c r="F106" i="2"/>
  <c r="G106" i="2"/>
  <c r="H106" i="2"/>
  <c r="C107" i="2"/>
  <c r="D107" i="2"/>
  <c r="F107" i="2"/>
  <c r="G107" i="2"/>
  <c r="H107" i="2"/>
  <c r="C108" i="2"/>
  <c r="D108" i="2"/>
  <c r="F108" i="2"/>
  <c r="G108" i="2"/>
  <c r="H108" i="2"/>
  <c r="C109" i="2"/>
  <c r="D109" i="2"/>
  <c r="F109" i="2"/>
  <c r="G109" i="2"/>
  <c r="H109" i="2"/>
  <c r="C110" i="2"/>
  <c r="D110" i="2"/>
  <c r="F110" i="2"/>
  <c r="G110" i="2"/>
  <c r="H110" i="2"/>
  <c r="C111" i="2"/>
  <c r="D111" i="2"/>
  <c r="F111" i="2"/>
  <c r="G111" i="2"/>
  <c r="H111" i="2"/>
  <c r="C112" i="2"/>
  <c r="D112" i="2"/>
  <c r="F112" i="2"/>
  <c r="G112" i="2"/>
  <c r="H112" i="2"/>
  <c r="C113" i="2"/>
  <c r="D113" i="2"/>
  <c r="F113" i="2"/>
  <c r="G113" i="2"/>
  <c r="H113" i="2"/>
  <c r="C114" i="2"/>
  <c r="D114" i="2"/>
  <c r="F114" i="2"/>
  <c r="G114" i="2"/>
  <c r="H114" i="2"/>
  <c r="C115" i="2"/>
  <c r="D115" i="2"/>
  <c r="F115" i="2"/>
  <c r="G115" i="2"/>
  <c r="H115" i="2"/>
  <c r="C116" i="2"/>
  <c r="D116" i="2"/>
  <c r="F116" i="2"/>
  <c r="G116" i="2"/>
  <c r="H116" i="2"/>
  <c r="C117" i="2"/>
  <c r="D117" i="2"/>
  <c r="F117" i="2"/>
  <c r="G117" i="2"/>
  <c r="H117" i="2"/>
  <c r="C118" i="2"/>
  <c r="D118" i="2"/>
  <c r="F118" i="2"/>
  <c r="G118" i="2"/>
  <c r="H118" i="2"/>
  <c r="C119" i="2"/>
  <c r="D119" i="2"/>
  <c r="F119" i="2"/>
  <c r="G119" i="2"/>
  <c r="H119" i="2"/>
  <c r="C120" i="2"/>
  <c r="D120" i="2"/>
  <c r="F120" i="2"/>
  <c r="G120" i="2"/>
  <c r="H120" i="2"/>
  <c r="C121" i="2"/>
  <c r="D121" i="2"/>
  <c r="F121" i="2"/>
  <c r="G121" i="2"/>
  <c r="H121" i="2"/>
  <c r="C122" i="2"/>
  <c r="D122" i="2"/>
  <c r="F122" i="2"/>
  <c r="G122" i="2"/>
  <c r="H122" i="2"/>
  <c r="C123" i="2"/>
  <c r="D123" i="2"/>
  <c r="F123" i="2"/>
  <c r="G123" i="2"/>
  <c r="H123" i="2"/>
  <c r="C124" i="2"/>
  <c r="D124" i="2"/>
  <c r="F124" i="2"/>
  <c r="G124" i="2"/>
  <c r="H124" i="2"/>
  <c r="C125" i="2"/>
  <c r="D125" i="2"/>
  <c r="F125" i="2"/>
  <c r="G125" i="2"/>
  <c r="H125" i="2"/>
  <c r="C126" i="2"/>
  <c r="D126" i="2"/>
  <c r="F126" i="2"/>
  <c r="G126" i="2"/>
  <c r="H126" i="2"/>
  <c r="C127" i="2"/>
  <c r="D127" i="2"/>
  <c r="F127" i="2"/>
  <c r="G127" i="2"/>
  <c r="H127" i="2"/>
  <c r="C128" i="2"/>
  <c r="D128" i="2"/>
  <c r="F128" i="2"/>
  <c r="G128" i="2"/>
  <c r="H128" i="2"/>
  <c r="C129" i="2"/>
  <c r="D129" i="2"/>
  <c r="F129" i="2"/>
  <c r="G129" i="2"/>
  <c r="H129" i="2"/>
  <c r="C130" i="2"/>
  <c r="D130" i="2"/>
  <c r="F130" i="2"/>
  <c r="G130" i="2"/>
  <c r="H130" i="2"/>
  <c r="C131" i="2"/>
  <c r="D131" i="2"/>
  <c r="F131" i="2"/>
  <c r="G131" i="2"/>
  <c r="H131" i="2"/>
  <c r="C132" i="2"/>
  <c r="D132" i="2"/>
  <c r="F132" i="2"/>
  <c r="G132" i="2"/>
  <c r="H132" i="2"/>
  <c r="C133" i="2"/>
  <c r="D133" i="2"/>
  <c r="F133" i="2"/>
  <c r="G133" i="2"/>
  <c r="H133" i="2"/>
  <c r="C134" i="2"/>
  <c r="D134" i="2"/>
  <c r="F134" i="2"/>
  <c r="G134" i="2"/>
  <c r="H134" i="2"/>
  <c r="C135" i="2"/>
  <c r="D135" i="2"/>
  <c r="F135" i="2"/>
  <c r="G135" i="2"/>
  <c r="H135" i="2"/>
  <c r="C136" i="2"/>
  <c r="D136" i="2"/>
  <c r="F136" i="2"/>
  <c r="G136" i="2"/>
  <c r="H136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A135" i="2"/>
  <c r="A136" i="2"/>
  <c r="A128" i="2"/>
  <c r="A129" i="2"/>
  <c r="A130" i="2"/>
  <c r="A131" i="2"/>
  <c r="A132" i="2"/>
  <c r="A133" i="2"/>
  <c r="A134" i="2"/>
  <c r="A117" i="2"/>
  <c r="A118" i="2"/>
  <c r="A119" i="2"/>
  <c r="A120" i="2"/>
  <c r="A121" i="2"/>
  <c r="A122" i="2"/>
  <c r="A123" i="2"/>
  <c r="A124" i="2"/>
  <c r="A125" i="2"/>
  <c r="A126" i="2"/>
  <c r="A127" i="2"/>
  <c r="A106" i="2"/>
  <c r="A107" i="2"/>
  <c r="A108" i="2"/>
  <c r="A109" i="2"/>
  <c r="A110" i="2"/>
  <c r="A111" i="2"/>
  <c r="A112" i="2"/>
  <c r="A113" i="2"/>
  <c r="A114" i="2"/>
  <c r="A115" i="2"/>
  <c r="A116" i="2"/>
  <c r="A2" i="15"/>
  <c r="B2" i="15"/>
  <c r="C3" i="15"/>
  <c r="A5" i="15"/>
  <c r="B5" i="15"/>
  <c r="C5" i="15"/>
  <c r="A7" i="15"/>
  <c r="B7" i="15"/>
  <c r="C7" i="15"/>
  <c r="A8" i="15"/>
  <c r="B8" i="15"/>
  <c r="C8" i="15"/>
  <c r="A9" i="15"/>
  <c r="B9" i="15"/>
  <c r="A11" i="15"/>
  <c r="B11" i="15"/>
  <c r="A12" i="15"/>
  <c r="B12" i="15"/>
  <c r="B13" i="15"/>
  <c r="C13" i="15"/>
  <c r="A15" i="15"/>
  <c r="B15" i="15"/>
  <c r="C15" i="15"/>
  <c r="A16" i="15"/>
  <c r="C16" i="15"/>
  <c r="A17" i="15"/>
  <c r="B17" i="15"/>
  <c r="B18" i="15"/>
  <c r="C18" i="15"/>
  <c r="C19" i="15"/>
  <c r="A20" i="15"/>
  <c r="A21" i="15"/>
  <c r="C24" i="15"/>
  <c r="B25" i="15"/>
  <c r="C27" i="15"/>
  <c r="A29" i="15"/>
  <c r="B30" i="15"/>
  <c r="C30" i="15"/>
  <c r="A31" i="15"/>
  <c r="B31" i="15"/>
  <c r="C31" i="15"/>
  <c r="A32" i="15"/>
  <c r="B32" i="15"/>
  <c r="K28" i="15"/>
  <c r="K29" i="15"/>
  <c r="K32" i="15"/>
  <c r="M123" i="11"/>
  <c r="M124" i="11"/>
  <c r="M125" i="11"/>
  <c r="K25" i="15"/>
  <c r="K26" i="15"/>
  <c r="K27" i="15"/>
  <c r="K2" i="15"/>
  <c r="M111" i="11"/>
  <c r="M113" i="11"/>
  <c r="M114" i="11"/>
  <c r="K11" i="15"/>
  <c r="M116" i="11"/>
  <c r="K13" i="15"/>
  <c r="K14" i="15"/>
  <c r="K15" i="15"/>
  <c r="K18" i="15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Z2" i="7"/>
  <c r="M2" i="11" s="1"/>
  <c r="F105" i="2"/>
  <c r="G105" i="2"/>
  <c r="H105" i="2"/>
  <c r="D105" i="2"/>
  <c r="C105" i="2"/>
  <c r="B105" i="2"/>
  <c r="A10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G104" i="3"/>
  <c r="G105" i="3"/>
  <c r="G100" i="3"/>
  <c r="G101" i="3"/>
  <c r="G102" i="3"/>
  <c r="G103" i="3"/>
  <c r="F98" i="3"/>
  <c r="F99" i="3"/>
  <c r="F100" i="3"/>
  <c r="F101" i="3"/>
  <c r="F102" i="3"/>
  <c r="F103" i="3"/>
  <c r="F104" i="3"/>
  <c r="F105" i="3"/>
  <c r="E98" i="3"/>
  <c r="E99" i="3"/>
  <c r="E100" i="3"/>
  <c r="E101" i="3"/>
  <c r="E102" i="3"/>
  <c r="E103" i="3"/>
  <c r="E104" i="3"/>
  <c r="E105" i="3"/>
  <c r="D98" i="3"/>
  <c r="D99" i="3"/>
  <c r="D100" i="3"/>
  <c r="D101" i="3"/>
  <c r="D102" i="3"/>
  <c r="D103" i="3"/>
  <c r="D104" i="3"/>
  <c r="D105" i="3"/>
  <c r="C98" i="3"/>
  <c r="C99" i="3"/>
  <c r="C100" i="3"/>
  <c r="C101" i="3"/>
  <c r="C102" i="3"/>
  <c r="C103" i="3"/>
  <c r="C104" i="3"/>
  <c r="C105" i="3"/>
  <c r="B98" i="3"/>
  <c r="B99" i="3"/>
  <c r="B100" i="3"/>
  <c r="B101" i="3"/>
  <c r="B102" i="3"/>
  <c r="B103" i="3"/>
  <c r="B104" i="3"/>
  <c r="B105" i="3"/>
  <c r="A98" i="3"/>
  <c r="A99" i="3"/>
  <c r="A100" i="3"/>
  <c r="A101" i="3"/>
  <c r="A102" i="3"/>
  <c r="A103" i="3"/>
  <c r="A104" i="3"/>
  <c r="A105" i="3"/>
  <c r="G98" i="3"/>
  <c r="G99" i="3"/>
  <c r="E47" i="3"/>
  <c r="F47" i="3"/>
  <c r="G47" i="3"/>
  <c r="E48" i="3"/>
  <c r="F48" i="3"/>
  <c r="G48" i="3"/>
  <c r="E49" i="3"/>
  <c r="F49" i="3"/>
  <c r="G49" i="3"/>
  <c r="E50" i="3"/>
  <c r="F50" i="3"/>
  <c r="G50" i="3"/>
  <c r="E51" i="3"/>
  <c r="F51" i="3"/>
  <c r="G51" i="3"/>
  <c r="E52" i="3"/>
  <c r="F52" i="3"/>
  <c r="G52" i="3"/>
  <c r="E53" i="3"/>
  <c r="F53" i="3"/>
  <c r="G53" i="3"/>
  <c r="E54" i="3"/>
  <c r="F54" i="3"/>
  <c r="G54" i="3"/>
  <c r="E55" i="3"/>
  <c r="F55" i="3"/>
  <c r="G55" i="3"/>
  <c r="E56" i="3"/>
  <c r="F56" i="3"/>
  <c r="G56" i="3"/>
  <c r="E57" i="3"/>
  <c r="F57" i="3"/>
  <c r="G57" i="3"/>
  <c r="E58" i="3"/>
  <c r="F58" i="3"/>
  <c r="G58" i="3"/>
  <c r="E59" i="3"/>
  <c r="F59" i="3"/>
  <c r="G59" i="3"/>
  <c r="E60" i="3"/>
  <c r="F60" i="3"/>
  <c r="G60" i="3"/>
  <c r="E61" i="3"/>
  <c r="F61" i="3"/>
  <c r="G61" i="3"/>
  <c r="E62" i="3"/>
  <c r="F62" i="3"/>
  <c r="G62" i="3"/>
  <c r="E63" i="3"/>
  <c r="F63" i="3"/>
  <c r="G63" i="3"/>
  <c r="E64" i="3"/>
  <c r="F64" i="3"/>
  <c r="G64" i="3"/>
  <c r="E65" i="3"/>
  <c r="F65" i="3"/>
  <c r="G65" i="3"/>
  <c r="E66" i="3"/>
  <c r="F66" i="3"/>
  <c r="G66" i="3"/>
  <c r="E67" i="3"/>
  <c r="F67" i="3"/>
  <c r="G67" i="3"/>
  <c r="E68" i="3"/>
  <c r="F68" i="3"/>
  <c r="G68" i="3"/>
  <c r="E69" i="3"/>
  <c r="F69" i="3"/>
  <c r="G69" i="3"/>
  <c r="E70" i="3"/>
  <c r="F70" i="3"/>
  <c r="G70" i="3"/>
  <c r="E71" i="3"/>
  <c r="F71" i="3"/>
  <c r="G71" i="3"/>
  <c r="E72" i="3"/>
  <c r="F72" i="3"/>
  <c r="G72" i="3"/>
  <c r="E73" i="3"/>
  <c r="F73" i="3"/>
  <c r="G73" i="3"/>
  <c r="E74" i="3"/>
  <c r="F74" i="3"/>
  <c r="G74" i="3"/>
  <c r="E75" i="3"/>
  <c r="F75" i="3"/>
  <c r="G75" i="3"/>
  <c r="E76" i="3"/>
  <c r="F76" i="3"/>
  <c r="G76" i="3"/>
  <c r="E77" i="3"/>
  <c r="F77" i="3"/>
  <c r="G77" i="3"/>
  <c r="E78" i="3"/>
  <c r="F78" i="3"/>
  <c r="G78" i="3"/>
  <c r="E79" i="3"/>
  <c r="F79" i="3"/>
  <c r="G79" i="3"/>
  <c r="E80" i="3"/>
  <c r="F80" i="3"/>
  <c r="G80" i="3"/>
  <c r="E81" i="3"/>
  <c r="F81" i="3"/>
  <c r="G81" i="3"/>
  <c r="E82" i="3"/>
  <c r="F82" i="3"/>
  <c r="G82" i="3"/>
  <c r="E83" i="3"/>
  <c r="F83" i="3"/>
  <c r="G83" i="3"/>
  <c r="E84" i="3"/>
  <c r="F84" i="3"/>
  <c r="G84" i="3"/>
  <c r="E85" i="3"/>
  <c r="F85" i="3"/>
  <c r="G85" i="3"/>
  <c r="E86" i="3"/>
  <c r="F86" i="3"/>
  <c r="G86" i="3"/>
  <c r="E87" i="3"/>
  <c r="F87" i="3"/>
  <c r="G87" i="3"/>
  <c r="E88" i="3"/>
  <c r="F88" i="3"/>
  <c r="G88" i="3"/>
  <c r="E89" i="3"/>
  <c r="F89" i="3"/>
  <c r="G89" i="3"/>
  <c r="E90" i="3"/>
  <c r="F90" i="3"/>
  <c r="G90" i="3"/>
  <c r="E91" i="3"/>
  <c r="F91" i="3"/>
  <c r="G91" i="3"/>
  <c r="E92" i="3"/>
  <c r="F92" i="3"/>
  <c r="G92" i="3"/>
  <c r="E93" i="3"/>
  <c r="F93" i="3"/>
  <c r="G93" i="3"/>
  <c r="E94" i="3"/>
  <c r="F94" i="3"/>
  <c r="G94" i="3"/>
  <c r="E95" i="3"/>
  <c r="F95" i="3"/>
  <c r="G95" i="3"/>
  <c r="E96" i="3"/>
  <c r="F96" i="3"/>
  <c r="G96" i="3"/>
  <c r="E97" i="3"/>
  <c r="F97" i="3"/>
  <c r="G9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D2" i="3"/>
  <c r="G7" i="8"/>
  <c r="X2" i="7"/>
  <c r="W2" i="7"/>
  <c r="S2" i="7"/>
  <c r="R2" i="7"/>
  <c r="P2" i="7"/>
  <c r="O2" i="7"/>
  <c r="J2" i="7"/>
  <c r="I2" i="7"/>
  <c r="G2" i="7"/>
  <c r="F2" i="7"/>
  <c r="E2" i="7"/>
  <c r="E2" i="11" s="1"/>
  <c r="D2" i="7"/>
  <c r="D2" i="11" s="1"/>
  <c r="C2" i="7"/>
  <c r="C2" i="11" s="1"/>
  <c r="B2" i="7"/>
  <c r="B2" i="11" s="1"/>
  <c r="A2" i="7"/>
  <c r="A2" i="11" s="1"/>
  <c r="G2" i="2"/>
  <c r="G2" i="3"/>
  <c r="F2" i="3"/>
  <c r="E2" i="3"/>
  <c r="C2" i="3"/>
  <c r="B2" i="3"/>
  <c r="A2" i="3"/>
  <c r="H2" i="2"/>
  <c r="F2" i="2"/>
  <c r="D2" i="2"/>
  <c r="C2" i="2"/>
  <c r="B2" i="2"/>
  <c r="A2" i="2"/>
  <c r="A177" i="21" l="1" a="1"/>
  <c r="A172" i="21" a="1"/>
  <c r="I7" i="8"/>
  <c r="K7" i="8"/>
  <c r="K730" i="11" s="1"/>
  <c r="A167" i="21" a="1"/>
  <c r="A162" i="21" a="1"/>
  <c r="A157" i="21" a="1"/>
  <c r="A152" i="21" a="1"/>
  <c r="A147" i="21" a="1"/>
  <c r="A132" i="21" a="1"/>
  <c r="A132" i="21" s="1"/>
  <c r="A122" i="21" a="1"/>
  <c r="A117" i="21" a="1"/>
  <c r="A112" i="21" a="1"/>
  <c r="A107" i="21" a="1"/>
  <c r="A102" i="21" a="1"/>
  <c r="A97" i="21" a="1"/>
  <c r="A92" i="21" a="1"/>
  <c r="A87" i="21" a="1"/>
  <c r="A82" i="21" a="1"/>
  <c r="A77" i="21" a="1"/>
  <c r="A72" i="21" a="1"/>
  <c r="A67" i="21" a="1"/>
  <c r="A62" i="21" a="1"/>
  <c r="A57" i="21" a="1"/>
  <c r="A52" i="21" a="1"/>
  <c r="A47" i="21" a="1"/>
  <c r="A142" i="21" a="1"/>
  <c r="A137" i="21" a="1"/>
  <c r="A127" i="21" a="1"/>
  <c r="A22" i="21" a="1"/>
  <c r="A17" i="21" a="1"/>
  <c r="A12" i="21" a="1"/>
  <c r="A7" i="21" a="1"/>
  <c r="A2" i="21" a="1"/>
  <c r="A42" i="21" a="1"/>
  <c r="A37" i="21" a="1"/>
  <c r="A32" i="21" a="1"/>
  <c r="A27" i="21" a="1"/>
  <c r="H12" i="15"/>
  <c r="N102" i="11"/>
  <c r="N75" i="11"/>
  <c r="H27" i="15"/>
  <c r="N103" i="11"/>
  <c r="C11" i="9"/>
  <c r="N82" i="11"/>
  <c r="N22" i="11"/>
  <c r="N70" i="11"/>
  <c r="N32" i="11"/>
  <c r="H4" i="15"/>
  <c r="C6" i="15"/>
  <c r="N72" i="11"/>
  <c r="N66" i="11"/>
  <c r="N95" i="11"/>
  <c r="N34" i="11"/>
  <c r="N55" i="11"/>
  <c r="N42" i="11"/>
  <c r="B14" i="15"/>
  <c r="D27" i="15"/>
  <c r="F27" i="15" s="1"/>
  <c r="N43" i="11"/>
  <c r="L6" i="15"/>
  <c r="N30" i="11"/>
  <c r="H6" i="15"/>
  <c r="N63" i="11"/>
  <c r="N49" i="11"/>
  <c r="N8" i="11"/>
  <c r="B4" i="15"/>
  <c r="N29" i="11"/>
  <c r="A6" i="15"/>
  <c r="H21" i="15"/>
  <c r="B10" i="15"/>
  <c r="C12" i="15"/>
  <c r="D28" i="15"/>
  <c r="F28" i="15" s="1"/>
  <c r="C14" i="15"/>
  <c r="D21" i="15"/>
  <c r="F21" i="15" s="1"/>
  <c r="G21" i="15" s="1"/>
  <c r="L14" i="15"/>
  <c r="N73" i="11"/>
  <c r="E29" i="15"/>
  <c r="N87" i="11"/>
  <c r="E16" i="15"/>
  <c r="L15" i="15"/>
  <c r="H11" i="15"/>
  <c r="N27" i="11"/>
  <c r="N89" i="11"/>
  <c r="A3" i="15"/>
  <c r="N90" i="11"/>
  <c r="N68" i="11"/>
  <c r="A4" i="15"/>
  <c r="N69" i="11"/>
  <c r="L26" i="15"/>
  <c r="L18" i="15"/>
  <c r="H13" i="15"/>
  <c r="A10" i="15"/>
  <c r="N48" i="11"/>
  <c r="N28" i="11"/>
  <c r="H30" i="15"/>
  <c r="E21" i="15"/>
  <c r="D14" i="15"/>
  <c r="F14" i="15" s="1"/>
  <c r="H8" i="15"/>
  <c r="N117" i="11"/>
  <c r="A19" i="15"/>
  <c r="B21" i="15"/>
  <c r="H2" i="15"/>
  <c r="A24" i="15"/>
  <c r="L29" i="15"/>
  <c r="C25" i="15"/>
  <c r="N88" i="11"/>
  <c r="K13" i="9"/>
  <c r="K15" i="9"/>
  <c r="D12" i="9"/>
  <c r="D15" i="9"/>
  <c r="K11" i="9"/>
  <c r="K10" i="9"/>
  <c r="D14" i="9"/>
  <c r="D9" i="9"/>
  <c r="D4" i="9"/>
  <c r="D8" i="9"/>
  <c r="K4" i="9"/>
  <c r="C8" i="9"/>
  <c r="K6" i="9"/>
  <c r="K9" i="9"/>
  <c r="K3" i="9"/>
  <c r="C3" i="9"/>
  <c r="D13" i="9"/>
  <c r="K12" i="9"/>
  <c r="C9" i="9"/>
  <c r="C10" i="9"/>
  <c r="D11" i="9"/>
  <c r="K14" i="9"/>
  <c r="D6" i="9"/>
  <c r="D3" i="9"/>
  <c r="C15" i="9"/>
  <c r="K8" i="9"/>
  <c r="C4" i="9"/>
  <c r="C6" i="9"/>
  <c r="D10" i="9"/>
  <c r="C12" i="9"/>
  <c r="C14" i="9"/>
  <c r="C13" i="9"/>
  <c r="N45" i="11"/>
  <c r="L16" i="15"/>
  <c r="E2" i="15"/>
  <c r="N67" i="11"/>
  <c r="N38" i="11"/>
  <c r="N16" i="11"/>
  <c r="N9" i="11"/>
  <c r="E25" i="15"/>
  <c r="E10" i="15"/>
  <c r="E3" i="15"/>
  <c r="N86" i="11"/>
  <c r="N98" i="11"/>
  <c r="N79" i="11"/>
  <c r="N10" i="11"/>
  <c r="H32" i="15"/>
  <c r="H14" i="15"/>
  <c r="C21" i="15"/>
  <c r="N59" i="11"/>
  <c r="N7" i="11"/>
  <c r="D24" i="15"/>
  <c r="F24" i="15" s="1"/>
  <c r="N126" i="11"/>
  <c r="H15" i="15"/>
  <c r="H7" i="15"/>
  <c r="E5" i="15"/>
  <c r="A13" i="15"/>
  <c r="N54" i="11"/>
  <c r="A22" i="15"/>
  <c r="B22" i="15"/>
  <c r="N92" i="11"/>
  <c r="E32" i="15"/>
  <c r="C4" i="15"/>
  <c r="A23" i="15"/>
  <c r="E15" i="15"/>
  <c r="D8" i="15"/>
  <c r="F8" i="15" s="1"/>
  <c r="N77" i="11"/>
  <c r="N56" i="11"/>
  <c r="H18" i="15"/>
  <c r="N111" i="11"/>
  <c r="L2" i="15"/>
  <c r="B6" i="15"/>
  <c r="B26" i="15"/>
  <c r="L25" i="15"/>
  <c r="N74" i="11"/>
  <c r="N94" i="11"/>
  <c r="N83" i="11"/>
  <c r="N62" i="11"/>
  <c r="N33" i="11"/>
  <c r="H28" i="15"/>
  <c r="H19" i="15"/>
  <c r="M133" i="11"/>
  <c r="H20" i="15"/>
  <c r="D19" i="15"/>
  <c r="F19" i="15" s="1"/>
  <c r="C17" i="15"/>
  <c r="K9" i="15"/>
  <c r="E28" i="15"/>
  <c r="H22" i="15"/>
  <c r="D20" i="15"/>
  <c r="F20" i="15" s="1"/>
  <c r="G20" i="15" s="1"/>
  <c r="N114" i="11"/>
  <c r="D3" i="15"/>
  <c r="F3" i="15" s="1"/>
  <c r="B19" i="15"/>
  <c r="E19" i="15"/>
  <c r="N36" i="11"/>
  <c r="H23" i="15"/>
  <c r="D4" i="15"/>
  <c r="F4" i="15" s="1"/>
  <c r="B20" i="15"/>
  <c r="E23" i="15"/>
  <c r="D9" i="15"/>
  <c r="F9" i="15" s="1"/>
  <c r="M118" i="11"/>
  <c r="K7" i="15"/>
  <c r="N12" i="11"/>
  <c r="C29" i="15"/>
  <c r="K24" i="15"/>
  <c r="M128" i="11"/>
  <c r="N52" i="11"/>
  <c r="N26" i="11"/>
  <c r="B27" i="15"/>
  <c r="A25" i="15"/>
  <c r="M117" i="11"/>
  <c r="K12" i="15"/>
  <c r="K5" i="15"/>
  <c r="M109" i="11"/>
  <c r="D7" i="9"/>
  <c r="C7" i="9"/>
  <c r="K7" i="9"/>
  <c r="C2" i="9"/>
  <c r="C5" i="9"/>
  <c r="K5" i="9"/>
  <c r="K2" i="9"/>
  <c r="M121" i="11"/>
  <c r="K17" i="15"/>
  <c r="M127" i="11"/>
  <c r="K23" i="15"/>
  <c r="N85" i="11"/>
  <c r="N47" i="11"/>
  <c r="B28" i="15"/>
  <c r="A27" i="15"/>
  <c r="A26" i="15"/>
  <c r="B3" i="15"/>
  <c r="B23" i="15"/>
  <c r="A30" i="15"/>
  <c r="M120" i="11"/>
  <c r="K16" i="15"/>
  <c r="K22" i="15"/>
  <c r="M126" i="11"/>
  <c r="B29" i="15"/>
  <c r="A28" i="15"/>
  <c r="M115" i="11"/>
  <c r="N37" i="11"/>
  <c r="N14" i="11"/>
  <c r="M106" i="11"/>
  <c r="B24" i="15"/>
  <c r="C32" i="15"/>
  <c r="N65" i="11"/>
  <c r="N39" i="11"/>
  <c r="N15" i="11"/>
  <c r="H24" i="15"/>
  <c r="N3" i="11"/>
  <c r="C9" i="15"/>
  <c r="N57" i="11"/>
  <c r="N17" i="11"/>
  <c r="H26" i="15"/>
  <c r="C10" i="15"/>
  <c r="C2" i="15"/>
  <c r="M135" i="11"/>
  <c r="K31" i="15"/>
  <c r="M134" i="11"/>
  <c r="K30" i="15"/>
  <c r="N96" i="11"/>
  <c r="N35" i="11"/>
  <c r="N6" i="11"/>
  <c r="C11" i="15"/>
  <c r="N110" i="11"/>
  <c r="K19" i="15"/>
  <c r="Q2" i="7"/>
  <c r="M112" i="11"/>
  <c r="K8" i="15"/>
  <c r="N19" i="11"/>
  <c r="C26" i="15"/>
  <c r="N46" i="11"/>
  <c r="M136" i="11"/>
  <c r="K20" i="15"/>
  <c r="M108" i="11"/>
  <c r="K4" i="15"/>
  <c r="T2" i="7"/>
  <c r="M110" i="11"/>
  <c r="K6" i="15"/>
  <c r="N23" i="11"/>
  <c r="C23" i="15"/>
  <c r="M132" i="11"/>
  <c r="K10" i="15"/>
  <c r="C22" i="15"/>
  <c r="M131" i="11"/>
  <c r="M130" i="11"/>
  <c r="N101" i="11"/>
  <c r="A14" i="15"/>
  <c r="M129" i="11"/>
  <c r="K21" i="15"/>
  <c r="M107" i="11"/>
  <c r="K3" i="15"/>
  <c r="N50" i="11"/>
  <c r="M122" i="11"/>
  <c r="N100" i="11"/>
  <c r="C28" i="15"/>
  <c r="M119" i="11"/>
  <c r="D2" i="15"/>
  <c r="F2" i="15" s="1"/>
  <c r="A18" i="15"/>
  <c r="C20" i="15"/>
  <c r="N97" i="11"/>
  <c r="N76" i="11"/>
  <c r="B16" i="15"/>
  <c r="N84" i="11"/>
  <c r="N99" i="11"/>
  <c r="N51" i="11"/>
  <c r="N44" i="11"/>
  <c r="N58" i="11"/>
  <c r="N93" i="11"/>
  <c r="N105" i="11"/>
  <c r="N61" i="11"/>
  <c r="N18" i="11"/>
  <c r="N11" i="11"/>
  <c r="N104" i="11"/>
  <c r="N60" i="11"/>
  <c r="N21" i="11"/>
  <c r="N5" i="11"/>
  <c r="N78" i="11"/>
  <c r="N20" i="11"/>
  <c r="N4" i="11"/>
  <c r="N81" i="11"/>
  <c r="N53" i="11"/>
  <c r="N71" i="11"/>
  <c r="N31" i="11"/>
  <c r="N80" i="11"/>
  <c r="N41" i="11"/>
  <c r="N64" i="11"/>
  <c r="N25" i="11"/>
  <c r="N13" i="11"/>
  <c r="N91" i="11"/>
  <c r="N40" i="11"/>
  <c r="N24" i="11"/>
  <c r="K2" i="7"/>
  <c r="G2" i="11" s="1"/>
  <c r="F2" i="11"/>
  <c r="H2" i="11" s="1"/>
  <c r="H2" i="7"/>
  <c r="Y2" i="7"/>
  <c r="N2" i="11" s="1"/>
  <c r="A172" i="21" l="1"/>
  <c r="I172" i="21"/>
  <c r="I173" i="21"/>
  <c r="J173" i="21"/>
  <c r="J172" i="21"/>
  <c r="J175" i="21"/>
  <c r="J174" i="21"/>
  <c r="J176" i="21"/>
  <c r="I175" i="21"/>
  <c r="I174" i="21"/>
  <c r="I176" i="21"/>
  <c r="A177" i="21"/>
  <c r="I179" i="21"/>
  <c r="I177" i="21"/>
  <c r="I181" i="21"/>
  <c r="I180" i="21"/>
  <c r="I178" i="21"/>
  <c r="J181" i="21"/>
  <c r="J178" i="21"/>
  <c r="J180" i="21"/>
  <c r="J179" i="21"/>
  <c r="J177" i="21"/>
  <c r="I60" i="21"/>
  <c r="I61" i="21"/>
  <c r="J60" i="21"/>
  <c r="J61" i="21"/>
  <c r="I116" i="21"/>
  <c r="J116" i="21"/>
  <c r="I153" i="21"/>
  <c r="I156" i="21"/>
  <c r="I155" i="21"/>
  <c r="I154" i="21"/>
  <c r="J153" i="21"/>
  <c r="J155" i="21"/>
  <c r="J154" i="21"/>
  <c r="J156" i="21"/>
  <c r="I161" i="21"/>
  <c r="J161" i="21"/>
  <c r="A152" i="21"/>
  <c r="M35" i="8" s="1"/>
  <c r="I152" i="21"/>
  <c r="J152" i="21"/>
  <c r="I56" i="21"/>
  <c r="J56" i="21"/>
  <c r="I91" i="21"/>
  <c r="J91" i="21"/>
  <c r="I55" i="21"/>
  <c r="J55" i="21"/>
  <c r="I160" i="21"/>
  <c r="J160" i="21"/>
  <c r="I101" i="21"/>
  <c r="J101" i="21"/>
  <c r="I90" i="21"/>
  <c r="J90" i="21"/>
  <c r="I54" i="21"/>
  <c r="J54" i="21"/>
  <c r="I53" i="21"/>
  <c r="J53" i="21"/>
  <c r="I166" i="21"/>
  <c r="J166" i="21"/>
  <c r="I46" i="21"/>
  <c r="J46" i="21"/>
  <c r="I45" i="21"/>
  <c r="J45" i="21"/>
  <c r="I41" i="21"/>
  <c r="J41" i="21"/>
  <c r="I100" i="21"/>
  <c r="J100" i="21"/>
  <c r="I40" i="21"/>
  <c r="J40" i="21"/>
  <c r="I99" i="21"/>
  <c r="J99" i="21"/>
  <c r="I44" i="21"/>
  <c r="J44" i="21"/>
  <c r="I43" i="21"/>
  <c r="J43" i="21"/>
  <c r="I89" i="21"/>
  <c r="J89" i="21"/>
  <c r="I98" i="21"/>
  <c r="J98" i="21"/>
  <c r="A42" i="21"/>
  <c r="M32" i="8" s="1"/>
  <c r="I42" i="21"/>
  <c r="J42" i="21"/>
  <c r="I88" i="21"/>
  <c r="J88" i="21"/>
  <c r="I71" i="21"/>
  <c r="J71" i="21"/>
  <c r="I151" i="21"/>
  <c r="J151" i="21"/>
  <c r="A162" i="21"/>
  <c r="M31" i="8" s="1"/>
  <c r="I165" i="21"/>
  <c r="I164" i="21"/>
  <c r="I163" i="21"/>
  <c r="I162" i="21"/>
  <c r="J165" i="21"/>
  <c r="J164" i="21"/>
  <c r="J163" i="21"/>
  <c r="J162" i="21"/>
  <c r="A167" i="21"/>
  <c r="L15" i="8" s="1"/>
  <c r="I171" i="21"/>
  <c r="I170" i="21"/>
  <c r="I168" i="21"/>
  <c r="I167" i="21"/>
  <c r="I169" i="21"/>
  <c r="J171" i="21"/>
  <c r="J170" i="21"/>
  <c r="J169" i="21"/>
  <c r="J167" i="21"/>
  <c r="J168" i="21"/>
  <c r="A147" i="21"/>
  <c r="L24" i="8" s="1"/>
  <c r="I150" i="21"/>
  <c r="I149" i="21"/>
  <c r="I148" i="21"/>
  <c r="I147" i="21"/>
  <c r="J150" i="21"/>
  <c r="J149" i="21"/>
  <c r="J148" i="21"/>
  <c r="J147" i="21"/>
  <c r="A157" i="21"/>
  <c r="M33" i="8" s="1"/>
  <c r="I159" i="21"/>
  <c r="I158" i="21"/>
  <c r="I157" i="21"/>
  <c r="J159" i="21"/>
  <c r="J157" i="21"/>
  <c r="J158" i="21"/>
  <c r="L6" i="8"/>
  <c r="M6" i="8"/>
  <c r="A87" i="21"/>
  <c r="M30" i="8" s="1"/>
  <c r="I87" i="21"/>
  <c r="J87" i="21"/>
  <c r="A97" i="21"/>
  <c r="M29" i="8" s="1"/>
  <c r="I97" i="21"/>
  <c r="J97" i="21"/>
  <c r="I36" i="21"/>
  <c r="J36" i="21"/>
  <c r="A127" i="21"/>
  <c r="L28" i="8" s="1"/>
  <c r="J127" i="21"/>
  <c r="I131" i="21"/>
  <c r="J130" i="21"/>
  <c r="I127" i="21"/>
  <c r="I130" i="21"/>
  <c r="J129" i="21"/>
  <c r="I129" i="21"/>
  <c r="J128" i="21"/>
  <c r="J131" i="21"/>
  <c r="I128" i="21"/>
  <c r="I134" i="21"/>
  <c r="J133" i="21"/>
  <c r="I133" i="21"/>
  <c r="J136" i="21"/>
  <c r="J132" i="21"/>
  <c r="I136" i="21"/>
  <c r="J135" i="21"/>
  <c r="I132" i="21"/>
  <c r="I135" i="21"/>
  <c r="J134" i="21"/>
  <c r="A137" i="21"/>
  <c r="M19" i="8" s="1"/>
  <c r="J141" i="21"/>
  <c r="J137" i="21"/>
  <c r="I141" i="21"/>
  <c r="I137" i="21"/>
  <c r="J140" i="21"/>
  <c r="I140" i="21"/>
  <c r="J139" i="21"/>
  <c r="I139" i="21"/>
  <c r="J138" i="21"/>
  <c r="I138" i="21"/>
  <c r="A142" i="21"/>
  <c r="I144" i="21"/>
  <c r="J146" i="21"/>
  <c r="I146" i="21"/>
  <c r="J143" i="21"/>
  <c r="I143" i="21"/>
  <c r="J145" i="21"/>
  <c r="J142" i="21"/>
  <c r="I145" i="21"/>
  <c r="J144" i="21"/>
  <c r="I142" i="21"/>
  <c r="A2" i="21"/>
  <c r="L7" i="8" s="1"/>
  <c r="I5" i="21"/>
  <c r="J4" i="21"/>
  <c r="J3" i="21"/>
  <c r="J2" i="21"/>
  <c r="I4" i="21"/>
  <c r="J6" i="21"/>
  <c r="I6" i="21"/>
  <c r="I3" i="21"/>
  <c r="I2" i="21"/>
  <c r="J5" i="21"/>
  <c r="A47" i="21"/>
  <c r="L5" i="8" s="1"/>
  <c r="I48" i="21"/>
  <c r="I51" i="21"/>
  <c r="J47" i="21"/>
  <c r="J50" i="21"/>
  <c r="I47" i="21"/>
  <c r="I50" i="21"/>
  <c r="J49" i="21"/>
  <c r="I49" i="21"/>
  <c r="J48" i="21"/>
  <c r="J51" i="21"/>
  <c r="A22" i="21"/>
  <c r="L22" i="8" s="1"/>
  <c r="J22" i="21"/>
  <c r="I25" i="21"/>
  <c r="J24" i="21"/>
  <c r="I22" i="21"/>
  <c r="I24" i="21"/>
  <c r="J26" i="21"/>
  <c r="I26" i="21"/>
  <c r="J23" i="21"/>
  <c r="I23" i="21"/>
  <c r="J25" i="21"/>
  <c r="A52" i="21"/>
  <c r="L27" i="8" s="1"/>
  <c r="J52" i="21"/>
  <c r="I52" i="21"/>
  <c r="A37" i="21"/>
  <c r="J38" i="21"/>
  <c r="I38" i="21"/>
  <c r="J37" i="21"/>
  <c r="I37" i="21"/>
  <c r="J39" i="21"/>
  <c r="I39" i="21"/>
  <c r="A57" i="21"/>
  <c r="M17" i="8" s="1"/>
  <c r="I58" i="21"/>
  <c r="J57" i="21"/>
  <c r="I57" i="21"/>
  <c r="J59" i="21"/>
  <c r="I59" i="21"/>
  <c r="J58" i="21"/>
  <c r="A62" i="21"/>
  <c r="M3" i="8" s="1"/>
  <c r="J62" i="21"/>
  <c r="I65" i="21"/>
  <c r="J64" i="21"/>
  <c r="I62" i="21"/>
  <c r="I64" i="21"/>
  <c r="J66" i="21"/>
  <c r="I66" i="21"/>
  <c r="J63" i="21"/>
  <c r="I63" i="21"/>
  <c r="J65" i="21"/>
  <c r="A67" i="21"/>
  <c r="L34" i="8" s="1"/>
  <c r="J67" i="21"/>
  <c r="J70" i="21"/>
  <c r="I67" i="21"/>
  <c r="I70" i="21"/>
  <c r="J69" i="21"/>
  <c r="I69" i="21"/>
  <c r="J68" i="21"/>
  <c r="I68" i="21"/>
  <c r="A72" i="21"/>
  <c r="L2" i="8" s="1"/>
  <c r="J74" i="21"/>
  <c r="I74" i="21"/>
  <c r="J73" i="21"/>
  <c r="J76" i="21"/>
  <c r="I73" i="21"/>
  <c r="J72" i="21"/>
  <c r="I76" i="21"/>
  <c r="J75" i="21"/>
  <c r="I72" i="21"/>
  <c r="I75" i="21"/>
  <c r="A27" i="21"/>
  <c r="L11" i="8" s="1"/>
  <c r="J31" i="21"/>
  <c r="I28" i="21"/>
  <c r="I31" i="21"/>
  <c r="J27" i="21"/>
  <c r="J30" i="21"/>
  <c r="I27" i="21"/>
  <c r="I30" i="21"/>
  <c r="J29" i="21"/>
  <c r="I29" i="21"/>
  <c r="J28" i="21"/>
  <c r="A77" i="21"/>
  <c r="I78" i="21"/>
  <c r="J81" i="21"/>
  <c r="J77" i="21"/>
  <c r="I81" i="21"/>
  <c r="I77" i="21"/>
  <c r="J80" i="21"/>
  <c r="I80" i="21"/>
  <c r="J79" i="21"/>
  <c r="I79" i="21"/>
  <c r="J78" i="21"/>
  <c r="A32" i="21"/>
  <c r="L18" i="8" s="1"/>
  <c r="J34" i="21"/>
  <c r="I34" i="21"/>
  <c r="J33" i="21"/>
  <c r="I33" i="21"/>
  <c r="J32" i="21"/>
  <c r="J35" i="21"/>
  <c r="I32" i="21"/>
  <c r="I35" i="21"/>
  <c r="A82" i="21"/>
  <c r="L12" i="8" s="1"/>
  <c r="J84" i="21"/>
  <c r="I82" i="21"/>
  <c r="I84" i="21"/>
  <c r="J86" i="21"/>
  <c r="I86" i="21"/>
  <c r="J83" i="21"/>
  <c r="I83" i="21"/>
  <c r="J85" i="21"/>
  <c r="J82" i="21"/>
  <c r="I85" i="21"/>
  <c r="A92" i="21"/>
  <c r="M8" i="8" s="1"/>
  <c r="J94" i="21"/>
  <c r="I94" i="21"/>
  <c r="J93" i="21"/>
  <c r="J96" i="21"/>
  <c r="I93" i="21"/>
  <c r="J92" i="21"/>
  <c r="I96" i="21"/>
  <c r="J95" i="21"/>
  <c r="I92" i="21"/>
  <c r="I95" i="21"/>
  <c r="A102" i="21"/>
  <c r="L16" i="8" s="1"/>
  <c r="J104" i="21"/>
  <c r="I102" i="21"/>
  <c r="I104" i="21"/>
  <c r="J106" i="21"/>
  <c r="I106" i="21"/>
  <c r="J103" i="21"/>
  <c r="I103" i="21"/>
  <c r="J105" i="21"/>
  <c r="J102" i="21"/>
  <c r="I105" i="21"/>
  <c r="A7" i="21"/>
  <c r="L10" i="8" s="1"/>
  <c r="J11" i="21"/>
  <c r="I8" i="21"/>
  <c r="I11" i="21"/>
  <c r="J10" i="21"/>
  <c r="I7" i="21"/>
  <c r="I10" i="21"/>
  <c r="J7" i="21"/>
  <c r="J9" i="21"/>
  <c r="I9" i="21"/>
  <c r="J8" i="21"/>
  <c r="A107" i="21"/>
  <c r="M25" i="8" s="1"/>
  <c r="J107" i="21"/>
  <c r="I111" i="21"/>
  <c r="J110" i="21"/>
  <c r="I107" i="21"/>
  <c r="I110" i="21"/>
  <c r="J109" i="21"/>
  <c r="I109" i="21"/>
  <c r="J108" i="21"/>
  <c r="J111" i="21"/>
  <c r="I108" i="21"/>
  <c r="A12" i="21"/>
  <c r="L13" i="8" s="1"/>
  <c r="I15" i="21"/>
  <c r="J14" i="21"/>
  <c r="I14" i="21"/>
  <c r="J13" i="21"/>
  <c r="J16" i="21"/>
  <c r="I13" i="21"/>
  <c r="I16" i="21"/>
  <c r="J12" i="21"/>
  <c r="J15" i="21"/>
  <c r="I12" i="21"/>
  <c r="A112" i="21"/>
  <c r="L9" i="8" s="1"/>
  <c r="I114" i="21"/>
  <c r="J113" i="21"/>
  <c r="I113" i="21"/>
  <c r="J112" i="21"/>
  <c r="J115" i="21"/>
  <c r="I112" i="21"/>
  <c r="I115" i="21"/>
  <c r="J114" i="21"/>
  <c r="A17" i="21"/>
  <c r="M4" i="8" s="1"/>
  <c r="J18" i="21"/>
  <c r="I18" i="21"/>
  <c r="J21" i="21"/>
  <c r="J17" i="21"/>
  <c r="I21" i="21"/>
  <c r="J20" i="21"/>
  <c r="I17" i="21"/>
  <c r="I20" i="21"/>
  <c r="J19" i="21"/>
  <c r="I19" i="21"/>
  <c r="A117" i="21"/>
  <c r="L20" i="8" s="1"/>
  <c r="I118" i="21"/>
  <c r="J121" i="21"/>
  <c r="J117" i="21"/>
  <c r="I121" i="21"/>
  <c r="I117" i="21"/>
  <c r="J120" i="21"/>
  <c r="I120" i="21"/>
  <c r="J119" i="21"/>
  <c r="I119" i="21"/>
  <c r="J118" i="21"/>
  <c r="A122" i="21"/>
  <c r="L21" i="8" s="1"/>
  <c r="J124" i="21"/>
  <c r="I122" i="21"/>
  <c r="I124" i="21"/>
  <c r="J126" i="21"/>
  <c r="I126" i="21"/>
  <c r="J123" i="21"/>
  <c r="I123" i="21"/>
  <c r="J125" i="21"/>
  <c r="J122" i="21"/>
  <c r="I125" i="21"/>
  <c r="N130" i="11"/>
  <c r="G2" i="15"/>
  <c r="N118" i="11"/>
  <c r="G15" i="9"/>
  <c r="G12" i="9"/>
  <c r="F8" i="9"/>
  <c r="F6" i="9"/>
  <c r="G6" i="9"/>
  <c r="H13" i="9"/>
  <c r="H15" i="9"/>
  <c r="G8" i="9"/>
  <c r="F14" i="9"/>
  <c r="F15" i="9"/>
  <c r="G10" i="9"/>
  <c r="H8" i="9"/>
  <c r="G13" i="9"/>
  <c r="F4" i="9"/>
  <c r="G3" i="9"/>
  <c r="G4" i="9"/>
  <c r="H10" i="9"/>
  <c r="G7" i="9"/>
  <c r="H11" i="9"/>
  <c r="H6" i="9"/>
  <c r="G14" i="9"/>
  <c r="H3" i="9"/>
  <c r="F9" i="9"/>
  <c r="E15" i="9"/>
  <c r="F13" i="9"/>
  <c r="H14" i="9"/>
  <c r="H7" i="9"/>
  <c r="F3" i="9"/>
  <c r="F10" i="9"/>
  <c r="F12" i="9"/>
  <c r="G9" i="9"/>
  <c r="F11" i="9"/>
  <c r="H12" i="9"/>
  <c r="G11" i="9"/>
  <c r="H4" i="9"/>
  <c r="H9" i="9"/>
  <c r="F7" i="9"/>
  <c r="G28" i="15"/>
  <c r="G19" i="15"/>
  <c r="E6" i="9"/>
  <c r="E11" i="9"/>
  <c r="E14" i="9"/>
  <c r="E3" i="9"/>
  <c r="E9" i="9"/>
  <c r="E12" i="9"/>
  <c r="E7" i="9"/>
  <c r="E10" i="9"/>
  <c r="E8" i="9"/>
  <c r="G3" i="15"/>
  <c r="E4" i="9"/>
  <c r="E13" i="9"/>
  <c r="N122" i="11"/>
  <c r="I2" i="11"/>
  <c r="N120" i="11"/>
  <c r="D15" i="15"/>
  <c r="F15" i="15" s="1"/>
  <c r="G15" i="15" s="1"/>
  <c r="D25" i="15"/>
  <c r="F25" i="15" s="1"/>
  <c r="G25" i="15" s="1"/>
  <c r="L13" i="15"/>
  <c r="E30" i="15"/>
  <c r="E22" i="15"/>
  <c r="D7" i="15"/>
  <c r="F7" i="15" s="1"/>
  <c r="E13" i="15"/>
  <c r="N119" i="11"/>
  <c r="E6" i="15"/>
  <c r="D17" i="15"/>
  <c r="F17" i="15" s="1"/>
  <c r="L10" i="15"/>
  <c r="E20" i="15"/>
  <c r="D12" i="15"/>
  <c r="F12" i="15" s="1"/>
  <c r="G2" i="9"/>
  <c r="E11" i="15"/>
  <c r="D5" i="15"/>
  <c r="F5" i="15" s="1"/>
  <c r="G5" i="15" s="1"/>
  <c r="D23" i="15"/>
  <c r="F23" i="15" s="1"/>
  <c r="G23" i="15" s="1"/>
  <c r="L22" i="15"/>
  <c r="E17" i="15"/>
  <c r="E9" i="15"/>
  <c r="G9" i="15" s="1"/>
  <c r="N106" i="11"/>
  <c r="D22" i="15"/>
  <c r="F22" i="15" s="1"/>
  <c r="G22" i="15" s="1"/>
  <c r="D29" i="15"/>
  <c r="F29" i="15" s="1"/>
  <c r="G29" i="15" s="1"/>
  <c r="F5" i="9"/>
  <c r="E8" i="15"/>
  <c r="G8" i="15" s="1"/>
  <c r="N129" i="11"/>
  <c r="E4" i="15"/>
  <c r="G4" i="15" s="1"/>
  <c r="N133" i="11"/>
  <c r="L17" i="15"/>
  <c r="N121" i="11"/>
  <c r="H2" i="9"/>
  <c r="L5" i="15"/>
  <c r="N109" i="11"/>
  <c r="H5" i="9"/>
  <c r="H5" i="15"/>
  <c r="G5" i="9"/>
  <c r="L19" i="15"/>
  <c r="N123" i="11"/>
  <c r="N134" i="11"/>
  <c r="L30" i="15"/>
  <c r="E31" i="15"/>
  <c r="E26" i="15"/>
  <c r="N107" i="11"/>
  <c r="L3" i="15"/>
  <c r="L7" i="15"/>
  <c r="E18" i="15"/>
  <c r="E7" i="15"/>
  <c r="N136" i="11"/>
  <c r="L32" i="15"/>
  <c r="E24" i="15"/>
  <c r="G24" i="15" s="1"/>
  <c r="H29" i="15"/>
  <c r="D10" i="15"/>
  <c r="F10" i="15" s="1"/>
  <c r="G10" i="15" s="1"/>
  <c r="D6" i="15"/>
  <c r="F6" i="15" s="1"/>
  <c r="G6" i="15" s="1"/>
  <c r="N135" i="11"/>
  <c r="L31" i="15"/>
  <c r="D13" i="15"/>
  <c r="F13" i="15" s="1"/>
  <c r="D11" i="15"/>
  <c r="F11" i="15" s="1"/>
  <c r="L27" i="15"/>
  <c r="N131" i="11"/>
  <c r="H17" i="15"/>
  <c r="N127" i="11"/>
  <c r="L23" i="15"/>
  <c r="D18" i="15"/>
  <c r="F18" i="15" s="1"/>
  <c r="D2" i="9"/>
  <c r="E27" i="15"/>
  <c r="G27" i="15" s="1"/>
  <c r="N116" i="11"/>
  <c r="L12" i="15"/>
  <c r="H16" i="15"/>
  <c r="H3" i="15"/>
  <c r="L28" i="15"/>
  <c r="N132" i="11"/>
  <c r="H9" i="15"/>
  <c r="D32" i="15"/>
  <c r="F32" i="15" s="1"/>
  <c r="G32" i="15" s="1"/>
  <c r="E2" i="9"/>
  <c r="N108" i="11"/>
  <c r="L4" i="15"/>
  <c r="D16" i="15"/>
  <c r="F16" i="15" s="1"/>
  <c r="G16" i="15" s="1"/>
  <c r="L20" i="15"/>
  <c r="N124" i="11"/>
  <c r="N115" i="11"/>
  <c r="L11" i="15"/>
  <c r="E5" i="9"/>
  <c r="L8" i="15"/>
  <c r="N112" i="11"/>
  <c r="E14" i="15"/>
  <c r="G14" i="15" s="1"/>
  <c r="H25" i="15"/>
  <c r="D30" i="15"/>
  <c r="F30" i="15" s="1"/>
  <c r="H31" i="15"/>
  <c r="D5" i="9"/>
  <c r="L9" i="15"/>
  <c r="N113" i="11"/>
  <c r="D26" i="15"/>
  <c r="F26" i="15" s="1"/>
  <c r="L21" i="15"/>
  <c r="N125" i="11"/>
  <c r="N128" i="11"/>
  <c r="L24" i="15"/>
  <c r="H10" i="15"/>
  <c r="D31" i="15"/>
  <c r="F31" i="15" s="1"/>
  <c r="E12" i="15"/>
  <c r="F2" i="9"/>
  <c r="V731" i="7" l="1"/>
  <c r="U730" i="7"/>
  <c r="V730" i="7"/>
  <c r="U731" i="7"/>
  <c r="J731" i="11" s="1"/>
  <c r="L37" i="8"/>
  <c r="M37" i="8"/>
  <c r="H37" i="8"/>
  <c r="M36" i="8"/>
  <c r="L36" i="8"/>
  <c r="H36" i="8"/>
  <c r="P1" i="9"/>
  <c r="L2" i="9" s="1"/>
  <c r="L730" i="11" s="1"/>
  <c r="L35" i="8"/>
  <c r="J35" i="8" s="1"/>
  <c r="H35" i="8"/>
  <c r="K646" i="11" s="1"/>
  <c r="H26" i="8"/>
  <c r="M26" i="8"/>
  <c r="L26" i="8"/>
  <c r="L19" i="8"/>
  <c r="J19" i="8" s="1"/>
  <c r="H19" i="8"/>
  <c r="H6" i="8"/>
  <c r="K622" i="11" s="1"/>
  <c r="L32" i="8"/>
  <c r="J32" i="8" s="1"/>
  <c r="H32" i="8"/>
  <c r="L31" i="8"/>
  <c r="J31" i="8" s="1"/>
  <c r="H31" i="8"/>
  <c r="M15" i="8"/>
  <c r="J15" i="8" s="1"/>
  <c r="H15" i="8"/>
  <c r="M24" i="8"/>
  <c r="J24" i="8" s="1"/>
  <c r="H24" i="8"/>
  <c r="L33" i="8"/>
  <c r="J33" i="8" s="1"/>
  <c r="H33" i="8"/>
  <c r="L8" i="8"/>
  <c r="J8" i="8" s="1"/>
  <c r="M22" i="8"/>
  <c r="J22" i="8" s="1"/>
  <c r="H14" i="8"/>
  <c r="L3" i="8"/>
  <c r="J3" i="8" s="1"/>
  <c r="H21" i="8"/>
  <c r="H11" i="8"/>
  <c r="L17" i="8"/>
  <c r="J17" i="8" s="1"/>
  <c r="M2" i="8"/>
  <c r="J2" i="8" s="1"/>
  <c r="J6" i="8"/>
  <c r="M18" i="8"/>
  <c r="J18" i="8" s="1"/>
  <c r="M14" i="8"/>
  <c r="H28" i="8"/>
  <c r="M34" i="8"/>
  <c r="J34" i="8" s="1"/>
  <c r="M28" i="8"/>
  <c r="J28" i="8" s="1"/>
  <c r="L29" i="8"/>
  <c r="J29" i="8" s="1"/>
  <c r="H12" i="8"/>
  <c r="H8" i="8"/>
  <c r="H27" i="8"/>
  <c r="M21" i="8"/>
  <c r="J21" i="8" s="1"/>
  <c r="M12" i="8"/>
  <c r="J12" i="8" s="1"/>
  <c r="H34" i="8"/>
  <c r="H17" i="8"/>
  <c r="H18" i="8"/>
  <c r="M11" i="8"/>
  <c r="J11" i="8" s="1"/>
  <c r="M13" i="8"/>
  <c r="J13" i="8" s="1"/>
  <c r="H22" i="8"/>
  <c r="L4" i="8"/>
  <c r="J4" i="8" s="1"/>
  <c r="H13" i="8"/>
  <c r="M10" i="8"/>
  <c r="J10" i="8" s="1"/>
  <c r="H25" i="8"/>
  <c r="H23" i="8"/>
  <c r="H2" i="8"/>
  <c r="H9" i="8"/>
  <c r="L30" i="8"/>
  <c r="J30" i="8" s="1"/>
  <c r="M23" i="8"/>
  <c r="H10" i="8"/>
  <c r="L25" i="8"/>
  <c r="J25" i="8" s="1"/>
  <c r="L23" i="8"/>
  <c r="M27" i="8"/>
  <c r="J27" i="8" s="1"/>
  <c r="H16" i="8"/>
  <c r="H29" i="8"/>
  <c r="L14" i="8"/>
  <c r="M16" i="8"/>
  <c r="J16" i="8" s="1"/>
  <c r="H5" i="8"/>
  <c r="H20" i="8"/>
  <c r="H30" i="8"/>
  <c r="M20" i="8"/>
  <c r="J20" i="8" s="1"/>
  <c r="M5" i="8"/>
  <c r="J5" i="8" s="1"/>
  <c r="H4" i="8"/>
  <c r="M9" i="8"/>
  <c r="J9" i="8" s="1"/>
  <c r="H3" i="8"/>
  <c r="M7" i="8"/>
  <c r="J7" i="8" s="1"/>
  <c r="I15" i="9"/>
  <c r="H7" i="8"/>
  <c r="U33" i="7"/>
  <c r="U6" i="7"/>
  <c r="U86" i="7"/>
  <c r="U207" i="7"/>
  <c r="V206" i="7"/>
  <c r="V202" i="7"/>
  <c r="U113" i="7"/>
  <c r="U141" i="7"/>
  <c r="U169" i="7"/>
  <c r="U241" i="7"/>
  <c r="U351" i="7"/>
  <c r="V81" i="7"/>
  <c r="U517" i="7"/>
  <c r="V186" i="7"/>
  <c r="U365" i="7"/>
  <c r="U48" i="7"/>
  <c r="U75" i="7"/>
  <c r="V450" i="7"/>
  <c r="U468" i="7"/>
  <c r="V261" i="7"/>
  <c r="V278" i="7"/>
  <c r="U571" i="7"/>
  <c r="V359" i="7"/>
  <c r="U337" i="7"/>
  <c r="V464" i="7"/>
  <c r="U456" i="7"/>
  <c r="V94" i="7"/>
  <c r="U586" i="7"/>
  <c r="V623" i="7"/>
  <c r="U313" i="7"/>
  <c r="U691" i="7"/>
  <c r="V727" i="7"/>
  <c r="V25" i="7"/>
  <c r="V125" i="7"/>
  <c r="U492" i="7"/>
  <c r="V311" i="7"/>
  <c r="U443" i="7"/>
  <c r="V570" i="7"/>
  <c r="U616" i="7"/>
  <c r="V708" i="7"/>
  <c r="U430" i="7"/>
  <c r="U705" i="7"/>
  <c r="V533" i="7"/>
  <c r="U630" i="7"/>
  <c r="U329" i="7"/>
  <c r="V434" i="7"/>
  <c r="U605" i="7"/>
  <c r="V385" i="7"/>
  <c r="V675" i="7"/>
  <c r="V421" i="7"/>
  <c r="V559" i="7"/>
  <c r="V597" i="7"/>
  <c r="U269" i="7"/>
  <c r="V370" i="7"/>
  <c r="U61" i="7"/>
  <c r="U397" i="7"/>
  <c r="U480" i="7"/>
  <c r="U603" i="7"/>
  <c r="V478" i="7"/>
  <c r="U19" i="7"/>
  <c r="V662" i="7"/>
  <c r="U530" i="7"/>
  <c r="V396" i="7"/>
  <c r="U553" i="7"/>
  <c r="V143" i="7"/>
  <c r="V65" i="7"/>
  <c r="U197" i="7"/>
  <c r="V284" i="7"/>
  <c r="U719" i="7"/>
  <c r="U410" i="7"/>
  <c r="U155" i="7"/>
  <c r="U379" i="7"/>
  <c r="U254" i="7"/>
  <c r="V237" i="7"/>
  <c r="V32" i="7"/>
  <c r="V693" i="7"/>
  <c r="U665" i="7"/>
  <c r="V651" i="7"/>
  <c r="U99" i="7"/>
  <c r="V506" i="7"/>
  <c r="V245" i="7"/>
  <c r="U283" i="7"/>
  <c r="V331" i="7"/>
  <c r="U229" i="7"/>
  <c r="V469" i="7"/>
  <c r="V602" i="7"/>
  <c r="U650" i="7"/>
  <c r="V55" i="7"/>
  <c r="V158" i="7"/>
  <c r="V609" i="7"/>
  <c r="V520" i="7"/>
  <c r="U181" i="7"/>
  <c r="U504" i="7"/>
  <c r="U540" i="7"/>
  <c r="V638" i="7"/>
  <c r="V177" i="7"/>
  <c r="U127" i="7"/>
  <c r="V100" i="7"/>
  <c r="V10" i="7"/>
  <c r="V491" i="7"/>
  <c r="V340" i="7"/>
  <c r="U677" i="7"/>
  <c r="V544" i="7"/>
  <c r="V110" i="7"/>
  <c r="U53" i="7"/>
  <c r="U148" i="7"/>
  <c r="U234" i="7"/>
  <c r="V54" i="7"/>
  <c r="V159" i="7"/>
  <c r="U261" i="7"/>
  <c r="U161" i="7"/>
  <c r="U26" i="7"/>
  <c r="U68" i="7"/>
  <c r="U81" i="7"/>
  <c r="U386" i="7"/>
  <c r="U288" i="7"/>
  <c r="V309" i="7"/>
  <c r="U372" i="7"/>
  <c r="U424" i="7"/>
  <c r="V267" i="7"/>
  <c r="V341" i="7"/>
  <c r="U546" i="7"/>
  <c r="V254" i="7"/>
  <c r="V399" i="7"/>
  <c r="V443" i="7"/>
  <c r="U276" i="7"/>
  <c r="U220" i="7"/>
  <c r="V357" i="7"/>
  <c r="V538" i="7"/>
  <c r="U134" i="7"/>
  <c r="U524" i="7"/>
  <c r="U391" i="7"/>
  <c r="U320" i="7"/>
  <c r="V286" i="7"/>
  <c r="U306" i="7"/>
  <c r="V608" i="7"/>
  <c r="U437" i="7"/>
  <c r="U486" i="7"/>
  <c r="U560" i="7"/>
  <c r="U684" i="7"/>
  <c r="V725" i="7"/>
  <c r="V489" i="7"/>
  <c r="V709" i="7"/>
  <c r="V420" i="7"/>
  <c r="V500" i="7"/>
  <c r="V599" i="7"/>
  <c r="V685" i="7"/>
  <c r="U333" i="7"/>
  <c r="U594" i="7"/>
  <c r="U418" i="7"/>
  <c r="V646" i="7"/>
  <c r="V433" i="7"/>
  <c r="V64" i="7"/>
  <c r="U637" i="7"/>
  <c r="V321" i="7"/>
  <c r="V362" i="7"/>
  <c r="U12" i="7"/>
  <c r="V629" i="7"/>
  <c r="U648" i="7"/>
  <c r="U474" i="7"/>
  <c r="V20" i="7"/>
  <c r="V35" i="7"/>
  <c r="U450" i="7"/>
  <c r="V521" i="7"/>
  <c r="V423" i="7"/>
  <c r="U404" i="7"/>
  <c r="V244" i="7"/>
  <c r="V236" i="7"/>
  <c r="U188" i="7"/>
  <c r="V75" i="7"/>
  <c r="V209" i="7"/>
  <c r="U580" i="7"/>
  <c r="U726" i="7"/>
  <c r="U106" i="7"/>
  <c r="V123" i="7"/>
  <c r="U698" i="7"/>
  <c r="V473" i="7"/>
  <c r="V328" i="7"/>
  <c r="V554" i="7"/>
  <c r="U344" i="7"/>
  <c r="U569" i="7"/>
  <c r="U120" i="7"/>
  <c r="V568" i="7"/>
  <c r="V380" i="7"/>
  <c r="V673" i="7"/>
  <c r="U248" i="7"/>
  <c r="V690" i="7"/>
  <c r="U499" i="7"/>
  <c r="V178" i="7"/>
  <c r="V175" i="7"/>
  <c r="V140" i="7"/>
  <c r="V616" i="7"/>
  <c r="U671" i="7"/>
  <c r="U623" i="7"/>
  <c r="U213" i="7"/>
  <c r="V390" i="7"/>
  <c r="V135" i="7"/>
  <c r="U611" i="7"/>
  <c r="V596" i="7"/>
  <c r="U176" i="7"/>
  <c r="V575" i="7"/>
  <c r="U712" i="7"/>
  <c r="V104" i="7"/>
  <c r="U358" i="7"/>
  <c r="V4" i="7"/>
  <c r="U600" i="7"/>
  <c r="V218" i="7"/>
  <c r="U40" i="7"/>
  <c r="U175" i="7"/>
  <c r="U133" i="7"/>
  <c r="V71" i="7"/>
  <c r="V176" i="7"/>
  <c r="U202" i="7"/>
  <c r="U247" i="7"/>
  <c r="U164" i="7"/>
  <c r="U260" i="7"/>
  <c r="U119" i="7"/>
  <c r="V307" i="7"/>
  <c r="U233" i="7"/>
  <c r="U287" i="7"/>
  <c r="U212" i="7"/>
  <c r="V226" i="7"/>
  <c r="V131" i="7"/>
  <c r="U462" i="7"/>
  <c r="V98" i="7"/>
  <c r="U332" i="7"/>
  <c r="V409" i="7"/>
  <c r="V439" i="7"/>
  <c r="V257" i="7"/>
  <c r="U371" i="7"/>
  <c r="V379" i="7"/>
  <c r="U357" i="7"/>
  <c r="V553" i="7"/>
  <c r="U318" i="7"/>
  <c r="V358" i="7"/>
  <c r="V619" i="7"/>
  <c r="V19" i="7"/>
  <c r="U636" i="7"/>
  <c r="U52" i="7"/>
  <c r="U579" i="7"/>
  <c r="U417" i="7"/>
  <c r="V585" i="7"/>
  <c r="V330" i="7"/>
  <c r="V461" i="7"/>
  <c r="U545" i="7"/>
  <c r="V658" i="7"/>
  <c r="V681" i="7"/>
  <c r="V251" i="7"/>
  <c r="U697" i="7"/>
  <c r="U485" i="7"/>
  <c r="U610" i="7"/>
  <c r="U647" i="7"/>
  <c r="V487" i="7"/>
  <c r="V541" i="7"/>
  <c r="V572" i="7"/>
  <c r="V714" i="7"/>
  <c r="V642" i="7"/>
  <c r="V526" i="7"/>
  <c r="V613" i="7"/>
  <c r="V635" i="7"/>
  <c r="V165" i="7"/>
  <c r="U436" i="7"/>
  <c r="V726" i="7"/>
  <c r="U660" i="7"/>
  <c r="V78" i="7"/>
  <c r="V394" i="7"/>
  <c r="U343" i="7"/>
  <c r="U622" i="7"/>
  <c r="U147" i="7"/>
  <c r="U39" i="7"/>
  <c r="U683" i="7"/>
  <c r="V282" i="7"/>
  <c r="V316" i="7"/>
  <c r="U11" i="7"/>
  <c r="U593" i="7"/>
  <c r="U105" i="7"/>
  <c r="V197" i="7"/>
  <c r="V204" i="7"/>
  <c r="U711" i="7"/>
  <c r="U449" i="7"/>
  <c r="V661" i="7"/>
  <c r="U305" i="7"/>
  <c r="U725" i="7"/>
  <c r="V91" i="7"/>
  <c r="U403" i="7"/>
  <c r="U80" i="7"/>
  <c r="V692" i="7"/>
  <c r="U523" i="7"/>
  <c r="V7" i="7"/>
  <c r="U559" i="7"/>
  <c r="V274" i="7"/>
  <c r="U498" i="7"/>
  <c r="V569" i="7"/>
  <c r="V496" i="7"/>
  <c r="V505" i="7"/>
  <c r="V30" i="7"/>
  <c r="U25" i="7"/>
  <c r="U568" i="7"/>
  <c r="U659" i="7"/>
  <c r="U510" i="7"/>
  <c r="V183" i="7"/>
  <c r="U187" i="7"/>
  <c r="U275" i="7"/>
  <c r="V121" i="7"/>
  <c r="U385" i="7"/>
  <c r="V446" i="7"/>
  <c r="V367" i="7"/>
  <c r="V346" i="7"/>
  <c r="U67" i="7"/>
  <c r="V142" i="7"/>
  <c r="V45" i="7"/>
  <c r="U92" i="7"/>
  <c r="U36" i="7"/>
  <c r="V46" i="7"/>
  <c r="U22" i="7"/>
  <c r="U324" i="7"/>
  <c r="V349" i="7"/>
  <c r="U78" i="7"/>
  <c r="U144" i="7"/>
  <c r="V308" i="7"/>
  <c r="V337" i="7"/>
  <c r="U102" i="7"/>
  <c r="U210" i="7"/>
  <c r="U382" i="7"/>
  <c r="V15" i="7"/>
  <c r="V214" i="7"/>
  <c r="V322" i="7"/>
  <c r="U302" i="7"/>
  <c r="V167" i="7"/>
  <c r="U272" i="7"/>
  <c r="U184" i="7"/>
  <c r="V558" i="7"/>
  <c r="U576" i="7"/>
  <c r="V413" i="7"/>
  <c r="V488" i="7"/>
  <c r="V87" i="7"/>
  <c r="V679" i="7"/>
  <c r="V227" i="7"/>
  <c r="V631" i="7"/>
  <c r="V437" i="7"/>
  <c r="U257" i="7"/>
  <c r="V375" i="7"/>
  <c r="U8" i="7"/>
  <c r="V502" i="7"/>
  <c r="U537" i="7"/>
  <c r="V549" i="7"/>
  <c r="V672" i="7"/>
  <c r="V201" i="7"/>
  <c r="U368" i="7"/>
  <c r="U507" i="7"/>
  <c r="U694" i="7"/>
  <c r="V384" i="7"/>
  <c r="V705" i="7"/>
  <c r="U354" i="7"/>
  <c r="U590" i="7"/>
  <c r="V270" i="7"/>
  <c r="U556" i="7"/>
  <c r="U680" i="7"/>
  <c r="V449" i="7"/>
  <c r="U608" i="7"/>
  <c r="V645" i="7"/>
  <c r="U652" i="7"/>
  <c r="U446" i="7"/>
  <c r="U172" i="7"/>
  <c r="U116" i="7"/>
  <c r="V622" i="7"/>
  <c r="V472" i="7"/>
  <c r="V41" i="7"/>
  <c r="V536" i="7"/>
  <c r="V494" i="7"/>
  <c r="U542" i="7"/>
  <c r="U483" i="7"/>
  <c r="U64" i="7"/>
  <c r="V248" i="7"/>
  <c r="U414" i="7"/>
  <c r="U433" i="7"/>
  <c r="U228" i="7"/>
  <c r="U471" i="7"/>
  <c r="U47" i="7"/>
  <c r="V457" i="7"/>
  <c r="U708" i="7"/>
  <c r="V581" i="7"/>
  <c r="V517" i="7"/>
  <c r="U130" i="7"/>
  <c r="U520" i="7"/>
  <c r="V129" i="7"/>
  <c r="V653" i="7"/>
  <c r="U89" i="7"/>
  <c r="U244" i="7"/>
  <c r="V260" i="7"/>
  <c r="V68" i="7"/>
  <c r="U668" i="7"/>
  <c r="V688" i="7"/>
  <c r="U199" i="7"/>
  <c r="V80" i="7"/>
  <c r="U459" i="7"/>
  <c r="V611" i="7"/>
  <c r="U315" i="7"/>
  <c r="V24" i="7"/>
  <c r="U619" i="7"/>
  <c r="V191" i="7"/>
  <c r="U340" i="7"/>
  <c r="V314" i="7"/>
  <c r="U722" i="7"/>
  <c r="V717" i="7"/>
  <c r="U644" i="7"/>
  <c r="V138" i="7"/>
  <c r="U495" i="7"/>
  <c r="U158" i="7"/>
  <c r="U633" i="7"/>
  <c r="V122" i="7"/>
  <c r="V405" i="7"/>
  <c r="U400" i="7"/>
  <c r="V155" i="7"/>
  <c r="V103" i="7"/>
  <c r="V589" i="7"/>
  <c r="U23" i="7"/>
  <c r="V196" i="7"/>
  <c r="U103" i="7"/>
  <c r="V16" i="7"/>
  <c r="V170" i="7"/>
  <c r="V256" i="7"/>
  <c r="V299" i="7"/>
  <c r="U355" i="7"/>
  <c r="V102" i="7"/>
  <c r="U131" i="7"/>
  <c r="V352" i="7"/>
  <c r="U65" i="7"/>
  <c r="U341" i="7"/>
  <c r="U401" i="7"/>
  <c r="U472" i="7"/>
  <c r="V241" i="7"/>
  <c r="V592" i="7"/>
  <c r="U566" i="7"/>
  <c r="V644" i="7"/>
  <c r="V699" i="7"/>
  <c r="V232" i="7"/>
  <c r="V565" i="7"/>
  <c r="U609" i="7"/>
  <c r="V31" i="7"/>
  <c r="V524" i="7"/>
  <c r="V573" i="7"/>
  <c r="U415" i="7"/>
  <c r="V61" i="7"/>
  <c r="U9" i="7"/>
  <c r="U159" i="7"/>
  <c r="V498" i="7"/>
  <c r="V605" i="7"/>
  <c r="V652" i="7"/>
  <c r="V374" i="7"/>
  <c r="U653" i="7"/>
  <c r="V548" i="7"/>
  <c r="V550" i="7"/>
  <c r="U723" i="7"/>
  <c r="U231" i="7"/>
  <c r="U496" i="7"/>
  <c r="V430" i="7"/>
  <c r="U709" i="7"/>
  <c r="V149" i="7"/>
  <c r="U669" i="7"/>
  <c r="U460" i="7"/>
  <c r="U508" i="7"/>
  <c r="U620" i="7"/>
  <c r="V664" i="7"/>
  <c r="U645" i="7"/>
  <c r="U695" i="7"/>
  <c r="V279" i="7"/>
  <c r="U577" i="7"/>
  <c r="V471" i="7"/>
  <c r="U434" i="7"/>
  <c r="U200" i="7"/>
  <c r="V95" i="7"/>
  <c r="V112" i="7"/>
  <c r="U37" i="7"/>
  <c r="U273" i="7"/>
  <c r="V292" i="7"/>
  <c r="V445" i="7"/>
  <c r="U369" i="7"/>
  <c r="U173" i="7"/>
  <c r="U245" i="7"/>
  <c r="V77" i="7"/>
  <c r="U316" i="7"/>
  <c r="U211" i="7"/>
  <c r="U90" i="7"/>
  <c r="V395" i="7"/>
  <c r="U447" i="7"/>
  <c r="U258" i="7"/>
  <c r="V712" i="7"/>
  <c r="U295" i="7"/>
  <c r="V344" i="7"/>
  <c r="V465" i="7"/>
  <c r="U383" i="7"/>
  <c r="V376" i="7"/>
  <c r="V318" i="7"/>
  <c r="V683" i="7"/>
  <c r="U303" i="7"/>
  <c r="V416" i="7"/>
  <c r="V511" i="7"/>
  <c r="U50" i="7"/>
  <c r="U293" i="7"/>
  <c r="V205" i="7"/>
  <c r="V639" i="7"/>
  <c r="V14" i="7"/>
  <c r="V296" i="7"/>
  <c r="V618" i="7"/>
  <c r="U145" i="7"/>
  <c r="U521" i="7"/>
  <c r="V51" i="7"/>
  <c r="V161" i="7"/>
  <c r="V720" i="7"/>
  <c r="U185" i="7"/>
  <c r="U591" i="7"/>
  <c r="V190" i="7"/>
  <c r="U557" i="7"/>
  <c r="U681" i="7"/>
  <c r="U634" i="7"/>
  <c r="U79" i="7"/>
  <c r="V133" i="7"/>
  <c r="U543" i="7"/>
  <c r="U117" i="7"/>
  <c r="V144" i="7"/>
  <c r="U72" i="7"/>
  <c r="V132" i="7"/>
  <c r="U16" i="7"/>
  <c r="U152" i="7"/>
  <c r="U224" i="7"/>
  <c r="V317" i="7"/>
  <c r="V225" i="7"/>
  <c r="U178" i="7"/>
  <c r="U362" i="7"/>
  <c r="U196" i="7"/>
  <c r="V39" i="7"/>
  <c r="U280" i="7"/>
  <c r="V281" i="7"/>
  <c r="V49" i="7"/>
  <c r="V212" i="7"/>
  <c r="V271" i="7"/>
  <c r="V383" i="7"/>
  <c r="U84" i="7"/>
  <c r="U310" i="7"/>
  <c r="V529" i="7"/>
  <c r="U628" i="7"/>
  <c r="V168" i="7"/>
  <c r="U640" i="7"/>
  <c r="U478" i="7"/>
  <c r="V579" i="7"/>
  <c r="U124" i="7"/>
  <c r="U96" i="7"/>
  <c r="U528" i="7"/>
  <c r="U422" i="7"/>
  <c r="U454" i="7"/>
  <c r="U376" i="7"/>
  <c r="V682" i="7"/>
  <c r="V467" i="7"/>
  <c r="V603" i="7"/>
  <c r="U604" i="7"/>
  <c r="V641" i="7"/>
  <c r="V497" i="7"/>
  <c r="V507" i="7"/>
  <c r="V587" i="7"/>
  <c r="V694" i="7"/>
  <c r="V715" i="7"/>
  <c r="V527" i="7"/>
  <c r="V249" i="7"/>
  <c r="V480" i="7"/>
  <c r="V557" i="7"/>
  <c r="U674" i="7"/>
  <c r="U550" i="7"/>
  <c r="V324" i="7"/>
  <c r="U490" i="7"/>
  <c r="V372" i="7"/>
  <c r="U716" i="7"/>
  <c r="U322" i="7"/>
  <c r="V632" i="7"/>
  <c r="V88" i="7"/>
  <c r="V625" i="7"/>
  <c r="V452" i="7"/>
  <c r="U394" i="7"/>
  <c r="V97" i="7"/>
  <c r="U466" i="7"/>
  <c r="V347" i="7"/>
  <c r="U602" i="7"/>
  <c r="U30" i="7"/>
  <c r="U252" i="7"/>
  <c r="U166" i="7"/>
  <c r="V665" i="7"/>
  <c r="V612" i="7"/>
  <c r="V411" i="7"/>
  <c r="V200" i="7"/>
  <c r="U266" i="7"/>
  <c r="U204" i="7"/>
  <c r="U238" i="7"/>
  <c r="V113" i="7"/>
  <c r="V69" i="7"/>
  <c r="U584" i="7"/>
  <c r="V718" i="7"/>
  <c r="U662" i="7"/>
  <c r="V263" i="7"/>
  <c r="U440" i="7"/>
  <c r="U502" i="7"/>
  <c r="U334" i="7"/>
  <c r="U514" i="7"/>
  <c r="U4" i="7"/>
  <c r="V188" i="7"/>
  <c r="V82" i="7"/>
  <c r="U614" i="7"/>
  <c r="U408" i="7"/>
  <c r="U44" i="7"/>
  <c r="V23" i="7"/>
  <c r="V458" i="7"/>
  <c r="U58" i="7"/>
  <c r="V350" i="7"/>
  <c r="U110" i="7"/>
  <c r="U348" i="7"/>
  <c r="U688" i="7"/>
  <c r="U702" i="7"/>
  <c r="U572" i="7"/>
  <c r="V12" i="7"/>
  <c r="U538" i="7"/>
  <c r="V163" i="7"/>
  <c r="U138" i="7"/>
  <c r="V425" i="7"/>
  <c r="V546" i="7"/>
  <c r="V403" i="7"/>
  <c r="V171" i="7"/>
  <c r="V22" i="7"/>
  <c r="U66" i="7"/>
  <c r="U132" i="7"/>
  <c r="V288" i="7"/>
  <c r="U146" i="7"/>
  <c r="V335" i="7"/>
  <c r="V106" i="7"/>
  <c r="U118" i="7"/>
  <c r="U402" i="7"/>
  <c r="V365" i="7"/>
  <c r="U246" i="7"/>
  <c r="U201" i="7"/>
  <c r="U473" i="7"/>
  <c r="U509" i="7"/>
  <c r="V6" i="7"/>
  <c r="V451" i="7"/>
  <c r="V300" i="7"/>
  <c r="U435" i="7"/>
  <c r="V415" i="7"/>
  <c r="U192" i="7"/>
  <c r="V382" i="7"/>
  <c r="V221" i="7"/>
  <c r="U38" i="7"/>
  <c r="U522" i="7"/>
  <c r="V583" i="7"/>
  <c r="U578" i="7"/>
  <c r="U646" i="7"/>
  <c r="U567" i="7"/>
  <c r="V199" i="7"/>
  <c r="U286" i="7"/>
  <c r="V429" i="7"/>
  <c r="V231" i="7"/>
  <c r="U232" i="7"/>
  <c r="U497" i="7"/>
  <c r="V674" i="7"/>
  <c r="V353" i="7"/>
  <c r="U384" i="7"/>
  <c r="U448" i="7"/>
  <c r="V700" i="7"/>
  <c r="U356" i="7"/>
  <c r="U635" i="7"/>
  <c r="V721" i="7"/>
  <c r="U621" i="7"/>
  <c r="V556" i="7"/>
  <c r="U696" i="7"/>
  <c r="V326" i="7"/>
  <c r="U317" i="7"/>
  <c r="V114" i="7"/>
  <c r="U710" i="7"/>
  <c r="V275" i="7"/>
  <c r="U104" i="7"/>
  <c r="U342" i="7"/>
  <c r="U186" i="7"/>
  <c r="V193" i="7"/>
  <c r="U91" i="7"/>
  <c r="U160" i="7"/>
  <c r="V512" i="7"/>
  <c r="U670" i="7"/>
  <c r="V150" i="7"/>
  <c r="V703" i="7"/>
  <c r="V624" i="7"/>
  <c r="U592" i="7"/>
  <c r="V240" i="7"/>
  <c r="U51" i="7"/>
  <c r="U484" i="7"/>
  <c r="U259" i="7"/>
  <c r="U10" i="7"/>
  <c r="V591" i="7"/>
  <c r="U325" i="7"/>
  <c r="U558" i="7"/>
  <c r="U24" i="7"/>
  <c r="U304" i="7"/>
  <c r="V407" i="7"/>
  <c r="V92" i="7"/>
  <c r="U274" i="7"/>
  <c r="U532" i="7"/>
  <c r="V648" i="7"/>
  <c r="V262" i="7"/>
  <c r="V666" i="7"/>
  <c r="U461" i="7"/>
  <c r="V515" i="7"/>
  <c r="U416" i="7"/>
  <c r="V481" i="7"/>
  <c r="V490" i="7"/>
  <c r="V310" i="7"/>
  <c r="V43" i="7"/>
  <c r="V540" i="7"/>
  <c r="U370" i="7"/>
  <c r="V181" i="7"/>
  <c r="U219" i="7"/>
  <c r="V50" i="7"/>
  <c r="V531" i="7"/>
  <c r="V462" i="7"/>
  <c r="V564" i="7"/>
  <c r="V60" i="7"/>
  <c r="U682" i="7"/>
  <c r="U174" i="7"/>
  <c r="U724" i="7"/>
  <c r="V636" i="7"/>
  <c r="V124" i="7"/>
  <c r="V153" i="7"/>
  <c r="U544" i="7"/>
  <c r="V474" i="7"/>
  <c r="U13" i="7"/>
  <c r="U93" i="7"/>
  <c r="V156" i="7"/>
  <c r="U189" i="7"/>
  <c r="V36" i="7"/>
  <c r="V119" i="7"/>
  <c r="V268" i="7"/>
  <c r="V320" i="7"/>
  <c r="V145" i="7"/>
  <c r="U56" i="7"/>
  <c r="V169" i="7"/>
  <c r="V259" i="7"/>
  <c r="U162" i="7"/>
  <c r="V179" i="7"/>
  <c r="V295" i="7"/>
  <c r="V195" i="7"/>
  <c r="V477" i="7"/>
  <c r="V499" i="7"/>
  <c r="U277" i="7"/>
  <c r="U562" i="7"/>
  <c r="U699" i="7"/>
  <c r="V588" i="7"/>
  <c r="U624" i="7"/>
  <c r="U685" i="7"/>
  <c r="U221" i="7"/>
  <c r="U373" i="7"/>
  <c r="V58" i="7"/>
  <c r="V338" i="7"/>
  <c r="V530" i="7"/>
  <c r="V393" i="7"/>
  <c r="U727" i="7"/>
  <c r="V363" i="7"/>
  <c r="U307" i="7"/>
  <c r="U405" i="7"/>
  <c r="V626" i="7"/>
  <c r="V660" i="7"/>
  <c r="V485" i="7"/>
  <c r="U487" i="7"/>
  <c r="U345" i="7"/>
  <c r="U392" i="7"/>
  <c r="U475" i="7"/>
  <c r="V719" i="7"/>
  <c r="V291" i="7"/>
  <c r="V684" i="7"/>
  <c r="U595" i="7"/>
  <c r="U149" i="7"/>
  <c r="V563" i="7"/>
  <c r="U581" i="7"/>
  <c r="U135" i="7"/>
  <c r="V351" i="7"/>
  <c r="V448" i="7"/>
  <c r="U249" i="7"/>
  <c r="V508" i="7"/>
  <c r="V576" i="7"/>
  <c r="U289" i="7"/>
  <c r="U296" i="7"/>
  <c r="U387" i="7"/>
  <c r="V57" i="7"/>
  <c r="U194" i="7"/>
  <c r="V28" i="7"/>
  <c r="U27" i="7"/>
  <c r="V455" i="7"/>
  <c r="V305" i="7"/>
  <c r="V695" i="7"/>
  <c r="U214" i="7"/>
  <c r="U41" i="7"/>
  <c r="V109" i="7"/>
  <c r="U547" i="7"/>
  <c r="U463" i="7"/>
  <c r="U627" i="7"/>
  <c r="U451" i="7"/>
  <c r="V422" i="7"/>
  <c r="U121" i="7"/>
  <c r="V388" i="7"/>
  <c r="U177" i="7"/>
  <c r="V134" i="7"/>
  <c r="V400" i="7"/>
  <c r="U425" i="7"/>
  <c r="V85" i="7"/>
  <c r="V539" i="7"/>
  <c r="V706" i="7"/>
  <c r="V518" i="7"/>
  <c r="U69" i="7"/>
  <c r="U500" i="7"/>
  <c r="U359" i="7"/>
  <c r="U107" i="7"/>
  <c r="U661" i="7"/>
  <c r="V230" i="7"/>
  <c r="V219" i="7"/>
  <c r="V621" i="7"/>
  <c r="V238" i="7"/>
  <c r="U612" i="7"/>
  <c r="U511" i="7"/>
  <c r="U262" i="7"/>
  <c r="V5" i="7"/>
  <c r="V412" i="7"/>
  <c r="V210" i="7"/>
  <c r="V604" i="7"/>
  <c r="U525" i="7"/>
  <c r="U533" i="7"/>
  <c r="U235" i="7"/>
  <c r="U321" i="7"/>
  <c r="U419" i="7"/>
  <c r="U713" i="7"/>
  <c r="U3" i="7"/>
  <c r="U182" i="7"/>
  <c r="U128" i="7"/>
  <c r="V26" i="7"/>
  <c r="U225" i="7"/>
  <c r="U352" i="7"/>
  <c r="U142" i="7"/>
  <c r="U242" i="7"/>
  <c r="U294" i="7"/>
  <c r="U366" i="7"/>
  <c r="U431" i="7"/>
  <c r="U606" i="7"/>
  <c r="U114" i="7"/>
  <c r="U651" i="7"/>
  <c r="U330" i="7"/>
  <c r="V432" i="7"/>
  <c r="U554" i="7"/>
  <c r="U300" i="7"/>
  <c r="V501" i="7"/>
  <c r="U338" i="7"/>
  <c r="V654" i="7"/>
  <c r="V560" i="7"/>
  <c r="V364" i="7"/>
  <c r="U76" i="7"/>
  <c r="U565" i="7"/>
  <c r="U481" i="7"/>
  <c r="V687" i="7"/>
  <c r="V408" i="7"/>
  <c r="U444" i="7"/>
  <c r="V723" i="7"/>
  <c r="V345" i="7"/>
  <c r="U505" i="7"/>
  <c r="U617" i="7"/>
  <c r="V297" i="7"/>
  <c r="V459" i="7"/>
  <c r="U574" i="7"/>
  <c r="U587" i="7"/>
  <c r="U398" i="7"/>
  <c r="U518" i="7"/>
  <c r="V650" i="7"/>
  <c r="V582" i="7"/>
  <c r="V670" i="7"/>
  <c r="V283" i="7"/>
  <c r="V713" i="7"/>
  <c r="U666" i="7"/>
  <c r="U87" i="7"/>
  <c r="U493" i="7"/>
  <c r="U720" i="7"/>
  <c r="V468" i="7"/>
  <c r="U706" i="7"/>
  <c r="U457" i="7"/>
  <c r="U49" i="7"/>
  <c r="U380" i="7"/>
  <c r="U34" i="7"/>
  <c r="V484" i="7"/>
  <c r="U678" i="7"/>
  <c r="V304" i="7"/>
  <c r="V332" i="7"/>
  <c r="V386" i="7"/>
  <c r="U62" i="7"/>
  <c r="U655" i="7"/>
  <c r="U284" i="7"/>
  <c r="V118" i="7"/>
  <c r="V633" i="7"/>
  <c r="U631" i="7"/>
  <c r="V607" i="7"/>
  <c r="V137" i="7"/>
  <c r="V441" i="7"/>
  <c r="U692" i="7"/>
  <c r="V224" i="7"/>
  <c r="U100" i="7"/>
  <c r="V525" i="7"/>
  <c r="V355" i="7"/>
  <c r="V697" i="7"/>
  <c r="V89" i="7"/>
  <c r="V42" i="7"/>
  <c r="V615" i="7"/>
  <c r="U270" i="7"/>
  <c r="V147" i="7"/>
  <c r="V243" i="7"/>
  <c r="V215" i="7"/>
  <c r="V220" i="7"/>
  <c r="V162" i="7"/>
  <c r="U469" i="7"/>
  <c r="V73" i="7"/>
  <c r="U255" i="7"/>
  <c r="V253" i="7"/>
  <c r="U218" i="7"/>
  <c r="U411" i="7"/>
  <c r="V510" i="7"/>
  <c r="V44" i="7"/>
  <c r="V180" i="7"/>
  <c r="U208" i="7"/>
  <c r="V584" i="7"/>
  <c r="U170" i="7"/>
  <c r="V173" i="7"/>
  <c r="V99" i="7"/>
  <c r="U156" i="7"/>
  <c r="U20" i="7"/>
  <c r="V566" i="7"/>
  <c r="V63" i="7"/>
  <c r="V406" i="7"/>
  <c r="V272" i="7"/>
  <c r="V136" i="7"/>
  <c r="U18" i="7"/>
  <c r="U46" i="7"/>
  <c r="V66" i="7"/>
  <c r="U98" i="7"/>
  <c r="V166" i="7"/>
  <c r="V277" i="7"/>
  <c r="V246" i="7"/>
  <c r="V333" i="7"/>
  <c r="V228" i="7"/>
  <c r="V287" i="7"/>
  <c r="V303" i="7"/>
  <c r="V17" i="7"/>
  <c r="V117" i="7"/>
  <c r="U227" i="7"/>
  <c r="U240" i="7"/>
  <c r="V339" i="7"/>
  <c r="V157" i="7"/>
  <c r="V319" i="7"/>
  <c r="V414" i="7"/>
  <c r="U552" i="7"/>
  <c r="U206" i="7"/>
  <c r="U378" i="7"/>
  <c r="V435" i="7"/>
  <c r="V669" i="7"/>
  <c r="V567" i="7"/>
  <c r="U336" i="7"/>
  <c r="V528" i="7"/>
  <c r="V659" i="7"/>
  <c r="U364" i="7"/>
  <c r="U442" i="7"/>
  <c r="U529" i="7"/>
  <c r="U599" i="7"/>
  <c r="U626" i="7"/>
  <c r="U654" i="7"/>
  <c r="U217" i="7"/>
  <c r="V600" i="7"/>
  <c r="V223" i="7"/>
  <c r="U570" i="7"/>
  <c r="V627" i="7"/>
  <c r="V551" i="7"/>
  <c r="V647" i="7"/>
  <c r="U516" i="7"/>
  <c r="V397" i="7"/>
  <c r="V657" i="7"/>
  <c r="U664" i="7"/>
  <c r="U690" i="7"/>
  <c r="V590" i="7"/>
  <c r="U658" i="7"/>
  <c r="U718" i="7"/>
  <c r="V698" i="7"/>
  <c r="V519" i="7"/>
  <c r="V93" i="7"/>
  <c r="U168" i="7"/>
  <c r="U32" i="7"/>
  <c r="U656" i="7"/>
  <c r="U413" i="7"/>
  <c r="U60" i="7"/>
  <c r="U642" i="7"/>
  <c r="V453" i="7"/>
  <c r="U85" i="7"/>
  <c r="V47" i="7"/>
  <c r="V33" i="7"/>
  <c r="U74" i="7"/>
  <c r="V83" i="7"/>
  <c r="U140" i="7"/>
  <c r="U268" i="7"/>
  <c r="U299" i="7"/>
  <c r="U429" i="7"/>
  <c r="V348" i="7"/>
  <c r="V571" i="7"/>
  <c r="U112" i="7"/>
  <c r="U292" i="7"/>
  <c r="U222" i="7"/>
  <c r="U350" i="7"/>
  <c r="V265" i="7"/>
  <c r="U312" i="7"/>
  <c r="V148" i="7"/>
  <c r="U676" i="7"/>
  <c r="V207" i="7"/>
  <c r="U180" i="7"/>
  <c r="V293" i="7"/>
  <c r="V686" i="7"/>
  <c r="U704" i="7"/>
  <c r="V707" i="7"/>
  <c r="U396" i="7"/>
  <c r="V182" i="7"/>
  <c r="V655" i="7"/>
  <c r="V463" i="7"/>
  <c r="U455" i="7"/>
  <c r="V216" i="7"/>
  <c r="U589" i="7"/>
  <c r="V377" i="7"/>
  <c r="U282" i="7"/>
  <c r="U328" i="7"/>
  <c r="V366" i="7"/>
  <c r="V3" i="7"/>
  <c r="U126" i="7"/>
  <c r="V105" i="7"/>
  <c r="V716" i="7"/>
  <c r="U264" i="7"/>
  <c r="U154" i="7"/>
  <c r="U564" i="7"/>
  <c r="U73" i="7"/>
  <c r="V96" i="7"/>
  <c r="V52" i="7"/>
  <c r="U139" i="7"/>
  <c r="U111" i="7"/>
  <c r="U153" i="7"/>
  <c r="U281" i="7"/>
  <c r="U45" i="7"/>
  <c r="V276" i="7"/>
  <c r="V313" i="7"/>
  <c r="V378" i="7"/>
  <c r="V327" i="7"/>
  <c r="V280" i="7"/>
  <c r="V115" i="7"/>
  <c r="U31" i="7"/>
  <c r="V217" i="7"/>
  <c r="V76" i="7"/>
  <c r="V601" i="7"/>
  <c r="U717" i="7"/>
  <c r="U423" i="7"/>
  <c r="V172" i="7"/>
  <c r="V552" i="7"/>
  <c r="V424" i="7"/>
  <c r="U59" i="7"/>
  <c r="U179" i="7"/>
  <c r="U395" i="7"/>
  <c r="U125" i="7"/>
  <c r="U536" i="7"/>
  <c r="U311" i="7"/>
  <c r="V492" i="7"/>
  <c r="U467" i="7"/>
  <c r="V537" i="7"/>
  <c r="U585" i="7"/>
  <c r="U641" i="7"/>
  <c r="U267" i="7"/>
  <c r="V617" i="7"/>
  <c r="U629" i="7"/>
  <c r="V354" i="7"/>
  <c r="V710" i="7"/>
  <c r="U491" i="7"/>
  <c r="U598" i="7"/>
  <c r="U503" i="7"/>
  <c r="U689" i="7"/>
  <c r="U216" i="7"/>
  <c r="U97" i="7"/>
  <c r="U615" i="7"/>
  <c r="V466" i="7"/>
  <c r="U515" i="7"/>
  <c r="V417" i="7"/>
  <c r="V189" i="7"/>
  <c r="V637" i="7"/>
  <c r="U323" i="7"/>
  <c r="U675" i="7"/>
  <c r="U377" i="7"/>
  <c r="V255" i="7"/>
  <c r="V250" i="7"/>
  <c r="U253" i="7"/>
  <c r="V722" i="7"/>
  <c r="V18" i="7"/>
  <c r="V211" i="7"/>
  <c r="U441" i="7"/>
  <c r="V438" i="7"/>
  <c r="U479" i="7"/>
  <c r="U551" i="7"/>
  <c r="V513" i="7"/>
  <c r="V373" i="7"/>
  <c r="U573" i="7"/>
  <c r="V391" i="7"/>
  <c r="V401" i="7"/>
  <c r="U409" i="7"/>
  <c r="V342" i="7"/>
  <c r="U428" i="7"/>
  <c r="U167" i="7"/>
  <c r="U205" i="7"/>
  <c r="U335" i="7"/>
  <c r="V233" i="7"/>
  <c r="V160" i="7"/>
  <c r="V522" i="7"/>
  <c r="U298" i="7"/>
  <c r="V482" i="7"/>
  <c r="U349" i="7"/>
  <c r="V151" i="7"/>
  <c r="V547" i="7"/>
  <c r="U390" i="7"/>
  <c r="U363" i="7"/>
  <c r="V13" i="7"/>
  <c r="V701" i="7"/>
  <c r="V677" i="7"/>
  <c r="V444" i="7"/>
  <c r="U5" i="7"/>
  <c r="V37" i="7"/>
  <c r="U17" i="7"/>
  <c r="V667" i="7"/>
  <c r="U539" i="7"/>
  <c r="U239" i="7"/>
  <c r="U703" i="7"/>
  <c r="V301" i="7"/>
  <c r="U226" i="7"/>
  <c r="U663" i="7"/>
  <c r="V127" i="7"/>
  <c r="V577" i="7"/>
  <c r="V593" i="7"/>
  <c r="V640" i="7"/>
  <c r="V70" i="7"/>
  <c r="V164" i="7"/>
  <c r="V86" i="7"/>
  <c r="V116" i="7"/>
  <c r="V72" i="7"/>
  <c r="V126" i="7"/>
  <c r="U215" i="7"/>
  <c r="U54" i="7"/>
  <c r="V146" i="7"/>
  <c r="V285" i="7"/>
  <c r="V302" i="7"/>
  <c r="U374" i="7"/>
  <c r="U250" i="7"/>
  <c r="U346" i="7"/>
  <c r="V185" i="7"/>
  <c r="V428" i="7"/>
  <c r="U596" i="7"/>
  <c r="V194" i="7"/>
  <c r="V312" i="7"/>
  <c r="V101" i="7"/>
  <c r="V269" i="7"/>
  <c r="V239" i="7"/>
  <c r="U94" i="7"/>
  <c r="U426" i="7"/>
  <c r="U464" i="7"/>
  <c r="U488" i="7"/>
  <c r="V535" i="7"/>
  <c r="V369" i="7"/>
  <c r="V427" i="7"/>
  <c r="V456" i="7"/>
  <c r="V208" i="7"/>
  <c r="V361" i="7"/>
  <c r="U136" i="7"/>
  <c r="U452" i="7"/>
  <c r="V523" i="7"/>
  <c r="V27" i="7"/>
  <c r="U601" i="7"/>
  <c r="V9" i="7"/>
  <c r="U290" i="7"/>
  <c r="V729" i="7"/>
  <c r="U526" i="7"/>
  <c r="V574" i="7"/>
  <c r="U649" i="7"/>
  <c r="U420" i="7"/>
  <c r="U700" i="7"/>
  <c r="V630" i="7"/>
  <c r="U122" i="7"/>
  <c r="V387" i="7"/>
  <c r="U686" i="7"/>
  <c r="U563" i="7"/>
  <c r="V509" i="7"/>
  <c r="V598" i="7"/>
  <c r="U657" i="7"/>
  <c r="V325" i="7"/>
  <c r="V656" i="7"/>
  <c r="V543" i="7"/>
  <c r="U360" i="7"/>
  <c r="U82" i="7"/>
  <c r="V53" i="7"/>
  <c r="U195" i="7"/>
  <c r="U70" i="7"/>
  <c r="V418" i="7"/>
  <c r="V470" i="7"/>
  <c r="U190" i="7"/>
  <c r="U638" i="7"/>
  <c r="U714" i="7"/>
  <c r="U534" i="7"/>
  <c r="V34" i="7"/>
  <c r="U512" i="7"/>
  <c r="U326" i="7"/>
  <c r="U548" i="7"/>
  <c r="U438" i="7"/>
  <c r="U278" i="7"/>
  <c r="U388" i="7"/>
  <c r="U165" i="7"/>
  <c r="V668" i="7"/>
  <c r="V562" i="7"/>
  <c r="U42" i="7"/>
  <c r="U319" i="7"/>
  <c r="V440" i="7"/>
  <c r="V252" i="7"/>
  <c r="V343" i="7"/>
  <c r="V398" i="7"/>
  <c r="U406" i="7"/>
  <c r="U672" i="7"/>
  <c r="U476" i="7"/>
  <c r="V643" i="7"/>
  <c r="U28" i="7"/>
  <c r="U263" i="7"/>
  <c r="V614" i="7"/>
  <c r="V594" i="7"/>
  <c r="U625" i="7"/>
  <c r="U308" i="7"/>
  <c r="V696" i="7"/>
  <c r="V483" i="7"/>
  <c r="U236" i="7"/>
  <c r="U14" i="7"/>
  <c r="U150" i="7"/>
  <c r="V711" i="7"/>
  <c r="V676" i="7"/>
  <c r="U582" i="7"/>
  <c r="V234" i="7"/>
  <c r="U108" i="7"/>
  <c r="V59" i="7"/>
  <c r="U728" i="7"/>
  <c r="U63" i="7"/>
  <c r="V79" i="7"/>
  <c r="U21" i="7"/>
  <c r="U171" i="7"/>
  <c r="V56" i="7"/>
  <c r="V111" i="7"/>
  <c r="U432" i="7"/>
  <c r="V84" i="7"/>
  <c r="U129" i="7"/>
  <c r="U101" i="7"/>
  <c r="U183" i="7"/>
  <c r="U143" i="7"/>
  <c r="V174" i="7"/>
  <c r="V290" i="7"/>
  <c r="U271" i="7"/>
  <c r="U339" i="7"/>
  <c r="U301" i="7"/>
  <c r="V371" i="7"/>
  <c r="V389" i="7"/>
  <c r="V724" i="7"/>
  <c r="V419" i="7"/>
  <c r="U381" i="7"/>
  <c r="V479" i="7"/>
  <c r="U412" i="7"/>
  <c r="V141" i="7"/>
  <c r="U209" i="7"/>
  <c r="V649" i="7"/>
  <c r="U482" i="7"/>
  <c r="V108" i="7"/>
  <c r="V691" i="7"/>
  <c r="V454" i="7"/>
  <c r="U367" i="7"/>
  <c r="V495" i="7"/>
  <c r="U531" i="7"/>
  <c r="V561" i="7"/>
  <c r="U445" i="7"/>
  <c r="U506" i="7"/>
  <c r="V516" i="7"/>
  <c r="V298" i="7"/>
  <c r="V532" i="7"/>
  <c r="U555" i="7"/>
  <c r="V595" i="7"/>
  <c r="U679" i="7"/>
  <c r="U618" i="7"/>
  <c r="U470" i="7"/>
  <c r="V680" i="7"/>
  <c r="U667" i="7"/>
  <c r="V404" i="7"/>
  <c r="V154" i="7"/>
  <c r="V40" i="7"/>
  <c r="V545" i="7"/>
  <c r="U399" i="7"/>
  <c r="V620" i="7"/>
  <c r="U353" i="7"/>
  <c r="U643" i="7"/>
  <c r="U243" i="7"/>
  <c r="V62" i="7"/>
  <c r="V203" i="7"/>
  <c r="V704" i="7"/>
  <c r="U35" i="7"/>
  <c r="U285" i="7"/>
  <c r="U588" i="7"/>
  <c r="V315" i="7"/>
  <c r="V336" i="7"/>
  <c r="V235" i="7"/>
  <c r="V431" i="7"/>
  <c r="U7" i="7"/>
  <c r="U575" i="7"/>
  <c r="U230" i="7"/>
  <c r="V130" i="7"/>
  <c r="U707" i="7"/>
  <c r="V329" i="7"/>
  <c r="V29" i="7"/>
  <c r="U57" i="7"/>
  <c r="U314" i="7"/>
  <c r="V356" i="7"/>
  <c r="V476" i="7"/>
  <c r="U331" i="7"/>
  <c r="U88" i="7"/>
  <c r="U519" i="7"/>
  <c r="V242" i="7"/>
  <c r="U494" i="7"/>
  <c r="V187" i="7"/>
  <c r="V504" i="7"/>
  <c r="U256" i="7"/>
  <c r="U198" i="7"/>
  <c r="U632" i="7"/>
  <c r="V213" i="7"/>
  <c r="U115" i="7"/>
  <c r="V580" i="7"/>
  <c r="V606" i="7"/>
  <c r="V663" i="7"/>
  <c r="V11" i="7"/>
  <c r="U541" i="7"/>
  <c r="U693" i="7"/>
  <c r="U607" i="7"/>
  <c r="V628" i="7"/>
  <c r="V447" i="7"/>
  <c r="U77" i="7"/>
  <c r="U721" i="7"/>
  <c r="U458" i="7"/>
  <c r="V266" i="7"/>
  <c r="U157" i="7"/>
  <c r="V258" i="7"/>
  <c r="U43" i="7"/>
  <c r="U83" i="7"/>
  <c r="V152" i="7"/>
  <c r="V229" i="7"/>
  <c r="U203" i="7"/>
  <c r="U95" i="7"/>
  <c r="U163" i="7"/>
  <c r="V184" i="7"/>
  <c r="V306" i="7"/>
  <c r="V21" i="7"/>
  <c r="V323" i="7"/>
  <c r="U265" i="7"/>
  <c r="U347" i="7"/>
  <c r="U151" i="7"/>
  <c r="U251" i="7"/>
  <c r="U297" i="7"/>
  <c r="V192" i="7"/>
  <c r="V392" i="7"/>
  <c r="V67" i="7"/>
  <c r="U393" i="7"/>
  <c r="U477" i="7"/>
  <c r="V610" i="7"/>
  <c r="V542" i="7"/>
  <c r="V493" i="7"/>
  <c r="U597" i="7"/>
  <c r="V222" i="7"/>
  <c r="U223" i="7"/>
  <c r="V410" i="7"/>
  <c r="U489" i="7"/>
  <c r="U279" i="7"/>
  <c r="U291" i="7"/>
  <c r="V368" i="7"/>
  <c r="U535" i="7"/>
  <c r="U465" i="7"/>
  <c r="U237" i="7"/>
  <c r="U327" i="7"/>
  <c r="U123" i="7"/>
  <c r="V107" i="7"/>
  <c r="U361" i="7"/>
  <c r="U375" i="7"/>
  <c r="U501" i="7"/>
  <c r="V671" i="7"/>
  <c r="U453" i="7"/>
  <c r="V578" i="7"/>
  <c r="V442" i="7"/>
  <c r="U549" i="7"/>
  <c r="V503" i="7"/>
  <c r="V678" i="7"/>
  <c r="V689" i="7"/>
  <c r="V586" i="7"/>
  <c r="V555" i="7"/>
  <c r="U715" i="7"/>
  <c r="U527" i="7"/>
  <c r="V460" i="7"/>
  <c r="U701" i="7"/>
  <c r="V90" i="7"/>
  <c r="V486" i="7"/>
  <c r="V514" i="7"/>
  <c r="U191" i="7"/>
  <c r="U613" i="7"/>
  <c r="V198" i="7"/>
  <c r="V273" i="7"/>
  <c r="U639" i="7"/>
  <c r="V426" i="7"/>
  <c r="V48" i="7"/>
  <c r="U583" i="7"/>
  <c r="V360" i="7"/>
  <c r="U513" i="7"/>
  <c r="U561" i="7"/>
  <c r="U729" i="7"/>
  <c r="U71" i="7"/>
  <c r="U439" i="7"/>
  <c r="U687" i="7"/>
  <c r="V702" i="7"/>
  <c r="V139" i="7"/>
  <c r="U389" i="7"/>
  <c r="V128" i="7"/>
  <c r="V475" i="7"/>
  <c r="U673" i="7"/>
  <c r="V289" i="7"/>
  <c r="V381" i="7"/>
  <c r="V534" i="7"/>
  <c r="V402" i="7"/>
  <c r="V294" i="7"/>
  <c r="U15" i="7"/>
  <c r="U427" i="7"/>
  <c r="U29" i="7"/>
  <c r="V634" i="7"/>
  <c r="U407" i="7"/>
  <c r="V247" i="7"/>
  <c r="V74" i="7"/>
  <c r="V436" i="7"/>
  <c r="U109" i="7"/>
  <c r="V38" i="7"/>
  <c r="V120" i="7"/>
  <c r="U309" i="7"/>
  <c r="V334" i="7"/>
  <c r="V728" i="7"/>
  <c r="U421" i="7"/>
  <c r="V8" i="7"/>
  <c r="U55" i="7"/>
  <c r="U137" i="7"/>
  <c r="U193" i="7"/>
  <c r="V264" i="7"/>
  <c r="I8" i="9"/>
  <c r="I11" i="9"/>
  <c r="I6" i="9"/>
  <c r="I9" i="9"/>
  <c r="I4" i="9"/>
  <c r="I13" i="9"/>
  <c r="I10" i="9"/>
  <c r="I3" i="9"/>
  <c r="I12" i="9"/>
  <c r="I14" i="9"/>
  <c r="G11" i="15"/>
  <c r="I7" i="9"/>
  <c r="V2" i="7"/>
  <c r="G26" i="15"/>
  <c r="G13" i="15"/>
  <c r="G12" i="15"/>
  <c r="G30" i="15"/>
  <c r="G31" i="15"/>
  <c r="G17" i="15"/>
  <c r="G18" i="15"/>
  <c r="G7" i="15"/>
  <c r="U2" i="7"/>
  <c r="D5" i="19"/>
  <c r="D7" i="19"/>
  <c r="D2" i="19"/>
  <c r="D8" i="19"/>
  <c r="D6" i="19"/>
  <c r="D4" i="19"/>
  <c r="D3" i="19"/>
  <c r="C6" i="19"/>
  <c r="C5" i="19"/>
  <c r="C2" i="19"/>
  <c r="C8" i="19"/>
  <c r="C4" i="19"/>
  <c r="C3" i="19"/>
  <c r="C7" i="19"/>
  <c r="I5" i="9"/>
  <c r="I2" i="9"/>
  <c r="J730" i="11" l="1"/>
  <c r="J2" i="11"/>
  <c r="L4" i="11"/>
  <c r="L44" i="11"/>
  <c r="L84" i="11"/>
  <c r="L124" i="11"/>
  <c r="L204" i="11"/>
  <c r="L224" i="11"/>
  <c r="L584" i="11"/>
  <c r="L604" i="11"/>
  <c r="L166" i="11"/>
  <c r="L286" i="11"/>
  <c r="L466" i="11"/>
  <c r="L348" i="11"/>
  <c r="L408" i="11"/>
  <c r="L528" i="11"/>
  <c r="L628" i="11"/>
  <c r="L688" i="11"/>
  <c r="L30" i="11"/>
  <c r="L110" i="11"/>
  <c r="L310" i="11"/>
  <c r="L490" i="11"/>
  <c r="L550" i="11"/>
  <c r="L271" i="11"/>
  <c r="L72" i="11"/>
  <c r="L152" i="11"/>
  <c r="L252" i="11"/>
  <c r="L572" i="11"/>
  <c r="L674" i="11"/>
  <c r="L334" i="11"/>
  <c r="L394" i="11"/>
  <c r="L454" i="11"/>
  <c r="L514" i="11"/>
  <c r="L614" i="11"/>
  <c r="L16" i="11"/>
  <c r="L96" i="11"/>
  <c r="L196" i="11"/>
  <c r="L376" i="11"/>
  <c r="L716" i="11"/>
  <c r="L58" i="11"/>
  <c r="L138" i="11"/>
  <c r="L178" i="11"/>
  <c r="L238" i="11"/>
  <c r="L478" i="11"/>
  <c r="L538" i="11"/>
  <c r="L640" i="11"/>
  <c r="L440" i="11"/>
  <c r="L322" i="11"/>
  <c r="L362" i="11"/>
  <c r="L422" i="11"/>
  <c r="L502" i="11"/>
  <c r="L602" i="11"/>
  <c r="L662" i="11"/>
  <c r="L702" i="11"/>
  <c r="J4" i="11"/>
  <c r="J3" i="11"/>
  <c r="J37" i="8"/>
  <c r="K109" i="11"/>
  <c r="K407" i="11"/>
  <c r="K701" i="11"/>
  <c r="K137" i="11"/>
  <c r="K421" i="11"/>
  <c r="K715" i="11"/>
  <c r="K613" i="11"/>
  <c r="K151" i="11"/>
  <c r="K427" i="11"/>
  <c r="K729" i="11"/>
  <c r="K163" i="11"/>
  <c r="K439" i="11"/>
  <c r="K191" i="11"/>
  <c r="K453" i="11"/>
  <c r="K193" i="11"/>
  <c r="K465" i="11"/>
  <c r="K203" i="11"/>
  <c r="K477" i="11"/>
  <c r="K223" i="11"/>
  <c r="K489" i="11"/>
  <c r="K237" i="11"/>
  <c r="K501" i="11"/>
  <c r="K251" i="11"/>
  <c r="K513" i="11"/>
  <c r="K265" i="11"/>
  <c r="K527" i="11"/>
  <c r="K285" i="11"/>
  <c r="K279" i="11"/>
  <c r="K535" i="11"/>
  <c r="K549" i="11"/>
  <c r="K297" i="11"/>
  <c r="K583" i="11"/>
  <c r="K327" i="11"/>
  <c r="K309" i="11"/>
  <c r="K597" i="11"/>
  <c r="K15" i="11"/>
  <c r="K29" i="11"/>
  <c r="K347" i="11"/>
  <c r="K55" i="11"/>
  <c r="K361" i="11"/>
  <c r="K639" i="11"/>
  <c r="K83" i="11"/>
  <c r="K375" i="11"/>
  <c r="K673" i="11"/>
  <c r="K95" i="11"/>
  <c r="K389" i="11"/>
  <c r="K687" i="11"/>
  <c r="I5" i="15"/>
  <c r="K119" i="11"/>
  <c r="K268" i="11"/>
  <c r="K436" i="11"/>
  <c r="K610" i="11"/>
  <c r="K449" i="11"/>
  <c r="K133" i="11"/>
  <c r="K636" i="11"/>
  <c r="K659" i="11"/>
  <c r="K147" i="11"/>
  <c r="K371" i="11"/>
  <c r="K305" i="11"/>
  <c r="K462" i="11"/>
  <c r="K164" i="11"/>
  <c r="K318" i="11"/>
  <c r="K660" i="11"/>
  <c r="K175" i="11"/>
  <c r="K187" i="11"/>
  <c r="K332" i="11"/>
  <c r="K683" i="11"/>
  <c r="K510" i="11"/>
  <c r="K545" i="11"/>
  <c r="K11" i="11"/>
  <c r="K25" i="11"/>
  <c r="K202" i="11"/>
  <c r="K523" i="11"/>
  <c r="K52" i="11"/>
  <c r="K212" i="11"/>
  <c r="K67" i="11"/>
  <c r="K403" i="11"/>
  <c r="K80" i="11"/>
  <c r="K247" i="11"/>
  <c r="K579" i="11"/>
  <c r="K417" i="11"/>
  <c r="K357" i="11"/>
  <c r="K697" i="11"/>
  <c r="K711" i="11"/>
  <c r="K260" i="11"/>
  <c r="K593" i="11"/>
  <c r="I29" i="15"/>
  <c r="I15" i="15"/>
  <c r="J36" i="8"/>
  <c r="K634" i="11"/>
  <c r="K566" i="11"/>
  <c r="K460" i="11"/>
  <c r="K293" i="11"/>
  <c r="K63" i="11"/>
  <c r="K521" i="11"/>
  <c r="K369" i="11"/>
  <c r="K723" i="11"/>
  <c r="K254" i="11"/>
  <c r="K75" i="11"/>
  <c r="K155" i="11"/>
  <c r="K99" i="11"/>
  <c r="K181" i="11"/>
  <c r="K207" i="11"/>
  <c r="K517" i="11"/>
  <c r="K169" i="11"/>
  <c r="K351" i="11"/>
  <c r="K504" i="11"/>
  <c r="K494" i="11"/>
  <c r="K35" i="11"/>
  <c r="K115" i="11"/>
  <c r="K555" i="11"/>
  <c r="K575" i="11"/>
  <c r="K157" i="11"/>
  <c r="K256" i="11"/>
  <c r="K57" i="11"/>
  <c r="K77" i="11"/>
  <c r="K21" i="11"/>
  <c r="K101" i="11"/>
  <c r="K301" i="11"/>
  <c r="K506" i="11"/>
  <c r="K88" i="11"/>
  <c r="K129" i="11"/>
  <c r="K143" i="11"/>
  <c r="K381" i="11"/>
  <c r="K209" i="11"/>
  <c r="K588" i="11"/>
  <c r="K331" i="11"/>
  <c r="K541" i="11"/>
  <c r="K519" i="11"/>
  <c r="K667" i="11"/>
  <c r="K643" i="11"/>
  <c r="K693" i="11"/>
  <c r="K482" i="11"/>
  <c r="K171" i="11"/>
  <c r="K367" i="11"/>
  <c r="K721" i="11"/>
  <c r="K531" i="11"/>
  <c r="K607" i="11"/>
  <c r="K632" i="11"/>
  <c r="K353" i="11"/>
  <c r="K183" i="11"/>
  <c r="K399" i="11"/>
  <c r="K432" i="11"/>
  <c r="K679" i="11"/>
  <c r="K196" i="11"/>
  <c r="K178" i="11"/>
  <c r="K44" i="11"/>
  <c r="K84" i="11"/>
  <c r="K124" i="11"/>
  <c r="K604" i="11"/>
  <c r="K13" i="11"/>
  <c r="K93" i="11"/>
  <c r="K214" i="11"/>
  <c r="K135" i="11"/>
  <c r="K235" i="11"/>
  <c r="K475" i="11"/>
  <c r="K595" i="11"/>
  <c r="K56" i="11"/>
  <c r="K296" i="11"/>
  <c r="K41" i="11"/>
  <c r="K121" i="11"/>
  <c r="K221" i="11"/>
  <c r="K162" i="11"/>
  <c r="K107" i="11"/>
  <c r="K27" i="11"/>
  <c r="K270" i="11"/>
  <c r="K290" i="11"/>
  <c r="K487" i="11"/>
  <c r="K562" i="11"/>
  <c r="K661" i="11"/>
  <c r="K685" i="11"/>
  <c r="K149" i="11"/>
  <c r="K359" i="11"/>
  <c r="K713" i="11"/>
  <c r="K387" i="11"/>
  <c r="K419" i="11"/>
  <c r="K547" i="11"/>
  <c r="K69" i="11"/>
  <c r="K307" i="11"/>
  <c r="K392" i="11"/>
  <c r="K624" i="11"/>
  <c r="K177" i="11"/>
  <c r="K345" i="11"/>
  <c r="K627" i="11"/>
  <c r="K581" i="11"/>
  <c r="K373" i="11"/>
  <c r="K425" i="11"/>
  <c r="K451" i="11"/>
  <c r="K172" i="11"/>
  <c r="K354" i="11"/>
  <c r="K414" i="11"/>
  <c r="K275" i="11"/>
  <c r="K315" i="11"/>
  <c r="K495" i="11"/>
  <c r="K556" i="11"/>
  <c r="K36" i="11"/>
  <c r="K116" i="11"/>
  <c r="K199" i="11"/>
  <c r="K22" i="11"/>
  <c r="K102" i="11"/>
  <c r="K64" i="11"/>
  <c r="K144" i="11"/>
  <c r="K184" i="11"/>
  <c r="K244" i="11"/>
  <c r="K446" i="11"/>
  <c r="K47" i="11"/>
  <c r="K228" i="11"/>
  <c r="K130" i="11"/>
  <c r="K433" i="11"/>
  <c r="K537" i="11"/>
  <c r="K382" i="11"/>
  <c r="K257" i="11"/>
  <c r="K708" i="11"/>
  <c r="K302" i="11"/>
  <c r="K520" i="11"/>
  <c r="K619" i="11"/>
  <c r="K668" i="11"/>
  <c r="K644" i="11"/>
  <c r="K483" i="11"/>
  <c r="K459" i="11"/>
  <c r="K340" i="11"/>
  <c r="K368" i="11"/>
  <c r="K722" i="11"/>
  <c r="K680" i="11"/>
  <c r="K89" i="11"/>
  <c r="K652" i="11"/>
  <c r="K400" i="11"/>
  <c r="K72" i="11"/>
  <c r="K152" i="11"/>
  <c r="K394" i="11"/>
  <c r="K514" i="11"/>
  <c r="K614" i="11"/>
  <c r="K674" i="11"/>
  <c r="K16" i="11"/>
  <c r="K96" i="11"/>
  <c r="K58" i="11"/>
  <c r="K138" i="11"/>
  <c r="K238" i="11"/>
  <c r="K204" i="11"/>
  <c r="K224" i="11"/>
  <c r="K166" i="11"/>
  <c r="K286" i="11"/>
  <c r="K466" i="11"/>
  <c r="K30" i="11"/>
  <c r="K110" i="11"/>
  <c r="K310" i="11"/>
  <c r="K490" i="11"/>
  <c r="K408" i="11"/>
  <c r="K538" i="11"/>
  <c r="K584" i="11"/>
  <c r="K362" i="11"/>
  <c r="K440" i="11"/>
  <c r="K271" i="11"/>
  <c r="K572" i="11"/>
  <c r="K502" i="11"/>
  <c r="K550" i="11"/>
  <c r="K478" i="11"/>
  <c r="K528" i="11"/>
  <c r="K602" i="11"/>
  <c r="K252" i="11"/>
  <c r="K628" i="11"/>
  <c r="K702" i="11"/>
  <c r="K348" i="11"/>
  <c r="K694" i="11"/>
  <c r="K576" i="11"/>
  <c r="K78" i="11"/>
  <c r="K158" i="11"/>
  <c r="K324" i="11"/>
  <c r="K210" i="11"/>
  <c r="K590" i="11"/>
  <c r="K542" i="11"/>
  <c r="K608" i="11"/>
  <c r="K633" i="11"/>
  <c r="K471" i="11"/>
  <c r="K507" i="11"/>
  <c r="K112" i="11"/>
  <c r="K98" i="11"/>
  <c r="K140" i="11"/>
  <c r="K126" i="11"/>
  <c r="K14" i="11"/>
  <c r="K54" i="11"/>
  <c r="K374" i="11"/>
  <c r="K714" i="11"/>
  <c r="K195" i="11"/>
  <c r="K476" i="11"/>
  <c r="K596" i="11"/>
  <c r="K236" i="11"/>
  <c r="K42" i="11"/>
  <c r="K122" i="11"/>
  <c r="K165" i="11"/>
  <c r="K326" i="11"/>
  <c r="K406" i="11"/>
  <c r="K526" i="11"/>
  <c r="K686" i="11"/>
  <c r="K28" i="11"/>
  <c r="K108" i="11"/>
  <c r="K308" i="11"/>
  <c r="K150" i="11"/>
  <c r="K190" i="11"/>
  <c r="K250" i="11"/>
  <c r="K291" i="11"/>
  <c r="K512" i="11"/>
  <c r="K488" i="11"/>
  <c r="K563" i="11"/>
  <c r="K638" i="11"/>
  <c r="K263" i="11"/>
  <c r="K464" i="11"/>
  <c r="K388" i="11"/>
  <c r="K272" i="11"/>
  <c r="K548" i="11"/>
  <c r="K672" i="11"/>
  <c r="K601" i="11"/>
  <c r="K625" i="11"/>
  <c r="K700" i="11"/>
  <c r="K728" i="11"/>
  <c r="K657" i="11"/>
  <c r="K452" i="11"/>
  <c r="K51" i="11"/>
  <c r="K91" i="11"/>
  <c r="K192" i="11"/>
  <c r="K174" i="11"/>
  <c r="K435" i="11"/>
  <c r="K276" i="11"/>
  <c r="K416" i="11"/>
  <c r="K38" i="11"/>
  <c r="K118" i="11"/>
  <c r="K219" i="11"/>
  <c r="K259" i="11"/>
  <c r="K160" i="11"/>
  <c r="K201" i="11"/>
  <c r="K104" i="11"/>
  <c r="K325" i="11"/>
  <c r="K402" i="11"/>
  <c r="K567" i="11"/>
  <c r="K497" i="11"/>
  <c r="K522" i="11"/>
  <c r="K621" i="11"/>
  <c r="K670" i="11"/>
  <c r="K532" i="11"/>
  <c r="K682" i="11"/>
  <c r="K558" i="11"/>
  <c r="K448" i="11"/>
  <c r="K724" i="11"/>
  <c r="K317" i="11"/>
  <c r="K255" i="11"/>
  <c r="K266" i="11"/>
  <c r="K330" i="11"/>
  <c r="K300" i="11"/>
  <c r="K242" i="11"/>
  <c r="K53" i="11"/>
  <c r="K134" i="11"/>
  <c r="K234" i="11"/>
  <c r="K474" i="11"/>
  <c r="K594" i="11"/>
  <c r="K176" i="11"/>
  <c r="K40" i="11"/>
  <c r="K120" i="11"/>
  <c r="K220" i="11"/>
  <c r="K161" i="11"/>
  <c r="K261" i="11"/>
  <c r="K106" i="11"/>
  <c r="K306" i="11"/>
  <c r="K486" i="11"/>
  <c r="K546" i="11"/>
  <c r="K726" i="11"/>
  <c r="K68" i="11"/>
  <c r="K148" i="11"/>
  <c r="K188" i="11"/>
  <c r="K450" i="11"/>
  <c r="K684" i="11"/>
  <c r="K358" i="11"/>
  <c r="K611" i="11"/>
  <c r="K637" i="11"/>
  <c r="K437" i="11"/>
  <c r="K712" i="11"/>
  <c r="K213" i="11"/>
  <c r="K333" i="11"/>
  <c r="K289" i="11"/>
  <c r="K560" i="11"/>
  <c r="K269" i="11"/>
  <c r="K524" i="11"/>
  <c r="K671" i="11"/>
  <c r="K698" i="11"/>
  <c r="K600" i="11"/>
  <c r="K648" i="11"/>
  <c r="K320" i="11"/>
  <c r="K344" i="11"/>
  <c r="K372" i="11"/>
  <c r="K424" i="11"/>
  <c r="K580" i="11"/>
  <c r="K92" i="11"/>
  <c r="K294" i="11"/>
  <c r="K39" i="11"/>
  <c r="K105" i="11"/>
  <c r="K366" i="11"/>
  <c r="K411" i="11"/>
  <c r="K380" i="11"/>
  <c r="K338" i="11"/>
  <c r="K287" i="11"/>
  <c r="K398" i="11"/>
  <c r="K352" i="11"/>
  <c r="K32" i="11"/>
  <c r="K74" i="11"/>
  <c r="K154" i="11"/>
  <c r="K654" i="11"/>
  <c r="K455" i="11"/>
  <c r="K516" i="11"/>
  <c r="K676" i="11"/>
  <c r="K60" i="11"/>
  <c r="K180" i="11"/>
  <c r="K168" i="11"/>
  <c r="K350" i="11"/>
  <c r="K564" i="11"/>
  <c r="K658" i="11"/>
  <c r="K664" i="11"/>
  <c r="K413" i="11"/>
  <c r="K690" i="11"/>
  <c r="K364" i="11"/>
  <c r="K570" i="11"/>
  <c r="K704" i="11"/>
  <c r="K227" i="11"/>
  <c r="K277" i="11"/>
  <c r="K312" i="11"/>
  <c r="K288" i="11"/>
  <c r="K485" i="11"/>
  <c r="K385" i="11"/>
  <c r="K568" i="11"/>
  <c r="K498" i="11"/>
  <c r="K647" i="11"/>
  <c r="K343" i="11"/>
  <c r="K559" i="11"/>
  <c r="K233" i="11"/>
  <c r="K725" i="11"/>
  <c r="K31" i="11"/>
  <c r="K111" i="11"/>
  <c r="K73" i="11"/>
  <c r="K335" i="11"/>
  <c r="K515" i="11"/>
  <c r="K615" i="11"/>
  <c r="K675" i="11"/>
  <c r="K536" i="11"/>
  <c r="K216" i="11"/>
  <c r="K278" i="11"/>
  <c r="K298" i="11"/>
  <c r="K179" i="11"/>
  <c r="K239" i="11"/>
  <c r="K45" i="11"/>
  <c r="K125" i="11"/>
  <c r="K205" i="11"/>
  <c r="K226" i="11"/>
  <c r="K167" i="11"/>
  <c r="K253" i="11"/>
  <c r="K585" i="11"/>
  <c r="K409" i="11"/>
  <c r="K539" i="11"/>
  <c r="K663" i="11"/>
  <c r="K153" i="11"/>
  <c r="K491" i="11"/>
  <c r="K689" i="11"/>
  <c r="K641" i="11"/>
  <c r="K441" i="11"/>
  <c r="K467" i="11"/>
  <c r="K717" i="11"/>
  <c r="K349" i="11"/>
  <c r="K598" i="11"/>
  <c r="K323" i="11"/>
  <c r="K503" i="11"/>
  <c r="K428" i="11"/>
  <c r="K479" i="11"/>
  <c r="K629" i="11"/>
  <c r="K703" i="11"/>
  <c r="K404" i="11"/>
  <c r="K418" i="11"/>
  <c r="K334" i="11"/>
  <c r="K454" i="11"/>
  <c r="K716" i="11"/>
  <c r="K376" i="11"/>
  <c r="K662" i="11"/>
  <c r="K688" i="11"/>
  <c r="K640" i="11"/>
  <c r="K422" i="11"/>
  <c r="K322" i="11"/>
  <c r="K194" i="11"/>
  <c r="K321" i="11"/>
  <c r="K249" i="11"/>
  <c r="K511" i="11"/>
  <c r="K612" i="11"/>
  <c r="K463" i="11"/>
  <c r="K262" i="11"/>
  <c r="K405" i="11"/>
  <c r="K533" i="11"/>
  <c r="K500" i="11"/>
  <c r="K525" i="11"/>
  <c r="K699" i="11"/>
  <c r="K189" i="11"/>
  <c r="K727" i="11"/>
  <c r="K395" i="11"/>
  <c r="K17" i="11"/>
  <c r="K97" i="11"/>
  <c r="K59" i="11"/>
  <c r="K139" i="11"/>
  <c r="K390" i="11"/>
  <c r="K363" i="11"/>
  <c r="K377" i="11"/>
  <c r="K311" i="11"/>
  <c r="K573" i="11"/>
  <c r="K423" i="11"/>
  <c r="K551" i="11"/>
  <c r="K280" i="11"/>
  <c r="K34" i="11"/>
  <c r="K114" i="11"/>
  <c r="K554" i="11"/>
  <c r="K574" i="11"/>
  <c r="K655" i="11"/>
  <c r="K76" i="11"/>
  <c r="K156" i="11"/>
  <c r="K100" i="11"/>
  <c r="K62" i="11"/>
  <c r="K142" i="11"/>
  <c r="K606" i="11"/>
  <c r="K666" i="11"/>
  <c r="K706" i="11"/>
  <c r="K128" i="11"/>
  <c r="K587" i="11"/>
  <c r="K49" i="11"/>
  <c r="K518" i="11"/>
  <c r="K565" i="11"/>
  <c r="K617" i="11"/>
  <c r="K692" i="11"/>
  <c r="K720" i="11"/>
  <c r="K431" i="11"/>
  <c r="K651" i="11"/>
  <c r="K678" i="11"/>
  <c r="K33" i="11"/>
  <c r="K113" i="11"/>
  <c r="K274" i="11"/>
  <c r="K456" i="11"/>
  <c r="K616" i="11"/>
  <c r="K19" i="11"/>
  <c r="K61" i="11"/>
  <c r="K141" i="11"/>
  <c r="K241" i="11"/>
  <c r="K86" i="11"/>
  <c r="K586" i="11"/>
  <c r="K127" i="11"/>
  <c r="K48" i="11"/>
  <c r="K410" i="11"/>
  <c r="K430" i="11"/>
  <c r="K197" i="11"/>
  <c r="K329" i="11"/>
  <c r="K540" i="11"/>
  <c r="K492" i="11"/>
  <c r="K337" i="11"/>
  <c r="K691" i="11"/>
  <c r="K468" i="11"/>
  <c r="K365" i="11"/>
  <c r="K443" i="11"/>
  <c r="K719" i="11"/>
  <c r="K571" i="11"/>
  <c r="K630" i="11"/>
  <c r="K229" i="11"/>
  <c r="K397" i="11"/>
  <c r="K605" i="11"/>
  <c r="K313" i="11"/>
  <c r="K650" i="11"/>
  <c r="K677" i="11"/>
  <c r="K282" i="11"/>
  <c r="K480" i="11"/>
  <c r="K530" i="11"/>
  <c r="K553" i="11"/>
  <c r="K132" i="11"/>
  <c r="K635" i="11"/>
  <c r="K696" i="11"/>
  <c r="K356" i="11"/>
  <c r="K24" i="11"/>
  <c r="K284" i="11"/>
  <c r="K304" i="11"/>
  <c r="K66" i="11"/>
  <c r="K146" i="11"/>
  <c r="K186" i="11"/>
  <c r="K246" i="11"/>
  <c r="K370" i="11"/>
  <c r="K461" i="11"/>
  <c r="K710" i="11"/>
  <c r="K384" i="11"/>
  <c r="K592" i="11"/>
  <c r="K544" i="11"/>
  <c r="K342" i="11"/>
  <c r="K473" i="11"/>
  <c r="K509" i="11"/>
  <c r="K484" i="11"/>
  <c r="K232" i="11"/>
  <c r="K578" i="11"/>
  <c r="K131" i="11"/>
  <c r="K434" i="11"/>
  <c r="K295" i="11"/>
  <c r="K355" i="11"/>
  <c r="K415" i="11"/>
  <c r="K695" i="11"/>
  <c r="K496" i="11"/>
  <c r="K316" i="11"/>
  <c r="K37" i="11"/>
  <c r="K117" i="11"/>
  <c r="K258" i="11"/>
  <c r="K79" i="11"/>
  <c r="K159" i="11"/>
  <c r="K200" i="11"/>
  <c r="K341" i="11"/>
  <c r="K65" i="11"/>
  <c r="K185" i="11"/>
  <c r="K245" i="11"/>
  <c r="K23" i="11"/>
  <c r="K709" i="11"/>
  <c r="K211" i="11"/>
  <c r="K383" i="11"/>
  <c r="K591" i="11"/>
  <c r="K543" i="11"/>
  <c r="K267" i="11"/>
  <c r="K303" i="11"/>
  <c r="K620" i="11"/>
  <c r="K669" i="11"/>
  <c r="K645" i="11"/>
  <c r="K557" i="11"/>
  <c r="K173" i="11"/>
  <c r="K231" i="11"/>
  <c r="K472" i="11"/>
  <c r="K447" i="11"/>
  <c r="K508" i="11"/>
  <c r="K681" i="11"/>
  <c r="K577" i="11"/>
  <c r="K653" i="11"/>
  <c r="K609" i="11"/>
  <c r="K103" i="11"/>
  <c r="K401" i="11"/>
  <c r="K379" i="11"/>
  <c r="K665" i="11"/>
  <c r="K705" i="11"/>
  <c r="K603" i="11"/>
  <c r="K218" i="11"/>
  <c r="K20" i="11"/>
  <c r="K182" i="11"/>
  <c r="K225" i="11"/>
  <c r="K87" i="11"/>
  <c r="K208" i="11"/>
  <c r="K170" i="11"/>
  <c r="K493" i="11"/>
  <c r="K457" i="11"/>
  <c r="K469" i="11"/>
  <c r="K481" i="11"/>
  <c r="K631" i="11"/>
  <c r="K444" i="11"/>
  <c r="K505" i="11"/>
  <c r="K94" i="11"/>
  <c r="K534" i="11"/>
  <c r="K215" i="11"/>
  <c r="K136" i="11"/>
  <c r="K82" i="11"/>
  <c r="K346" i="11"/>
  <c r="K426" i="11"/>
  <c r="K70" i="11"/>
  <c r="K360" i="11"/>
  <c r="K438" i="11"/>
  <c r="K582" i="11"/>
  <c r="K420" i="11"/>
  <c r="K319" i="11"/>
  <c r="K649" i="11"/>
  <c r="K145" i="11"/>
  <c r="K50" i="11"/>
  <c r="K90" i="11"/>
  <c r="K314" i="11"/>
  <c r="K198" i="11"/>
  <c r="K230" i="11"/>
  <c r="K470" i="11"/>
  <c r="K412" i="11"/>
  <c r="K618" i="11"/>
  <c r="K339" i="11"/>
  <c r="K445" i="11"/>
  <c r="K273" i="11"/>
  <c r="K458" i="11"/>
  <c r="K707" i="11"/>
  <c r="K243" i="11"/>
  <c r="K283" i="11"/>
  <c r="K12" i="11"/>
  <c r="K81" i="11"/>
  <c r="K26" i="11"/>
  <c r="K386" i="11"/>
  <c r="K248" i="11"/>
  <c r="K569" i="11"/>
  <c r="K391" i="11"/>
  <c r="K499" i="11"/>
  <c r="K623" i="11"/>
  <c r="K656" i="11"/>
  <c r="K336" i="11"/>
  <c r="K396" i="11"/>
  <c r="K18" i="11"/>
  <c r="K240" i="11"/>
  <c r="K281" i="11"/>
  <c r="K264" i="11"/>
  <c r="K85" i="11"/>
  <c r="K46" i="11"/>
  <c r="K206" i="11"/>
  <c r="K626" i="11"/>
  <c r="K328" i="11"/>
  <c r="K378" i="11"/>
  <c r="K292" i="11"/>
  <c r="K589" i="11"/>
  <c r="K429" i="11"/>
  <c r="K299" i="11"/>
  <c r="K217" i="11"/>
  <c r="K642" i="11"/>
  <c r="K222" i="11"/>
  <c r="K442" i="11"/>
  <c r="K718" i="11"/>
  <c r="K599" i="11"/>
  <c r="K529" i="11"/>
  <c r="K552" i="11"/>
  <c r="K71" i="11"/>
  <c r="K561" i="11"/>
  <c r="K43" i="11"/>
  <c r="K393" i="11"/>
  <c r="K123" i="11"/>
  <c r="L5" i="9"/>
  <c r="L3" i="9"/>
  <c r="L15" i="9"/>
  <c r="L6" i="9"/>
  <c r="L12" i="9"/>
  <c r="L11" i="9"/>
  <c r="L731" i="11" s="1"/>
  <c r="L13" i="9"/>
  <c r="L8" i="9"/>
  <c r="L4" i="9"/>
  <c r="L14" i="9"/>
  <c r="L7" i="9"/>
  <c r="L10" i="9"/>
  <c r="L9" i="9"/>
  <c r="J292" i="11"/>
  <c r="J26" i="8"/>
  <c r="I19" i="15"/>
  <c r="J612" i="11"/>
  <c r="J482" i="11"/>
  <c r="J137" i="11"/>
  <c r="J438" i="11"/>
  <c r="J565" i="11"/>
  <c r="J692" i="11"/>
  <c r="J346" i="11"/>
  <c r="J190" i="11"/>
  <c r="J376" i="11"/>
  <c r="K8" i="11"/>
  <c r="I26" i="15"/>
  <c r="I12" i="15"/>
  <c r="I17" i="15"/>
  <c r="J331" i="11"/>
  <c r="J411" i="11"/>
  <c r="J35" i="11"/>
  <c r="K10" i="11"/>
  <c r="I28" i="15"/>
  <c r="I14" i="15"/>
  <c r="J14" i="8"/>
  <c r="J23" i="8"/>
  <c r="I4" i="15"/>
  <c r="J651" i="11"/>
  <c r="I27" i="15"/>
  <c r="J661" i="11"/>
  <c r="J388" i="11"/>
  <c r="J673" i="11"/>
  <c r="J175" i="11"/>
  <c r="J690" i="11"/>
  <c r="J193" i="11"/>
  <c r="J31" i="11"/>
  <c r="J98" i="11"/>
  <c r="J186" i="11"/>
  <c r="J191" i="11"/>
  <c r="J581" i="11"/>
  <c r="J125" i="11"/>
  <c r="J279" i="11"/>
  <c r="J658" i="11"/>
  <c r="J170" i="11"/>
  <c r="J163" i="11"/>
  <c r="J236" i="11"/>
  <c r="J641" i="11"/>
  <c r="J549" i="11"/>
  <c r="J520" i="11"/>
  <c r="J15" i="11"/>
  <c r="J597" i="11"/>
  <c r="J205" i="11"/>
  <c r="J77" i="11"/>
  <c r="J60" i="11"/>
  <c r="J206" i="11"/>
  <c r="J87" i="11"/>
  <c r="J619" i="11"/>
  <c r="J171" i="11"/>
  <c r="J30" i="11"/>
  <c r="J464" i="11"/>
  <c r="J465" i="11"/>
  <c r="K3" i="11"/>
  <c r="J239" i="11"/>
  <c r="J157" i="11"/>
  <c r="J76" i="11"/>
  <c r="J534" i="11"/>
  <c r="J253" i="11"/>
  <c r="J602" i="11"/>
  <c r="E5" i="19"/>
  <c r="F5" i="19" s="1"/>
  <c r="G5" i="19" s="1"/>
  <c r="H5" i="19" s="1"/>
  <c r="I5" i="19" s="1"/>
  <c r="J5" i="19" s="1"/>
  <c r="J314" i="11"/>
  <c r="J529" i="11"/>
  <c r="J363" i="11"/>
  <c r="J263" i="11"/>
  <c r="J406" i="11"/>
  <c r="J420" i="11"/>
  <c r="J347" i="11"/>
  <c r="J425" i="11"/>
  <c r="J635" i="11"/>
  <c r="J421" i="11"/>
  <c r="J65" i="11"/>
  <c r="J223" i="11"/>
  <c r="J717" i="11"/>
  <c r="J664" i="11"/>
  <c r="J49" i="11"/>
  <c r="J296" i="11"/>
  <c r="J308" i="11"/>
  <c r="J570" i="11"/>
  <c r="J286" i="11"/>
  <c r="J167" i="11"/>
  <c r="J32" i="11"/>
  <c r="J41" i="11"/>
  <c r="J309" i="11"/>
  <c r="J721" i="11"/>
  <c r="J638" i="11"/>
  <c r="J25" i="11"/>
  <c r="I18" i="15"/>
  <c r="J407" i="11"/>
  <c r="J150" i="11"/>
  <c r="J82" i="11"/>
  <c r="J140" i="11"/>
  <c r="J129" i="11"/>
  <c r="J7" i="11"/>
  <c r="J533" i="11"/>
  <c r="J439" i="11"/>
  <c r="J715" i="11"/>
  <c r="J607" i="11"/>
  <c r="J582" i="11"/>
  <c r="J554" i="11"/>
  <c r="J362" i="11"/>
  <c r="J693" i="11"/>
  <c r="J643" i="11"/>
  <c r="J195" i="11"/>
  <c r="J299" i="11"/>
  <c r="J574" i="11"/>
  <c r="J341" i="11"/>
  <c r="J399" i="11"/>
  <c r="J143" i="11"/>
  <c r="J14" i="11"/>
  <c r="J596" i="11"/>
  <c r="J114" i="11"/>
  <c r="J461" i="11"/>
  <c r="J159" i="11"/>
  <c r="J583" i="11"/>
  <c r="J100" i="11"/>
  <c r="J670" i="11"/>
  <c r="J575" i="11"/>
  <c r="J278" i="11"/>
  <c r="J216" i="11"/>
  <c r="J85" i="11"/>
  <c r="J121" i="11"/>
  <c r="J682" i="11"/>
  <c r="J316" i="11"/>
  <c r="J91" i="11"/>
  <c r="J340" i="11"/>
  <c r="J487" i="11"/>
  <c r="J384" i="11"/>
  <c r="J209" i="11"/>
  <c r="J142" i="11"/>
  <c r="J538" i="11"/>
  <c r="J310" i="11"/>
  <c r="J613" i="11"/>
  <c r="J375" i="11"/>
  <c r="J393" i="11"/>
  <c r="J618" i="11"/>
  <c r="J631" i="11"/>
  <c r="J135" i="11"/>
  <c r="J502" i="11"/>
  <c r="J725" i="11"/>
  <c r="J679" i="11"/>
  <c r="J469" i="11"/>
  <c r="J588" i="11"/>
  <c r="J215" i="11"/>
  <c r="J536" i="11"/>
  <c r="J123" i="11"/>
  <c r="J63" i="11"/>
  <c r="J714" i="11"/>
  <c r="J237" i="11"/>
  <c r="J251" i="11"/>
  <c r="J395" i="11"/>
  <c r="J281" i="11"/>
  <c r="J455" i="11"/>
  <c r="J500" i="11"/>
  <c r="J685" i="11"/>
  <c r="J110" i="11"/>
  <c r="J568" i="11"/>
  <c r="E3" i="19"/>
  <c r="F3" i="19" s="1"/>
  <c r="G3" i="19" s="1"/>
  <c r="H3" i="19" s="1"/>
  <c r="I3" i="19" s="1"/>
  <c r="J3" i="19" s="1"/>
  <c r="K7" i="11"/>
  <c r="K6" i="11"/>
  <c r="I23" i="15"/>
  <c r="K9" i="11"/>
  <c r="I9" i="15"/>
  <c r="J131" i="11"/>
  <c r="J154" i="11"/>
  <c r="J204" i="11"/>
  <c r="J645" i="11"/>
  <c r="J644" i="11"/>
  <c r="J559" i="11"/>
  <c r="J726" i="11"/>
  <c r="J427" i="11"/>
  <c r="J95" i="11"/>
  <c r="J551" i="11"/>
  <c r="J180" i="11"/>
  <c r="J336" i="11"/>
  <c r="J457" i="11"/>
  <c r="J177" i="11"/>
  <c r="J81" i="11"/>
  <c r="J226" i="11"/>
  <c r="J657" i="11"/>
  <c r="J136" i="11"/>
  <c r="J250" i="11"/>
  <c r="J479" i="11"/>
  <c r="J511" i="11"/>
  <c r="J307" i="11"/>
  <c r="J138" i="11"/>
  <c r="E2" i="19"/>
  <c r="F2" i="19" s="1"/>
  <c r="G2" i="19" s="1"/>
  <c r="H2" i="19" s="1"/>
  <c r="I2" i="19" s="1"/>
  <c r="J2" i="19" s="1"/>
  <c r="J632" i="11"/>
  <c r="J298" i="11"/>
  <c r="J585" i="11"/>
  <c r="J126" i="11"/>
  <c r="J516" i="11"/>
  <c r="J274" i="11"/>
  <c r="J145" i="11"/>
  <c r="J83" i="11"/>
  <c r="J548" i="11"/>
  <c r="J703" i="11"/>
  <c r="J642" i="11"/>
  <c r="J727" i="11"/>
  <c r="J497" i="11"/>
  <c r="J385" i="11"/>
  <c r="J261" i="11"/>
  <c r="J55" i="11"/>
  <c r="J501" i="11"/>
  <c r="J477" i="11"/>
  <c r="J43" i="11"/>
  <c r="J326" i="11"/>
  <c r="J104" i="11"/>
  <c r="I6" i="15"/>
  <c r="J494" i="11"/>
  <c r="J219" i="11"/>
  <c r="J112" i="11"/>
  <c r="J284" i="11"/>
  <c r="J149" i="11"/>
  <c r="K4" i="11"/>
  <c r="J54" i="11"/>
  <c r="J24" i="11"/>
  <c r="E6" i="19"/>
  <c r="F6" i="19" s="1"/>
  <c r="G6" i="19" s="1"/>
  <c r="H6" i="19" s="1"/>
  <c r="I6" i="19" s="1"/>
  <c r="J6" i="19" s="1"/>
  <c r="J389" i="11"/>
  <c r="J327" i="11"/>
  <c r="J700" i="11"/>
  <c r="J45" i="11"/>
  <c r="J214" i="11"/>
  <c r="J94" i="11"/>
  <c r="J196" i="11"/>
  <c r="J20" i="11"/>
  <c r="J265" i="11"/>
  <c r="J243" i="11"/>
  <c r="J445" i="11"/>
  <c r="J339" i="11"/>
  <c r="J526" i="11"/>
  <c r="J139" i="11"/>
  <c r="J718" i="11"/>
  <c r="J599" i="11"/>
  <c r="J587" i="11"/>
  <c r="J235" i="11"/>
  <c r="J584" i="11"/>
  <c r="J434" i="11"/>
  <c r="J354" i="11"/>
  <c r="J22" i="11"/>
  <c r="J684" i="11"/>
  <c r="I20" i="15"/>
  <c r="J71" i="11"/>
  <c r="J291" i="11"/>
  <c r="J271" i="11"/>
  <c r="J396" i="11"/>
  <c r="J132" i="11"/>
  <c r="J178" i="11"/>
  <c r="J64" i="11"/>
  <c r="J12" i="11"/>
  <c r="J531" i="11"/>
  <c r="J442" i="11"/>
  <c r="J330" i="11"/>
  <c r="J525" i="11"/>
  <c r="J345" i="11"/>
  <c r="J277" i="11"/>
  <c r="J544" i="11"/>
  <c r="J158" i="11"/>
  <c r="J244" i="11"/>
  <c r="E8" i="19"/>
  <c r="F8" i="19" s="1"/>
  <c r="G8" i="19" s="1"/>
  <c r="H8" i="19" s="1"/>
  <c r="I8" i="19" s="1"/>
  <c r="J8" i="19" s="1"/>
  <c r="J489" i="11"/>
  <c r="J423" i="11"/>
  <c r="J73" i="11"/>
  <c r="J704" i="11"/>
  <c r="J357" i="11"/>
  <c r="J437" i="11"/>
  <c r="E4" i="19"/>
  <c r="F4" i="19" s="1"/>
  <c r="G4" i="19" s="1"/>
  <c r="H4" i="19" s="1"/>
  <c r="I4" i="19" s="1"/>
  <c r="J4" i="19" s="1"/>
  <c r="I3" i="15"/>
  <c r="I31" i="15"/>
  <c r="I13" i="15"/>
  <c r="I32" i="15"/>
  <c r="K2" i="11"/>
  <c r="E7" i="19"/>
  <c r="F7" i="19" s="1"/>
  <c r="G7" i="19" s="1"/>
  <c r="H7" i="19" s="1"/>
  <c r="I7" i="19" s="1"/>
  <c r="J7" i="19" s="1"/>
  <c r="J267" i="11"/>
  <c r="J603" i="11"/>
  <c r="J390" i="11"/>
  <c r="J29" i="11"/>
  <c r="J707" i="11"/>
  <c r="J39" i="11"/>
  <c r="J485" i="11"/>
  <c r="J133" i="11"/>
  <c r="J386" i="11"/>
  <c r="J616" i="11"/>
  <c r="I25" i="15"/>
  <c r="I21" i="15"/>
  <c r="J147" i="11"/>
  <c r="J203" i="11"/>
  <c r="J452" i="11"/>
  <c r="J349" i="11"/>
  <c r="J97" i="11"/>
  <c r="J262" i="11"/>
  <c r="J405" i="11"/>
  <c r="J443" i="11"/>
  <c r="J444" i="11"/>
  <c r="J532" i="11"/>
  <c r="J160" i="11"/>
  <c r="J490" i="11"/>
  <c r="J628" i="11"/>
  <c r="J72" i="11"/>
  <c r="J130" i="11"/>
  <c r="J343" i="11"/>
  <c r="J499" i="11"/>
  <c r="J418" i="11"/>
  <c r="J391" i="11"/>
  <c r="J26" i="11"/>
  <c r="J181" i="11"/>
  <c r="J254" i="11"/>
  <c r="J48" i="11"/>
  <c r="J80" i="11"/>
  <c r="J379" i="11"/>
  <c r="J453" i="11"/>
  <c r="J374" i="11"/>
  <c r="J198" i="11"/>
  <c r="J441" i="11"/>
  <c r="J155" i="11"/>
  <c r="J470" i="11"/>
  <c r="J232" i="11"/>
  <c r="J550" i="11"/>
  <c r="J103" i="11"/>
  <c r="J708" i="11"/>
  <c r="J686" i="11"/>
  <c r="J350" i="11"/>
  <c r="J709" i="11"/>
  <c r="J361" i="11"/>
  <c r="J335" i="11"/>
  <c r="J598" i="11"/>
  <c r="J282" i="11"/>
  <c r="J222" i="11"/>
  <c r="J656" i="11"/>
  <c r="J246" i="11"/>
  <c r="J381" i="11"/>
  <c r="J122" i="11"/>
  <c r="J491" i="11"/>
  <c r="J128" i="11"/>
  <c r="J558" i="11"/>
  <c r="J702" i="11"/>
  <c r="J634" i="11"/>
  <c r="J303" i="11"/>
  <c r="J608" i="11"/>
  <c r="J257" i="11"/>
  <c r="J417" i="11"/>
  <c r="J276" i="11"/>
  <c r="J148" i="11"/>
  <c r="J650" i="11"/>
  <c r="J197" i="11"/>
  <c r="J241" i="11"/>
  <c r="J688" i="11"/>
  <c r="J297" i="11"/>
  <c r="J519" i="11"/>
  <c r="J88" i="11"/>
  <c r="J59" i="11"/>
  <c r="J626" i="11"/>
  <c r="J227" i="11"/>
  <c r="J156" i="11"/>
  <c r="J270" i="11"/>
  <c r="J398" i="11"/>
  <c r="J321" i="11"/>
  <c r="I11" i="15"/>
  <c r="J629" i="11"/>
  <c r="J678" i="11"/>
  <c r="J392" i="11"/>
  <c r="J562" i="11"/>
  <c r="J621" i="11"/>
  <c r="J38" i="11"/>
  <c r="J96" i="11"/>
  <c r="J295" i="11"/>
  <c r="J633" i="11"/>
  <c r="J11" i="11"/>
  <c r="J318" i="11"/>
  <c r="J247" i="11"/>
  <c r="J560" i="11"/>
  <c r="J424" i="11"/>
  <c r="J19" i="11"/>
  <c r="J86" i="11"/>
  <c r="J57" i="11"/>
  <c r="J194" i="11"/>
  <c r="J416" i="11"/>
  <c r="J592" i="11"/>
  <c r="J66" i="11"/>
  <c r="J44" i="11"/>
  <c r="J124" i="11"/>
  <c r="J577" i="11"/>
  <c r="J36" i="11"/>
  <c r="J202" i="11"/>
  <c r="J623" i="11"/>
  <c r="I7" i="15"/>
  <c r="J70" i="11"/>
  <c r="J27" i="11"/>
  <c r="J475" i="11"/>
  <c r="J699" i="11"/>
  <c r="J13" i="11"/>
  <c r="J51" i="11"/>
  <c r="J522" i="11"/>
  <c r="J528" i="11"/>
  <c r="J401" i="11"/>
  <c r="J593" i="11"/>
  <c r="J164" i="11"/>
  <c r="J630" i="11"/>
  <c r="J337" i="11"/>
  <c r="J207" i="11"/>
  <c r="J213" i="11"/>
  <c r="J729" i="11"/>
  <c r="J541" i="11"/>
  <c r="J353" i="11"/>
  <c r="J319" i="11"/>
  <c r="J290" i="11"/>
  <c r="J268" i="11"/>
  <c r="J483" i="11"/>
  <c r="J576" i="11"/>
  <c r="J698" i="11"/>
  <c r="J486" i="11"/>
  <c r="J372" i="11"/>
  <c r="J99" i="11"/>
  <c r="J705" i="11"/>
  <c r="J571" i="11"/>
  <c r="J6" i="11"/>
  <c r="J561" i="11"/>
  <c r="J42" i="11"/>
  <c r="J573" i="11"/>
  <c r="J364" i="11"/>
  <c r="J34" i="11"/>
  <c r="J408" i="11"/>
  <c r="J521" i="11"/>
  <c r="J258" i="11"/>
  <c r="J495" i="11"/>
  <c r="J89" i="11"/>
  <c r="J542" i="11"/>
  <c r="J92" i="11"/>
  <c r="J498" i="11"/>
  <c r="J647" i="11"/>
  <c r="J671" i="11"/>
  <c r="J127" i="11"/>
  <c r="J430" i="11"/>
  <c r="J33" i="11"/>
  <c r="J513" i="11"/>
  <c r="J367" i="11"/>
  <c r="J360" i="11"/>
  <c r="J601" i="11"/>
  <c r="J515" i="11"/>
  <c r="J564" i="11"/>
  <c r="J208" i="11"/>
  <c r="J380" i="11"/>
  <c r="J617" i="11"/>
  <c r="J387" i="11"/>
  <c r="J356" i="11"/>
  <c r="J192" i="11"/>
  <c r="J614" i="11"/>
  <c r="J238" i="11"/>
  <c r="J478" i="11"/>
  <c r="J224" i="11"/>
  <c r="J447" i="11"/>
  <c r="J695" i="11"/>
  <c r="J694" i="11"/>
  <c r="J184" i="11"/>
  <c r="J683" i="11"/>
  <c r="J610" i="11"/>
  <c r="J106" i="11"/>
  <c r="J637" i="11"/>
  <c r="J288" i="11"/>
  <c r="J665" i="11"/>
  <c r="J480" i="11"/>
  <c r="J505" i="11"/>
  <c r="J606" i="11"/>
  <c r="J322" i="11"/>
  <c r="J640" i="11"/>
  <c r="J152" i="11"/>
  <c r="J9" i="11"/>
  <c r="J507" i="11"/>
  <c r="J272" i="11"/>
  <c r="J371" i="11"/>
  <c r="J306" i="11"/>
  <c r="J468" i="11"/>
  <c r="J74" i="11"/>
  <c r="J101" i="11"/>
  <c r="J165" i="11"/>
  <c r="J663" i="11"/>
  <c r="J615" i="11"/>
  <c r="J264" i="11"/>
  <c r="J431" i="11"/>
  <c r="J289" i="11"/>
  <c r="J724" i="11"/>
  <c r="J448" i="11"/>
  <c r="J435" i="11"/>
  <c r="J266" i="11"/>
  <c r="J716" i="11"/>
  <c r="J16" i="11"/>
  <c r="J90" i="11"/>
  <c r="J355" i="11"/>
  <c r="J368" i="11"/>
  <c r="J67" i="11"/>
  <c r="J697" i="11"/>
  <c r="J580" i="11"/>
  <c r="J540" i="11"/>
  <c r="J397" i="11"/>
  <c r="J183" i="11"/>
  <c r="J115" i="11"/>
  <c r="J230" i="11"/>
  <c r="J706" i="11"/>
  <c r="J366" i="11"/>
  <c r="J174" i="11"/>
  <c r="J211" i="11"/>
  <c r="J620" i="11"/>
  <c r="J415" i="11"/>
  <c r="J722" i="11"/>
  <c r="J302" i="11"/>
  <c r="J523" i="11"/>
  <c r="J622" i="11"/>
  <c r="J40" i="11"/>
  <c r="J320" i="11"/>
  <c r="J68" i="11"/>
  <c r="J504" i="11"/>
  <c r="J61" i="11"/>
  <c r="J75" i="11"/>
  <c r="J294" i="11"/>
  <c r="J639" i="11"/>
  <c r="J667" i="11"/>
  <c r="J432" i="11"/>
  <c r="J625" i="11"/>
  <c r="J689" i="11"/>
  <c r="J218" i="11"/>
  <c r="J720" i="11"/>
  <c r="J242" i="11"/>
  <c r="J249" i="11"/>
  <c r="J460" i="11"/>
  <c r="J116" i="11"/>
  <c r="J332" i="11"/>
  <c r="J600" i="11"/>
  <c r="J188" i="11"/>
  <c r="J594" i="11"/>
  <c r="J524" i="11"/>
  <c r="J161" i="11"/>
  <c r="J269" i="11"/>
  <c r="J492" i="11"/>
  <c r="J365" i="11"/>
  <c r="J162" i="11"/>
  <c r="J503" i="11"/>
  <c r="J312" i="11"/>
  <c r="J378" i="11"/>
  <c r="J493" i="11"/>
  <c r="J451" i="11"/>
  <c r="J509" i="11"/>
  <c r="J514" i="11"/>
  <c r="J117" i="11"/>
  <c r="J293" i="11"/>
  <c r="J245" i="11"/>
  <c r="J669" i="11"/>
  <c r="J172" i="11"/>
  <c r="J537" i="11"/>
  <c r="J403" i="11"/>
  <c r="J545" i="11"/>
  <c r="J333" i="11"/>
  <c r="J134" i="11"/>
  <c r="I22" i="15"/>
  <c r="I8" i="15"/>
  <c r="J256" i="11"/>
  <c r="J563" i="11"/>
  <c r="J467" i="11"/>
  <c r="J46" i="11"/>
  <c r="J255" i="11"/>
  <c r="J481" i="11"/>
  <c r="J352" i="11"/>
  <c r="J627" i="11"/>
  <c r="J56" i="11"/>
  <c r="J473" i="11"/>
  <c r="J334" i="11"/>
  <c r="J166" i="11"/>
  <c r="J604" i="11"/>
  <c r="J84" i="11"/>
  <c r="J543" i="11"/>
  <c r="J50" i="11"/>
  <c r="J173" i="11"/>
  <c r="J609" i="11"/>
  <c r="J446" i="11"/>
  <c r="J382" i="11"/>
  <c r="J660" i="11"/>
  <c r="J462" i="11"/>
  <c r="J358" i="11"/>
  <c r="J248" i="11"/>
  <c r="J410" i="11"/>
  <c r="J517" i="11"/>
  <c r="I10" i="15"/>
  <c r="I24" i="15"/>
  <c r="J412" i="11"/>
  <c r="J512" i="11"/>
  <c r="J539" i="11"/>
  <c r="J328" i="11"/>
  <c r="J413" i="11"/>
  <c r="J552" i="11"/>
  <c r="J18" i="11"/>
  <c r="J666" i="11"/>
  <c r="J225" i="11"/>
  <c r="J463" i="11"/>
  <c r="J304" i="11"/>
  <c r="J342" i="11"/>
  <c r="J201" i="11"/>
  <c r="J572" i="11"/>
  <c r="J252" i="11"/>
  <c r="J674" i="11"/>
  <c r="J369" i="11"/>
  <c r="J652" i="11"/>
  <c r="J8" i="11"/>
  <c r="J210" i="11"/>
  <c r="J275" i="11"/>
  <c r="J404" i="11"/>
  <c r="J719" i="11"/>
  <c r="J676" i="11"/>
  <c r="J508" i="11"/>
  <c r="J21" i="11"/>
  <c r="J28" i="11"/>
  <c r="J311" i="11"/>
  <c r="J547" i="11"/>
  <c r="J79" i="11"/>
  <c r="J23" i="11"/>
  <c r="J315" i="11"/>
  <c r="J47" i="11"/>
  <c r="J102" i="11"/>
  <c r="J187" i="11"/>
  <c r="J305" i="11"/>
  <c r="J436" i="11"/>
  <c r="J712" i="11"/>
  <c r="J220" i="11"/>
  <c r="J234" i="11"/>
  <c r="J691" i="11"/>
  <c r="J351" i="11"/>
  <c r="J440" i="11"/>
  <c r="J496" i="11"/>
  <c r="J458" i="11"/>
  <c r="J285" i="11"/>
  <c r="J555" i="11"/>
  <c r="J476" i="11"/>
  <c r="J488" i="11"/>
  <c r="J17" i="11"/>
  <c r="J589" i="11"/>
  <c r="J182" i="11"/>
  <c r="J107" i="11"/>
  <c r="J373" i="11"/>
  <c r="J325" i="11"/>
  <c r="J710" i="11"/>
  <c r="J402" i="11"/>
  <c r="J681" i="11"/>
  <c r="J273" i="11"/>
  <c r="J231" i="11"/>
  <c r="J459" i="11"/>
  <c r="J510" i="11"/>
  <c r="J449" i="11"/>
  <c r="J579" i="11"/>
  <c r="J287" i="11"/>
  <c r="J176" i="11"/>
  <c r="J450" i="11"/>
  <c r="J53" i="11"/>
  <c r="J169" i="11"/>
  <c r="J728" i="11"/>
  <c r="J672" i="11"/>
  <c r="J428" i="11"/>
  <c r="J168" i="11"/>
  <c r="J655" i="11"/>
  <c r="J359" i="11"/>
  <c r="J595" i="11"/>
  <c r="J221" i="11"/>
  <c r="J370" i="11"/>
  <c r="J567" i="11"/>
  <c r="J118" i="11"/>
  <c r="J348" i="11"/>
  <c r="J662" i="11"/>
  <c r="J466" i="11"/>
  <c r="J557" i="11"/>
  <c r="J37" i="11"/>
  <c r="J723" i="11"/>
  <c r="J566" i="11"/>
  <c r="J228" i="11"/>
  <c r="J680" i="11"/>
  <c r="J144" i="11"/>
  <c r="J659" i="11"/>
  <c r="J711" i="11"/>
  <c r="J52" i="11"/>
  <c r="J233" i="11"/>
  <c r="J120" i="11"/>
  <c r="J605" i="11"/>
  <c r="J586" i="11"/>
  <c r="J141" i="11"/>
  <c r="J471" i="11"/>
  <c r="J313" i="11"/>
  <c r="J701" i="11"/>
  <c r="J426" i="11"/>
  <c r="J5" i="11"/>
  <c r="J377" i="11"/>
  <c r="J217" i="11"/>
  <c r="J62" i="11"/>
  <c r="J338" i="11"/>
  <c r="J713" i="11"/>
  <c r="J189" i="11"/>
  <c r="J10" i="11"/>
  <c r="J317" i="11"/>
  <c r="J646" i="11"/>
  <c r="J280" i="11"/>
  <c r="J400" i="11"/>
  <c r="J199" i="11"/>
  <c r="J433" i="11"/>
  <c r="J556" i="11"/>
  <c r="J78" i="11"/>
  <c r="J636" i="11"/>
  <c r="J611" i="11"/>
  <c r="J569" i="11"/>
  <c r="J229" i="11"/>
  <c r="J553" i="11"/>
  <c r="J113" i="11"/>
  <c r="J212" i="11"/>
  <c r="J151" i="11"/>
  <c r="J108" i="11"/>
  <c r="J649" i="11"/>
  <c r="J675" i="11"/>
  <c r="J179" i="11"/>
  <c r="J153" i="11"/>
  <c r="J429" i="11"/>
  <c r="J654" i="11"/>
  <c r="J240" i="11"/>
  <c r="J518" i="11"/>
  <c r="J419" i="11"/>
  <c r="J69" i="11"/>
  <c r="J624" i="11"/>
  <c r="J259" i="11"/>
  <c r="J578" i="11"/>
  <c r="J454" i="11"/>
  <c r="J591" i="11"/>
  <c r="J383" i="11"/>
  <c r="J414" i="11"/>
  <c r="J119" i="11"/>
  <c r="J344" i="11"/>
  <c r="J474" i="11"/>
  <c r="J546" i="11"/>
  <c r="J677" i="11"/>
  <c r="J329" i="11"/>
  <c r="J456" i="11"/>
  <c r="K5" i="11"/>
  <c r="I16" i="15"/>
  <c r="I2" i="15"/>
  <c r="I30" i="15"/>
  <c r="J109" i="11"/>
  <c r="J687" i="11"/>
  <c r="J527" i="11"/>
  <c r="J535" i="11"/>
  <c r="J506" i="11"/>
  <c r="J301" i="11"/>
  <c r="J409" i="11"/>
  <c r="J323" i="11"/>
  <c r="J111" i="11"/>
  <c r="J300" i="11"/>
  <c r="J93" i="11"/>
  <c r="J484" i="11"/>
  <c r="J696" i="11"/>
  <c r="J146" i="11"/>
  <c r="J58" i="11"/>
  <c r="J394" i="11"/>
  <c r="J422" i="11"/>
  <c r="J185" i="11"/>
  <c r="J200" i="11"/>
  <c r="J653" i="11"/>
  <c r="J472" i="11"/>
  <c r="J668" i="11"/>
  <c r="J590" i="11"/>
  <c r="J324" i="11"/>
  <c r="J105" i="11"/>
  <c r="J260" i="11"/>
  <c r="J648" i="11"/>
  <c r="J283" i="11"/>
  <c r="J530" i="11"/>
  <c r="L444" i="11" l="1"/>
  <c r="L225" i="11"/>
  <c r="L505" i="11"/>
  <c r="L565" i="11"/>
  <c r="L266" i="11"/>
  <c r="L366" i="11"/>
  <c r="L606" i="11"/>
  <c r="L666" i="11"/>
  <c r="L706" i="11"/>
  <c r="L87" i="11"/>
  <c r="L287" i="11"/>
  <c r="L587" i="11"/>
  <c r="L128" i="11"/>
  <c r="L208" i="11"/>
  <c r="L49" i="11"/>
  <c r="L469" i="11"/>
  <c r="L170" i="11"/>
  <c r="L330" i="11"/>
  <c r="L411" i="11"/>
  <c r="L431" i="11"/>
  <c r="L631" i="11"/>
  <c r="L651" i="11"/>
  <c r="L352" i="11"/>
  <c r="L692" i="11"/>
  <c r="L493" i="11"/>
  <c r="L34" i="11"/>
  <c r="L114" i="11"/>
  <c r="L294" i="11"/>
  <c r="L554" i="11"/>
  <c r="L574" i="11"/>
  <c r="L255" i="11"/>
  <c r="L655" i="11"/>
  <c r="L76" i="11"/>
  <c r="L156" i="11"/>
  <c r="L457" i="11"/>
  <c r="L617" i="11"/>
  <c r="L218" i="11"/>
  <c r="L338" i="11"/>
  <c r="L398" i="11"/>
  <c r="L518" i="11"/>
  <c r="L678" i="11"/>
  <c r="L20" i="11"/>
  <c r="L100" i="11"/>
  <c r="L300" i="11"/>
  <c r="L380" i="11"/>
  <c r="L720" i="11"/>
  <c r="L481" i="11"/>
  <c r="L62" i="11"/>
  <c r="L142" i="11"/>
  <c r="L182" i="11"/>
  <c r="L242" i="11"/>
  <c r="L3" i="11"/>
  <c r="L64" i="11"/>
  <c r="L144" i="11"/>
  <c r="L184" i="11"/>
  <c r="L244" i="11"/>
  <c r="L324" i="11"/>
  <c r="L644" i="11"/>
  <c r="L708" i="11"/>
  <c r="L668" i="11"/>
  <c r="L446" i="11"/>
  <c r="L47" i="11"/>
  <c r="L507" i="11"/>
  <c r="L8" i="11"/>
  <c r="L228" i="11"/>
  <c r="L368" i="11"/>
  <c r="L608" i="11"/>
  <c r="L89" i="11"/>
  <c r="L130" i="11"/>
  <c r="L210" i="11"/>
  <c r="L590" i="11"/>
  <c r="L471" i="11"/>
  <c r="L633" i="11"/>
  <c r="L694" i="11"/>
  <c r="L172" i="11"/>
  <c r="L652" i="11"/>
  <c r="L433" i="11"/>
  <c r="L354" i="11"/>
  <c r="L414" i="11"/>
  <c r="L275" i="11"/>
  <c r="L315" i="11"/>
  <c r="L495" i="11"/>
  <c r="L36" i="11"/>
  <c r="L116" i="11"/>
  <c r="L556" i="11"/>
  <c r="L576" i="11"/>
  <c r="L257" i="11"/>
  <c r="L537" i="11"/>
  <c r="L78" i="11"/>
  <c r="L158" i="11"/>
  <c r="L680" i="11"/>
  <c r="L199" i="11"/>
  <c r="L459" i="11"/>
  <c r="L619" i="11"/>
  <c r="L340" i="11"/>
  <c r="L400" i="11"/>
  <c r="L520" i="11"/>
  <c r="L22" i="11"/>
  <c r="L102" i="11"/>
  <c r="L302" i="11"/>
  <c r="L382" i="11"/>
  <c r="L542" i="11"/>
  <c r="L722" i="11"/>
  <c r="L483" i="11"/>
  <c r="L264" i="11"/>
  <c r="L364" i="11"/>
  <c r="L564" i="11"/>
  <c r="L664" i="11"/>
  <c r="L704" i="11"/>
  <c r="L85" i="11"/>
  <c r="L46" i="11"/>
  <c r="L126" i="11"/>
  <c r="L206" i="11"/>
  <c r="L626" i="11"/>
  <c r="L227" i="11"/>
  <c r="L168" i="11"/>
  <c r="L328" i="11"/>
  <c r="L429" i="11"/>
  <c r="L529" i="11"/>
  <c r="L589" i="11"/>
  <c r="L350" i="11"/>
  <c r="L570" i="11"/>
  <c r="L690" i="11"/>
  <c r="L2" i="11"/>
  <c r="L413" i="11"/>
  <c r="L32" i="11"/>
  <c r="L112" i="11"/>
  <c r="L292" i="11"/>
  <c r="L312" i="11"/>
  <c r="L552" i="11"/>
  <c r="L74" i="11"/>
  <c r="L154" i="11"/>
  <c r="L654" i="11"/>
  <c r="L455" i="11"/>
  <c r="L336" i="11"/>
  <c r="L396" i="11"/>
  <c r="L516" i="11"/>
  <c r="L656" i="11"/>
  <c r="L676" i="11"/>
  <c r="L217" i="11"/>
  <c r="L277" i="11"/>
  <c r="L18" i="11"/>
  <c r="L98" i="11"/>
  <c r="L378" i="11"/>
  <c r="L658" i="11"/>
  <c r="L718" i="11"/>
  <c r="L299" i="11"/>
  <c r="L599" i="11"/>
  <c r="L60" i="11"/>
  <c r="L140" i="11"/>
  <c r="L180" i="11"/>
  <c r="L240" i="11"/>
  <c r="L281" i="11"/>
  <c r="L222" i="11"/>
  <c r="L442" i="11"/>
  <c r="L642" i="11"/>
  <c r="L624" i="11"/>
  <c r="L345" i="11"/>
  <c r="L405" i="11"/>
  <c r="L425" i="11"/>
  <c r="L525" i="11"/>
  <c r="L685" i="11"/>
  <c r="L27" i="11"/>
  <c r="L107" i="11"/>
  <c r="L307" i="11"/>
  <c r="L387" i="11"/>
  <c r="L487" i="11"/>
  <c r="L547" i="11"/>
  <c r="L627" i="11"/>
  <c r="L727" i="11"/>
  <c r="L69" i="11"/>
  <c r="L149" i="11"/>
  <c r="L189" i="11"/>
  <c r="L249" i="11"/>
  <c r="L270" i="11"/>
  <c r="L290" i="11"/>
  <c r="L451" i="11"/>
  <c r="L511" i="11"/>
  <c r="L713" i="11"/>
  <c r="L392" i="11"/>
  <c r="L612" i="11"/>
  <c r="L13" i="11"/>
  <c r="L93" i="11"/>
  <c r="L373" i="11"/>
  <c r="L533" i="11"/>
  <c r="L194" i="11"/>
  <c r="L214" i="11"/>
  <c r="L135" i="11"/>
  <c r="L235" i="11"/>
  <c r="L475" i="11"/>
  <c r="L595" i="11"/>
  <c r="L56" i="11"/>
  <c r="L296" i="11"/>
  <c r="L177" i="11"/>
  <c r="L359" i="11"/>
  <c r="L419" i="11"/>
  <c r="L699" i="11"/>
  <c r="L500" i="11"/>
  <c r="L41" i="11"/>
  <c r="L121" i="11"/>
  <c r="L221" i="11"/>
  <c r="L321" i="11"/>
  <c r="L581" i="11"/>
  <c r="L661" i="11"/>
  <c r="L162" i="11"/>
  <c r="L262" i="11"/>
  <c r="L562" i="11"/>
  <c r="L463" i="11"/>
  <c r="L344" i="11"/>
  <c r="L404" i="11"/>
  <c r="L424" i="11"/>
  <c r="L524" i="11"/>
  <c r="L684" i="11"/>
  <c r="L26" i="11"/>
  <c r="L106" i="11"/>
  <c r="L306" i="11"/>
  <c r="L386" i="11"/>
  <c r="L486" i="11"/>
  <c r="L546" i="11"/>
  <c r="L726" i="11"/>
  <c r="L68" i="11"/>
  <c r="L148" i="11"/>
  <c r="L188" i="11"/>
  <c r="L248" i="11"/>
  <c r="L648" i="11"/>
  <c r="L269" i="11"/>
  <c r="L289" i="11"/>
  <c r="L569" i="11"/>
  <c r="L450" i="11"/>
  <c r="L391" i="11"/>
  <c r="L611" i="11"/>
  <c r="L671" i="11"/>
  <c r="L12" i="11"/>
  <c r="L372" i="11"/>
  <c r="L712" i="11"/>
  <c r="L53" i="11"/>
  <c r="L213" i="11"/>
  <c r="L333" i="11"/>
  <c r="L134" i="11"/>
  <c r="L234" i="11"/>
  <c r="L474" i="11"/>
  <c r="L594" i="11"/>
  <c r="L176" i="11"/>
  <c r="L437" i="11"/>
  <c r="L637" i="11"/>
  <c r="L358" i="11"/>
  <c r="L418" i="11"/>
  <c r="L698" i="11"/>
  <c r="L499" i="11"/>
  <c r="L40" i="11"/>
  <c r="L120" i="11"/>
  <c r="L220" i="11"/>
  <c r="L320" i="11"/>
  <c r="L560" i="11"/>
  <c r="L580" i="11"/>
  <c r="L600" i="11"/>
  <c r="L81" i="11"/>
  <c r="L161" i="11"/>
  <c r="L261" i="11"/>
  <c r="L623" i="11"/>
  <c r="L265" i="11"/>
  <c r="L285" i="11"/>
  <c r="L465" i="11"/>
  <c r="L327" i="11"/>
  <c r="L347" i="11"/>
  <c r="L407" i="11"/>
  <c r="L427" i="11"/>
  <c r="L527" i="11"/>
  <c r="L687" i="11"/>
  <c r="L29" i="11"/>
  <c r="L109" i="11"/>
  <c r="L309" i="11"/>
  <c r="L389" i="11"/>
  <c r="L489" i="11"/>
  <c r="L549" i="11"/>
  <c r="L729" i="11"/>
  <c r="L71" i="11"/>
  <c r="L151" i="11"/>
  <c r="L191" i="11"/>
  <c r="L251" i="11"/>
  <c r="L393" i="11"/>
  <c r="L193" i="11"/>
  <c r="L453" i="11"/>
  <c r="L513" i="11"/>
  <c r="L613" i="11"/>
  <c r="L673" i="11"/>
  <c r="L15" i="11"/>
  <c r="L55" i="11"/>
  <c r="L95" i="11"/>
  <c r="L375" i="11"/>
  <c r="L535" i="11"/>
  <c r="L715" i="11"/>
  <c r="L137" i="11"/>
  <c r="L237" i="11"/>
  <c r="L297" i="11"/>
  <c r="L477" i="11"/>
  <c r="L597" i="11"/>
  <c r="L279" i="11"/>
  <c r="L439" i="11"/>
  <c r="L639" i="11"/>
  <c r="L361" i="11"/>
  <c r="L421" i="11"/>
  <c r="L501" i="11"/>
  <c r="L561" i="11"/>
  <c r="L701" i="11"/>
  <c r="L43" i="11"/>
  <c r="L83" i="11"/>
  <c r="L123" i="11"/>
  <c r="L163" i="11"/>
  <c r="L203" i="11"/>
  <c r="L223" i="11"/>
  <c r="L583" i="11"/>
  <c r="L445" i="11"/>
  <c r="L506" i="11"/>
  <c r="L588" i="11"/>
  <c r="L7" i="11"/>
  <c r="L367" i="11"/>
  <c r="L607" i="11"/>
  <c r="L667" i="11"/>
  <c r="L707" i="11"/>
  <c r="L88" i="11"/>
  <c r="L129" i="11"/>
  <c r="L209" i="11"/>
  <c r="L230" i="11"/>
  <c r="L470" i="11"/>
  <c r="L171" i="11"/>
  <c r="L331" i="11"/>
  <c r="L531" i="11"/>
  <c r="L412" i="11"/>
  <c r="L432" i="11"/>
  <c r="L632" i="11"/>
  <c r="L693" i="11"/>
  <c r="L273" i="11"/>
  <c r="L353" i="11"/>
  <c r="L314" i="11"/>
  <c r="L494" i="11"/>
  <c r="L35" i="11"/>
  <c r="L115" i="11"/>
  <c r="L555" i="11"/>
  <c r="L575" i="11"/>
  <c r="L256" i="11"/>
  <c r="L57" i="11"/>
  <c r="L77" i="11"/>
  <c r="L157" i="11"/>
  <c r="L198" i="11"/>
  <c r="L458" i="11"/>
  <c r="L618" i="11"/>
  <c r="L339" i="11"/>
  <c r="L399" i="11"/>
  <c r="L519" i="11"/>
  <c r="L679" i="11"/>
  <c r="L21" i="11"/>
  <c r="L101" i="11"/>
  <c r="L301" i="11"/>
  <c r="L381" i="11"/>
  <c r="L541" i="11"/>
  <c r="L721" i="11"/>
  <c r="L482" i="11"/>
  <c r="L63" i="11"/>
  <c r="L143" i="11"/>
  <c r="L183" i="11"/>
  <c r="L243" i="11"/>
  <c r="L283" i="11"/>
  <c r="L643" i="11"/>
  <c r="L504" i="11"/>
  <c r="L365" i="11"/>
  <c r="L605" i="11"/>
  <c r="L665" i="11"/>
  <c r="L705" i="11"/>
  <c r="L6" i="11"/>
  <c r="L86" i="11"/>
  <c r="L586" i="11"/>
  <c r="L127" i="11"/>
  <c r="L207" i="11"/>
  <c r="L48" i="11"/>
  <c r="L468" i="11"/>
  <c r="L169" i="11"/>
  <c r="L229" i="11"/>
  <c r="L329" i="11"/>
  <c r="L410" i="11"/>
  <c r="L430" i="11"/>
  <c r="L530" i="11"/>
  <c r="L630" i="11"/>
  <c r="L650" i="11"/>
  <c r="L351" i="11"/>
  <c r="L571" i="11"/>
  <c r="L691" i="11"/>
  <c r="L492" i="11"/>
  <c r="L33" i="11"/>
  <c r="L113" i="11"/>
  <c r="L313" i="11"/>
  <c r="L553" i="11"/>
  <c r="L254" i="11"/>
  <c r="L274" i="11"/>
  <c r="L75" i="11"/>
  <c r="L155" i="11"/>
  <c r="L456" i="11"/>
  <c r="L616" i="11"/>
  <c r="L197" i="11"/>
  <c r="L337" i="11"/>
  <c r="L397" i="11"/>
  <c r="L517" i="11"/>
  <c r="L677" i="11"/>
  <c r="L19" i="11"/>
  <c r="L99" i="11"/>
  <c r="L379" i="11"/>
  <c r="L719" i="11"/>
  <c r="L480" i="11"/>
  <c r="L540" i="11"/>
  <c r="L61" i="11"/>
  <c r="L141" i="11"/>
  <c r="L181" i="11"/>
  <c r="L241" i="11"/>
  <c r="L282" i="11"/>
  <c r="L443" i="11"/>
  <c r="L603" i="11"/>
  <c r="L164" i="11"/>
  <c r="L25" i="11"/>
  <c r="L105" i="11"/>
  <c r="L305" i="11"/>
  <c r="L385" i="11"/>
  <c r="L485" i="11"/>
  <c r="L545" i="11"/>
  <c r="L725" i="11"/>
  <c r="L568" i="11"/>
  <c r="L67" i="11"/>
  <c r="L147" i="11"/>
  <c r="L187" i="11"/>
  <c r="L247" i="11"/>
  <c r="L647" i="11"/>
  <c r="L268" i="11"/>
  <c r="L288" i="11"/>
  <c r="L449" i="11"/>
  <c r="L510" i="11"/>
  <c r="L610" i="11"/>
  <c r="L11" i="11"/>
  <c r="L371" i="11"/>
  <c r="L711" i="11"/>
  <c r="L52" i="11"/>
  <c r="L92" i="11"/>
  <c r="L212" i="11"/>
  <c r="L332" i="11"/>
  <c r="L133" i="11"/>
  <c r="L233" i="11"/>
  <c r="L593" i="11"/>
  <c r="L175" i="11"/>
  <c r="L436" i="11"/>
  <c r="L636" i="11"/>
  <c r="L357" i="11"/>
  <c r="L417" i="11"/>
  <c r="L697" i="11"/>
  <c r="L318" i="11"/>
  <c r="L498" i="11"/>
  <c r="L39" i="11"/>
  <c r="L119" i="11"/>
  <c r="L559" i="11"/>
  <c r="L579" i="11"/>
  <c r="L659" i="11"/>
  <c r="L80" i="11"/>
  <c r="L260" i="11"/>
  <c r="L660" i="11"/>
  <c r="L202" i="11"/>
  <c r="L462" i="11"/>
  <c r="L622" i="11"/>
  <c r="L343" i="11"/>
  <c r="L403" i="11"/>
  <c r="L523" i="11"/>
  <c r="L683" i="11"/>
  <c r="L464" i="11"/>
  <c r="L165" i="11"/>
  <c r="L625" i="11"/>
  <c r="L326" i="11"/>
  <c r="L346" i="11"/>
  <c r="L406" i="11"/>
  <c r="L426" i="11"/>
  <c r="L526" i="11"/>
  <c r="L686" i="11"/>
  <c r="L728" i="11"/>
  <c r="L548" i="11"/>
  <c r="L28" i="11"/>
  <c r="L108" i="11"/>
  <c r="L308" i="11"/>
  <c r="L388" i="11"/>
  <c r="L488" i="11"/>
  <c r="L649" i="11"/>
  <c r="L70" i="11"/>
  <c r="L150" i="11"/>
  <c r="L190" i="11"/>
  <c r="L250" i="11"/>
  <c r="L714" i="11"/>
  <c r="L291" i="11"/>
  <c r="L272" i="11"/>
  <c r="L452" i="11"/>
  <c r="L512" i="11"/>
  <c r="L672" i="11"/>
  <c r="L14" i="11"/>
  <c r="L54" i="11"/>
  <c r="L94" i="11"/>
  <c r="L374" i="11"/>
  <c r="L534" i="11"/>
  <c r="L195" i="11"/>
  <c r="L215" i="11"/>
  <c r="L136" i="11"/>
  <c r="L236" i="11"/>
  <c r="L476" i="11"/>
  <c r="L596" i="11"/>
  <c r="L657" i="11"/>
  <c r="L438" i="11"/>
  <c r="L638" i="11"/>
  <c r="L319" i="11"/>
  <c r="L360" i="11"/>
  <c r="L420" i="11"/>
  <c r="L700" i="11"/>
  <c r="L601" i="11"/>
  <c r="L42" i="11"/>
  <c r="L82" i="11"/>
  <c r="L122" i="11"/>
  <c r="L582" i="11"/>
  <c r="L263" i="11"/>
  <c r="L563" i="11"/>
  <c r="L24" i="11"/>
  <c r="L104" i="11"/>
  <c r="L284" i="11"/>
  <c r="L304" i="11"/>
  <c r="L384" i="11"/>
  <c r="L484" i="11"/>
  <c r="L544" i="11"/>
  <c r="L724" i="11"/>
  <c r="L325" i="11"/>
  <c r="L66" i="11"/>
  <c r="L146" i="11"/>
  <c r="L186" i="11"/>
  <c r="L246" i="11"/>
  <c r="L646" i="11"/>
  <c r="L567" i="11"/>
  <c r="L448" i="11"/>
  <c r="L509" i="11"/>
  <c r="L10" i="11"/>
  <c r="L370" i="11"/>
  <c r="L670" i="11"/>
  <c r="L710" i="11"/>
  <c r="L51" i="11"/>
  <c r="L91" i="11"/>
  <c r="L132" i="11"/>
  <c r="L192" i="11"/>
  <c r="L232" i="11"/>
  <c r="L532" i="11"/>
  <c r="L592" i="11"/>
  <c r="L473" i="11"/>
  <c r="L174" i="11"/>
  <c r="L435" i="11"/>
  <c r="L635" i="11"/>
  <c r="L276" i="11"/>
  <c r="L356" i="11"/>
  <c r="L416" i="11"/>
  <c r="L696" i="11"/>
  <c r="L317" i="11"/>
  <c r="L497" i="11"/>
  <c r="L38" i="11"/>
  <c r="L118" i="11"/>
  <c r="L558" i="11"/>
  <c r="L578" i="11"/>
  <c r="L219" i="11"/>
  <c r="L259" i="11"/>
  <c r="L160" i="11"/>
  <c r="L201" i="11"/>
  <c r="L461" i="11"/>
  <c r="L621" i="11"/>
  <c r="L342" i="11"/>
  <c r="L402" i="11"/>
  <c r="L522" i="11"/>
  <c r="L682" i="11"/>
  <c r="L65" i="11"/>
  <c r="L145" i="11"/>
  <c r="L185" i="11"/>
  <c r="L245" i="11"/>
  <c r="L645" i="11"/>
  <c r="L566" i="11"/>
  <c r="L267" i="11"/>
  <c r="L447" i="11"/>
  <c r="L508" i="11"/>
  <c r="L9" i="11"/>
  <c r="L369" i="11"/>
  <c r="L609" i="11"/>
  <c r="L669" i="11"/>
  <c r="L709" i="11"/>
  <c r="L50" i="11"/>
  <c r="L90" i="11"/>
  <c r="L131" i="11"/>
  <c r="L211" i="11"/>
  <c r="L231" i="11"/>
  <c r="L591" i="11"/>
  <c r="L472" i="11"/>
  <c r="L653" i="11"/>
  <c r="L173" i="11"/>
  <c r="L293" i="11"/>
  <c r="L434" i="11"/>
  <c r="L634" i="11"/>
  <c r="L295" i="11"/>
  <c r="L355" i="11"/>
  <c r="L415" i="11"/>
  <c r="L695" i="11"/>
  <c r="L316" i="11"/>
  <c r="L496" i="11"/>
  <c r="L37" i="11"/>
  <c r="L117" i="11"/>
  <c r="L557" i="11"/>
  <c r="L577" i="11"/>
  <c r="L258" i="11"/>
  <c r="L79" i="11"/>
  <c r="L159" i="11"/>
  <c r="L200" i="11"/>
  <c r="L460" i="11"/>
  <c r="L620" i="11"/>
  <c r="L341" i="11"/>
  <c r="L401" i="11"/>
  <c r="L521" i="11"/>
  <c r="L681" i="11"/>
  <c r="L23" i="11"/>
  <c r="L103" i="11"/>
  <c r="L303" i="11"/>
  <c r="L383" i="11"/>
  <c r="L543" i="11"/>
  <c r="L723" i="11"/>
  <c r="L5" i="11"/>
  <c r="L45" i="11"/>
  <c r="L125" i="11"/>
  <c r="L205" i="11"/>
  <c r="L585" i="11"/>
  <c r="L226" i="11"/>
  <c r="L167" i="11"/>
  <c r="L467" i="11"/>
  <c r="L428" i="11"/>
  <c r="L349" i="11"/>
  <c r="L409" i="11"/>
  <c r="L629" i="11"/>
  <c r="L689" i="11"/>
  <c r="L390" i="11"/>
  <c r="L31" i="11"/>
  <c r="L111" i="11"/>
  <c r="L311" i="11"/>
  <c r="L491" i="11"/>
  <c r="L551" i="11"/>
  <c r="L73" i="11"/>
  <c r="L153" i="11"/>
  <c r="L253" i="11"/>
  <c r="L573" i="11"/>
  <c r="L335" i="11"/>
  <c r="L395" i="11"/>
  <c r="L515" i="11"/>
  <c r="L615" i="11"/>
  <c r="L675" i="11"/>
  <c r="L216" i="11"/>
  <c r="L536" i="11"/>
  <c r="L17" i="11"/>
  <c r="L97" i="11"/>
  <c r="L377" i="11"/>
  <c r="L717" i="11"/>
  <c r="L278" i="11"/>
  <c r="L298" i="11"/>
  <c r="L598" i="11"/>
  <c r="L59" i="11"/>
  <c r="L139" i="11"/>
  <c r="L179" i="11"/>
  <c r="L239" i="11"/>
  <c r="L479" i="11"/>
  <c r="L539" i="11"/>
  <c r="L280" i="11"/>
  <c r="L441" i="11"/>
  <c r="L641" i="11"/>
  <c r="L503" i="11"/>
  <c r="L323" i="11"/>
  <c r="L363" i="11"/>
  <c r="L423" i="11"/>
  <c r="L663" i="11"/>
  <c r="L70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tc={4AEE3FB9-964C-4B8A-92D4-9086ED6C97C4}</author>
    <author>tc={5CF3CBC4-3CF1-4E11-8191-6DAB72DAC235}</author>
    <author>tc={0BA72DDE-61CB-4620-B13C-CB75B1175555}</author>
    <author>tc={60A98876-9865-49A3-8292-68AC130A2126}</author>
    <author>tc={25A4F559-8D50-4AA7-9A0E-4B6162C2C137}</author>
    <author>tc={3B33B949-E807-410D-8AB5-D373AAA53CE0}</author>
    <author>tc={4FEE2F6B-FA25-4A02-A8D3-D390C846EF0F}</author>
    <author>tc={64610785-ABB0-4D42-A99A-3CC1605C0DFC}</author>
  </authors>
  <commentList>
    <comment ref="G1" authorId="0" shapeId="0" xr:uid="{4AEE3FB9-964C-4B8A-92D4-9086ED6C97C4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Doma = 1, Venku = 0</t>
      </text>
    </comment>
    <comment ref="N1" authorId="1" shapeId="0" xr:uid="{5CF3CBC4-3CF1-4E11-8191-6DAB72DAC23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Góly v přesilovce</t>
      </text>
    </comment>
    <comment ref="O1" authorId="2" shapeId="0" xr:uid="{0BA72DDE-61CB-4620-B13C-CB75B117555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Počet přesilovek</t>
      </text>
    </comment>
    <comment ref="P1" authorId="3" shapeId="0" xr:uid="{60A98876-9865-49A3-8292-68AC130A212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Góly obdržené v oslabení</t>
      </text>
    </comment>
    <comment ref="Q1" authorId="4" shapeId="0" xr:uid="{25A4F559-8D50-4AA7-9A0E-4B6162C2C13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Počet oslabení</t>
      </text>
    </comment>
    <comment ref="S1" authorId="5" shapeId="0" xr:uid="{3B33B949-E807-410D-8AB5-D373AAA53CE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Počet zákroků</t>
      </text>
    </comment>
    <comment ref="T1" authorId="6" shapeId="0" xr:uid="{4FEE2F6B-FA25-4A02-A8D3-D390C846EF0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Prodloužení/Nájezdy = 1, základní hrací doba = 0</t>
      </text>
    </comment>
    <comment ref="V1" authorId="7" shapeId="0" xr:uid="{64610785-ABB0-4D42-A99A-3CC1605C0DFC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RS = základní část, PO = play-off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tc={191950BB-5BD7-454C-B81E-C2E5A3D2064D}</author>
    <author>tc={1F00145C-DD82-42F0-BC49-196B51ACA850}</author>
  </authors>
  <commentList>
    <comment ref="E1" authorId="0" shapeId="0" xr:uid="{191950BB-5BD7-454C-B81E-C2E5A3D2064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Goly v přesilovce</t>
      </text>
    </comment>
    <comment ref="G1" authorId="1" shapeId="0" xr:uid="{1F00145C-DD82-42F0-BC49-196B51ACA85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Goly obdržené v oslabení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EC1DC1-0006-4882-925A-BC8B87B9D942}" keepAlive="1" name="Dotaz – Tabulka 10" description="Připojení k dotazu produktu Tabulka 10 v sešitě" type="5" refreshedVersion="0" background="1">
    <dbPr connection="Provider=Microsoft.Mashup.OleDb.1;Data Source=$Workbook$;Location=&quot;Tabulka 10&quot;;Extended Properties=&quot;&quot;" command="SELECT * FROM [Tabulka 10]"/>
  </connection>
  <connection id="2" xr16:uid="{F9F47D70-2590-4A3C-985B-79C05B05ABDB}" keepAlive="1" name="Dotaz – Tabulka 11" description="Připojení k dotazu produktu Tabulka 11 v sešitě" type="5" refreshedVersion="0" background="1">
    <dbPr connection="Provider=Microsoft.Mashup.OleDb.1;Data Source=$Workbook$;Location=&quot;Tabulka 11&quot;;Extended Properties=&quot;&quot;" command="SELECT * FROM [Tabulka 11]"/>
  </connection>
  <connection id="3" xr16:uid="{6C512C57-65DB-4DC6-ACEC-C6C9EC34B3E8}" keepAlive="1" name="Dotaz – Tabulka 12" description="Připojení k dotazu produktu Tabulka 12 v sešitě" type="5" refreshedVersion="0" background="1">
    <dbPr connection="Provider=Microsoft.Mashup.OleDb.1;Data Source=$Workbook$;Location=&quot;Tabulka 12&quot;;Extended Properties=&quot;&quot;" command="SELECT * FROM [Tabulka 12]"/>
  </connection>
  <connection id="4" xr16:uid="{406828CE-2F54-4B5E-8780-3E95E05FA10F}" keepAlive="1" name="Dotaz – Tabulka 13" description="Připojení k dotazu produktu Tabulka 13 v sešitě" type="5" refreshedVersion="0" background="1">
    <dbPr connection="Provider=Microsoft.Mashup.OleDb.1;Data Source=$Workbook$;Location=&quot;Tabulka 13&quot;;Extended Properties=&quot;&quot;" command="SELECT * FROM [Tabulka 13]"/>
  </connection>
  <connection id="5" xr16:uid="{2CC20C4A-ACAD-4704-A006-68B69491AC51}" keepAlive="1" name="Dotaz – Tabulka 14" description="Připojení k dotazu produktu Tabulka 14 v sešitě" type="5" refreshedVersion="0" background="1">
    <dbPr connection="Provider=Microsoft.Mashup.OleDb.1;Data Source=$Workbook$;Location=&quot;Tabulka 14&quot;;Extended Properties=&quot;&quot;" command="SELECT * FROM [Tabulka 14]"/>
  </connection>
  <connection id="6" xr16:uid="{B853AACD-EFA2-4BC8-AC9A-1976940BA542}" keepAlive="1" name="Dotaz – Tabulka 15" description="Připojení k dotazu produktu Tabulka 15 v sešitě" type="5" refreshedVersion="0" background="1">
    <dbPr connection="Provider=Microsoft.Mashup.OleDb.1;Data Source=$Workbook$;Location=&quot;Tabulka 15&quot;;Extended Properties=&quot;&quot;" command="SELECT * FROM [Tabulka 15]"/>
  </connection>
  <connection id="7" xr16:uid="{A8BF1457-48F8-483B-A58D-8AB9B34A06F2}" keepAlive="1" name="Dotaz – Tabulka 16" description="Připojení k dotazu produktu Tabulka 16 v sešitě" type="5" refreshedVersion="0" background="1">
    <dbPr connection="Provider=Microsoft.Mashup.OleDb.1;Data Source=$Workbook$;Location=&quot;Tabulka 16&quot;;Extended Properties=&quot;&quot;" command="SELECT * FROM [Tabulka 16]"/>
  </connection>
  <connection id="8" xr16:uid="{88E3C34D-A332-4A09-8A68-8601D1081D65}" keepAlive="1" name="Dotaz – Tabulka 17" description="Připojení k dotazu produktu Tabulka 17 v sešitě" type="5" refreshedVersion="0" background="1">
    <dbPr connection="Provider=Microsoft.Mashup.OleDb.1;Data Source=$Workbook$;Location=&quot;Tabulka 17&quot;;Extended Properties=&quot;&quot;" command="SELECT * FROM [Tabulka 17]"/>
  </connection>
  <connection id="9" xr16:uid="{F1FD666E-1AB4-44C8-A52D-B0144891428C}" keepAlive="1" name="Dotaz – Tabulka 18" description="Připojení k dotazu produktu Tabulka 18 v sešitě" type="5" refreshedVersion="0" background="1">
    <dbPr connection="Provider=Microsoft.Mashup.OleDb.1;Data Source=$Workbook$;Location=&quot;Tabulka 18&quot;;Extended Properties=&quot;&quot;" command="SELECT * FROM [Tabulka 18]"/>
  </connection>
  <connection id="10" xr16:uid="{246787F4-3576-4172-8899-26F10EEBF269}" keepAlive="1" name="Dotaz – Tabulka 19" description="Připojení k dotazu produktu Tabulka 19 v sešitě" type="5" refreshedVersion="0" background="1">
    <dbPr connection="Provider=Microsoft.Mashup.OleDb.1;Data Source=$Workbook$;Location=&quot;Tabulka 19&quot;;Extended Properties=&quot;&quot;" command="SELECT * FROM [Tabulka 19]"/>
  </connection>
  <connection id="11" xr16:uid="{A692A7E4-76BE-4923-8009-400AFF15FECB}" keepAlive="1" name="Dotaz – Tabulka 20" description="Připojení k dotazu produktu Tabulka 20 v sešitě" type="5" refreshedVersion="0" background="1">
    <dbPr connection="Provider=Microsoft.Mashup.OleDb.1;Data Source=$Workbook$;Location=&quot;Tabulka 20&quot;;Extended Properties=&quot;&quot;" command="SELECT * FROM [Tabulka 20]"/>
  </connection>
  <connection id="12" xr16:uid="{4E98C1E3-FFEC-4946-81B9-0AAE6FEB4DD8}" keepAlive="1" name="Dotaz – Tabulka 21" description="Připojení k dotazu produktu Tabulka 21 v sešitě" type="5" refreshedVersion="0" background="1">
    <dbPr connection="Provider=Microsoft.Mashup.OleDb.1;Data Source=$Workbook$;Location=&quot;Tabulka 21&quot;;Extended Properties=&quot;&quot;" command="SELECT * FROM [Tabulka 21]"/>
  </connection>
  <connection id="13" xr16:uid="{971DDF1E-21A8-406D-A8C1-720712976DEE}" keepAlive="1" name="Dotaz – Tabulka 22" description="Připojení k dotazu produktu Tabulka 22 v sešitě" type="5" refreshedVersion="0" background="1">
    <dbPr connection="Provider=Microsoft.Mashup.OleDb.1;Data Source=$Workbook$;Location=&quot;Tabulka 22&quot;;Extended Properties=&quot;&quot;" command="SELECT * FROM [Tabulka 22]"/>
  </connection>
  <connection id="14" xr16:uid="{565EC29D-9667-409D-AD80-B8D31F2C442D}" keepAlive="1" name="Dotaz – Tabulka 23" description="Připojení k dotazu produktu Tabulka 23 v sešitě" type="5" refreshedVersion="0" background="1">
    <dbPr connection="Provider=Microsoft.Mashup.OleDb.1;Data Source=$Workbook$;Location=&quot;Tabulka 23&quot;;Extended Properties=&quot;&quot;" command="SELECT * FROM [Tabulka 23]"/>
  </connection>
  <connection id="15" xr16:uid="{7707CE9F-2C90-4E9B-B59F-E1B7FCB454A4}" keepAlive="1" name="Dotaz – Tabulka 24" description="Připojení k dotazu produktu Tabulka 24 v sešitě" type="5" refreshedVersion="0" background="1">
    <dbPr connection="Provider=Microsoft.Mashup.OleDb.1;Data Source=$Workbook$;Location=&quot;Tabulka 24&quot;;Extended Properties=&quot;&quot;" command="SELECT * FROM [Tabulka 24]"/>
  </connection>
  <connection id="16" xr16:uid="{6ED547C3-40AF-46E7-ACA8-730B094C059E}" keepAlive="1" name="Dotaz – Tabulka 25" description="Připojení k dotazu produktu Tabulka 25 v sešitě" type="5" refreshedVersion="0" background="1">
    <dbPr connection="Provider=Microsoft.Mashup.OleDb.1;Data Source=$Workbook$;Location=&quot;Tabulka 25&quot;;Extended Properties=&quot;&quot;" command="SELECT * FROM [Tabulka 25]"/>
  </connection>
  <connection id="17" xr16:uid="{064CE45F-FCB7-4D9E-9363-0DE3EF514A92}" keepAlive="1" name="Dotaz – Tabulka 26" description="Připojení k dotazu produktu Tabulka 26 v sešitě" type="5" refreshedVersion="0" background="1">
    <dbPr connection="Provider=Microsoft.Mashup.OleDb.1;Data Source=$Workbook$;Location=&quot;Tabulka 26&quot;;Extended Properties=&quot;&quot;" command="SELECT * FROM [Tabulka 26]"/>
  </connection>
  <connection id="18" xr16:uid="{0EDE7146-3940-43CC-A3D9-9336735C28F6}" keepAlive="1" name="Dotaz – Tabulka 27" description="Připojení k dotazu produktu Tabulka 27 v sešitě" type="5" refreshedVersion="0" background="1">
    <dbPr connection="Provider=Microsoft.Mashup.OleDb.1;Data Source=$Workbook$;Location=&quot;Tabulka 27&quot;;Extended Properties=&quot;&quot;" command="SELECT * FROM [Tabulka 27]"/>
  </connection>
  <connection id="19" xr16:uid="{9C6D60E1-6C04-4BCE-963E-51D88182B247}" keepAlive="1" name="Dotaz – Tabulka 28" description="Připojení k dotazu produktu Tabulka 28 v sešitě" type="5" refreshedVersion="0" background="1">
    <dbPr connection="Provider=Microsoft.Mashup.OleDb.1;Data Source=$Workbook$;Location=&quot;Tabulka 28&quot;;Extended Properties=&quot;&quot;" command="SELECT * FROM [Tabulka 28]"/>
  </connection>
  <connection id="20" xr16:uid="{EDF4FC48-9F4D-4E6A-8C1B-B769D7BE2E7F}" keepAlive="1" name="Dotaz – Tabulka 29" description="Připojení k dotazu produktu Tabulka 29 v sešitě" type="5" refreshedVersion="0" background="1">
    <dbPr connection="Provider=Microsoft.Mashup.OleDb.1;Data Source=$Workbook$;Location=&quot;Tabulka 29&quot;;Extended Properties=&quot;&quot;" command="SELECT * FROM [Tabulka 29]"/>
  </connection>
  <connection id="21" xr16:uid="{C5EEC7D3-4ACF-48C9-A57C-3F5B3BADB30D}" keepAlive="1" name="Dotaz – Tabulka 3" description="Připojení k dotazu produktu Tabulka 3 v sešitě" type="5" refreshedVersion="0" background="1">
    <dbPr connection="Provider=Microsoft.Mashup.OleDb.1;Data Source=$Workbook$;Location=&quot;Tabulka 3&quot;;Extended Properties=&quot;&quot;" command="SELECT * FROM [Tabulka 3]"/>
  </connection>
  <connection id="22" xr16:uid="{AD74BFF9-71EE-48D5-AEB1-02682A8E7485}" keepAlive="1" name="Dotaz – Tabulka 30" description="Připojení k dotazu produktu Tabulka 30 v sešitě" type="5" refreshedVersion="0" background="1">
    <dbPr connection="Provider=Microsoft.Mashup.OleDb.1;Data Source=$Workbook$;Location=&quot;Tabulka 30&quot;;Extended Properties=&quot;&quot;" command="SELECT * FROM [Tabulka 30]"/>
  </connection>
  <connection id="23" xr16:uid="{F0D0CE41-DB65-43B1-A49B-ED285F47A647}" keepAlive="1" name="Dotaz – Tabulka 31" description="Připojení k dotazu produktu Tabulka 31 v sešitě" type="5" refreshedVersion="0" background="1">
    <dbPr connection="Provider=Microsoft.Mashup.OleDb.1;Data Source=$Workbook$;Location=&quot;Tabulka 31&quot;;Extended Properties=&quot;&quot;" command="SELECT * FROM [Tabulka 31]"/>
  </connection>
  <connection id="24" xr16:uid="{36217394-7CAD-48C0-B444-D71222AF3E58}" keepAlive="1" name="Dotaz – Tabulka 32" description="Připojení k dotazu produktu Tabulka 32 v sešitě" type="5" refreshedVersion="0" background="1">
    <dbPr connection="Provider=Microsoft.Mashup.OleDb.1;Data Source=$Workbook$;Location=&quot;Tabulka 32&quot;;Extended Properties=&quot;&quot;" command="SELECT * FROM [Tabulka 32]"/>
  </connection>
  <connection id="25" xr16:uid="{E990240A-5CFC-4C20-9605-7BB1BD6F29DB}" keepAlive="1" name="Dotaz – Tabulka 33" description="Připojení k dotazu produktu Tabulka 33 v sešitě" type="5" refreshedVersion="0" background="1">
    <dbPr connection="Provider=Microsoft.Mashup.OleDb.1;Data Source=$Workbook$;Location=&quot;Tabulka 33&quot;;Extended Properties=&quot;&quot;" command="SELECT * FROM [Tabulka 33]"/>
  </connection>
  <connection id="26" xr16:uid="{C2C395A2-C4FC-41FF-9C58-A84E1D37DE5B}" keepAlive="1" name="Dotaz – Tabulka 34" description="Připojení k dotazu produktu Tabulka 34 v sešitě" type="5" refreshedVersion="0" background="1">
    <dbPr connection="Provider=Microsoft.Mashup.OleDb.1;Data Source=$Workbook$;Location=&quot;Tabulka 34&quot;;Extended Properties=&quot;&quot;" command="SELECT * FROM [Tabulka 34]"/>
  </connection>
  <connection id="27" xr16:uid="{233ADC0E-05AD-48A9-9358-1F1CFE282F67}" keepAlive="1" name="Dotaz – Tabulka 35" description="Připojení k dotazu produktu Tabulka 35 v sešitě" type="5" refreshedVersion="0" background="1">
    <dbPr connection="Provider=Microsoft.Mashup.OleDb.1;Data Source=$Workbook$;Location=&quot;Tabulka 35&quot;;Extended Properties=&quot;&quot;" command="SELECT * FROM [Tabulka 35]"/>
  </connection>
  <connection id="28" xr16:uid="{0C8AB91B-A875-49EA-9EF1-99D374891F33}" keepAlive="1" name="Dotaz – Tabulka 36" description="Připojení k dotazu produktu Tabulka 36 v sešitě" type="5" refreshedVersion="0" background="1">
    <dbPr connection="Provider=Microsoft.Mashup.OleDb.1;Data Source=$Workbook$;Location=&quot;Tabulka 36&quot;;Extended Properties=&quot;&quot;" command="SELECT * FROM [Tabulka 36]"/>
  </connection>
  <connection id="29" xr16:uid="{9112DA9C-66BC-4D25-807F-0A91ABBECFAF}" keepAlive="1" name="Dotaz – Tabulka 37" description="Připojení k dotazu produktu Tabulka 37 v sešitě" type="5" refreshedVersion="0" background="1">
    <dbPr connection="Provider=Microsoft.Mashup.OleDb.1;Data Source=$Workbook$;Location=&quot;Tabulka 37&quot;;Extended Properties=&quot;&quot;" command="SELECT * FROM [Tabulka 37]"/>
  </connection>
  <connection id="30" xr16:uid="{484F1678-8DCC-4FA7-A784-F9759CE50266}" keepAlive="1" name="Dotaz – Tabulka 38" description="Připojení k dotazu produktu Tabulka 38 v sešitě" type="5" refreshedVersion="0" background="1">
    <dbPr connection="Provider=Microsoft.Mashup.OleDb.1;Data Source=$Workbook$;Location=&quot;Tabulka 38&quot;;Extended Properties=&quot;&quot;" command="SELECT * FROM [Tabulka 38]"/>
  </connection>
  <connection id="31" xr16:uid="{F5B131EF-1387-4112-801E-1148006A8861}" keepAlive="1" name="Dotaz – Tabulka 39" description="Připojení k dotazu produktu Tabulka 39 v sešitě" type="5" refreshedVersion="0" background="1">
    <dbPr connection="Provider=Microsoft.Mashup.OleDb.1;Data Source=$Workbook$;Location=&quot;Tabulka 39&quot;;Extended Properties=&quot;&quot;" command="SELECT * FROM [Tabulka 39]"/>
  </connection>
  <connection id="32" xr16:uid="{E7D40A93-6DCD-46EB-8F6B-38B1FD02DB59}" keepAlive="1" name="Dotaz – Tabulka 4" description="Připojení k dotazu produktu Tabulka 4 v sešitě" type="5" refreshedVersion="0" background="1">
    <dbPr connection="Provider=Microsoft.Mashup.OleDb.1;Data Source=$Workbook$;Location=&quot;Tabulka 4&quot;;Extended Properties=&quot;&quot;" command="SELECT * FROM [Tabulka 4]"/>
  </connection>
  <connection id="33" xr16:uid="{E99C7B2A-EE11-4A47-8E09-81AF95EAAF7A}" keepAlive="1" name="Dotaz – Tabulka 40" description="Připojení k dotazu produktu Tabulka 40 v sešitě" type="5" refreshedVersion="0" background="1">
    <dbPr connection="Provider=Microsoft.Mashup.OleDb.1;Data Source=$Workbook$;Location=&quot;Tabulka 40&quot;;Extended Properties=&quot;&quot;" command="SELECT * FROM [Tabulka 40]"/>
  </connection>
  <connection id="34" xr16:uid="{61F1DE86-F100-4A6C-9518-3A8D5FAAE2B4}" keepAlive="1" name="Dotaz – Tabulka 41" description="Připojení k dotazu produktu Tabulka 41 v sešitě" type="5" refreshedVersion="0" background="1">
    <dbPr connection="Provider=Microsoft.Mashup.OleDb.1;Data Source=$Workbook$;Location=&quot;Tabulka 41&quot;;Extended Properties=&quot;&quot;" command="SELECT * FROM [Tabulka 41]"/>
  </connection>
  <connection id="35" xr16:uid="{0E7291CD-0BE4-4FB0-8261-787E61F58AFC}" keepAlive="1" name="Dotaz – Tabulka 42" description="Připojení k dotazu produktu Tabulka 42 v sešitě" type="5" refreshedVersion="0" background="1">
    <dbPr connection="Provider=Microsoft.Mashup.OleDb.1;Data Source=$Workbook$;Location=&quot;Tabulka 42&quot;;Extended Properties=&quot;&quot;" command="SELECT * FROM [Tabulka 42]"/>
  </connection>
  <connection id="36" xr16:uid="{B8C3E670-9DA4-45A2-8B5C-0AA6C10266F4}" keepAlive="1" name="Dotaz – Tabulka 43" description="Připojení k dotazu produktu Tabulka 43 v sešitě" type="5" refreshedVersion="0" background="1">
    <dbPr connection="Provider=Microsoft.Mashup.OleDb.1;Data Source=$Workbook$;Location=&quot;Tabulka 43&quot;;Extended Properties=&quot;&quot;" command="SELECT * FROM [Tabulka 43]"/>
  </connection>
  <connection id="37" xr16:uid="{A95F308C-33B5-47DF-9EE8-A65F13CB3E18}" keepAlive="1" name="Dotaz – Tabulka 44" description="Připojení k dotazu produktu Tabulka 44 v sešitě" type="5" refreshedVersion="0" background="1">
    <dbPr connection="Provider=Microsoft.Mashup.OleDb.1;Data Source=$Workbook$;Location=&quot;Tabulka 44&quot;;Extended Properties=&quot;&quot;" command="SELECT * FROM [Tabulka 44]"/>
  </connection>
  <connection id="38" xr16:uid="{4A03EB78-1244-420D-A158-BFC7A6AA39F0}" keepAlive="1" name="Dotaz – Tabulka 45" description="Připojení k dotazu produktu Tabulka 45 v sešitě" type="5" refreshedVersion="0" background="1">
    <dbPr connection="Provider=Microsoft.Mashup.OleDb.1;Data Source=$Workbook$;Location=&quot;Tabulka 45&quot;;Extended Properties=&quot;&quot;" command="SELECT * FROM [Tabulka 45]"/>
  </connection>
  <connection id="39" xr16:uid="{FF63D374-8CEF-494D-A30C-1BC065EA138A}" keepAlive="1" name="Dotaz – Tabulka 46" description="Připojení k dotazu produktu Tabulka 46 v sešitě" type="5" refreshedVersion="0" background="1">
    <dbPr connection="Provider=Microsoft.Mashup.OleDb.1;Data Source=$Workbook$;Location=&quot;Tabulka 46&quot;;Extended Properties=&quot;&quot;" command="SELECT * FROM [Tabulka 46]"/>
  </connection>
  <connection id="40" xr16:uid="{E6C29ECD-F2D1-4ECF-9D67-776FD099899F}" keepAlive="1" name="Dotaz – Tabulka 47" description="Připojení k dotazu produktu Tabulka 47 v sešitě" type="5" refreshedVersion="0" background="1">
    <dbPr connection="Provider=Microsoft.Mashup.OleDb.1;Data Source=$Workbook$;Location=&quot;Tabulka 47&quot;;Extended Properties=&quot;&quot;" command="SELECT * FROM [Tabulka 47]"/>
  </connection>
  <connection id="41" xr16:uid="{FF55138C-51A5-436C-BD28-C1A811662A77}" keepAlive="1" name="Dotaz – Tabulka 48" description="Připojení k dotazu produktu Tabulka 48 v sešitě" type="5" refreshedVersion="0" background="1">
    <dbPr connection="Provider=Microsoft.Mashup.OleDb.1;Data Source=$Workbook$;Location=&quot;Tabulka 48&quot;;Extended Properties=&quot;&quot;" command="SELECT * FROM [Tabulka 48]"/>
  </connection>
  <connection id="42" xr16:uid="{6C165C3E-C22E-4F41-807B-AA61FD5C5F40}" keepAlive="1" name="Dotaz – Tabulka 49" description="Připojení k dotazu produktu Tabulka 49 v sešitě" type="5" refreshedVersion="0" background="1">
    <dbPr connection="Provider=Microsoft.Mashup.OleDb.1;Data Source=$Workbook$;Location=&quot;Tabulka 49&quot;;Extended Properties=&quot;&quot;" command="SELECT * FROM [Tabulka 49]"/>
  </connection>
  <connection id="43" xr16:uid="{51BACE3F-CBC8-4EB7-BE5B-5A1C6CC819C7}" keepAlive="1" name="Dotaz – Tabulka 5" description="Připojení k dotazu produktu Tabulka 5 v sešitě" type="5" refreshedVersion="0" background="1">
    <dbPr connection="Provider=Microsoft.Mashup.OleDb.1;Data Source=$Workbook$;Location=&quot;Tabulka 5&quot;;Extended Properties=&quot;&quot;" command="SELECT * FROM [Tabulka 5]"/>
  </connection>
  <connection id="44" xr16:uid="{AFD484E0-3590-4CB4-A24D-D9D026765204}" keepAlive="1" name="Dotaz – Tabulka 50" description="Připojení k dotazu produktu Tabulka 50 v sešitě" type="5" refreshedVersion="0" background="1">
    <dbPr connection="Provider=Microsoft.Mashup.OleDb.1;Data Source=$Workbook$;Location=&quot;Tabulka 50&quot;;Extended Properties=&quot;&quot;" command="SELECT * FROM [Tabulka 50]"/>
  </connection>
  <connection id="45" xr16:uid="{59710AA0-9E77-4356-A4F3-54D2825DA13E}" keepAlive="1" name="Dotaz – Tabulka 51" description="Připojení k dotazu produktu Tabulka 51 v sešitě" type="5" refreshedVersion="0" background="1">
    <dbPr connection="Provider=Microsoft.Mashup.OleDb.1;Data Source=$Workbook$;Location=&quot;Tabulka 51&quot;;Extended Properties=&quot;&quot;" command="SELECT * FROM [Tabulka 51]"/>
  </connection>
  <connection id="46" xr16:uid="{CA04BCAD-3A96-4130-8BC8-5FB01CC32C18}" keepAlive="1" name="Dotaz – Tabulka 52" description="Připojení k dotazu produktu Tabulka 52 v sešitě" type="5" refreshedVersion="0" background="1">
    <dbPr connection="Provider=Microsoft.Mashup.OleDb.1;Data Source=$Workbook$;Location=&quot;Tabulka 52&quot;;Extended Properties=&quot;&quot;" command="SELECT * FROM [Tabulka 52]"/>
  </connection>
  <connection id="47" xr16:uid="{0AAE88B2-68D6-4DE6-80CF-F6D7797D3EA1}" keepAlive="1" name="Dotaz – Tabulka 53" description="Připojení k dotazu produktu Tabulka 53 v sešitě" type="5" refreshedVersion="0" background="1">
    <dbPr connection="Provider=Microsoft.Mashup.OleDb.1;Data Source=$Workbook$;Location=&quot;Tabulka 53&quot;;Extended Properties=&quot;&quot;" command="SELECT * FROM [Tabulka 53]"/>
  </connection>
  <connection id="48" xr16:uid="{098D7735-DB9B-4EC2-A435-DB3D924E47BA}" keepAlive="1" name="Dotaz – Tabulka 54" description="Připojení k dotazu produktu Tabulka 54 v sešitě" type="5" refreshedVersion="0" background="1">
    <dbPr connection="Provider=Microsoft.Mashup.OleDb.1;Data Source=$Workbook$;Location=&quot;Tabulka 54&quot;;Extended Properties=&quot;&quot;" command="SELECT * FROM [Tabulka 54]"/>
  </connection>
  <connection id="49" xr16:uid="{063E4A22-3229-48E5-8936-E48AEEF57C3B}" keepAlive="1" name="Dotaz – Tabulka 55" description="Připojení k dotazu produktu Tabulka 55 v sešitě" type="5" refreshedVersion="0" background="1">
    <dbPr connection="Provider=Microsoft.Mashup.OleDb.1;Data Source=$Workbook$;Location=&quot;Tabulka 55&quot;;Extended Properties=&quot;&quot;" command="SELECT * FROM [Tabulka 55]"/>
  </connection>
  <connection id="50" xr16:uid="{9ABDDD4F-AD54-4AF4-B553-39985ED83A80}" keepAlive="1" name="Dotaz – Tabulka 56" description="Připojení k dotazu produktu Tabulka 56 v sešitě" type="5" refreshedVersion="0" background="1">
    <dbPr connection="Provider=Microsoft.Mashup.OleDb.1;Data Source=$Workbook$;Location=&quot;Tabulka 56&quot;;Extended Properties=&quot;&quot;" command="SELECT * FROM [Tabulka 56]"/>
  </connection>
  <connection id="51" xr16:uid="{1621294B-C2D4-4548-93E8-1BF0187284F9}" keepAlive="1" name="Dotaz – Tabulka 57" description="Připojení k dotazu produktu Tabulka 57 v sešitě" type="5" refreshedVersion="0" background="1">
    <dbPr connection="Provider=Microsoft.Mashup.OleDb.1;Data Source=$Workbook$;Location=&quot;Tabulka 57&quot;;Extended Properties=&quot;&quot;" command="SELECT * FROM [Tabulka 57]"/>
  </connection>
  <connection id="52" xr16:uid="{0699F6E6-D162-4F68-A598-F5742537E529}" keepAlive="1" name="Dotaz – Tabulka 58" description="Připojení k dotazu produktu Tabulka 58 v sešitě" type="5" refreshedVersion="0" background="1">
    <dbPr connection="Provider=Microsoft.Mashup.OleDb.1;Data Source=$Workbook$;Location=&quot;Tabulka 58&quot;;Extended Properties=&quot;&quot;" command="SELECT * FROM [Tabulka 58]"/>
  </connection>
  <connection id="53" xr16:uid="{C5D1BE9F-67C4-4E2F-B104-9DC7248D9E12}" keepAlive="1" name="Dotaz – Tabulka 59" description="Připojení k dotazu produktu Tabulka 59 v sešitě" type="5" refreshedVersion="0" background="1">
    <dbPr connection="Provider=Microsoft.Mashup.OleDb.1;Data Source=$Workbook$;Location=&quot;Tabulka 59&quot;;Extended Properties=&quot;&quot;" command="SELECT * FROM [Tabulka 59]"/>
  </connection>
  <connection id="54" xr16:uid="{513227EA-E4BD-470F-94D0-78D3DBDDBC40}" keepAlive="1" name="Dotaz – Tabulka 6" description="Připojení k dotazu produktu Tabulka 6 v sešitě" type="5" refreshedVersion="0" background="1">
    <dbPr connection="Provider=Microsoft.Mashup.OleDb.1;Data Source=$Workbook$;Location=&quot;Tabulka 6&quot;;Extended Properties=&quot;&quot;" command="SELECT * FROM [Tabulka 6]"/>
  </connection>
  <connection id="55" xr16:uid="{2852AC04-3A9B-499A-9E4F-61E5A3C42CAA}" keepAlive="1" name="Dotaz – Tabulka 60" description="Připojení k dotazu produktu Tabulka 60 v sešitě" type="5" refreshedVersion="0" background="1">
    <dbPr connection="Provider=Microsoft.Mashup.OleDb.1;Data Source=$Workbook$;Location=&quot;Tabulka 60&quot;;Extended Properties=&quot;&quot;" command="SELECT * FROM [Tabulka 60]"/>
  </connection>
  <connection id="56" xr16:uid="{8F8ED139-77EA-40C1-B2A3-96583F89C262}" keepAlive="1" name="Dotaz – Tabulka 68" description="Připojení k dotazu produktu Tabulka 68 v sešitě" type="5" refreshedVersion="0" background="1">
    <dbPr connection="Provider=Microsoft.Mashup.OleDb.1;Data Source=$Workbook$;Location=&quot;Tabulka 68&quot;;Extended Properties=&quot;&quot;" command="SELECT * FROM [Tabulka 68]"/>
  </connection>
  <connection id="57" xr16:uid="{FB2EAB19-C4E9-4D7E-845D-C9D22B3EDB08}" keepAlive="1" name="Dotaz – Tabulka 69" description="Připojení k dotazu produktu Tabulka 69 v sešitě" type="5" refreshedVersion="0" background="1">
    <dbPr connection="Provider=Microsoft.Mashup.OleDb.1;Data Source=$Workbook$;Location=&quot;Tabulka 69&quot;;Extended Properties=&quot;&quot;" command="SELECT * FROM [Tabulka 69]"/>
  </connection>
  <connection id="58" xr16:uid="{9014CFFF-8A03-464F-8396-9953F048E1E2}" keepAlive="1" name="Dotaz – Tabulka 7" description="Připojení k dotazu produktu Tabulka 7 v sešitě" type="5" refreshedVersion="0" background="1">
    <dbPr connection="Provider=Microsoft.Mashup.OleDb.1;Data Source=$Workbook$;Location=&quot;Tabulka 7&quot;;Extended Properties=&quot;&quot;" command="SELECT * FROM [Tabulka 7]"/>
  </connection>
  <connection id="59" xr16:uid="{DC4F1A01-2362-4836-8750-732383C69C42}" keepAlive="1" name="Dotaz – Tabulka 70" description="Připojení k dotazu produktu Tabulka 70 v sešitě" type="5" refreshedVersion="0" background="1">
    <dbPr connection="Provider=Microsoft.Mashup.OleDb.1;Data Source=$Workbook$;Location=&quot;Tabulka 70&quot;;Extended Properties=&quot;&quot;" command="SELECT * FROM [Tabulka 70]"/>
  </connection>
  <connection id="60" xr16:uid="{19883391-DF0F-494A-9E85-62ED307C1D2C}" keepAlive="1" name="Dotaz – Tabulka 8" description="Připojení k dotazu produktu Tabulka 8 v sešitě" type="5" refreshedVersion="0" background="1">
    <dbPr connection="Provider=Microsoft.Mashup.OleDb.1;Data Source=$Workbook$;Location=&quot;Tabulka 8&quot;;Extended Properties=&quot;&quot;" command="SELECT * FROM [Tabulka 8]"/>
  </connection>
  <connection id="61" xr16:uid="{701B809F-D089-485B-8E75-C882A7AC28C4}" keepAlive="1" name="Dotaz – Tabulka 9" description="Připojení k dotazu produktu Tabulka 9 v sešitě" type="5" refreshedVersion="0" background="1">
    <dbPr connection="Provider=Microsoft.Mashup.OleDb.1;Data Source=$Workbook$;Location=&quot;Tabulka 9&quot;;Extended Properties=&quot;&quot;" command="SELECT * FROM [Tabulka 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<sst xmlns="http://schemas.openxmlformats.org/spreadsheetml/2006/main" count="5457" uniqueCount="163">
  <si>
    <t>Season</t>
  </si>
  <si>
    <t>Date</t>
  </si>
  <si>
    <t>League</t>
  </si>
  <si>
    <t>Team</t>
  </si>
  <si>
    <t>Opponent</t>
  </si>
  <si>
    <t>Home</t>
  </si>
  <si>
    <t>Goals_For</t>
  </si>
  <si>
    <t>Shots_For</t>
  </si>
  <si>
    <t>Shots_Against</t>
  </si>
  <si>
    <t>Goals_Against</t>
  </si>
  <si>
    <t>xG_For</t>
  </si>
  <si>
    <t>xG_Against</t>
  </si>
  <si>
    <t>PP_G</t>
  </si>
  <si>
    <t>PP_O</t>
  </si>
  <si>
    <t>PK_GA</t>
  </si>
  <si>
    <t>Goalie_Primary</t>
  </si>
  <si>
    <t>Goalie_SV_Total</t>
  </si>
  <si>
    <t>OT_SO</t>
  </si>
  <si>
    <t>Result</t>
  </si>
  <si>
    <t>Goalie</t>
  </si>
  <si>
    <t>Minutes</t>
  </si>
  <si>
    <t>Saves</t>
  </si>
  <si>
    <t>Type</t>
  </si>
  <si>
    <t>Note</t>
  </si>
  <si>
    <t>Games_RS</t>
  </si>
  <si>
    <t>RS_Start</t>
  </si>
  <si>
    <t>RS_End</t>
  </si>
  <si>
    <t>City</t>
  </si>
  <si>
    <t>Since</t>
  </si>
  <si>
    <t>PK_O</t>
  </si>
  <si>
    <t>ELH</t>
  </si>
  <si>
    <t>PCE</t>
  </si>
  <si>
    <t>MHK</t>
  </si>
  <si>
    <t>W</t>
  </si>
  <si>
    <t>Will</t>
  </si>
  <si>
    <t>L</t>
  </si>
  <si>
    <t>MBL</t>
  </si>
  <si>
    <t>Vomáčka</t>
  </si>
  <si>
    <t>OLO</t>
  </si>
  <si>
    <t>PLZ</t>
  </si>
  <si>
    <t>KLA</t>
  </si>
  <si>
    <t>TRI</t>
  </si>
  <si>
    <t>KOM</t>
  </si>
  <si>
    <t>LIT</t>
  </si>
  <si>
    <t>KVA</t>
  </si>
  <si>
    <t>VIT</t>
  </si>
  <si>
    <t>SPA</t>
  </si>
  <si>
    <t>Subban</t>
  </si>
  <si>
    <t>Goalie_rating</t>
  </si>
  <si>
    <t>last_3</t>
  </si>
  <si>
    <t>last_5</t>
  </si>
  <si>
    <t>last_10</t>
  </si>
  <si>
    <t>home/away</t>
  </si>
  <si>
    <t>Team_strength</t>
  </si>
  <si>
    <t>Win</t>
  </si>
  <si>
    <t>Goals_Diff</t>
  </si>
  <si>
    <t>Shots_Diff</t>
  </si>
  <si>
    <t>xG_Diff</t>
  </si>
  <si>
    <t>PP_Rate</t>
  </si>
  <si>
    <t>PK_Rate</t>
  </si>
  <si>
    <t>Games</t>
  </si>
  <si>
    <t>Shots_against</t>
  </si>
  <si>
    <t>SV_Season_%</t>
  </si>
  <si>
    <t>SV_Last5</t>
  </si>
  <si>
    <t>GSAA_Proxy</t>
  </si>
  <si>
    <t>avg_xG_Diff</t>
  </si>
  <si>
    <t>avg_Shots_Diff</t>
  </si>
  <si>
    <t>avg_PP_Rate</t>
  </si>
  <si>
    <t>avg_PK_Rate</t>
  </si>
  <si>
    <t>avg_Goals_Diff</t>
  </si>
  <si>
    <t>Team_Strength</t>
  </si>
  <si>
    <t>xG_Diff_adj</t>
  </si>
  <si>
    <t>PP_Diff</t>
  </si>
  <si>
    <t>TeamStrength</t>
  </si>
  <si>
    <t>Parameter</t>
  </si>
  <si>
    <t>Coefficient</t>
  </si>
  <si>
    <t>Source</t>
  </si>
  <si>
    <t>Intercept</t>
  </si>
  <si>
    <t>Minitab</t>
  </si>
  <si>
    <t>konstanta</t>
  </si>
  <si>
    <t>domácí výhoda</t>
  </si>
  <si>
    <t>přesilovky</t>
  </si>
  <si>
    <t>kvalita šancí</t>
  </si>
  <si>
    <t>vliv golmana</t>
  </si>
  <si>
    <t>baseline týmu</t>
  </si>
  <si>
    <t>škálování PP</t>
  </si>
  <si>
    <t>škálování xG</t>
  </si>
  <si>
    <t>External</t>
  </si>
  <si>
    <t>Manual</t>
  </si>
  <si>
    <t>Scale_PP</t>
  </si>
  <si>
    <t>Scale_xG</t>
  </si>
  <si>
    <t>Match</t>
  </si>
  <si>
    <t>Linear_Score</t>
  </si>
  <si>
    <t>P_Win</t>
  </si>
  <si>
    <t>G1</t>
  </si>
  <si>
    <t>G6</t>
  </si>
  <si>
    <t>Use_xG</t>
  </si>
  <si>
    <t>Quality_Diff</t>
  </si>
  <si>
    <t>Scale_Shots</t>
  </si>
  <si>
    <t>škálování Shots</t>
  </si>
  <si>
    <t>Kváča</t>
  </si>
  <si>
    <t>Novotný</t>
  </si>
  <si>
    <t>Westerholm</t>
  </si>
  <si>
    <t>Klouček</t>
  </si>
  <si>
    <t>Machovský</t>
  </si>
  <si>
    <t>Malík</t>
  </si>
  <si>
    <t>Růžička</t>
  </si>
  <si>
    <t>Brízgala</t>
  </si>
  <si>
    <t>Kacetl</t>
  </si>
  <si>
    <t>25/26</t>
  </si>
  <si>
    <t>Mazanec</t>
  </si>
  <si>
    <t>Strmeň</t>
  </si>
  <si>
    <t>Mařík</t>
  </si>
  <si>
    <t>Shots_Last5</t>
  </si>
  <si>
    <t>Goals_last5</t>
  </si>
  <si>
    <t>Lukeš</t>
  </si>
  <si>
    <t>Hamalčík</t>
  </si>
  <si>
    <t>Škorvánek</t>
  </si>
  <si>
    <t>Cichoň</t>
  </si>
  <si>
    <t>Dansk</t>
  </si>
  <si>
    <t>Game_Type</t>
  </si>
  <si>
    <t>RS</t>
  </si>
  <si>
    <t>Game_Weight</t>
  </si>
  <si>
    <t>Zápas</t>
  </si>
  <si>
    <t>G2</t>
  </si>
  <si>
    <t>G3</t>
  </si>
  <si>
    <t>G4</t>
  </si>
  <si>
    <t>G5</t>
  </si>
  <si>
    <t>G7</t>
  </si>
  <si>
    <t>log-odds skóre</t>
  </si>
  <si>
    <t>Game Type</t>
  </si>
  <si>
    <t>Win?</t>
  </si>
  <si>
    <t>avg_PP_O</t>
  </si>
  <si>
    <t>LogOdds_MC</t>
  </si>
  <si>
    <t>Effective_P_Win</t>
  </si>
  <si>
    <t>Regular Season</t>
  </si>
  <si>
    <t>CEB</t>
  </si>
  <si>
    <t>LIB</t>
  </si>
  <si>
    <t>PP_Eff</t>
  </si>
  <si>
    <t>PP_Eff_Opponent</t>
  </si>
  <si>
    <t>Kořenář</t>
  </si>
  <si>
    <t>Kovář</t>
  </si>
  <si>
    <t>Michajlov</t>
  </si>
  <si>
    <t>Kolo/Zapas</t>
  </si>
  <si>
    <t>Stezka</t>
  </si>
  <si>
    <t>Kavan</t>
  </si>
  <si>
    <t>Furch</t>
  </si>
  <si>
    <t>Král</t>
  </si>
  <si>
    <t>Hrachovina</t>
  </si>
  <si>
    <t>Tomek</t>
  </si>
  <si>
    <t>Frodl</t>
  </si>
  <si>
    <t>Čajan</t>
  </si>
  <si>
    <t>Klimeš</t>
  </si>
  <si>
    <t>SV%</t>
  </si>
  <si>
    <t>GSAA</t>
  </si>
  <si>
    <t>SV%League</t>
  </si>
  <si>
    <t>GSAA_5G</t>
  </si>
  <si>
    <t>Mokry</t>
  </si>
  <si>
    <t>Soukup</t>
  </si>
  <si>
    <t>Krošelj</t>
  </si>
  <si>
    <t>Kubík</t>
  </si>
  <si>
    <t>Team_Strength_average</t>
  </si>
  <si>
    <t>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</si>
</sst>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" fontId="0" fillId="0" borderId="0" xfId="1" applyNumberFormat="1" applyFont="1"/>
    <xf numFmtId="1" fontId="0" fillId="0" borderId="0" xfId="1" applyNumberFormat="1" applyFont="1" applyFill="1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5" fillId="3" borderId="0" xfId="0" applyFont="1" applyFill="1"/>
    <xf numFmtId="0" fontId="5" fillId="2" borderId="0" xfId="0" applyFont="1" applyFill="1"/>
    <xf numFmtId="164" fontId="5" fillId="2" borderId="0" xfId="0" applyNumberFormat="1" applyFont="1" applyFill="1"/>
    <xf numFmtId="164" fontId="5" fillId="3" borderId="0" xfId="0" applyNumberFormat="1" applyFont="1" applyFill="1"/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rmann, Jakub" id="{E123CBF2-F6B6-4E48-A681-E627D11D2C19}" userId="S::sg117002@user.schaeffler.com::32da9353-3695-46d6-a016-3efe28dfbd26" providerId="AD"/>
</personList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4-25T19:22:12.68" personId="{E123CBF2-F6B6-4E48-A681-E627D11D2C19}" id="{4AEE3FB9-964C-4B8A-92D4-9086ED6C97C4}">
    <text>Doma = 1, Venku = 0</text>
  </threadedComment>
  <threadedComment ref="N1" dT="2026-04-25T19:06:34.66" personId="{E123CBF2-F6B6-4E48-A681-E627D11D2C19}" id="{5CF3CBC4-3CF1-4E11-8191-6DAB72DAC235}">
    <text>Góly v přesilovce</text>
  </threadedComment>
  <threadedComment ref="O1" dT="2026-04-27T08:33:46.65" personId="{E123CBF2-F6B6-4E48-A681-E627D11D2C19}" id="{0BA72DDE-61CB-4620-B13C-CB75B1175555}">
    <text>Počet přesilovek</text>
  </threadedComment>
  <threadedComment ref="P1" dT="2026-04-25T19:08:05.22" personId="{E123CBF2-F6B6-4E48-A681-E627D11D2C19}" id="{60A98876-9865-49A3-8292-68AC130A2126}">
    <text>Góly obdržené v oslabení</text>
  </threadedComment>
  <threadedComment ref="Q1" dT="2026-04-27T08:34:00.75" personId="{E123CBF2-F6B6-4E48-A681-E627D11D2C19}" id="{25A4F559-8D50-4AA7-9A0E-4B6162C2C137}">
    <text>Počet oslabení</text>
  </threadedComment>
  <threadedComment ref="S1" dT="2026-04-27T08:34:22.39" personId="{E123CBF2-F6B6-4E48-A681-E627D11D2C19}" id="{3B33B949-E807-410D-8AB5-D373AAA53CE0}">
    <text>Počet zákroků</text>
  </threadedComment>
  <threadedComment ref="T1" dT="2026-04-25T19:09:47.57" personId="{E123CBF2-F6B6-4E48-A681-E627D11D2C19}" id="{4FEE2F6B-FA25-4A02-A8D3-D390C846EF0F}">
    <text>Prodloužení/Nájezdy = 1, základní hrací doba = 0</text>
  </threadedComment>
  <threadedComment ref="V1" dT="2026-04-28T07:15:11.91" personId="{E123CBF2-F6B6-4E48-A681-E627D11D2C19}" id="{64610785-ABB0-4D42-A99A-3CC1605C0DFC}">
    <text>RS = základní část, PO = play-off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6-04-25T19:16:29.15" personId="{E123CBF2-F6B6-4E48-A681-E627D11D2C19}" id="{191950BB-5BD7-454C-B81E-C2E5A3D2064D}">
    <text>Goly v přesilovce</text>
  </threadedComment>
  <threadedComment ref="G1" dT="2026-04-25T19:17:01.40" personId="{E123CBF2-F6B6-4E48-A681-E627D11D2C19}" id="{1F00145C-DD82-42F0-BC49-196B51ACA850}">
    <text>Goly obdržené v oslabení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C115-F3EE-4070-A2E6-D508965372C3}">
  <sheetPr>
    <tabColor rgb="FFFF0000"/>
  </sheetPr>
  <dimension ref="A1:D11"/>
  <sheetViews>
    <sheetView workbookViewId="0">
      <selection activeCell="A6" sqref="A6"/>
    </sheetView>
  </sheetViews>
  <sheetFormatPr defaultRowHeight="15" x14ac:dyDescent="0.25"/>
  <cols>
    <col min="1" max="1" width="15.42578125" bestFit="1" customWidth="1"/>
    <col min="2" max="2" width="10.28515625" bestFit="1" customWidth="1"/>
    <col min="3" max="3" width="8" bestFit="1" customWidth="1"/>
    <col min="4" max="4" width="14.5703125" bestFit="1" customWidth="1"/>
  </cols>
  <sheetData>
    <row r="1" spans="1:4" ht="15.75" x14ac:dyDescent="0.25">
      <c r="A1" s="2" t="s">
        <v>135</v>
      </c>
    </row>
    <row r="2" spans="1:4" x14ac:dyDescent="0.25">
      <c r="A2" t="s">
        <v>74</v>
      </c>
      <c r="B2" t="s">
        <v>75</v>
      </c>
      <c r="C2" t="s">
        <v>76</v>
      </c>
      <c r="D2" t="s">
        <v>23</v>
      </c>
    </row>
    <row r="3" spans="1:4" x14ac:dyDescent="0.25">
      <c r="A3" t="s">
        <v>77</v>
      </c>
      <c r="B3">
        <v>0.42</v>
      </c>
      <c r="C3" t="s">
        <v>78</v>
      </c>
      <c r="D3" t="s">
        <v>79</v>
      </c>
    </row>
    <row r="4" spans="1:4" x14ac:dyDescent="0.25">
      <c r="A4" t="s">
        <v>5</v>
      </c>
      <c r="B4">
        <v>0.1706</v>
      </c>
      <c r="C4" t="s">
        <v>78</v>
      </c>
      <c r="D4" t="s">
        <v>80</v>
      </c>
    </row>
    <row r="5" spans="1:4" x14ac:dyDescent="0.25">
      <c r="A5" t="s">
        <v>57</v>
      </c>
      <c r="B5">
        <v>0.104</v>
      </c>
      <c r="C5" t="s">
        <v>78</v>
      </c>
      <c r="D5" t="s">
        <v>82</v>
      </c>
    </row>
    <row r="6" spans="1:4" x14ac:dyDescent="0.25">
      <c r="A6" t="s">
        <v>72</v>
      </c>
      <c r="B6">
        <v>1.619</v>
      </c>
      <c r="C6" t="s">
        <v>78</v>
      </c>
      <c r="D6" t="s">
        <v>81</v>
      </c>
    </row>
    <row r="7" spans="1:4" x14ac:dyDescent="0.25">
      <c r="A7" t="s">
        <v>19</v>
      </c>
      <c r="B7">
        <v>4.6100000000000003</v>
      </c>
      <c r="C7" t="s">
        <v>78</v>
      </c>
      <c r="D7" t="s">
        <v>83</v>
      </c>
    </row>
    <row r="8" spans="1:4" x14ac:dyDescent="0.25">
      <c r="A8" t="s">
        <v>73</v>
      </c>
      <c r="B8">
        <v>0</v>
      </c>
      <c r="C8" t="s">
        <v>87</v>
      </c>
      <c r="D8" t="s">
        <v>84</v>
      </c>
    </row>
    <row r="9" spans="1:4" x14ac:dyDescent="0.25">
      <c r="A9" t="s">
        <v>89</v>
      </c>
      <c r="B9">
        <v>0.15</v>
      </c>
      <c r="C9" t="s">
        <v>88</v>
      </c>
      <c r="D9" t="s">
        <v>85</v>
      </c>
    </row>
    <row r="10" spans="1:4" x14ac:dyDescent="0.25">
      <c r="A10" t="s">
        <v>90</v>
      </c>
      <c r="B10">
        <v>1</v>
      </c>
      <c r="C10" t="s">
        <v>88</v>
      </c>
      <c r="D10" t="s">
        <v>86</v>
      </c>
    </row>
    <row r="11" spans="1:4" x14ac:dyDescent="0.25">
      <c r="A11" t="s">
        <v>98</v>
      </c>
      <c r="B11">
        <v>0.05</v>
      </c>
      <c r="C11" t="s">
        <v>88</v>
      </c>
      <c r="D11" t="s">
        <v>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F20A-1F87-45AA-A549-46C6C0368FBC}">
  <sheetPr>
    <tabColor rgb="FFFFC000"/>
  </sheetPr>
  <dimension ref="A1:J8"/>
  <sheetViews>
    <sheetView workbookViewId="0">
      <selection activeCell="F21" sqref="F21"/>
    </sheetView>
  </sheetViews>
  <sheetFormatPr defaultRowHeight="15" x14ac:dyDescent="0.25"/>
  <cols>
    <col min="3" max="3" width="11.140625" bestFit="1" customWidth="1"/>
    <col min="4" max="4" width="7.140625" bestFit="1" customWidth="1"/>
    <col min="5" max="5" width="6.7109375" bestFit="1" customWidth="1"/>
    <col min="6" max="6" width="14.28515625" bestFit="1" customWidth="1"/>
    <col min="7" max="7" width="14.28515625" customWidth="1"/>
    <col min="9" max="9" width="14.5703125" bestFit="1" customWidth="1"/>
  </cols>
  <sheetData>
    <row r="1" spans="1:10" x14ac:dyDescent="0.25">
      <c r="A1" t="s">
        <v>123</v>
      </c>
      <c r="B1" t="s">
        <v>5</v>
      </c>
      <c r="C1" t="s">
        <v>97</v>
      </c>
      <c r="D1" t="s">
        <v>72</v>
      </c>
      <c r="E1" t="s">
        <v>19</v>
      </c>
      <c r="F1" t="s">
        <v>129</v>
      </c>
      <c r="G1" t="s">
        <v>133</v>
      </c>
      <c r="H1" t="s">
        <v>131</v>
      </c>
      <c r="I1" t="s">
        <v>134</v>
      </c>
    </row>
    <row r="2" spans="1:10" x14ac:dyDescent="0.25">
      <c r="A2" t="s">
        <v>94</v>
      </c>
      <c r="B2">
        <v>1</v>
      </c>
      <c r="C2">
        <f>CALC_TEAMS_SEASON!$D$4-CALC_TEAMS_SEASON!$D$5</f>
        <v>4.0166666666666739E-2</v>
      </c>
      <c r="D2" t="e">
        <f>(CALC_TEAMS_SEASON!$F$4-CALC_TEAMS_SEASON!$F$5)*(1+PARAMETRY!#REF!*(CALC_TEAMS_SEASON!$K$4-CALC_TEAMS_SEASON!$K$5))</f>
        <v>#REF!</v>
      </c>
      <c r="E2">
        <f>CALC_GOALIES!$K$2</f>
        <v>1.7617039556646619E-2</v>
      </c>
      <c r="F2" t="e">
        <f>PARAMETRY!$B$3+SERIE_INPUT!B2*PARAMETRY!#REF!+SERIE_INPUT!C2*PARAMETRY!#REF!+SERIE_INPUT!D2*PARAMETRY!#REF!*PARAMETRY!#REF!+SERIE_INPUT!E2*PARAMETRY!#REF!</f>
        <v>#REF!</v>
      </c>
      <c r="G2" t="e">
        <f ca="1">F2+_xlfn.NORM.INV(RAND(),0,0.35)</f>
        <v>#REF!</v>
      </c>
      <c r="H2" t="e">
        <f ca="1">1/(1+EXP(-G2))</f>
        <v>#REF!</v>
      </c>
      <c r="I2" t="e">
        <f ca="1">0.85*H2+0.15*0.5</f>
        <v>#REF!</v>
      </c>
      <c r="J2" s="8" t="e">
        <f ca="1">I2</f>
        <v>#REF!</v>
      </c>
    </row>
    <row r="3" spans="1:10" x14ac:dyDescent="0.25">
      <c r="A3" t="s">
        <v>124</v>
      </c>
      <c r="B3">
        <v>1</v>
      </c>
      <c r="C3">
        <f>CALC_TEAMS_SEASON!$D$4-CALC_TEAMS_SEASON!$D$5</f>
        <v>4.0166666666666739E-2</v>
      </c>
      <c r="D3" t="e">
        <f>(CALC_TEAMS_SEASON!$F$4-CALC_TEAMS_SEASON!$F$5)*(1+PARAMETRY!#REF!*(CALC_TEAMS_SEASON!$K$4-CALC_TEAMS_SEASON!$K$5))</f>
        <v>#REF!</v>
      </c>
      <c r="E3">
        <f>CALC_GOALIES!$K$2</f>
        <v>1.7617039556646619E-2</v>
      </c>
      <c r="F3" t="e">
        <f>PARAMETRY!$B$3+SERIE_INPUT!B3*PARAMETRY!#REF!+SERIE_INPUT!C3*PARAMETRY!#REF!+SERIE_INPUT!D3*PARAMETRY!#REF!*PARAMETRY!#REF!+SERIE_INPUT!E3*PARAMETRY!#REF!</f>
        <v>#REF!</v>
      </c>
      <c r="G3" t="e">
        <f t="shared" ref="G3:G8" ca="1" si="0">F3+_xlfn.NORM.INV(RAND(),0,0.35)</f>
        <v>#REF!</v>
      </c>
      <c r="H3" t="e">
        <f t="shared" ref="H3:H8" ca="1" si="1">1/(1+EXP(-G3))</f>
        <v>#REF!</v>
      </c>
      <c r="I3" t="e">
        <f t="shared" ref="I3:I8" ca="1" si="2">0.85*H3+0.15*0.5</f>
        <v>#REF!</v>
      </c>
      <c r="J3" s="8" t="e">
        <f t="shared" ref="J3:J8" ca="1" si="3">I3</f>
        <v>#REF!</v>
      </c>
    </row>
    <row r="4" spans="1:10" x14ac:dyDescent="0.25">
      <c r="A4" t="s">
        <v>125</v>
      </c>
      <c r="B4">
        <v>0</v>
      </c>
      <c r="C4">
        <f>CALC_TEAMS_SEASON!$D$4-CALC_TEAMS_SEASON!$D$5</f>
        <v>4.0166666666666739E-2</v>
      </c>
      <c r="D4" t="e">
        <f>(CALC_TEAMS_SEASON!$F$4-CALC_TEAMS_SEASON!$F$5)*(1+PARAMETRY!#REF!*(CALC_TEAMS_SEASON!$K$4-CALC_TEAMS_SEASON!$K$5))</f>
        <v>#REF!</v>
      </c>
      <c r="E4">
        <f>CALC_GOALIES!$K$2</f>
        <v>1.7617039556646619E-2</v>
      </c>
      <c r="F4" t="e">
        <f>PARAMETRY!$B$3+SERIE_INPUT!B4*PARAMETRY!#REF!+SERIE_INPUT!C4*PARAMETRY!#REF!+SERIE_INPUT!D4*PARAMETRY!#REF!*PARAMETRY!#REF!+SERIE_INPUT!E4*PARAMETRY!#REF!</f>
        <v>#REF!</v>
      </c>
      <c r="G4" t="e">
        <f t="shared" ca="1" si="0"/>
        <v>#REF!</v>
      </c>
      <c r="H4" t="e">
        <f t="shared" ca="1" si="1"/>
        <v>#REF!</v>
      </c>
      <c r="I4" t="e">
        <f t="shared" ca="1" si="2"/>
        <v>#REF!</v>
      </c>
      <c r="J4" s="8" t="e">
        <f t="shared" ca="1" si="3"/>
        <v>#REF!</v>
      </c>
    </row>
    <row r="5" spans="1:10" x14ac:dyDescent="0.25">
      <c r="A5" t="s">
        <v>126</v>
      </c>
      <c r="B5">
        <v>0</v>
      </c>
      <c r="C5">
        <f>CALC_TEAMS_SEASON!$D$4-CALC_TEAMS_SEASON!$D$5</f>
        <v>4.0166666666666739E-2</v>
      </c>
      <c r="D5" t="e">
        <f>(CALC_TEAMS_SEASON!$F$4-CALC_TEAMS_SEASON!$F$5)*(1+PARAMETRY!#REF!*(CALC_TEAMS_SEASON!$K$4-CALC_TEAMS_SEASON!$K$5))</f>
        <v>#REF!</v>
      </c>
      <c r="E5">
        <f>CALC_GOALIES!$K$2</f>
        <v>1.7617039556646619E-2</v>
      </c>
      <c r="F5" t="e">
        <f>PARAMETRY!$B$3+SERIE_INPUT!B5*PARAMETRY!#REF!+SERIE_INPUT!C5*PARAMETRY!#REF!+SERIE_INPUT!D5*PARAMETRY!#REF!*PARAMETRY!#REF!+SERIE_INPUT!E5*PARAMETRY!#REF!</f>
        <v>#REF!</v>
      </c>
      <c r="G5" t="e">
        <f t="shared" ca="1" si="0"/>
        <v>#REF!</v>
      </c>
      <c r="H5" t="e">
        <f t="shared" ca="1" si="1"/>
        <v>#REF!</v>
      </c>
      <c r="I5" t="e">
        <f t="shared" ca="1" si="2"/>
        <v>#REF!</v>
      </c>
      <c r="J5" s="8" t="e">
        <f t="shared" ca="1" si="3"/>
        <v>#REF!</v>
      </c>
    </row>
    <row r="6" spans="1:10" x14ac:dyDescent="0.25">
      <c r="A6" t="s">
        <v>127</v>
      </c>
      <c r="B6">
        <v>1</v>
      </c>
      <c r="C6">
        <f>CALC_TEAMS_SEASON!$D$4-CALC_TEAMS_SEASON!$D$5</f>
        <v>4.0166666666666739E-2</v>
      </c>
      <c r="D6" t="e">
        <f>(CALC_TEAMS_SEASON!$F$4-CALC_TEAMS_SEASON!$F$5)*(1+PARAMETRY!#REF!*(CALC_TEAMS_SEASON!$K$4-CALC_TEAMS_SEASON!$K$5))</f>
        <v>#REF!</v>
      </c>
      <c r="E6">
        <f>CALC_GOALIES!$K$2</f>
        <v>1.7617039556646619E-2</v>
      </c>
      <c r="F6" t="e">
        <f>PARAMETRY!$B$3+SERIE_INPUT!B6*PARAMETRY!#REF!+SERIE_INPUT!C6*PARAMETRY!#REF!+SERIE_INPUT!D6*PARAMETRY!#REF!*PARAMETRY!#REF!+SERIE_INPUT!E6*PARAMETRY!#REF!</f>
        <v>#REF!</v>
      </c>
      <c r="G6" t="e">
        <f t="shared" ca="1" si="0"/>
        <v>#REF!</v>
      </c>
      <c r="H6" t="e">
        <f t="shared" ca="1" si="1"/>
        <v>#REF!</v>
      </c>
      <c r="I6" t="e">
        <f t="shared" ca="1" si="2"/>
        <v>#REF!</v>
      </c>
      <c r="J6" s="8" t="e">
        <f t="shared" ca="1" si="3"/>
        <v>#REF!</v>
      </c>
    </row>
    <row r="7" spans="1:10" x14ac:dyDescent="0.25">
      <c r="A7" t="s">
        <v>95</v>
      </c>
      <c r="B7">
        <v>0</v>
      </c>
      <c r="C7">
        <f>CALC_TEAMS_SEASON!$D$4-CALC_TEAMS_SEASON!$D$5</f>
        <v>4.0166666666666739E-2</v>
      </c>
      <c r="D7" t="e">
        <f>(CALC_TEAMS_SEASON!$F$4-CALC_TEAMS_SEASON!$F$5)*(1+PARAMETRY!#REF!*(CALC_TEAMS_SEASON!$K$4-CALC_TEAMS_SEASON!$K$5))</f>
        <v>#REF!</v>
      </c>
      <c r="E7">
        <f>CALC_GOALIES!$K$2</f>
        <v>1.7617039556646619E-2</v>
      </c>
      <c r="F7" t="e">
        <f>PARAMETRY!$B$3+SERIE_INPUT!B7*PARAMETRY!#REF!+SERIE_INPUT!C7*PARAMETRY!#REF!+SERIE_INPUT!D7*PARAMETRY!#REF!*PARAMETRY!#REF!+SERIE_INPUT!E7*PARAMETRY!#REF!</f>
        <v>#REF!</v>
      </c>
      <c r="G7" t="e">
        <f t="shared" ca="1" si="0"/>
        <v>#REF!</v>
      </c>
      <c r="H7" t="e">
        <f t="shared" ca="1" si="1"/>
        <v>#REF!</v>
      </c>
      <c r="I7" t="e">
        <f t="shared" ca="1" si="2"/>
        <v>#REF!</v>
      </c>
      <c r="J7" s="8" t="e">
        <f t="shared" ca="1" si="3"/>
        <v>#REF!</v>
      </c>
    </row>
    <row r="8" spans="1:10" x14ac:dyDescent="0.25">
      <c r="A8" t="s">
        <v>128</v>
      </c>
      <c r="B8">
        <v>1</v>
      </c>
      <c r="C8">
        <f>CALC_TEAMS_SEASON!$D$4-CALC_TEAMS_SEASON!$D$5</f>
        <v>4.0166666666666739E-2</v>
      </c>
      <c r="D8" t="e">
        <f>(CALC_TEAMS_SEASON!$F$4-CALC_TEAMS_SEASON!$F$5)*(1+PARAMETRY!#REF!*(CALC_TEAMS_SEASON!$K$4-CALC_TEAMS_SEASON!$K$5))</f>
        <v>#REF!</v>
      </c>
      <c r="E8">
        <f>CALC_GOALIES!$K$2</f>
        <v>1.7617039556646619E-2</v>
      </c>
      <c r="F8" t="e">
        <f>PARAMETRY!$B$3+SERIE_INPUT!B8*PARAMETRY!#REF!+SERIE_INPUT!C8*PARAMETRY!#REF!+SERIE_INPUT!D8*PARAMETRY!#REF!*PARAMETRY!#REF!+SERIE_INPUT!E8*PARAMETRY!#REF!</f>
        <v>#REF!</v>
      </c>
      <c r="G8" t="e">
        <f t="shared" ca="1" si="0"/>
        <v>#REF!</v>
      </c>
      <c r="H8" t="e">
        <f t="shared" ca="1" si="1"/>
        <v>#REF!</v>
      </c>
      <c r="I8" t="e">
        <f t="shared" ca="1" si="2"/>
        <v>#REF!</v>
      </c>
      <c r="J8" s="8" t="e">
        <f t="shared" ca="1" si="3"/>
        <v>#REF!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D251-A54E-4AC2-91EE-8BD1BFA0C534}">
  <sheetPr>
    <tabColor rgb="FF002060"/>
  </sheetPr>
  <dimension ref="A1:H1"/>
  <sheetViews>
    <sheetView zoomScale="130" zoomScaleNormal="130" workbookViewId="0">
      <selection activeCell="D27" sqref="D27"/>
    </sheetView>
  </sheetViews>
  <sheetFormatPr defaultRowHeight="15" x14ac:dyDescent="0.25"/>
  <cols>
    <col min="1" max="1" width="6.42578125" bestFit="1" customWidth="1"/>
    <col min="2" max="2" width="6.140625" bestFit="1" customWidth="1"/>
    <col min="3" max="3" width="7" bestFit="1" customWidth="1"/>
    <col min="4" max="4" width="7.140625" bestFit="1" customWidth="1"/>
    <col min="5" max="5" width="12.7109375" bestFit="1" customWidth="1"/>
    <col min="6" max="6" width="14" bestFit="1" customWidth="1"/>
    <col min="7" max="7" width="12.140625" bestFit="1" customWidth="1"/>
    <col min="8" max="8" width="6.42578125" bestFit="1" customWidth="1"/>
  </cols>
  <sheetData>
    <row r="1" spans="1:8" x14ac:dyDescent="0.25">
      <c r="A1" t="s">
        <v>91</v>
      </c>
      <c r="B1" t="s">
        <v>5</v>
      </c>
      <c r="C1" t="s">
        <v>57</v>
      </c>
      <c r="D1" t="s">
        <v>72</v>
      </c>
      <c r="E1" t="s">
        <v>48</v>
      </c>
      <c r="F1" t="s">
        <v>70</v>
      </c>
      <c r="G1" t="s">
        <v>92</v>
      </c>
      <c r="H1" t="s">
        <v>93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12A2-1A92-4899-AA08-B43DF457D3A0}">
  <sheetPr>
    <tabColor rgb="FF7030A0"/>
  </sheetPr>
  <dimension ref="A1:L32"/>
  <sheetViews>
    <sheetView workbookViewId="0">
      <selection activeCell="D24" sqref="D24"/>
    </sheetView>
  </sheetViews>
  <sheetFormatPr defaultRowHeight="15" x14ac:dyDescent="0.25"/>
  <cols>
    <col min="1" max="3" width="9.85546875" customWidth="1"/>
    <col min="4" max="4" width="10.7109375" bestFit="1" customWidth="1"/>
    <col min="5" max="7" width="10.7109375" customWidth="1"/>
    <col min="8" max="8" width="8.7109375" bestFit="1" customWidth="1"/>
    <col min="9" max="9" width="12.7109375" bestFit="1" customWidth="1"/>
    <col min="10" max="10" width="14" bestFit="1" customWidth="1"/>
    <col min="11" max="11" width="13.140625" bestFit="1" customWidth="1"/>
    <col min="12" max="12" width="4.42578125" bestFit="1" customWidth="1"/>
  </cols>
  <sheetData>
    <row r="1" spans="1:12" x14ac:dyDescent="0.25">
      <c r="A1" t="s">
        <v>0</v>
      </c>
      <c r="B1" t="s">
        <v>1</v>
      </c>
      <c r="C1" t="s">
        <v>5</v>
      </c>
      <c r="D1" t="s">
        <v>71</v>
      </c>
      <c r="E1" t="s">
        <v>56</v>
      </c>
      <c r="F1" t="s">
        <v>96</v>
      </c>
      <c r="G1" t="s">
        <v>97</v>
      </c>
      <c r="H1" t="s">
        <v>72</v>
      </c>
      <c r="I1" t="s">
        <v>48</v>
      </c>
      <c r="J1" t="s">
        <v>53</v>
      </c>
      <c r="K1" t="s">
        <v>122</v>
      </c>
      <c r="L1" t="s">
        <v>54</v>
      </c>
    </row>
    <row r="2" spans="1:12" x14ac:dyDescent="0.25">
      <c r="A2" t="str">
        <f>CALC_GAMES_BASE!A106</f>
        <v>25/26</v>
      </c>
      <c r="B2" s="3">
        <f>CALC_GAMES_BASE!B106</f>
        <v>45926</v>
      </c>
      <c r="C2" s="7">
        <f>CALC_GAMES_BASE!E106</f>
        <v>1</v>
      </c>
      <c r="D2" s="6" t="str">
        <f>CALC_GAMES_BASE!N106</f>
        <v/>
      </c>
      <c r="E2" s="7">
        <f>CALC_GAMES_BASE!K106</f>
        <v>27</v>
      </c>
      <c r="F2" s="7">
        <f t="shared" ref="F2:F26" si="0">IF(D2&lt;&gt;"",1,0)</f>
        <v>0</v>
      </c>
      <c r="G2" s="6">
        <f>IF(F2=1,
  D2,
  E2*PARAMETRY!B104)</f>
        <v>0</v>
      </c>
      <c r="H2" s="6">
        <f>CALC_GAMES_BASE!Q106 - CALC_TEAMS_SEASON!F106</f>
        <v>0.2</v>
      </c>
      <c r="I2" s="6">
        <f>_xlfn.XLOOKUP(CALC_GAMES_BASE!W106,
  CALC_GOALIES!B:B,
  CALC_GOALIES!K:K)</f>
        <v>2.1917994590268441E-2</v>
      </c>
      <c r="J2" s="6"/>
      <c r="K2">
        <f>IF(CALC_GAMES_BASE!Z106="RS",1,1.2)</f>
        <v>1</v>
      </c>
      <c r="L2">
        <f xml:space="preserve"> CALC_GAMES_BASE!Y106</f>
        <v>1</v>
      </c>
    </row>
    <row r="3" spans="1:12" x14ac:dyDescent="0.25">
      <c r="A3" t="str">
        <f>CALC_GAMES_BASE!A107</f>
        <v>25/26</v>
      </c>
      <c r="B3" s="3">
        <f>CALC_GAMES_BASE!B107</f>
        <v>45926</v>
      </c>
      <c r="C3" s="7">
        <f>CALC_GAMES_BASE!E107</f>
        <v>1</v>
      </c>
      <c r="D3" s="6" t="str">
        <f>CALC_GAMES_BASE!N107</f>
        <v/>
      </c>
      <c r="E3" s="7">
        <f>CALC_GAMES_BASE!K107</f>
        <v>4</v>
      </c>
      <c r="F3" s="7">
        <f t="shared" si="0"/>
        <v>0</v>
      </c>
      <c r="G3" s="6">
        <f>IF(F3=1,
  D3,
  E3*PARAMETRY!B105)</f>
        <v>0</v>
      </c>
      <c r="H3" s="6">
        <f>CALC_GAMES_BASE!Q107 - CALC_TEAMS_SEASON!F107</f>
        <v>0.33333333333333331</v>
      </c>
      <c r="I3" s="6">
        <f>_xlfn.XLOOKUP(CALC_GAMES_BASE!W107,
  CALC_GOALIES!B:B,
  CALC_GOALIES!K:K)</f>
        <v>4.4713327207696052E-3</v>
      </c>
      <c r="J3" s="6"/>
      <c r="K3">
        <f>IF(CALC_GAMES_BASE!Z107="RS",1,1.2)</f>
        <v>1</v>
      </c>
      <c r="L3">
        <f xml:space="preserve"> CALC_GAMES_BASE!Y107</f>
        <v>0</v>
      </c>
    </row>
    <row r="4" spans="1:12" x14ac:dyDescent="0.25">
      <c r="A4" t="str">
        <f>CALC_GAMES_BASE!A108</f>
        <v>25/26</v>
      </c>
      <c r="B4" s="3">
        <f>CALC_GAMES_BASE!B108</f>
        <v>45926</v>
      </c>
      <c r="C4" s="7">
        <f>CALC_GAMES_BASE!E108</f>
        <v>1</v>
      </c>
      <c r="D4" s="6" t="str">
        <f>CALC_GAMES_BASE!N108</f>
        <v/>
      </c>
      <c r="E4" s="7">
        <f>CALC_GAMES_BASE!K108</f>
        <v>-10</v>
      </c>
      <c r="F4" s="7">
        <f t="shared" si="0"/>
        <v>0</v>
      </c>
      <c r="G4" s="6">
        <f>IF(F4=1,
  D4,
  E4*PARAMETRY!B106)</f>
        <v>0</v>
      </c>
      <c r="H4" s="6">
        <f>CALC_GAMES_BASE!Q108 - CALC_TEAMS_SEASON!F108</f>
        <v>0.5</v>
      </c>
      <c r="I4" s="6">
        <f>_xlfn.XLOOKUP(CALC_GAMES_BASE!W108,
  CALC_GOALIES!B:B,
  CALC_GOALIES!K:K)</f>
        <v>1.7617039556646619E-2</v>
      </c>
      <c r="J4" s="6"/>
      <c r="K4">
        <f>IF(CALC_GAMES_BASE!Z108="RS",1,1.2)</f>
        <v>1</v>
      </c>
      <c r="L4">
        <f xml:space="preserve"> CALC_GAMES_BASE!Y108</f>
        <v>1</v>
      </c>
    </row>
    <row r="5" spans="1:12" x14ac:dyDescent="0.25">
      <c r="A5" t="str">
        <f>CALC_GAMES_BASE!A109</f>
        <v>25/26</v>
      </c>
      <c r="B5" s="3">
        <f>CALC_GAMES_BASE!B109</f>
        <v>45926</v>
      </c>
      <c r="C5" s="7">
        <f>CALC_GAMES_BASE!E109</f>
        <v>0</v>
      </c>
      <c r="D5" s="6" t="str">
        <f>CALC_GAMES_BASE!N109</f>
        <v/>
      </c>
      <c r="E5" s="7">
        <f>CALC_GAMES_BASE!K109</f>
        <v>-4</v>
      </c>
      <c r="F5" s="7">
        <f t="shared" si="0"/>
        <v>0</v>
      </c>
      <c r="G5" s="6">
        <f>IF(F5=1,
  D5,
  E5*PARAMETRY!B107)</f>
        <v>0</v>
      </c>
      <c r="H5" s="6">
        <f>CALC_GAMES_BASE!Q109 - CALC_TEAMS_SEASON!F109</f>
        <v>0.33333333333333331</v>
      </c>
      <c r="I5" s="6">
        <f>_xlfn.XLOOKUP(CALC_GAMES_BASE!W109,
  CALC_GOALIES!B:B,
  CALC_GOALIES!K:K)</f>
        <v>1.905487900993541E-3</v>
      </c>
      <c r="J5" s="6"/>
      <c r="K5">
        <f>IF(CALC_GAMES_BASE!Z109="RS",1,1.2)</f>
        <v>1</v>
      </c>
      <c r="L5">
        <f xml:space="preserve"> CALC_GAMES_BASE!Y109</f>
        <v>1</v>
      </c>
    </row>
    <row r="6" spans="1:12" x14ac:dyDescent="0.25">
      <c r="A6" t="str">
        <f>CALC_GAMES_BASE!A110</f>
        <v>25/26</v>
      </c>
      <c r="B6" s="3">
        <f>CALC_GAMES_BASE!B110</f>
        <v>45928</v>
      </c>
      <c r="C6" s="7">
        <f>CALC_GAMES_BASE!E110</f>
        <v>0</v>
      </c>
      <c r="D6" s="6">
        <f>CALC_GAMES_BASE!N110</f>
        <v>0.8</v>
      </c>
      <c r="E6" s="7">
        <f>CALC_GAMES_BASE!K110</f>
        <v>-4</v>
      </c>
      <c r="F6" s="7">
        <f t="shared" si="0"/>
        <v>1</v>
      </c>
      <c r="G6" s="6">
        <f>IF(F6=1,
  D6,
  E6*PARAMETRY!B108)</f>
        <v>0.8</v>
      </c>
      <c r="H6" s="6">
        <f>CALC_GAMES_BASE!Q110 - CALC_TEAMS_SEASON!F110</f>
        <v>0</v>
      </c>
      <c r="I6" s="6">
        <f>_xlfn.XLOOKUP(CALC_GAMES_BASE!W110,
  CALC_GOALIES!B:B,
  CALC_GOALIES!K:K)</f>
        <v>4.5881077393388203E-3</v>
      </c>
      <c r="J6" s="6"/>
      <c r="K6">
        <f>IF(CALC_GAMES_BASE!Z110="RS",1,1.2)</f>
        <v>1</v>
      </c>
      <c r="L6">
        <f xml:space="preserve"> CALC_GAMES_BASE!Y110</f>
        <v>1</v>
      </c>
    </row>
    <row r="7" spans="1:12" x14ac:dyDescent="0.25">
      <c r="A7" t="str">
        <f>CALC_GAMES_BASE!A111</f>
        <v>25/26</v>
      </c>
      <c r="B7" s="3">
        <f>CALC_GAMES_BASE!B111</f>
        <v>45928</v>
      </c>
      <c r="C7" s="7">
        <f>CALC_GAMES_BASE!E111</f>
        <v>1</v>
      </c>
      <c r="D7" s="6">
        <f>CALC_GAMES_BASE!N111</f>
        <v>-1.2</v>
      </c>
      <c r="E7" s="7">
        <f>CALC_GAMES_BASE!K111</f>
        <v>-14</v>
      </c>
      <c r="F7" s="7">
        <f t="shared" si="0"/>
        <v>1</v>
      </c>
      <c r="G7" s="6">
        <f>IF(F7=1,
  D7,
  E7*PARAMETRY!B109)</f>
        <v>-1.2</v>
      </c>
      <c r="H7" s="6">
        <f>CALC_GAMES_BASE!Q111 - CALC_TEAMS_SEASON!F111</f>
        <v>0.33333333333333331</v>
      </c>
      <c r="I7" s="6">
        <f>_xlfn.XLOOKUP(CALC_GAMES_BASE!W111,
  CALC_GOALIES!B:B,
  CALC_GOALIES!K:K)</f>
        <v>1.3707542055988897E-2</v>
      </c>
      <c r="J7" s="6"/>
      <c r="K7">
        <f>IF(CALC_GAMES_BASE!Z111="RS",1,1.2)</f>
        <v>1</v>
      </c>
      <c r="L7">
        <f xml:space="preserve"> CALC_GAMES_BASE!Y111</f>
        <v>1</v>
      </c>
    </row>
    <row r="8" spans="1:12" x14ac:dyDescent="0.25">
      <c r="A8" t="str">
        <f>CALC_GAMES_BASE!A112</f>
        <v>25/26</v>
      </c>
      <c r="B8" s="3">
        <f>CALC_GAMES_BASE!B112</f>
        <v>45928</v>
      </c>
      <c r="C8" s="7">
        <f>CALC_GAMES_BASE!E112</f>
        <v>1</v>
      </c>
      <c r="D8" s="6">
        <f>CALC_GAMES_BASE!N112</f>
        <v>2.11</v>
      </c>
      <c r="E8" s="7">
        <f>CALC_GAMES_BASE!K112</f>
        <v>28</v>
      </c>
      <c r="F8" s="7">
        <f t="shared" si="0"/>
        <v>1</v>
      </c>
      <c r="G8" s="6">
        <f>IF(F8=1,
  D8,
  E8*PARAMETRY!B110)</f>
        <v>2.11</v>
      </c>
      <c r="H8" s="6">
        <f>CALC_GAMES_BASE!Q112 - CALC_TEAMS_SEASON!F112</f>
        <v>0.16666666666666666</v>
      </c>
      <c r="I8" s="6">
        <f>_xlfn.XLOOKUP(CALC_GAMES_BASE!W112,
  CALC_GOALIES!B:B,
  CALC_GOALIES!K:K)</f>
        <v>3.6462502125188534E-3</v>
      </c>
      <c r="J8" s="6"/>
      <c r="K8">
        <f>IF(CALC_GAMES_BASE!Z112="RS",1,1.2)</f>
        <v>1</v>
      </c>
      <c r="L8">
        <f xml:space="preserve"> CALC_GAMES_BASE!Y112</f>
        <v>0</v>
      </c>
    </row>
    <row r="9" spans="1:12" x14ac:dyDescent="0.25">
      <c r="A9" t="str">
        <f>CALC_GAMES_BASE!A113</f>
        <v>25/26</v>
      </c>
      <c r="B9" s="3">
        <f>CALC_GAMES_BASE!B113</f>
        <v>45928</v>
      </c>
      <c r="C9" s="7">
        <f>CALC_GAMES_BASE!E113</f>
        <v>1</v>
      </c>
      <c r="D9" s="6">
        <f>CALC_GAMES_BASE!N113</f>
        <v>-0.8</v>
      </c>
      <c r="E9" s="7">
        <f>CALC_GAMES_BASE!K113</f>
        <v>3</v>
      </c>
      <c r="F9" s="7">
        <f t="shared" si="0"/>
        <v>1</v>
      </c>
      <c r="G9" s="6">
        <f>IF(F9=1,
  D9,
  E9*PARAMETRY!B111)</f>
        <v>-0.8</v>
      </c>
      <c r="H9" s="6">
        <f>CALC_GAMES_BASE!Q113 - CALC_TEAMS_SEASON!F113</f>
        <v>0</v>
      </c>
      <c r="I9" s="6">
        <f>_xlfn.XLOOKUP(CALC_GAMES_BASE!W113,
  CALC_GOALIES!B:B,
  CALC_GOALIES!K:K)</f>
        <v>-1.5147095063735572E-3</v>
      </c>
      <c r="K9">
        <f>IF(CALC_GAMES_BASE!Z113="RS",1,1.2)</f>
        <v>1</v>
      </c>
      <c r="L9">
        <f xml:space="preserve"> CALC_GAMES_BASE!Y113</f>
        <v>0</v>
      </c>
    </row>
    <row r="10" spans="1:12" x14ac:dyDescent="0.25">
      <c r="A10" t="str">
        <f>CALC_GAMES_BASE!A114</f>
        <v>25/26</v>
      </c>
      <c r="B10" s="3">
        <f>CALC_GAMES_BASE!B114</f>
        <v>45928</v>
      </c>
      <c r="C10" s="7">
        <f>CALC_GAMES_BASE!E114</f>
        <v>0</v>
      </c>
      <c r="D10" s="6" t="str">
        <f>CALC_GAMES_BASE!N114</f>
        <v/>
      </c>
      <c r="E10" s="7">
        <f>CALC_GAMES_BASE!K114</f>
        <v>8</v>
      </c>
      <c r="F10" s="7">
        <f t="shared" si="0"/>
        <v>0</v>
      </c>
      <c r="G10" s="6">
        <f>IF(F10=1,
  D10,
  E10*PARAMETRY!B112)</f>
        <v>0</v>
      </c>
      <c r="H10" s="6">
        <f>CALC_GAMES_BASE!Q114 - CALC_TEAMS_SEASON!F114</f>
        <v>0.25</v>
      </c>
      <c r="I10" s="6">
        <f>_xlfn.XLOOKUP(CALC_GAMES_BASE!W114,
  CALC_GOALIES!B:B,
  CALC_GOALIES!K:K)</f>
        <v>3.9343341510811314E-3</v>
      </c>
      <c r="K10">
        <f>IF(CALC_GAMES_BASE!Z114="RS",1,1.2)</f>
        <v>1</v>
      </c>
      <c r="L10">
        <f xml:space="preserve"> CALC_GAMES_BASE!Y114</f>
        <v>1</v>
      </c>
    </row>
    <row r="11" spans="1:12" x14ac:dyDescent="0.25">
      <c r="A11" t="str">
        <f>CALC_GAMES_BASE!A115</f>
        <v>25/26</v>
      </c>
      <c r="B11" s="3">
        <f>CALC_GAMES_BASE!B115</f>
        <v>45928</v>
      </c>
      <c r="C11" s="7">
        <f>CALC_GAMES_BASE!E115</f>
        <v>0</v>
      </c>
      <c r="D11" s="6">
        <f>CALC_GAMES_BASE!N115</f>
        <v>1.2</v>
      </c>
      <c r="E11" s="7">
        <f>CALC_GAMES_BASE!K115</f>
        <v>14</v>
      </c>
      <c r="F11" s="7">
        <f t="shared" si="0"/>
        <v>1</v>
      </c>
      <c r="G11" s="6">
        <f>IF(F11=1,
  D11,
  E11*PARAMETRY!B113)</f>
        <v>1.2</v>
      </c>
      <c r="H11" s="6">
        <f>CALC_GAMES_BASE!Q115 - CALC_TEAMS_SEASON!F115</f>
        <v>0.33333333333333331</v>
      </c>
      <c r="I11" s="6">
        <f>_xlfn.XLOOKUP(CALC_GAMES_BASE!W115,
  CALC_GOALIES!B:B,
  CALC_GOALIES!K:K)</f>
        <v>1.2463190300688209E-2</v>
      </c>
      <c r="K11">
        <f>IF(CALC_GAMES_BASE!Z115="RS",1,1.2)</f>
        <v>1</v>
      </c>
      <c r="L11">
        <f xml:space="preserve"> CALC_GAMES_BASE!Y115</f>
        <v>0</v>
      </c>
    </row>
    <row r="12" spans="1:12" x14ac:dyDescent="0.25">
      <c r="A12" t="str">
        <f>CALC_GAMES_BASE!A116</f>
        <v>25/26</v>
      </c>
      <c r="B12" s="3">
        <f>CALC_GAMES_BASE!B116</f>
        <v>45928</v>
      </c>
      <c r="C12" s="7">
        <f>CALC_GAMES_BASE!E116</f>
        <v>0</v>
      </c>
      <c r="D12" s="6" t="str">
        <f>CALC_GAMES_BASE!N116</f>
        <v/>
      </c>
      <c r="E12" s="7">
        <f>CALC_GAMES_BASE!K116</f>
        <v>-4</v>
      </c>
      <c r="F12" s="7">
        <f t="shared" si="0"/>
        <v>0</v>
      </c>
      <c r="G12" s="6">
        <f>IF(F12=1,
  D12,
  E12*PARAMETRY!B114)</f>
        <v>0</v>
      </c>
      <c r="H12" s="6">
        <f>CALC_GAMES_BASE!Q116 - CALC_TEAMS_SEASON!F116</f>
        <v>0.14285714285714285</v>
      </c>
      <c r="I12" s="6">
        <f>_xlfn.XLOOKUP(CALC_GAMES_BASE!W116,
  CALC_GOALIES!B:B,
  CALC_GOALIES!K:K)</f>
        <v>1.2242809776983998E-2</v>
      </c>
      <c r="K12">
        <f>IF(CALC_GAMES_BASE!Z116="RS",1,1.2)</f>
        <v>1</v>
      </c>
      <c r="L12">
        <f xml:space="preserve"> CALC_GAMES_BASE!Y116</f>
        <v>0</v>
      </c>
    </row>
    <row r="13" spans="1:12" x14ac:dyDescent="0.25">
      <c r="A13" t="str">
        <f>CALC_GAMES_BASE!A117</f>
        <v>25/26</v>
      </c>
      <c r="B13" s="3">
        <f>CALC_GAMES_BASE!B117</f>
        <v>45928</v>
      </c>
      <c r="C13" s="7">
        <f>CALC_GAMES_BASE!E117</f>
        <v>0</v>
      </c>
      <c r="D13" s="6">
        <f>CALC_GAMES_BASE!N117</f>
        <v>-2.11</v>
      </c>
      <c r="E13" s="7">
        <f>CALC_GAMES_BASE!K117</f>
        <v>-28</v>
      </c>
      <c r="F13" s="7">
        <f t="shared" si="0"/>
        <v>1</v>
      </c>
      <c r="G13" s="6">
        <f>IF(F13=1,
  D13,
  E13*PARAMETRY!B115)</f>
        <v>-2.11</v>
      </c>
      <c r="H13" s="6">
        <f>CALC_GAMES_BASE!Q117 - CALC_TEAMS_SEASON!F117</f>
        <v>0</v>
      </c>
      <c r="I13" s="6">
        <f>_xlfn.XLOOKUP(CALC_GAMES_BASE!W117,
  CALC_GOALIES!B:B,
  CALC_GOALIES!K:K)</f>
        <v>1.2275709048813366E-2</v>
      </c>
      <c r="K13">
        <f>IF(CALC_GAMES_BASE!Z117="RS",1,1.2)</f>
        <v>1</v>
      </c>
      <c r="L13">
        <f xml:space="preserve"> CALC_GAMES_BASE!Y117</f>
        <v>1</v>
      </c>
    </row>
    <row r="14" spans="1:12" x14ac:dyDescent="0.25">
      <c r="A14" t="str">
        <f>CALC_GAMES_BASE!A118</f>
        <v>25/26</v>
      </c>
      <c r="B14" s="3">
        <f>CALC_GAMES_BASE!B118</f>
        <v>45928</v>
      </c>
      <c r="C14" s="7">
        <f>CALC_GAMES_BASE!E118</f>
        <v>1</v>
      </c>
      <c r="D14" s="6" t="str">
        <f>CALC_GAMES_BASE!N118</f>
        <v/>
      </c>
      <c r="E14" s="7">
        <f>CALC_GAMES_BASE!K118</f>
        <v>-8</v>
      </c>
      <c r="F14" s="7">
        <f t="shared" si="0"/>
        <v>0</v>
      </c>
      <c r="G14" s="6">
        <f>IF(F14=1,
  D14,
  E14*PARAMETRY!B116)</f>
        <v>0</v>
      </c>
      <c r="H14" s="6">
        <f>CALC_GAMES_BASE!Q118 - CALC_TEAMS_SEASON!F118</f>
        <v>0</v>
      </c>
      <c r="I14" s="6">
        <f>_xlfn.XLOOKUP(CALC_GAMES_BASE!W118,
  CALC_GOALIES!B:B,
  CALC_GOALIES!K:K)</f>
        <v>-8.1125178551773036E-3</v>
      </c>
      <c r="K14">
        <f>IF(CALC_GAMES_BASE!Z118="RS",1,1.2)</f>
        <v>1</v>
      </c>
      <c r="L14">
        <f xml:space="preserve"> CALC_GAMES_BASE!Y118</f>
        <v>0</v>
      </c>
    </row>
    <row r="15" spans="1:12" x14ac:dyDescent="0.25">
      <c r="A15" t="str">
        <f>CALC_GAMES_BASE!A119</f>
        <v>25/26</v>
      </c>
      <c r="B15" s="3">
        <f>CALC_GAMES_BASE!B119</f>
        <v>45928</v>
      </c>
      <c r="C15" s="7">
        <f>CALC_GAMES_BASE!E119</f>
        <v>0</v>
      </c>
      <c r="D15" s="6" t="str">
        <f>CALC_GAMES_BASE!N119</f>
        <v/>
      </c>
      <c r="E15" s="7">
        <f>CALC_GAMES_BASE!K119</f>
        <v>7</v>
      </c>
      <c r="F15" s="7">
        <f t="shared" si="0"/>
        <v>0</v>
      </c>
      <c r="G15" s="6">
        <f>IF(F15=1,
  D15,
  E15*PARAMETRY!B117)</f>
        <v>0</v>
      </c>
      <c r="H15" s="6">
        <f>CALC_GAMES_BASE!Q119 - CALC_TEAMS_SEASON!F119</f>
        <v>0</v>
      </c>
      <c r="I15" s="6">
        <f>_xlfn.XLOOKUP(CALC_GAMES_BASE!W119,
  CALC_GOALIES!B:B,
  CALC_GOALIES!K:K)</f>
        <v>-4.4670611186142795E-3</v>
      </c>
      <c r="K15">
        <f>IF(CALC_GAMES_BASE!Z119="RS",1,1.2)</f>
        <v>1</v>
      </c>
      <c r="L15">
        <f xml:space="preserve"> CALC_GAMES_BASE!Y119</f>
        <v>0</v>
      </c>
    </row>
    <row r="16" spans="1:12" x14ac:dyDescent="0.25">
      <c r="A16" t="str">
        <f>CALC_GAMES_BASE!A120</f>
        <v>25/26</v>
      </c>
      <c r="B16" s="3">
        <f>CALC_GAMES_BASE!B120</f>
        <v>45928</v>
      </c>
      <c r="C16" s="7">
        <f>CALC_GAMES_BASE!E120</f>
        <v>0</v>
      </c>
      <c r="D16" s="6" t="str">
        <f>CALC_GAMES_BASE!N120</f>
        <v/>
      </c>
      <c r="E16" s="7">
        <f>CALC_GAMES_BASE!K120</f>
        <v>21</v>
      </c>
      <c r="F16" s="7">
        <f t="shared" si="0"/>
        <v>0</v>
      </c>
      <c r="G16" s="6">
        <f>IF(F16=1,
  D16,
  E16*PARAMETRY!B118)</f>
        <v>0</v>
      </c>
      <c r="H16" s="6">
        <f>CALC_GAMES_BASE!Q120 - CALC_TEAMS_SEASON!F120</f>
        <v>0.33333333333333331</v>
      </c>
      <c r="I16" s="6">
        <f>_xlfn.XLOOKUP(CALC_GAMES_BASE!W120,
  CALC_GOALIES!B:B,
  CALC_GOALIES!K:K)</f>
        <v>2.1917994590268441E-2</v>
      </c>
      <c r="K16">
        <f>IF(CALC_GAMES_BASE!Z120="RS",1,1.2)</f>
        <v>1</v>
      </c>
      <c r="L16">
        <f xml:space="preserve"> CALC_GAMES_BASE!Y120</f>
        <v>1</v>
      </c>
    </row>
    <row r="17" spans="1:12" x14ac:dyDescent="0.25">
      <c r="A17" t="str">
        <f>CALC_GAMES_BASE!A121</f>
        <v>25/26</v>
      </c>
      <c r="B17" s="3">
        <f>CALC_GAMES_BASE!B121</f>
        <v>45928</v>
      </c>
      <c r="C17" s="7">
        <f>CALC_GAMES_BASE!E121</f>
        <v>1</v>
      </c>
      <c r="D17" s="6" t="str">
        <f>CALC_GAMES_BASE!N121</f>
        <v/>
      </c>
      <c r="E17" s="7">
        <f>CALC_GAMES_BASE!K121</f>
        <v>-7</v>
      </c>
      <c r="F17" s="7">
        <f t="shared" si="0"/>
        <v>0</v>
      </c>
      <c r="G17" s="6">
        <f>IF(F17=1,
  D17,
  E17*PARAMETRY!B119)</f>
        <v>0</v>
      </c>
      <c r="H17" s="6">
        <f>CALC_GAMES_BASE!Q121 - CALC_TEAMS_SEASON!F121</f>
        <v>0</v>
      </c>
      <c r="I17" s="6">
        <f>_xlfn.XLOOKUP(CALC_GAMES_BASE!W121,
  CALC_GOALIES!B:B,
  CALC_GOALIES!K:K)</f>
        <v>4.4713327207696052E-3</v>
      </c>
      <c r="K17">
        <f>IF(CALC_GAMES_BASE!Z121="RS",1,1.2)</f>
        <v>1</v>
      </c>
      <c r="L17">
        <f xml:space="preserve"> CALC_GAMES_BASE!Y121</f>
        <v>1</v>
      </c>
    </row>
    <row r="18" spans="1:12" x14ac:dyDescent="0.25">
      <c r="A18" t="str">
        <f>CALC_GAMES_BASE!A122</f>
        <v>25/26</v>
      </c>
      <c r="B18" s="3">
        <f>CALC_GAMES_BASE!B122</f>
        <v>45928</v>
      </c>
      <c r="C18" s="7">
        <f>CALC_GAMES_BASE!E122</f>
        <v>1</v>
      </c>
      <c r="D18" s="6" t="str">
        <f>CALC_GAMES_BASE!N122</f>
        <v/>
      </c>
      <c r="E18" s="7">
        <f>CALC_GAMES_BASE!K122</f>
        <v>4</v>
      </c>
      <c r="F18" s="7">
        <f t="shared" si="0"/>
        <v>0</v>
      </c>
      <c r="G18" s="6">
        <f>IF(F18=1,
  D18,
  E18*PARAMETRY!B120)</f>
        <v>0</v>
      </c>
      <c r="H18" s="6">
        <f>CALC_GAMES_BASE!Q122 - CALC_TEAMS_SEASON!F122</f>
        <v>0.14285714285714285</v>
      </c>
      <c r="I18" s="6">
        <f>_xlfn.XLOOKUP(CALC_GAMES_BASE!W122,
  CALC_GOALIES!B:B,
  CALC_GOALIES!K:K)</f>
        <v>1.7617039556646619E-2</v>
      </c>
      <c r="K18">
        <f>IF(CALC_GAMES_BASE!Z122="RS",1,1.2)</f>
        <v>1</v>
      </c>
      <c r="L18">
        <f xml:space="preserve"> CALC_GAMES_BASE!Y122</f>
        <v>1</v>
      </c>
    </row>
    <row r="19" spans="1:12" x14ac:dyDescent="0.25">
      <c r="A19" t="str">
        <f>CALC_GAMES_BASE!A123</f>
        <v>25/26</v>
      </c>
      <c r="B19" s="3">
        <f>CALC_GAMES_BASE!B123</f>
        <v>45928</v>
      </c>
      <c r="C19" s="7">
        <f>CALC_GAMES_BASE!E123</f>
        <v>1</v>
      </c>
      <c r="D19" s="6" t="str">
        <f>CALC_GAMES_BASE!N123</f>
        <v/>
      </c>
      <c r="E19" s="7">
        <f>CALC_GAMES_BASE!K123</f>
        <v>-21</v>
      </c>
      <c r="F19" s="7">
        <f t="shared" si="0"/>
        <v>0</v>
      </c>
      <c r="G19" s="6">
        <f>IF(F19=1,
  D19,
  E19*PARAMETRY!B121)</f>
        <v>0</v>
      </c>
      <c r="H19" s="6">
        <f>CALC_GAMES_BASE!Q123 - CALC_TEAMS_SEASON!F123</f>
        <v>0</v>
      </c>
      <c r="I19" s="6">
        <f>_xlfn.XLOOKUP(CALC_GAMES_BASE!W123,
  CALC_GOALIES!B:B,
  CALC_GOALIES!K:K)</f>
        <v>-4.0156231301455403E-2</v>
      </c>
      <c r="K19">
        <f>IF(CALC_GAMES_BASE!Z123="RS",1,1.2)</f>
        <v>1</v>
      </c>
      <c r="L19">
        <f xml:space="preserve"> CALC_GAMES_BASE!Y123</f>
        <v>0</v>
      </c>
    </row>
    <row r="20" spans="1:12" x14ac:dyDescent="0.25">
      <c r="A20" t="str">
        <f>CALC_GAMES_BASE!A124</f>
        <v>25/26</v>
      </c>
      <c r="B20" s="3">
        <f>CALC_GAMES_BASE!B124</f>
        <v>45930</v>
      </c>
      <c r="C20" s="7">
        <f>CALC_GAMES_BASE!E124</f>
        <v>1</v>
      </c>
      <c r="D20" s="6">
        <f>CALC_GAMES_BASE!N124</f>
        <v>2.1800000000000002</v>
      </c>
      <c r="E20" s="7">
        <f>CALC_GAMES_BASE!K124</f>
        <v>23</v>
      </c>
      <c r="F20" s="7">
        <f t="shared" si="0"/>
        <v>1</v>
      </c>
      <c r="G20" s="6">
        <f>IF(F20=1,
  D20,
  E20*PARAMETRY!B122)</f>
        <v>2.1800000000000002</v>
      </c>
      <c r="H20" s="6">
        <f>CALC_GAMES_BASE!Q124 - CALC_TEAMS_SEASON!F124</f>
        <v>0.25</v>
      </c>
      <c r="I20" s="6">
        <f>_xlfn.XLOOKUP(CALC_GAMES_BASE!W124,
  CALC_GOALIES!B:B,
  CALC_GOALIES!K:K)</f>
        <v>-2.4829341344873024E-3</v>
      </c>
      <c r="K20">
        <f>IF(CALC_GAMES_BASE!Z124="RS",1,1.2)</f>
        <v>1</v>
      </c>
      <c r="L20">
        <f xml:space="preserve"> CALC_GAMES_BASE!Y124</f>
        <v>1</v>
      </c>
    </row>
    <row r="21" spans="1:12" x14ac:dyDescent="0.25">
      <c r="A21" t="str">
        <f>CALC_GAMES_BASE!A125</f>
        <v>25/26</v>
      </c>
      <c r="B21" s="3">
        <f>CALC_GAMES_BASE!B125</f>
        <v>45930</v>
      </c>
      <c r="C21" s="7">
        <f>CALC_GAMES_BASE!E125</f>
        <v>1</v>
      </c>
      <c r="D21" s="6">
        <f>CALC_GAMES_BASE!N125</f>
        <v>0.65999999999999992</v>
      </c>
      <c r="E21" s="7">
        <f>CALC_GAMES_BASE!K125</f>
        <v>-3</v>
      </c>
      <c r="F21" s="7">
        <f t="shared" si="0"/>
        <v>1</v>
      </c>
      <c r="G21" s="6">
        <f>IF(F21=1,
  D21,
  E21*PARAMETRY!B123)</f>
        <v>0.65999999999999992</v>
      </c>
      <c r="H21" s="6">
        <f>CALC_GAMES_BASE!Q125 - CALC_TEAMS_SEASON!F125</f>
        <v>0</v>
      </c>
      <c r="I21" s="6">
        <f>_xlfn.XLOOKUP(CALC_GAMES_BASE!W125,
  CALC_GOALIES!B:B,
  CALC_GOALIES!K:K)</f>
        <v>1.3707542055988897E-2</v>
      </c>
      <c r="K21">
        <f>IF(CALC_GAMES_BASE!Z125="RS",1,1.2)</f>
        <v>1</v>
      </c>
      <c r="L21">
        <f xml:space="preserve"> CALC_GAMES_BASE!Y125</f>
        <v>1</v>
      </c>
    </row>
    <row r="22" spans="1:12" x14ac:dyDescent="0.25">
      <c r="A22" t="str">
        <f>CALC_GAMES_BASE!A126</f>
        <v>25/26</v>
      </c>
      <c r="B22" s="3">
        <f>CALC_GAMES_BASE!B126</f>
        <v>45930</v>
      </c>
      <c r="C22" s="7">
        <f>CALC_GAMES_BASE!E126</f>
        <v>1</v>
      </c>
      <c r="D22" s="6">
        <f>CALC_GAMES_BASE!N126</f>
        <v>-0.2799999999999998</v>
      </c>
      <c r="E22" s="7">
        <f>CALC_GAMES_BASE!K126</f>
        <v>7</v>
      </c>
      <c r="F22" s="7">
        <f t="shared" si="0"/>
        <v>1</v>
      </c>
      <c r="G22" s="6">
        <f>IF(F22=1,
  D22,
  E22*PARAMETRY!B124)</f>
        <v>-0.2799999999999998</v>
      </c>
      <c r="H22" s="6">
        <f>CALC_GAMES_BASE!Q126 - CALC_TEAMS_SEASON!F126</f>
        <v>0</v>
      </c>
      <c r="I22" s="6">
        <f>_xlfn.XLOOKUP(CALC_GAMES_BASE!W126,
  CALC_GOALIES!B:B,
  CALC_GOALIES!K:K)</f>
        <v>3.6462502125188534E-3</v>
      </c>
      <c r="K22">
        <f>IF(CALC_GAMES_BASE!Z126="RS",1,1.2)</f>
        <v>1</v>
      </c>
      <c r="L22">
        <f xml:space="preserve"> CALC_GAMES_BASE!Y126</f>
        <v>0</v>
      </c>
    </row>
    <row r="23" spans="1:12" x14ac:dyDescent="0.25">
      <c r="A23" t="str">
        <f>CALC_GAMES_BASE!A127</f>
        <v>25/26</v>
      </c>
      <c r="B23" s="3">
        <f>CALC_GAMES_BASE!B127</f>
        <v>45930</v>
      </c>
      <c r="C23" s="7">
        <f>CALC_GAMES_BASE!E127</f>
        <v>0</v>
      </c>
      <c r="D23" s="6">
        <f>CALC_GAMES_BASE!N127</f>
        <v>-0.65999999999999992</v>
      </c>
      <c r="E23" s="7">
        <f>CALC_GAMES_BASE!K127</f>
        <v>3</v>
      </c>
      <c r="F23" s="7">
        <f t="shared" si="0"/>
        <v>1</v>
      </c>
      <c r="G23" s="6">
        <f>IF(F23=1,
  D23,
  E23*PARAMETRY!B125)</f>
        <v>-0.65999999999999992</v>
      </c>
      <c r="H23" s="6">
        <f>CALC_GAMES_BASE!Q127 - CALC_TEAMS_SEASON!F127</f>
        <v>0</v>
      </c>
      <c r="I23" s="6">
        <f>_xlfn.XLOOKUP(CALC_GAMES_BASE!W127,
  CALC_GOALIES!B:B,
  CALC_GOALIES!K:K)</f>
        <v>-1.5147095063735572E-3</v>
      </c>
      <c r="K23">
        <f>IF(CALC_GAMES_BASE!Z127="RS",1,1.2)</f>
        <v>1</v>
      </c>
      <c r="L23">
        <f xml:space="preserve"> CALC_GAMES_BASE!Y127</f>
        <v>0</v>
      </c>
    </row>
    <row r="24" spans="1:12" x14ac:dyDescent="0.25">
      <c r="A24" t="str">
        <f>CALC_GAMES_BASE!A128</f>
        <v>25/26</v>
      </c>
      <c r="B24" s="3">
        <f>CALC_GAMES_BASE!B128</f>
        <v>45930</v>
      </c>
      <c r="C24" s="7">
        <f>CALC_GAMES_BASE!E128</f>
        <v>1</v>
      </c>
      <c r="D24" s="6" t="str">
        <f>CALC_GAMES_BASE!N128</f>
        <v/>
      </c>
      <c r="E24" s="7">
        <f>CALC_GAMES_BASE!K128</f>
        <v>1</v>
      </c>
      <c r="F24" s="7">
        <f t="shared" si="0"/>
        <v>0</v>
      </c>
      <c r="G24" s="6">
        <f>IF(F24=1,
  D24,
  E24*PARAMETRY!B126)</f>
        <v>0</v>
      </c>
      <c r="H24" s="6">
        <f>CALC_GAMES_BASE!Q128 - CALC_TEAMS_SEASON!F128</f>
        <v>0</v>
      </c>
      <c r="I24" s="6">
        <f>_xlfn.XLOOKUP(CALC_GAMES_BASE!W128,
  CALC_GOALIES!B:B,
  CALC_GOALIES!K:K)</f>
        <v>3.9343341510811314E-3</v>
      </c>
      <c r="K24">
        <f>IF(CALC_GAMES_BASE!Z128="RS",1,1.2)</f>
        <v>1</v>
      </c>
      <c r="L24">
        <f xml:space="preserve"> CALC_GAMES_BASE!Y128</f>
        <v>1</v>
      </c>
    </row>
    <row r="25" spans="1:12" x14ac:dyDescent="0.25">
      <c r="A25" t="str">
        <f>CALC_GAMES_BASE!A129</f>
        <v>25/26</v>
      </c>
      <c r="B25" s="3">
        <f>CALC_GAMES_BASE!B129</f>
        <v>45930</v>
      </c>
      <c r="C25" s="7">
        <f>CALC_GAMES_BASE!E129</f>
        <v>1</v>
      </c>
      <c r="D25" s="6" t="str">
        <f>CALC_GAMES_BASE!N129</f>
        <v/>
      </c>
      <c r="E25" s="7">
        <f>CALC_GAMES_BASE!K129</f>
        <v>4</v>
      </c>
      <c r="F25" s="7">
        <f t="shared" si="0"/>
        <v>0</v>
      </c>
      <c r="G25" s="6">
        <f>IF(F25=1,
  D25,
  E25*PARAMETRY!B127)</f>
        <v>0</v>
      </c>
      <c r="H25" s="6">
        <f>CALC_GAMES_BASE!Q129 - CALC_TEAMS_SEASON!F129</f>
        <v>0</v>
      </c>
      <c r="I25" s="6">
        <f>_xlfn.XLOOKUP(CALC_GAMES_BASE!W129,
  CALC_GOALIES!B:B,
  CALC_GOALIES!K:K)</f>
        <v>1.2463190300688209E-2</v>
      </c>
      <c r="K25">
        <f>IF(CALC_GAMES_BASE!Z129="RS",1,1.2)</f>
        <v>1</v>
      </c>
      <c r="L25">
        <f xml:space="preserve"> CALC_GAMES_BASE!Y129</f>
        <v>0</v>
      </c>
    </row>
    <row r="26" spans="1:12" x14ac:dyDescent="0.25">
      <c r="A26" t="str">
        <f>CALC_GAMES_BASE!A130</f>
        <v>25/26</v>
      </c>
      <c r="B26" s="3">
        <f>CALC_GAMES_BASE!B130</f>
        <v>45930</v>
      </c>
      <c r="C26" s="7">
        <f>CALC_GAMES_BASE!E130</f>
        <v>0</v>
      </c>
      <c r="D26" s="6" t="str">
        <f>CALC_GAMES_BASE!N130</f>
        <v/>
      </c>
      <c r="E26" s="7">
        <f>CALC_GAMES_BASE!K130</f>
        <v>-4</v>
      </c>
      <c r="F26" s="7">
        <f t="shared" si="0"/>
        <v>0</v>
      </c>
      <c r="G26" s="6">
        <f>IF(F26=1,
  D26,
  E26*PARAMETRY!B128)</f>
        <v>0</v>
      </c>
      <c r="H26" s="6">
        <f>CALC_GAMES_BASE!Q130 - CALC_TEAMS_SEASON!F130</f>
        <v>0</v>
      </c>
      <c r="I26" s="6">
        <f>_xlfn.XLOOKUP(CALC_GAMES_BASE!W130,
  CALC_GOALIES!B:B,
  CALC_GOALIES!K:K)</f>
        <v>1.2242809776983998E-2</v>
      </c>
      <c r="K26">
        <f>IF(CALC_GAMES_BASE!Z130="RS",1,1.2)</f>
        <v>1</v>
      </c>
      <c r="L26">
        <f xml:space="preserve"> CALC_GAMES_BASE!Y130</f>
        <v>1</v>
      </c>
    </row>
    <row r="27" spans="1:12" x14ac:dyDescent="0.25">
      <c r="A27" t="str">
        <f>CALC_GAMES_BASE!A131</f>
        <v>25/26</v>
      </c>
      <c r="B27" s="3">
        <f>CALC_GAMES_BASE!B131</f>
        <v>45930</v>
      </c>
      <c r="C27" s="7">
        <f>CALC_GAMES_BASE!E131</f>
        <v>1</v>
      </c>
      <c r="D27" s="6" t="str">
        <f>CALC_GAMES_BASE!N131</f>
        <v/>
      </c>
      <c r="E27" s="7">
        <f>CALC_GAMES_BASE!K131</f>
        <v>10</v>
      </c>
      <c r="F27" s="7">
        <f t="shared" ref="F27:F32" si="1">IF(D27&lt;&gt;"",1,0)</f>
        <v>0</v>
      </c>
      <c r="G27" s="6">
        <f>IF(F27=1,
  D27,
  E27*PARAMETRY!B129)</f>
        <v>0</v>
      </c>
      <c r="H27" s="6">
        <f>CALC_GAMES_BASE!Q131 - CALC_TEAMS_SEASON!F131</f>
        <v>0</v>
      </c>
      <c r="I27" s="6">
        <f>_xlfn.XLOOKUP(CALC_GAMES_BASE!W131,
  CALC_GOALIES!B:B,
  CALC_GOALIES!K:K)</f>
        <v>1.2275709048813366E-2</v>
      </c>
      <c r="K27">
        <f>IF(CALC_GAMES_BASE!Z131="RS",1,1.2)</f>
        <v>1</v>
      </c>
      <c r="L27">
        <f xml:space="preserve"> CALC_GAMES_BASE!Y131</f>
        <v>0</v>
      </c>
    </row>
    <row r="28" spans="1:12" x14ac:dyDescent="0.25">
      <c r="A28" t="str">
        <f>CALC_GAMES_BASE!A132</f>
        <v>25/26</v>
      </c>
      <c r="B28" s="3">
        <f>CALC_GAMES_BASE!B132</f>
        <v>45930</v>
      </c>
      <c r="C28" s="7">
        <f>CALC_GAMES_BASE!E132</f>
        <v>0</v>
      </c>
      <c r="D28" s="6">
        <f>CALC_GAMES_BASE!N132</f>
        <v>-2.1800000000000002</v>
      </c>
      <c r="E28" s="7">
        <f>CALC_GAMES_BASE!K132</f>
        <v>-23</v>
      </c>
      <c r="F28" s="7">
        <f t="shared" si="1"/>
        <v>1</v>
      </c>
      <c r="G28" s="6">
        <f>IF(F28=1,
  D28,
  E28*PARAMETRY!B130)</f>
        <v>-2.1800000000000002</v>
      </c>
      <c r="H28" s="6">
        <f>CALC_GAMES_BASE!Q132 - CALC_TEAMS_SEASON!F132</f>
        <v>0</v>
      </c>
      <c r="I28" s="6">
        <f>_xlfn.XLOOKUP(CALC_GAMES_BASE!W132,
  CALC_GOALIES!B:B,
  CALC_GOALIES!K:K)</f>
        <v>-4.9010888963920696E-3</v>
      </c>
      <c r="K28">
        <f>IF(CALC_GAMES_BASE!Z132="RS",1,1.2)</f>
        <v>1</v>
      </c>
      <c r="L28">
        <f xml:space="preserve"> CALC_GAMES_BASE!Y132</f>
        <v>0</v>
      </c>
    </row>
    <row r="29" spans="1:12" x14ac:dyDescent="0.25">
      <c r="A29" t="str">
        <f>CALC_GAMES_BASE!A133</f>
        <v>25/26</v>
      </c>
      <c r="B29" s="3">
        <f>CALC_GAMES_BASE!B133</f>
        <v>45930</v>
      </c>
      <c r="C29" s="7">
        <f>CALC_GAMES_BASE!E133</f>
        <v>0</v>
      </c>
      <c r="D29" s="6" t="str">
        <f>CALC_GAMES_BASE!N133</f>
        <v/>
      </c>
      <c r="E29" s="7">
        <f>CALC_GAMES_BASE!K133</f>
        <v>-10</v>
      </c>
      <c r="F29" s="7">
        <f t="shared" si="1"/>
        <v>0</v>
      </c>
      <c r="G29" s="6">
        <f>IF(F29=1,
  D29,
  E29*PARAMETRY!B131)</f>
        <v>0</v>
      </c>
      <c r="H29" s="6">
        <f>CALC_GAMES_BASE!Q133 - CALC_TEAMS_SEASON!F133</f>
        <v>0</v>
      </c>
      <c r="I29" s="6">
        <f>_xlfn.XLOOKUP(CALC_GAMES_BASE!W133,
  CALC_GOALIES!B:B,
  CALC_GOALIES!K:K)</f>
        <v>-4.4670611186142795E-3</v>
      </c>
      <c r="K29">
        <f>IF(CALC_GAMES_BASE!Z133="RS",1,1.2)</f>
        <v>1</v>
      </c>
      <c r="L29">
        <f xml:space="preserve"> CALC_GAMES_BASE!Y133</f>
        <v>1</v>
      </c>
    </row>
    <row r="30" spans="1:12" x14ac:dyDescent="0.25">
      <c r="A30" t="str">
        <f>CALC_GAMES_BASE!A134</f>
        <v>25/26</v>
      </c>
      <c r="B30" s="3">
        <f>CALC_GAMES_BASE!B134</f>
        <v>45930</v>
      </c>
      <c r="C30" s="7">
        <f>CALC_GAMES_BASE!E134</f>
        <v>1</v>
      </c>
      <c r="D30" s="6" t="str">
        <f>CALC_GAMES_BASE!N134</f>
        <v/>
      </c>
      <c r="E30" s="7">
        <f>CALC_GAMES_BASE!K134</f>
        <v>11</v>
      </c>
      <c r="F30" s="7">
        <f t="shared" si="1"/>
        <v>0</v>
      </c>
      <c r="G30" s="6">
        <f>IF(F30=1,
  D30,
  E30*PARAMETRY!B132)</f>
        <v>0</v>
      </c>
      <c r="H30" s="6">
        <f>CALC_GAMES_BASE!Q134 - CALC_TEAMS_SEASON!F134</f>
        <v>0</v>
      </c>
      <c r="I30" s="6">
        <f>_xlfn.XLOOKUP(CALC_GAMES_BASE!W134,
  CALC_GOALIES!B:B,
  CALC_GOALIES!K:K)</f>
        <v>2.1917994590268441E-2</v>
      </c>
      <c r="K30">
        <f>IF(CALC_GAMES_BASE!Z134="RS",1,1.2)</f>
        <v>1</v>
      </c>
      <c r="L30">
        <f xml:space="preserve"> CALC_GAMES_BASE!Y134</f>
        <v>0</v>
      </c>
    </row>
    <row r="31" spans="1:12" x14ac:dyDescent="0.25">
      <c r="A31" t="str">
        <f>CALC_GAMES_BASE!A135</f>
        <v>25/26</v>
      </c>
      <c r="B31" s="3">
        <f>CALC_GAMES_BASE!B135</f>
        <v>45930</v>
      </c>
      <c r="C31" s="7">
        <f>CALC_GAMES_BASE!E135</f>
        <v>0</v>
      </c>
      <c r="D31" s="6" t="str">
        <f>CALC_GAMES_BASE!N135</f>
        <v/>
      </c>
      <c r="E31" s="7">
        <f>CALC_GAMES_BASE!K135</f>
        <v>-11</v>
      </c>
      <c r="F31" s="7">
        <f t="shared" si="1"/>
        <v>0</v>
      </c>
      <c r="G31" s="6">
        <f>IF(F31=1,
  D31,
  E31*PARAMETRY!B133)</f>
        <v>0</v>
      </c>
      <c r="H31" s="6">
        <f>CALC_GAMES_BASE!Q135 - CALC_TEAMS_SEASON!F135</f>
        <v>0</v>
      </c>
      <c r="I31" s="6">
        <f>_xlfn.XLOOKUP(CALC_GAMES_BASE!W135,
  CALC_GOALIES!B:B,
  CALC_GOALIES!K:K)</f>
        <v>4.4713327207696052E-3</v>
      </c>
      <c r="K31">
        <f>IF(CALC_GAMES_BASE!Z135="RS",1,1.2)</f>
        <v>1</v>
      </c>
      <c r="L31">
        <f xml:space="preserve"> CALC_GAMES_BASE!Y135</f>
        <v>1</v>
      </c>
    </row>
    <row r="32" spans="1:12" x14ac:dyDescent="0.25">
      <c r="A32" t="str">
        <f>CALC_GAMES_BASE!A136</f>
        <v>25/26</v>
      </c>
      <c r="B32" s="3">
        <f>CALC_GAMES_BASE!B136</f>
        <v>45930</v>
      </c>
      <c r="C32" s="7">
        <f>CALC_GAMES_BASE!E136</f>
        <v>0</v>
      </c>
      <c r="D32" s="6">
        <f>CALC_GAMES_BASE!N136</f>
        <v>0.2799999999999998</v>
      </c>
      <c r="E32" s="7">
        <f>CALC_GAMES_BASE!K136</f>
        <v>-7</v>
      </c>
      <c r="F32" s="7">
        <f t="shared" si="1"/>
        <v>1</v>
      </c>
      <c r="G32" s="6">
        <f>IF(F32=1,
  D32,
  E32*PARAMETRY!B134)</f>
        <v>0.2799999999999998</v>
      </c>
      <c r="H32" s="6">
        <f>CALC_GAMES_BASE!Q136 - CALC_TEAMS_SEASON!F136</f>
        <v>0</v>
      </c>
      <c r="I32" s="6">
        <f>_xlfn.XLOOKUP(CALC_GAMES_BASE!W136,
  CALC_GOALIES!B:B,
  CALC_GOALIES!K:K)</f>
        <v>-1.4856765927271365E-3</v>
      </c>
      <c r="K32">
        <f>IF(CALC_GAMES_BASE!Z136="RS",1,1.2)</f>
        <v>1</v>
      </c>
      <c r="L32">
        <f xml:space="preserve"> CALC_GAMES_BASE!Y136</f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15DD-687D-439C-9FDB-8EF9CC3CECDF}">
  <sheetPr>
    <tabColor rgb="FF7030A0"/>
  </sheetPr>
  <dimension ref="A1:N734"/>
  <sheetViews>
    <sheetView tabSelected="1" topLeftCell="A715" workbookViewId="0">
      <selection activeCell="J742" sqref="J742"/>
    </sheetView>
  </sheetViews>
  <sheetFormatPr defaultRowHeight="15" x14ac:dyDescent="0.25"/>
  <cols>
    <col min="1" max="5" width="9.85546875" customWidth="1"/>
    <col min="6" max="6" width="10.7109375" bestFit="1" customWidth="1"/>
    <col min="7" max="9" width="10.7109375" customWidth="1"/>
    <col min="10" max="10" width="18.28515625" bestFit="1" customWidth="1"/>
    <col min="11" max="11" width="12.7109375" bestFit="1" customWidth="1"/>
    <col min="12" max="12" width="14" bestFit="1" customWidth="1"/>
    <col min="13" max="13" width="13.140625" bestFit="1" customWidth="1"/>
    <col min="14" max="14" width="4.42578125" bestFit="1" customWidth="1"/>
  </cols>
  <sheetData>
    <row r="1" spans="1:14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71</v>
      </c>
      <c r="G1" t="s">
        <v>56</v>
      </c>
      <c r="H1" t="s">
        <v>96</v>
      </c>
      <c r="I1" t="s">
        <v>97</v>
      </c>
      <c r="J1" t="s">
        <v>72</v>
      </c>
      <c r="K1" t="s">
        <v>48</v>
      </c>
      <c r="L1" t="s">
        <v>53</v>
      </c>
      <c r="M1" t="s">
        <v>122</v>
      </c>
      <c r="N1" t="s">
        <v>54</v>
      </c>
    </row>
    <row r="2" spans="1:14" x14ac:dyDescent="0.25">
      <c r="A2" t="str">
        <f>CALC_GAMES_BASE!A2</f>
        <v>25/26</v>
      </c>
      <c r="B2" s="3">
        <f>CALC_GAMES_BASE!B2</f>
        <v>45909</v>
      </c>
      <c r="C2" s="3" t="str">
        <f>CALC_GAMES_BASE!C2</f>
        <v>SPA</v>
      </c>
      <c r="D2" s="3" t="str">
        <f>CALC_GAMES_BASE!D2</f>
        <v>CEB</v>
      </c>
      <c r="E2" s="7">
        <f>CALC_GAMES_BASE!E2</f>
        <v>0</v>
      </c>
      <c r="F2" s="6">
        <f>CALC_GAMES_BASE!N2</f>
        <v>0.60999999999999988</v>
      </c>
      <c r="G2" s="7">
        <f>CALC_GAMES_BASE!K2</f>
        <v>-2</v>
      </c>
      <c r="H2" s="7">
        <f>IF(F2&lt;&gt;"",1,0)</f>
        <v>1</v>
      </c>
      <c r="I2" s="6">
        <f>IF(H2=1,
  F2,
  G2*PARAMETRY!$B$11)</f>
        <v>0.60999999999999988</v>
      </c>
      <c r="J2" s="6">
        <f>CALC_GAMES_BASE!U2-CALC_GAMES_BASE!V2</f>
        <v>9.0390859140859176E-2</v>
      </c>
      <c r="K2" s="6">
        <f>_xlfn.XLOOKUP(CALC_GAMES_BASE!W2,
  CALC_GOALIES!B:B,
  CALC_GOALIES!K:K)</f>
        <v>-1.0634669404866681E-2</v>
      </c>
      <c r="L2" s="6">
        <f>_xlfn.XLOOKUP(C2,CALC_TEAMS_SEASON!B:B,CALC_TEAMS_SEASON!L:L)</f>
        <v>6.4376750700279955E-2</v>
      </c>
      <c r="M2">
        <f>IF(CALC_GAMES_BASE!Z2="RS",1,1.2)</f>
        <v>1</v>
      </c>
      <c r="N2">
        <f xml:space="preserve"> CALC_GAMES_BASE!Y2</f>
        <v>1</v>
      </c>
    </row>
    <row r="3" spans="1:14" x14ac:dyDescent="0.25">
      <c r="A3" t="str">
        <f>CALC_GAMES_BASE!A3</f>
        <v>25/26</v>
      </c>
      <c r="B3" s="3">
        <f>CALC_GAMES_BASE!B3</f>
        <v>45909</v>
      </c>
      <c r="C3" s="3" t="str">
        <f>CALC_GAMES_BASE!C3</f>
        <v>CEB</v>
      </c>
      <c r="D3" s="3" t="str">
        <f>CALC_GAMES_BASE!D3</f>
        <v>SPA</v>
      </c>
      <c r="E3" s="7">
        <f>CALC_GAMES_BASE!E3</f>
        <v>1</v>
      </c>
      <c r="F3" s="6">
        <f>CALC_GAMES_BASE!N3</f>
        <v>-0.60999999999999988</v>
      </c>
      <c r="G3" s="7">
        <f>CALC_GAMES_BASE!K3</f>
        <v>2</v>
      </c>
      <c r="H3" s="7">
        <f t="shared" ref="H3:H66" si="0">IF(F3&lt;&gt;"",1,0)</f>
        <v>1</v>
      </c>
      <c r="I3" s="6">
        <f>IF(H3=1,
  F3,
  G3*PARAMETRY!$B$11)</f>
        <v>-0.60999999999999988</v>
      </c>
      <c r="J3" s="6">
        <f>CALC_GAMES_BASE!U3-CALC_GAMES_BASE!V3</f>
        <v>-9.0390859140859176E-2</v>
      </c>
      <c r="K3" s="6">
        <f>_xlfn.XLOOKUP(CALC_GAMES_BASE!W3,
  CALC_GOALIES!B:B,
  CALC_GOALIES!K:K)</f>
        <v>-1.372632037787358E-2</v>
      </c>
      <c r="L3" s="6">
        <f>_xlfn.XLOOKUP(C3,CALC_TEAMS_SEASON!B:B,CALC_TEAMS_SEASON!L:L)</f>
        <v>-0.24978011204481798</v>
      </c>
      <c r="M3">
        <f>IF(CALC_GAMES_BASE!Z3="RS",1,1.2)</f>
        <v>1</v>
      </c>
      <c r="N3">
        <f xml:space="preserve"> CALC_GAMES_BASE!Y3</f>
        <v>0</v>
      </c>
    </row>
    <row r="4" spans="1:14" x14ac:dyDescent="0.25">
      <c r="A4" t="str">
        <f>CALC_GAMES_BASE!A4</f>
        <v>25/26</v>
      </c>
      <c r="B4" s="3">
        <f>CALC_GAMES_BASE!B4</f>
        <v>45910</v>
      </c>
      <c r="C4" s="3" t="str">
        <f>CALC_GAMES_BASE!C4</f>
        <v>PCE</v>
      </c>
      <c r="D4" s="3" t="str">
        <f>CALC_GAMES_BASE!D4</f>
        <v>MHK</v>
      </c>
      <c r="E4" s="7">
        <f>CALC_GAMES_BASE!E4</f>
        <v>1</v>
      </c>
      <c r="F4" s="6" t="str">
        <f>CALC_GAMES_BASE!N4</f>
        <v/>
      </c>
      <c r="G4" s="7">
        <f>CALC_GAMES_BASE!K4</f>
        <v>-4</v>
      </c>
      <c r="H4" s="7">
        <f t="shared" si="0"/>
        <v>0</v>
      </c>
      <c r="I4" s="6">
        <f>IF(H4=1,
  F4,
  G4*PARAMETRY!$B$11)</f>
        <v>-0.2</v>
      </c>
      <c r="J4" s="6">
        <f>CALC_GAMES_BASE!U4-CALC_GAMES_BASE!V4</f>
        <v>6.1126373626373659E-2</v>
      </c>
      <c r="K4" s="6">
        <f>_xlfn.XLOOKUP(CALC_GAMES_BASE!W4,
  CALC_GOALIES!B:B,
  CALC_GOALIES!K:K)</f>
        <v>4.5881077393388203E-3</v>
      </c>
      <c r="L4" s="6">
        <f>_xlfn.XLOOKUP(C4,CALC_TEAMS_SEASON!B:B,CALC_TEAMS_SEASON!L:L)</f>
        <v>0.62437675070027965</v>
      </c>
      <c r="M4">
        <f>IF(CALC_GAMES_BASE!Z4="RS",1,1.2)</f>
        <v>1</v>
      </c>
      <c r="N4">
        <f xml:space="preserve"> CALC_GAMES_BASE!Y4</f>
        <v>1</v>
      </c>
    </row>
    <row r="5" spans="1:14" x14ac:dyDescent="0.25">
      <c r="A5" t="str">
        <f>CALC_GAMES_BASE!A5</f>
        <v>25/26</v>
      </c>
      <c r="B5" s="3">
        <f>CALC_GAMES_BASE!B5</f>
        <v>45910</v>
      </c>
      <c r="C5" s="3" t="str">
        <f>CALC_GAMES_BASE!C5</f>
        <v>TRI</v>
      </c>
      <c r="D5" s="3" t="str">
        <f>CALC_GAMES_BASE!D5</f>
        <v>OLO</v>
      </c>
      <c r="E5" s="7">
        <f>CALC_GAMES_BASE!E5</f>
        <v>1</v>
      </c>
      <c r="F5" s="6">
        <f>CALC_GAMES_BASE!N5</f>
        <v>-0.5</v>
      </c>
      <c r="G5" s="7">
        <f>CALC_GAMES_BASE!K5</f>
        <v>8</v>
      </c>
      <c r="H5" s="7">
        <f t="shared" si="0"/>
        <v>1</v>
      </c>
      <c r="I5" s="6">
        <f>IF(H5=1,
  F5,
  G5*PARAMETRY!$B$11)</f>
        <v>-0.5</v>
      </c>
      <c r="J5" s="6">
        <f>CALC_GAMES_BASE!U5-CALC_GAMES_BASE!V5</f>
        <v>2.4481074481074505E-2</v>
      </c>
      <c r="K5" s="6">
        <f>_xlfn.XLOOKUP(CALC_GAMES_BASE!W5,
  CALC_GOALIES!B:B,
  CALC_GOALIES!K:K)</f>
        <v>-1.9657016882340561E-2</v>
      </c>
      <c r="L5" s="6">
        <f>_xlfn.XLOOKUP(C5,CALC_TEAMS_SEASON!B:B,CALC_TEAMS_SEASON!L:L)</f>
        <v>0.10805322128851533</v>
      </c>
      <c r="M5">
        <f>IF(CALC_GAMES_BASE!Z5="RS",1,1.2)</f>
        <v>1</v>
      </c>
      <c r="N5">
        <f xml:space="preserve"> CALC_GAMES_BASE!Y5</f>
        <v>1</v>
      </c>
    </row>
    <row r="6" spans="1:14" x14ac:dyDescent="0.25">
      <c r="A6" t="str">
        <f>CALC_GAMES_BASE!A6</f>
        <v>25/26</v>
      </c>
      <c r="B6" s="3">
        <f>CALC_GAMES_BASE!B6</f>
        <v>45910</v>
      </c>
      <c r="C6" s="3" t="str">
        <f>CALC_GAMES_BASE!C6</f>
        <v>KOM</v>
      </c>
      <c r="D6" s="3" t="str">
        <f>CALC_GAMES_BASE!D6</f>
        <v>LIT</v>
      </c>
      <c r="E6" s="7">
        <f>CALC_GAMES_BASE!E6</f>
        <v>1</v>
      </c>
      <c r="F6" s="6" t="str">
        <f>CALC_GAMES_BASE!N6</f>
        <v/>
      </c>
      <c r="G6" s="7">
        <f>CALC_GAMES_BASE!K6</f>
        <v>14</v>
      </c>
      <c r="H6" s="7">
        <f t="shared" si="0"/>
        <v>0</v>
      </c>
      <c r="I6" s="6">
        <f>IF(H6=1,
  F6,
  G6*PARAMETRY!$B$11)</f>
        <v>0.70000000000000007</v>
      </c>
      <c r="J6" s="6">
        <f>CALC_GAMES_BASE!U6-CALC_GAMES_BASE!V6</f>
        <v>4.2696886446886448E-2</v>
      </c>
      <c r="K6" s="6">
        <f>_xlfn.XLOOKUP(CALC_GAMES_BASE!W6,
  CALC_GOALIES!B:B,
  CALC_GOALIES!K:K)</f>
        <v>-1.5147095063735572E-3</v>
      </c>
      <c r="L6" s="6">
        <f>_xlfn.XLOOKUP(C6,CALC_TEAMS_SEASON!B:B,CALC_TEAMS_SEASON!L:L)</f>
        <v>-0.37268207282913179</v>
      </c>
      <c r="M6">
        <f>IF(CALC_GAMES_BASE!Z6="RS",1,1.2)</f>
        <v>1</v>
      </c>
      <c r="N6">
        <f xml:space="preserve"> CALC_GAMES_BASE!Y6</f>
        <v>1</v>
      </c>
    </row>
    <row r="7" spans="1:14" x14ac:dyDescent="0.25">
      <c r="A7" t="str">
        <f>CALC_GAMES_BASE!A7</f>
        <v>25/26</v>
      </c>
      <c r="B7" s="3">
        <f>CALC_GAMES_BASE!B7</f>
        <v>45910</v>
      </c>
      <c r="C7" s="3" t="str">
        <f>CALC_GAMES_BASE!C7</f>
        <v>KLA</v>
      </c>
      <c r="D7" s="3" t="str">
        <f>CALC_GAMES_BASE!D7</f>
        <v>MBL</v>
      </c>
      <c r="E7" s="7">
        <f>CALC_GAMES_BASE!E7</f>
        <v>1</v>
      </c>
      <c r="F7" s="6" t="str">
        <f>CALC_GAMES_BASE!N7</f>
        <v/>
      </c>
      <c r="G7" s="7">
        <f>CALC_GAMES_BASE!K7</f>
        <v>13</v>
      </c>
      <c r="H7" s="7">
        <f t="shared" si="0"/>
        <v>0</v>
      </c>
      <c r="I7" s="6">
        <f>IF(H7=1,
  F7,
  G7*PARAMETRY!$B$11)</f>
        <v>0.65</v>
      </c>
      <c r="J7" s="6">
        <f>CALC_GAMES_BASE!U7-CALC_GAMES_BASE!V7</f>
        <v>1.2934981684981653E-2</v>
      </c>
      <c r="K7" s="6">
        <f>_xlfn.XLOOKUP(CALC_GAMES_BASE!W7,
  CALC_GOALIES!B:B,
  CALC_GOALIES!K:K)</f>
        <v>1.2463190300688209E-2</v>
      </c>
      <c r="L7" s="6">
        <f>_xlfn.XLOOKUP(C7,CALC_TEAMS_SEASON!B:B,CALC_TEAMS_SEASON!L:L)</f>
        <v>-0.19819677871148478</v>
      </c>
      <c r="M7">
        <f>IF(CALC_GAMES_BASE!Z7="RS",1,1.2)</f>
        <v>1</v>
      </c>
      <c r="N7">
        <f xml:space="preserve"> CALC_GAMES_BASE!Y7</f>
        <v>0</v>
      </c>
    </row>
    <row r="8" spans="1:14" x14ac:dyDescent="0.25">
      <c r="A8" t="str">
        <f>CALC_GAMES_BASE!A8</f>
        <v>25/26</v>
      </c>
      <c r="B8" s="3">
        <f>CALC_GAMES_BASE!B8</f>
        <v>45910</v>
      </c>
      <c r="C8" s="3" t="str">
        <f>CALC_GAMES_BASE!C8</f>
        <v>KVA</v>
      </c>
      <c r="D8" s="3" t="str">
        <f>CALC_GAMES_BASE!D8</f>
        <v>VIT</v>
      </c>
      <c r="E8" s="7">
        <f>CALC_GAMES_BASE!E8</f>
        <v>1</v>
      </c>
      <c r="F8" s="6" t="str">
        <f>CALC_GAMES_BASE!N8</f>
        <v/>
      </c>
      <c r="G8" s="7">
        <f>CALC_GAMES_BASE!K8</f>
        <v>7</v>
      </c>
      <c r="H8" s="7">
        <f t="shared" si="0"/>
        <v>0</v>
      </c>
      <c r="I8" s="6">
        <f>IF(H8=1,
  F8,
  G8*PARAMETRY!$B$11)</f>
        <v>0.35000000000000003</v>
      </c>
      <c r="J8" s="6">
        <f>CALC_GAMES_BASE!U8-CALC_GAMES_BASE!V8</f>
        <v>4.0216727716727574E-3</v>
      </c>
      <c r="K8" s="6">
        <f>_xlfn.XLOOKUP(CALC_GAMES_BASE!W8,
  CALC_GOALIES!B:B,
  CALC_GOALIES!K:K)</f>
        <v>-2.2629454281007488E-2</v>
      </c>
      <c r="L8" s="6">
        <f>_xlfn.XLOOKUP(C8,CALC_TEAMS_SEASON!B:B,CALC_TEAMS_SEASON!L:L)</f>
        <v>-0.28757177871148476</v>
      </c>
      <c r="M8">
        <f>IF(CALC_GAMES_BASE!Z8="RS",1,1.2)</f>
        <v>1</v>
      </c>
      <c r="N8">
        <f xml:space="preserve"> CALC_GAMES_BASE!Y8</f>
        <v>0</v>
      </c>
    </row>
    <row r="9" spans="1:14" x14ac:dyDescent="0.25">
      <c r="A9" t="str">
        <f>CALC_GAMES_BASE!A9</f>
        <v>25/26</v>
      </c>
      <c r="B9" s="3">
        <f>CALC_GAMES_BASE!B9</f>
        <v>45910</v>
      </c>
      <c r="C9" s="3" t="str">
        <f>CALC_GAMES_BASE!C9</f>
        <v>LIB</v>
      </c>
      <c r="D9" s="3" t="str">
        <f>CALC_GAMES_BASE!D9</f>
        <v>PLZ</v>
      </c>
      <c r="E9" s="7">
        <f>CALC_GAMES_BASE!E9</f>
        <v>1</v>
      </c>
      <c r="F9" s="6" t="str">
        <f>CALC_GAMES_BASE!N9</f>
        <v/>
      </c>
      <c r="G9" s="7">
        <f>CALC_GAMES_BASE!K9</f>
        <v>-1</v>
      </c>
      <c r="H9" s="7">
        <f t="shared" si="0"/>
        <v>0</v>
      </c>
      <c r="I9" s="6">
        <f>IF(H9=1,
  F9,
  G9*PARAMETRY!$B$11)</f>
        <v>-0.05</v>
      </c>
      <c r="J9" s="6">
        <f>CALC_GAMES_BASE!U9-CALC_GAMES_BASE!V9</f>
        <v>-3.2638888888888828E-2</v>
      </c>
      <c r="K9" s="6">
        <f>_xlfn.XLOOKUP(CALC_GAMES_BASE!W9,
  CALC_GOALIES!B:B,
  CALC_GOALIES!K:K)</f>
        <v>1.2275709048813366E-2</v>
      </c>
      <c r="L9" s="6">
        <f>_xlfn.XLOOKUP(C9,CALC_TEAMS_SEASON!B:B,CALC_TEAMS_SEASON!L:L)</f>
        <v>0.22367822128851536</v>
      </c>
      <c r="M9">
        <f>IF(CALC_GAMES_BASE!Z9="RS",1,1.2)</f>
        <v>1</v>
      </c>
      <c r="N9">
        <f xml:space="preserve"> CALC_GAMES_BASE!Y9</f>
        <v>0</v>
      </c>
    </row>
    <row r="10" spans="1:14" x14ac:dyDescent="0.25">
      <c r="A10" t="str">
        <f>CALC_GAMES_BASE!A10</f>
        <v>25/26</v>
      </c>
      <c r="B10" s="3">
        <f>CALC_GAMES_BASE!B10</f>
        <v>45910</v>
      </c>
      <c r="C10" s="3" t="str">
        <f>CALC_GAMES_BASE!C10</f>
        <v>LIT</v>
      </c>
      <c r="D10" s="3" t="str">
        <f>CALC_GAMES_BASE!D10</f>
        <v>KOM</v>
      </c>
      <c r="E10" s="7">
        <f>CALC_GAMES_BASE!E10</f>
        <v>0</v>
      </c>
      <c r="F10" s="6" t="str">
        <f>CALC_GAMES_BASE!N10</f>
        <v/>
      </c>
      <c r="G10" s="7">
        <f>CALC_GAMES_BASE!K10</f>
        <v>-14</v>
      </c>
      <c r="H10" s="7">
        <f t="shared" si="0"/>
        <v>0</v>
      </c>
      <c r="I10" s="6">
        <f>IF(H10=1,
  F10,
  G10*PARAMETRY!$B$11)</f>
        <v>-0.70000000000000007</v>
      </c>
      <c r="J10" s="6">
        <f>CALC_GAMES_BASE!U10-CALC_GAMES_BASE!V10</f>
        <v>-4.2696886446886448E-2</v>
      </c>
      <c r="K10" s="6">
        <f>_xlfn.XLOOKUP(CALC_GAMES_BASE!W10,
  CALC_GOALIES!B:B,
  CALC_GOALIES!K:K)</f>
        <v>-4.9010888963920696E-3</v>
      </c>
      <c r="L10" s="6">
        <f>_xlfn.XLOOKUP(C10,CALC_TEAMS_SEASON!B:B,CALC_TEAMS_SEASON!L:L)</f>
        <v>-1.4784467787114848</v>
      </c>
      <c r="M10">
        <f>IF(CALC_GAMES_BASE!Z10="RS",1,1.2)</f>
        <v>1</v>
      </c>
      <c r="N10">
        <f xml:space="preserve"> CALC_GAMES_BASE!Y10</f>
        <v>0</v>
      </c>
    </row>
    <row r="11" spans="1:14" x14ac:dyDescent="0.25">
      <c r="A11" t="str">
        <f>CALC_GAMES_BASE!A11</f>
        <v>25/26</v>
      </c>
      <c r="B11" s="3">
        <f>CALC_GAMES_BASE!B11</f>
        <v>45910</v>
      </c>
      <c r="C11" s="3" t="str">
        <f>CALC_GAMES_BASE!C11</f>
        <v>MBL</v>
      </c>
      <c r="D11" s="3" t="str">
        <f>CALC_GAMES_BASE!D11</f>
        <v>KLA</v>
      </c>
      <c r="E11" s="7">
        <f>CALC_GAMES_BASE!E11</f>
        <v>0</v>
      </c>
      <c r="F11" s="6" t="str">
        <f>CALC_GAMES_BASE!N11</f>
        <v/>
      </c>
      <c r="G11" s="7">
        <f>CALC_GAMES_BASE!K11</f>
        <v>-13</v>
      </c>
      <c r="H11" s="7">
        <f t="shared" si="0"/>
        <v>0</v>
      </c>
      <c r="I11" s="6">
        <f>IF(H11=1,
  F11,
  G11*PARAMETRY!$B$11)</f>
        <v>-0.65</v>
      </c>
      <c r="J11" s="6">
        <f>CALC_GAMES_BASE!U11-CALC_GAMES_BASE!V11</f>
        <v>-1.2934981684981653E-2</v>
      </c>
      <c r="K11" s="6">
        <f>_xlfn.XLOOKUP(CALC_GAMES_BASE!W11,
  CALC_GOALIES!B:B,
  CALC_GOALIES!K:K)</f>
        <v>-4.4670611186142795E-3</v>
      </c>
      <c r="L11" s="6">
        <f>_xlfn.XLOOKUP(C11,CALC_TEAMS_SEASON!B:B,CALC_TEAMS_SEASON!L:L)</f>
        <v>-0.89069677871148467</v>
      </c>
      <c r="M11">
        <f>IF(CALC_GAMES_BASE!Z11="RS",1,1.2)</f>
        <v>1</v>
      </c>
      <c r="N11">
        <f xml:space="preserve"> CALC_GAMES_BASE!Y11</f>
        <v>1</v>
      </c>
    </row>
    <row r="12" spans="1:14" x14ac:dyDescent="0.25">
      <c r="A12" t="str">
        <f>CALC_GAMES_BASE!A12</f>
        <v>25/26</v>
      </c>
      <c r="B12" s="3">
        <f>CALC_GAMES_BASE!B12</f>
        <v>45910</v>
      </c>
      <c r="C12" s="3" t="str">
        <f>CALC_GAMES_BASE!C12</f>
        <v>MHK</v>
      </c>
      <c r="D12" s="3" t="str">
        <f>CALC_GAMES_BASE!D12</f>
        <v>PCE</v>
      </c>
      <c r="E12" s="7">
        <f>CALC_GAMES_BASE!E12</f>
        <v>0</v>
      </c>
      <c r="F12" s="6" t="str">
        <f>CALC_GAMES_BASE!N12</f>
        <v/>
      </c>
      <c r="G12" s="7">
        <f>CALC_GAMES_BASE!K12</f>
        <v>4</v>
      </c>
      <c r="H12" s="7">
        <f t="shared" si="0"/>
        <v>0</v>
      </c>
      <c r="I12" s="6">
        <f>IF(H12=1,
  F12,
  G12*PARAMETRY!$B$11)</f>
        <v>0.2</v>
      </c>
      <c r="J12" s="6">
        <f>CALC_GAMES_BASE!U12-CALC_GAMES_BASE!V12</f>
        <v>-6.1126373626373659E-2</v>
      </c>
      <c r="K12" s="6">
        <f>_xlfn.XLOOKUP(CALC_GAMES_BASE!W12,
  CALC_GOALIES!B:B,
  CALC_GOALIES!K:K)</f>
        <v>-6.4024499913341248E-2</v>
      </c>
      <c r="L12" s="6">
        <f>_xlfn.XLOOKUP(C12,CALC_TEAMS_SEASON!B:B,CALC_TEAMS_SEASON!L:L)</f>
        <v>0.14821988795518207</v>
      </c>
      <c r="M12">
        <f>IF(CALC_GAMES_BASE!Z12="RS",1,1.2)</f>
        <v>1</v>
      </c>
      <c r="N12">
        <f xml:space="preserve"> CALC_GAMES_BASE!Y12</f>
        <v>0</v>
      </c>
    </row>
    <row r="13" spans="1:14" x14ac:dyDescent="0.25">
      <c r="A13" t="str">
        <f>CALC_GAMES_BASE!A13</f>
        <v>25/26</v>
      </c>
      <c r="B13" s="3">
        <f>CALC_GAMES_BASE!B13</f>
        <v>45910</v>
      </c>
      <c r="C13" s="3" t="str">
        <f>CALC_GAMES_BASE!C13</f>
        <v>OLO</v>
      </c>
      <c r="D13" s="3" t="str">
        <f>CALC_GAMES_BASE!D13</f>
        <v>TRI</v>
      </c>
      <c r="E13" s="7">
        <f>CALC_GAMES_BASE!E13</f>
        <v>0</v>
      </c>
      <c r="F13" s="6">
        <f>CALC_GAMES_BASE!N13</f>
        <v>0.5</v>
      </c>
      <c r="G13" s="7">
        <f>CALC_GAMES_BASE!K13</f>
        <v>-8</v>
      </c>
      <c r="H13" s="7">
        <f t="shared" si="0"/>
        <v>1</v>
      </c>
      <c r="I13" s="6">
        <f>IF(H13=1,
  F13,
  G13*PARAMETRY!$B$11)</f>
        <v>0.5</v>
      </c>
      <c r="J13" s="6">
        <f>CALC_GAMES_BASE!U13-CALC_GAMES_BASE!V13</f>
        <v>-2.4481074481074505E-2</v>
      </c>
      <c r="K13" s="6">
        <f>_xlfn.XLOOKUP(CALC_GAMES_BASE!W13,
  CALC_GOALIES!B:B,
  CALC_GOALIES!K:K)</f>
        <v>4.4713327207696052E-3</v>
      </c>
      <c r="L13" s="6">
        <f>_xlfn.XLOOKUP(C13,CALC_TEAMS_SEASON!B:B,CALC_TEAMS_SEASON!L:L)</f>
        <v>-1.0613217787114846</v>
      </c>
      <c r="M13">
        <f>IF(CALC_GAMES_BASE!Z13="RS",1,1.2)</f>
        <v>1</v>
      </c>
      <c r="N13">
        <f xml:space="preserve"> CALC_GAMES_BASE!Y13</f>
        <v>0</v>
      </c>
    </row>
    <row r="14" spans="1:14" x14ac:dyDescent="0.25">
      <c r="A14" t="str">
        <f>CALC_GAMES_BASE!A14</f>
        <v>25/26</v>
      </c>
      <c r="B14" s="3">
        <f>CALC_GAMES_BASE!B14</f>
        <v>45910</v>
      </c>
      <c r="C14" s="3" t="str">
        <f>CALC_GAMES_BASE!C14</f>
        <v>PLZ</v>
      </c>
      <c r="D14" s="3" t="str">
        <f>CALC_GAMES_BASE!D14</f>
        <v>LIB</v>
      </c>
      <c r="E14" s="7">
        <f>CALC_GAMES_BASE!E14</f>
        <v>0</v>
      </c>
      <c r="F14" s="6" t="str">
        <f>CALC_GAMES_BASE!N14</f>
        <v/>
      </c>
      <c r="G14" s="7">
        <f>CALC_GAMES_BASE!K14</f>
        <v>1</v>
      </c>
      <c r="H14" s="7">
        <f t="shared" si="0"/>
        <v>0</v>
      </c>
      <c r="I14" s="6">
        <f>IF(H14=1,
  F14,
  G14*PARAMETRY!$B$11)</f>
        <v>0.05</v>
      </c>
      <c r="J14" s="6">
        <f>CALC_GAMES_BASE!U14-CALC_GAMES_BASE!V14</f>
        <v>3.2638888888888828E-2</v>
      </c>
      <c r="K14" s="6">
        <f>_xlfn.XLOOKUP(CALC_GAMES_BASE!W14,
  CALC_GOALIES!B:B,
  CALC_GOALIES!K:K)</f>
        <v>1.7617039556646619E-2</v>
      </c>
      <c r="L14" s="6">
        <f>_xlfn.XLOOKUP(C14,CALC_TEAMS_SEASON!B:B,CALC_TEAMS_SEASON!L:L)</f>
        <v>7.3678221288515283E-2</v>
      </c>
      <c r="M14">
        <f>IF(CALC_GAMES_BASE!Z14="RS",1,1.2)</f>
        <v>1</v>
      </c>
      <c r="N14">
        <f xml:space="preserve"> CALC_GAMES_BASE!Y14</f>
        <v>1</v>
      </c>
    </row>
    <row r="15" spans="1:14" x14ac:dyDescent="0.25">
      <c r="A15" t="str">
        <f>CALC_GAMES_BASE!A15</f>
        <v>25/26</v>
      </c>
      <c r="B15" s="3">
        <f>CALC_GAMES_BASE!B15</f>
        <v>45910</v>
      </c>
      <c r="C15" s="3" t="str">
        <f>CALC_GAMES_BASE!C15</f>
        <v>VIT</v>
      </c>
      <c r="D15" s="3" t="str">
        <f>CALC_GAMES_BASE!D15</f>
        <v>KVA</v>
      </c>
      <c r="E15" s="7">
        <f>CALC_GAMES_BASE!E15</f>
        <v>0</v>
      </c>
      <c r="F15" s="6" t="str">
        <f>CALC_GAMES_BASE!N15</f>
        <v/>
      </c>
      <c r="G15" s="7">
        <f>CALC_GAMES_BASE!K15</f>
        <v>-7</v>
      </c>
      <c r="H15" s="7">
        <f t="shared" si="0"/>
        <v>0</v>
      </c>
      <c r="I15" s="6">
        <f>IF(H15=1,
  F15,
  G15*PARAMETRY!$B$11)</f>
        <v>-0.35000000000000003</v>
      </c>
      <c r="J15" s="6">
        <f>CALC_GAMES_BASE!U15-CALC_GAMES_BASE!V15</f>
        <v>-4.0216727716727574E-3</v>
      </c>
      <c r="K15" s="6">
        <f>_xlfn.XLOOKUP(CALC_GAMES_BASE!W15,
  CALC_GOALIES!B:B,
  CALC_GOALIES!K:K)</f>
        <v>1.905487900993541E-3</v>
      </c>
      <c r="L15" s="6">
        <f>_xlfn.XLOOKUP(C15,CALC_TEAMS_SEASON!B:B,CALC_TEAMS_SEASON!L:L)</f>
        <v>-1.0281967787114845</v>
      </c>
      <c r="M15">
        <f>IF(CALC_GAMES_BASE!Z15="RS",1,1.2)</f>
        <v>1</v>
      </c>
      <c r="N15">
        <f xml:space="preserve"> CALC_GAMES_BASE!Y15</f>
        <v>1</v>
      </c>
    </row>
    <row r="16" spans="1:14" x14ac:dyDescent="0.25">
      <c r="A16" t="str">
        <f>CALC_GAMES_BASE!A16</f>
        <v>25/26</v>
      </c>
      <c r="B16" s="3">
        <f>CALC_GAMES_BASE!B16</f>
        <v>45912</v>
      </c>
      <c r="C16" s="3" t="str">
        <f>CALC_GAMES_BASE!C16</f>
        <v>PCE</v>
      </c>
      <c r="D16" s="3" t="str">
        <f>CALC_GAMES_BASE!D16</f>
        <v>LIB</v>
      </c>
      <c r="E16" s="7">
        <f>CALC_GAMES_BASE!E16</f>
        <v>0</v>
      </c>
      <c r="F16" s="6">
        <f>CALC_GAMES_BASE!N16</f>
        <v>-0.29000000000000004</v>
      </c>
      <c r="G16" s="7">
        <f>CALC_GAMES_BASE!K16</f>
        <v>-7</v>
      </c>
      <c r="H16" s="7">
        <f t="shared" si="0"/>
        <v>1</v>
      </c>
      <c r="I16" s="6">
        <f>IF(H16=1,
  F16,
  G16*PARAMETRY!$B$11)</f>
        <v>-0.29000000000000004</v>
      </c>
      <c r="J16" s="6">
        <f>CALC_GAMES_BASE!U16-CALC_GAMES_BASE!V16</f>
        <v>5.9203296703296743E-2</v>
      </c>
      <c r="K16" s="6">
        <f>_xlfn.XLOOKUP(CALC_GAMES_BASE!W16,
  CALC_GOALIES!B:B,
  CALC_GOALIES!K:K)</f>
        <v>4.5881077393388203E-3</v>
      </c>
      <c r="L16" s="6">
        <f>_xlfn.XLOOKUP(C16,CALC_TEAMS_SEASON!B:B,CALC_TEAMS_SEASON!L:L)</f>
        <v>0.62437675070027965</v>
      </c>
      <c r="M16">
        <f>IF(CALC_GAMES_BASE!Z16="RS",1,1.2)</f>
        <v>1</v>
      </c>
      <c r="N16">
        <f xml:space="preserve"> CALC_GAMES_BASE!Y16</f>
        <v>0</v>
      </c>
    </row>
    <row r="17" spans="1:14" x14ac:dyDescent="0.25">
      <c r="A17" t="str">
        <f>CALC_GAMES_BASE!A17</f>
        <v>25/26</v>
      </c>
      <c r="B17" s="3">
        <f>CALC_GAMES_BASE!B17</f>
        <v>45912</v>
      </c>
      <c r="C17" s="3" t="str">
        <f>CALC_GAMES_BASE!C17</f>
        <v>TRI</v>
      </c>
      <c r="D17" s="3" t="str">
        <f>CALC_GAMES_BASE!D17</f>
        <v>SPA</v>
      </c>
      <c r="E17" s="7">
        <f>CALC_GAMES_BASE!E17</f>
        <v>0</v>
      </c>
      <c r="F17" s="6">
        <f>CALC_GAMES_BASE!N17</f>
        <v>-1.35</v>
      </c>
      <c r="G17" s="7">
        <f>CALC_GAMES_BASE!K17</f>
        <v>-18</v>
      </c>
      <c r="H17" s="7">
        <f t="shared" si="0"/>
        <v>1</v>
      </c>
      <c r="I17" s="6">
        <f>IF(H17=1,
  F17,
  G17*PARAMETRY!$B$11)</f>
        <v>-1.35</v>
      </c>
      <c r="J17" s="6">
        <f>CALC_GAMES_BASE!U17-CALC_GAMES_BASE!V17</f>
        <v>-4.6230158730158732E-2</v>
      </c>
      <c r="K17" s="6">
        <f>_xlfn.XLOOKUP(CALC_GAMES_BASE!W17,
  CALC_GOALIES!B:B,
  CALC_GOALIES!K:K)</f>
        <v>-1.9657016882340561E-2</v>
      </c>
      <c r="L17" s="6">
        <f>_xlfn.XLOOKUP(C17,CALC_TEAMS_SEASON!B:B,CALC_TEAMS_SEASON!L:L)</f>
        <v>0.10805322128851533</v>
      </c>
      <c r="M17">
        <f>IF(CALC_GAMES_BASE!Z17="RS",1,1.2)</f>
        <v>1</v>
      </c>
      <c r="N17">
        <f xml:space="preserve"> CALC_GAMES_BASE!Y17</f>
        <v>0</v>
      </c>
    </row>
    <row r="18" spans="1:14" x14ac:dyDescent="0.25">
      <c r="A18" t="str">
        <f>CALC_GAMES_BASE!A18</f>
        <v>25/26</v>
      </c>
      <c r="B18" s="3">
        <f>CALC_GAMES_BASE!B18</f>
        <v>45912</v>
      </c>
      <c r="C18" s="3" t="str">
        <f>CALC_GAMES_BASE!C18</f>
        <v>SPA</v>
      </c>
      <c r="D18" s="3" t="str">
        <f>CALC_GAMES_BASE!D18</f>
        <v>TRI</v>
      </c>
      <c r="E18" s="7">
        <f>CALC_GAMES_BASE!E18</f>
        <v>1</v>
      </c>
      <c r="F18" s="6">
        <f>CALC_GAMES_BASE!N18</f>
        <v>1.35</v>
      </c>
      <c r="G18" s="7">
        <f>CALC_GAMES_BASE!K18</f>
        <v>18</v>
      </c>
      <c r="H18" s="7">
        <f t="shared" si="0"/>
        <v>1</v>
      </c>
      <c r="I18" s="6">
        <f>IF(H18=1,
  F18,
  G18*PARAMETRY!$B$11)</f>
        <v>1.35</v>
      </c>
      <c r="J18" s="6">
        <f>CALC_GAMES_BASE!U18-CALC_GAMES_BASE!V18</f>
        <v>4.6230158730158732E-2</v>
      </c>
      <c r="K18" s="6">
        <f>_xlfn.XLOOKUP(CALC_GAMES_BASE!W18,
  CALC_GOALIES!B:B,
  CALC_GOALIES!K:K)</f>
        <v>3.5919237922225067E-3</v>
      </c>
      <c r="L18" s="6">
        <f>_xlfn.XLOOKUP(C18,CALC_TEAMS_SEASON!B:B,CALC_TEAMS_SEASON!L:L)</f>
        <v>6.4376750700279955E-2</v>
      </c>
      <c r="M18">
        <f>IF(CALC_GAMES_BASE!Z18="RS",1,1.2)</f>
        <v>1</v>
      </c>
      <c r="N18">
        <f xml:space="preserve"> CALC_GAMES_BASE!Y18</f>
        <v>1</v>
      </c>
    </row>
    <row r="19" spans="1:14" x14ac:dyDescent="0.25">
      <c r="A19" t="str">
        <f>CALC_GAMES_BASE!A19</f>
        <v>25/26</v>
      </c>
      <c r="B19" s="3">
        <f>CALC_GAMES_BASE!B19</f>
        <v>45912</v>
      </c>
      <c r="C19" s="3" t="str">
        <f>CALC_GAMES_BASE!C19</f>
        <v>KOM</v>
      </c>
      <c r="D19" s="3" t="str">
        <f>CALC_GAMES_BASE!D19</f>
        <v>MBL</v>
      </c>
      <c r="E19" s="7">
        <f>CALC_GAMES_BASE!E19</f>
        <v>0</v>
      </c>
      <c r="F19" s="6">
        <f>CALC_GAMES_BASE!N19</f>
        <v>2.0000000000000018E-2</v>
      </c>
      <c r="G19" s="7">
        <f>CALC_GAMES_BASE!K19</f>
        <v>-1</v>
      </c>
      <c r="H19" s="7">
        <f t="shared" si="0"/>
        <v>1</v>
      </c>
      <c r="I19" s="6">
        <f>IF(H19=1,
  F19,
  G19*PARAMETRY!$B$11)</f>
        <v>2.0000000000000018E-2</v>
      </c>
      <c r="J19" s="6">
        <f>CALC_GAMES_BASE!U19-CALC_GAMES_BASE!V19</f>
        <v>2.53205128205128E-2</v>
      </c>
      <c r="K19" s="6">
        <f>_xlfn.XLOOKUP(CALC_GAMES_BASE!W19,
  CALC_GOALIES!B:B,
  CALC_GOALIES!K:K)</f>
        <v>-1.5147095063735572E-3</v>
      </c>
      <c r="L19" s="6">
        <f>_xlfn.XLOOKUP(C19,CALC_TEAMS_SEASON!B:B,CALC_TEAMS_SEASON!L:L)</f>
        <v>-0.37268207282913179</v>
      </c>
      <c r="M19">
        <f>IF(CALC_GAMES_BASE!Z19="RS",1,1.2)</f>
        <v>1</v>
      </c>
      <c r="N19">
        <f xml:space="preserve"> CALC_GAMES_BASE!Y19</f>
        <v>1</v>
      </c>
    </row>
    <row r="20" spans="1:14" x14ac:dyDescent="0.25">
      <c r="A20" t="str">
        <f>CALC_GAMES_BASE!A20</f>
        <v>25/26</v>
      </c>
      <c r="B20" s="3">
        <f>CALC_GAMES_BASE!B20</f>
        <v>45912</v>
      </c>
      <c r="C20" s="3" t="str">
        <f>CALC_GAMES_BASE!C20</f>
        <v>CEB</v>
      </c>
      <c r="D20" s="3" t="str">
        <f>CALC_GAMES_BASE!D20</f>
        <v>MHK</v>
      </c>
      <c r="E20" s="7">
        <f>CALC_GAMES_BASE!E20</f>
        <v>0</v>
      </c>
      <c r="F20" s="6" t="str">
        <f>CALC_GAMES_BASE!N20</f>
        <v/>
      </c>
      <c r="G20" s="7">
        <f>CALC_GAMES_BASE!K20</f>
        <v>3</v>
      </c>
      <c r="H20" s="7">
        <f t="shared" si="0"/>
        <v>0</v>
      </c>
      <c r="I20" s="6">
        <f>IF(H20=1,
  F20,
  G20*PARAMETRY!$B$11)</f>
        <v>0.15000000000000002</v>
      </c>
      <c r="J20" s="6">
        <f>CALC_GAMES_BASE!U20-CALC_GAMES_BASE!V20</f>
        <v>-1.1636280386280395E-2</v>
      </c>
      <c r="K20" s="6">
        <f>_xlfn.XLOOKUP(CALC_GAMES_BASE!W20,
  CALC_GOALIES!B:B,
  CALC_GOALIES!K:K)</f>
        <v>-1.372632037787358E-2</v>
      </c>
      <c r="L20" s="6">
        <f>_xlfn.XLOOKUP(C20,CALC_TEAMS_SEASON!B:B,CALC_TEAMS_SEASON!L:L)</f>
        <v>-0.24978011204481798</v>
      </c>
      <c r="M20">
        <f>IF(CALC_GAMES_BASE!Z20="RS",1,1.2)</f>
        <v>1</v>
      </c>
      <c r="N20">
        <f xml:space="preserve"> CALC_GAMES_BASE!Y20</f>
        <v>1</v>
      </c>
    </row>
    <row r="21" spans="1:14" x14ac:dyDescent="0.25">
      <c r="A21" t="str">
        <f>CALC_GAMES_BASE!A21</f>
        <v>25/26</v>
      </c>
      <c r="B21" s="3">
        <f>CALC_GAMES_BASE!B21</f>
        <v>45912</v>
      </c>
      <c r="C21" s="3" t="str">
        <f>CALC_GAMES_BASE!C21</f>
        <v>KLA</v>
      </c>
      <c r="D21" s="3" t="str">
        <f>CALC_GAMES_BASE!D21</f>
        <v>VIT</v>
      </c>
      <c r="E21" s="7">
        <f>CALC_GAMES_BASE!E21</f>
        <v>0</v>
      </c>
      <c r="F21" s="6" t="str">
        <f>CALC_GAMES_BASE!N21</f>
        <v/>
      </c>
      <c r="G21" s="7">
        <f>CALC_GAMES_BASE!K21</f>
        <v>17</v>
      </c>
      <c r="H21" s="7">
        <f t="shared" si="0"/>
        <v>0</v>
      </c>
      <c r="I21" s="6">
        <f>IF(H21=1,
  F21,
  G21*PARAMETRY!$B$11)</f>
        <v>0.85000000000000009</v>
      </c>
      <c r="J21" s="6">
        <f>CALC_GAMES_BASE!U21-CALC_GAMES_BASE!V21</f>
        <v>-3.8644688644688702E-2</v>
      </c>
      <c r="K21" s="6">
        <f>_xlfn.XLOOKUP(CALC_GAMES_BASE!W21,
  CALC_GOALIES!B:B,
  CALC_GOALIES!K:K)</f>
        <v>1.2463190300688209E-2</v>
      </c>
      <c r="L21" s="6">
        <f>_xlfn.XLOOKUP(C21,CALC_TEAMS_SEASON!B:B,CALC_TEAMS_SEASON!L:L)</f>
        <v>-0.19819677871148478</v>
      </c>
      <c r="M21">
        <f>IF(CALC_GAMES_BASE!Z21="RS",1,1.2)</f>
        <v>1</v>
      </c>
      <c r="N21">
        <f xml:space="preserve"> CALC_GAMES_BASE!Y21</f>
        <v>0</v>
      </c>
    </row>
    <row r="22" spans="1:14" x14ac:dyDescent="0.25">
      <c r="A22" t="str">
        <f>CALC_GAMES_BASE!A22</f>
        <v>25/26</v>
      </c>
      <c r="B22" s="3">
        <f>CALC_GAMES_BASE!B22</f>
        <v>45912</v>
      </c>
      <c r="C22" s="3" t="str">
        <f>CALC_GAMES_BASE!C22</f>
        <v>KVA</v>
      </c>
      <c r="D22" s="3" t="str">
        <f>CALC_GAMES_BASE!D22</f>
        <v>LIT</v>
      </c>
      <c r="E22" s="7">
        <f>CALC_GAMES_BASE!E22</f>
        <v>0</v>
      </c>
      <c r="F22" s="6" t="str">
        <f>CALC_GAMES_BASE!N22</f>
        <v/>
      </c>
      <c r="G22" s="7">
        <f>CALC_GAMES_BASE!K22</f>
        <v>2</v>
      </c>
      <c r="H22" s="7">
        <f t="shared" si="0"/>
        <v>0</v>
      </c>
      <c r="I22" s="6">
        <f>IF(H22=1,
  F22,
  G22*PARAMETRY!$B$11)</f>
        <v>0.1</v>
      </c>
      <c r="J22" s="6">
        <f>CALC_GAMES_BASE!U22-CALC_GAMES_BASE!V22</f>
        <v>7.297771672771676E-2</v>
      </c>
      <c r="K22" s="6">
        <f>_xlfn.XLOOKUP(CALC_GAMES_BASE!W22,
  CALC_GOALIES!B:B,
  CALC_GOALIES!K:K)</f>
        <v>1.2242809776983998E-2</v>
      </c>
      <c r="L22" s="6">
        <f>_xlfn.XLOOKUP(C22,CALC_TEAMS_SEASON!B:B,CALC_TEAMS_SEASON!L:L)</f>
        <v>-0.28757177871148476</v>
      </c>
      <c r="M22">
        <f>IF(CALC_GAMES_BASE!Z22="RS",1,1.2)</f>
        <v>1</v>
      </c>
      <c r="N22">
        <f xml:space="preserve"> CALC_GAMES_BASE!Y22</f>
        <v>1</v>
      </c>
    </row>
    <row r="23" spans="1:14" x14ac:dyDescent="0.25">
      <c r="A23" t="str">
        <f>CALC_GAMES_BASE!A23</f>
        <v>25/26</v>
      </c>
      <c r="B23" s="3">
        <f>CALC_GAMES_BASE!B23</f>
        <v>45912</v>
      </c>
      <c r="C23" s="3" t="str">
        <f>CALC_GAMES_BASE!C23</f>
        <v>LIB</v>
      </c>
      <c r="D23" s="3" t="str">
        <f>CALC_GAMES_BASE!D23</f>
        <v>PCE</v>
      </c>
      <c r="E23" s="7">
        <f>CALC_GAMES_BASE!E23</f>
        <v>1</v>
      </c>
      <c r="F23" s="6">
        <f>CALC_GAMES_BASE!N23</f>
        <v>0.29000000000000004</v>
      </c>
      <c r="G23" s="7">
        <f>CALC_GAMES_BASE!K23</f>
        <v>7</v>
      </c>
      <c r="H23" s="7">
        <f t="shared" si="0"/>
        <v>1</v>
      </c>
      <c r="I23" s="6">
        <f>IF(H23=1,
  F23,
  G23*PARAMETRY!$B$11)</f>
        <v>0.29000000000000004</v>
      </c>
      <c r="J23" s="6">
        <f>CALC_GAMES_BASE!U23-CALC_GAMES_BASE!V23</f>
        <v>-5.9203296703296743E-2</v>
      </c>
      <c r="K23" s="6">
        <f>_xlfn.XLOOKUP(CALC_GAMES_BASE!W23,
  CALC_GOALIES!B:B,
  CALC_GOALIES!K:K)</f>
        <v>1.2275709048813366E-2</v>
      </c>
      <c r="L23" s="6">
        <f>_xlfn.XLOOKUP(C23,CALC_TEAMS_SEASON!B:B,CALC_TEAMS_SEASON!L:L)</f>
        <v>0.22367822128851536</v>
      </c>
      <c r="M23">
        <f>IF(CALC_GAMES_BASE!Z23="RS",1,1.2)</f>
        <v>1</v>
      </c>
      <c r="N23">
        <f xml:space="preserve"> CALC_GAMES_BASE!Y23</f>
        <v>1</v>
      </c>
    </row>
    <row r="24" spans="1:14" x14ac:dyDescent="0.25">
      <c r="A24" t="str">
        <f>CALC_GAMES_BASE!A24</f>
        <v>25/26</v>
      </c>
      <c r="B24" s="3">
        <f>CALC_GAMES_BASE!B24</f>
        <v>45912</v>
      </c>
      <c r="C24" s="3" t="str">
        <f>CALC_GAMES_BASE!C24</f>
        <v>LIT</v>
      </c>
      <c r="D24" s="3" t="str">
        <f>CALC_GAMES_BASE!D24</f>
        <v>KVA</v>
      </c>
      <c r="E24" s="7">
        <f>CALC_GAMES_BASE!E24</f>
        <v>1</v>
      </c>
      <c r="F24" s="6" t="str">
        <f>CALC_GAMES_BASE!N24</f>
        <v/>
      </c>
      <c r="G24" s="7">
        <f>CALC_GAMES_BASE!K24</f>
        <v>-2</v>
      </c>
      <c r="H24" s="7">
        <f t="shared" si="0"/>
        <v>0</v>
      </c>
      <c r="I24" s="6">
        <f>IF(H24=1,
  F24,
  G24*PARAMETRY!$B$11)</f>
        <v>-0.1</v>
      </c>
      <c r="J24" s="6">
        <f>CALC_GAMES_BASE!U24-CALC_GAMES_BASE!V24</f>
        <v>-7.297771672771676E-2</v>
      </c>
      <c r="K24" s="6">
        <f>_xlfn.XLOOKUP(CALC_GAMES_BASE!W24,
  CALC_GOALIES!B:B,
  CALC_GOALIES!K:K)</f>
        <v>-4.9010888963920696E-3</v>
      </c>
      <c r="L24" s="6">
        <f>_xlfn.XLOOKUP(C24,CALC_TEAMS_SEASON!B:B,CALC_TEAMS_SEASON!L:L)</f>
        <v>-1.4784467787114848</v>
      </c>
      <c r="M24">
        <f>IF(CALC_GAMES_BASE!Z24="RS",1,1.2)</f>
        <v>1</v>
      </c>
      <c r="N24">
        <f xml:space="preserve"> CALC_GAMES_BASE!Y24</f>
        <v>0</v>
      </c>
    </row>
    <row r="25" spans="1:14" x14ac:dyDescent="0.25">
      <c r="A25" t="str">
        <f>CALC_GAMES_BASE!A25</f>
        <v>25/26</v>
      </c>
      <c r="B25" s="3">
        <f>CALC_GAMES_BASE!B25</f>
        <v>45912</v>
      </c>
      <c r="C25" s="3" t="str">
        <f>CALC_GAMES_BASE!C25</f>
        <v>MBL</v>
      </c>
      <c r="D25" s="3" t="str">
        <f>CALC_GAMES_BASE!D25</f>
        <v>KOM</v>
      </c>
      <c r="E25" s="7">
        <f>CALC_GAMES_BASE!E25</f>
        <v>1</v>
      </c>
      <c r="F25" s="6">
        <f>CALC_GAMES_BASE!N25</f>
        <v>-2.0000000000000018E-2</v>
      </c>
      <c r="G25" s="7">
        <f>CALC_GAMES_BASE!K25</f>
        <v>1</v>
      </c>
      <c r="H25" s="7">
        <f t="shared" si="0"/>
        <v>1</v>
      </c>
      <c r="I25" s="6">
        <f>IF(H25=1,
  F25,
  G25*PARAMETRY!$B$11)</f>
        <v>-2.0000000000000018E-2</v>
      </c>
      <c r="J25" s="6">
        <f>CALC_GAMES_BASE!U25-CALC_GAMES_BASE!V25</f>
        <v>-2.53205128205128E-2</v>
      </c>
      <c r="K25" s="6">
        <f>_xlfn.XLOOKUP(CALC_GAMES_BASE!W25,
  CALC_GOALIES!B:B,
  CALC_GOALIES!K:K)</f>
        <v>-4.4670611186142795E-3</v>
      </c>
      <c r="L25" s="6">
        <f>_xlfn.XLOOKUP(C25,CALC_TEAMS_SEASON!B:B,CALC_TEAMS_SEASON!L:L)</f>
        <v>-0.89069677871148467</v>
      </c>
      <c r="M25">
        <f>IF(CALC_GAMES_BASE!Z25="RS",1,1.2)</f>
        <v>1</v>
      </c>
      <c r="N25">
        <f xml:space="preserve"> CALC_GAMES_BASE!Y25</f>
        <v>0</v>
      </c>
    </row>
    <row r="26" spans="1:14" x14ac:dyDescent="0.25">
      <c r="A26" t="str">
        <f>CALC_GAMES_BASE!A26</f>
        <v>25/26</v>
      </c>
      <c r="B26" s="3">
        <f>CALC_GAMES_BASE!B26</f>
        <v>45912</v>
      </c>
      <c r="C26" s="3" t="str">
        <f>CALC_GAMES_BASE!C26</f>
        <v>MHK</v>
      </c>
      <c r="D26" s="3" t="str">
        <f>CALC_GAMES_BASE!D26</f>
        <v>CEB</v>
      </c>
      <c r="E26" s="7">
        <f>CALC_GAMES_BASE!E26</f>
        <v>1</v>
      </c>
      <c r="F26" s="6" t="str">
        <f>CALC_GAMES_BASE!N26</f>
        <v/>
      </c>
      <c r="G26" s="7">
        <f>CALC_GAMES_BASE!K26</f>
        <v>-3</v>
      </c>
      <c r="H26" s="7">
        <f t="shared" si="0"/>
        <v>0</v>
      </c>
      <c r="I26" s="6">
        <f>IF(H26=1,
  F26,
  G26*PARAMETRY!$B$11)</f>
        <v>-0.15000000000000002</v>
      </c>
      <c r="J26" s="6">
        <f>CALC_GAMES_BASE!U26-CALC_GAMES_BASE!V26</f>
        <v>1.1636280386280395E-2</v>
      </c>
      <c r="K26" s="6">
        <f>_xlfn.XLOOKUP(CALC_GAMES_BASE!W26,
  CALC_GOALIES!B:B,
  CALC_GOALIES!K:K)</f>
        <v>-6.4024499913341248E-2</v>
      </c>
      <c r="L26" s="6">
        <f>_xlfn.XLOOKUP(C26,CALC_TEAMS_SEASON!B:B,CALC_TEAMS_SEASON!L:L)</f>
        <v>0.14821988795518207</v>
      </c>
      <c r="M26">
        <f>IF(CALC_GAMES_BASE!Z26="RS",1,1.2)</f>
        <v>1</v>
      </c>
      <c r="N26">
        <f xml:space="preserve"> CALC_GAMES_BASE!Y26</f>
        <v>0</v>
      </c>
    </row>
    <row r="27" spans="1:14" x14ac:dyDescent="0.25">
      <c r="A27" t="str">
        <f>CALC_GAMES_BASE!A27</f>
        <v>25/26</v>
      </c>
      <c r="B27" s="3">
        <f>CALC_GAMES_BASE!B27</f>
        <v>45912</v>
      </c>
      <c r="C27" s="3" t="str">
        <f>CALC_GAMES_BASE!C27</f>
        <v>OLO</v>
      </c>
      <c r="D27" s="3" t="str">
        <f>CALC_GAMES_BASE!D27</f>
        <v>PLZ</v>
      </c>
      <c r="E27" s="7">
        <f>CALC_GAMES_BASE!E27</f>
        <v>1</v>
      </c>
      <c r="F27" s="6" t="str">
        <f>CALC_GAMES_BASE!N27</f>
        <v/>
      </c>
      <c r="G27" s="7">
        <f>CALC_GAMES_BASE!K27</f>
        <v>-3</v>
      </c>
      <c r="H27" s="7">
        <f t="shared" si="0"/>
        <v>0</v>
      </c>
      <c r="I27" s="6">
        <f>IF(H27=1,
  F27,
  G27*PARAMETRY!$B$11)</f>
        <v>-0.15000000000000002</v>
      </c>
      <c r="J27" s="6">
        <f>CALC_GAMES_BASE!U27-CALC_GAMES_BASE!V27</f>
        <v>-2.6518620268620202E-2</v>
      </c>
      <c r="K27" s="6">
        <f>_xlfn.XLOOKUP(CALC_GAMES_BASE!W27,
  CALC_GOALIES!B:B,
  CALC_GOALIES!K:K)</f>
        <v>4.4713327207696052E-3</v>
      </c>
      <c r="L27" s="6">
        <f>_xlfn.XLOOKUP(C27,CALC_TEAMS_SEASON!B:B,CALC_TEAMS_SEASON!L:L)</f>
        <v>-1.0613217787114846</v>
      </c>
      <c r="M27">
        <f>IF(CALC_GAMES_BASE!Z27="RS",1,1.2)</f>
        <v>1</v>
      </c>
      <c r="N27">
        <f xml:space="preserve"> CALC_GAMES_BASE!Y27</f>
        <v>0</v>
      </c>
    </row>
    <row r="28" spans="1:14" x14ac:dyDescent="0.25">
      <c r="A28" t="str">
        <f>CALC_GAMES_BASE!A28</f>
        <v>25/26</v>
      </c>
      <c r="B28" s="3">
        <f>CALC_GAMES_BASE!B28</f>
        <v>45912</v>
      </c>
      <c r="C28" s="3" t="str">
        <f>CALC_GAMES_BASE!C28</f>
        <v>PLZ</v>
      </c>
      <c r="D28" s="3" t="str">
        <f>CALC_GAMES_BASE!D28</f>
        <v>OLO</v>
      </c>
      <c r="E28" s="7">
        <f>CALC_GAMES_BASE!E28</f>
        <v>0</v>
      </c>
      <c r="F28" s="6" t="str">
        <f>CALC_GAMES_BASE!N28</f>
        <v/>
      </c>
      <c r="G28" s="7">
        <f>CALC_GAMES_BASE!K28</f>
        <v>3</v>
      </c>
      <c r="H28" s="7">
        <f t="shared" si="0"/>
        <v>0</v>
      </c>
      <c r="I28" s="6">
        <f>IF(H28=1,
  F28,
  G28*PARAMETRY!$B$11)</f>
        <v>0.15000000000000002</v>
      </c>
      <c r="J28" s="6">
        <f>CALC_GAMES_BASE!U28-CALC_GAMES_BASE!V28</f>
        <v>2.6518620268620202E-2</v>
      </c>
      <c r="K28" s="6">
        <f>_xlfn.XLOOKUP(CALC_GAMES_BASE!W28,
  CALC_GOALIES!B:B,
  CALC_GOALIES!K:K)</f>
        <v>1.7617039556646619E-2</v>
      </c>
      <c r="L28" s="6">
        <f>_xlfn.XLOOKUP(C28,CALC_TEAMS_SEASON!B:B,CALC_TEAMS_SEASON!L:L)</f>
        <v>7.3678221288515283E-2</v>
      </c>
      <c r="M28">
        <f>IF(CALC_GAMES_BASE!Z28="RS",1,1.2)</f>
        <v>1</v>
      </c>
      <c r="N28">
        <f xml:space="preserve"> CALC_GAMES_BASE!Y28</f>
        <v>1</v>
      </c>
    </row>
    <row r="29" spans="1:14" x14ac:dyDescent="0.25">
      <c r="A29" t="str">
        <f>CALC_GAMES_BASE!A29</f>
        <v>25/26</v>
      </c>
      <c r="B29" s="3">
        <f>CALC_GAMES_BASE!B29</f>
        <v>45912</v>
      </c>
      <c r="C29" s="3" t="str">
        <f>CALC_GAMES_BASE!C29</f>
        <v>VIT</v>
      </c>
      <c r="D29" s="3" t="str">
        <f>CALC_GAMES_BASE!D29</f>
        <v>KLA</v>
      </c>
      <c r="E29" s="7">
        <f>CALC_GAMES_BASE!E29</f>
        <v>1</v>
      </c>
      <c r="F29" s="6" t="str">
        <f>CALC_GAMES_BASE!N29</f>
        <v/>
      </c>
      <c r="G29" s="7">
        <f>CALC_GAMES_BASE!K29</f>
        <v>-17</v>
      </c>
      <c r="H29" s="7">
        <f t="shared" si="0"/>
        <v>0</v>
      </c>
      <c r="I29" s="6">
        <f>IF(H29=1,
  F29,
  G29*PARAMETRY!$B$11)</f>
        <v>-0.85000000000000009</v>
      </c>
      <c r="J29" s="6">
        <f>CALC_GAMES_BASE!U29-CALC_GAMES_BASE!V29</f>
        <v>3.8644688644688702E-2</v>
      </c>
      <c r="K29" s="6">
        <f>_xlfn.XLOOKUP(CALC_GAMES_BASE!W29,
  CALC_GOALIES!B:B,
  CALC_GOALIES!K:K)</f>
        <v>1.905487900993541E-3</v>
      </c>
      <c r="L29" s="6">
        <f>_xlfn.XLOOKUP(C29,CALC_TEAMS_SEASON!B:B,CALC_TEAMS_SEASON!L:L)</f>
        <v>-1.0281967787114845</v>
      </c>
      <c r="M29">
        <f>IF(CALC_GAMES_BASE!Z29="RS",1,1.2)</f>
        <v>1</v>
      </c>
      <c r="N29">
        <f xml:space="preserve"> CALC_GAMES_BASE!Y29</f>
        <v>1</v>
      </c>
    </row>
    <row r="30" spans="1:14" x14ac:dyDescent="0.25">
      <c r="A30" t="str">
        <f>CALC_GAMES_BASE!A30</f>
        <v>25/26</v>
      </c>
      <c r="B30" s="3">
        <f>CALC_GAMES_BASE!B30</f>
        <v>45914</v>
      </c>
      <c r="C30" s="3" t="str">
        <f>CALC_GAMES_BASE!C30</f>
        <v>PCE</v>
      </c>
      <c r="D30" s="3" t="str">
        <f>CALC_GAMES_BASE!D30</f>
        <v>MBL</v>
      </c>
      <c r="E30" s="7">
        <f>CALC_GAMES_BASE!E30</f>
        <v>1</v>
      </c>
      <c r="F30" s="6">
        <f>CALC_GAMES_BASE!N30</f>
        <v>2.8100000000000005</v>
      </c>
      <c r="G30" s="7">
        <f>CALC_GAMES_BASE!K30</f>
        <v>29</v>
      </c>
      <c r="H30" s="7">
        <f t="shared" si="0"/>
        <v>1</v>
      </c>
      <c r="I30" s="6">
        <f>IF(H30=1,
  F30,
  G30*PARAMETRY!$B$11)</f>
        <v>2.8100000000000005</v>
      </c>
      <c r="J30" s="6">
        <f>CALC_GAMES_BASE!U30-CALC_GAMES_BASE!V30</f>
        <v>8.4706959706959753E-2</v>
      </c>
      <c r="K30" s="6">
        <f>_xlfn.XLOOKUP(CALC_GAMES_BASE!W30,
  CALC_GOALIES!B:B,
  CALC_GOALIES!K:K)</f>
        <v>4.5881077393388203E-3</v>
      </c>
      <c r="L30" s="6">
        <f>_xlfn.XLOOKUP(C30,CALC_TEAMS_SEASON!B:B,CALC_TEAMS_SEASON!L:L)</f>
        <v>0.62437675070027965</v>
      </c>
      <c r="M30">
        <f>IF(CALC_GAMES_BASE!Z30="RS",1,1.2)</f>
        <v>1</v>
      </c>
      <c r="N30">
        <f xml:space="preserve"> CALC_GAMES_BASE!Y30</f>
        <v>1</v>
      </c>
    </row>
    <row r="31" spans="1:14" x14ac:dyDescent="0.25">
      <c r="A31" t="str">
        <f>CALC_GAMES_BASE!A31</f>
        <v>25/26</v>
      </c>
      <c r="B31" s="3">
        <f>CALC_GAMES_BASE!B31</f>
        <v>45914</v>
      </c>
      <c r="C31" s="3" t="str">
        <f>CALC_GAMES_BASE!C31</f>
        <v>TRI</v>
      </c>
      <c r="D31" s="3" t="str">
        <f>CALC_GAMES_BASE!D31</f>
        <v>LIB</v>
      </c>
      <c r="E31" s="7">
        <f>CALC_GAMES_BASE!E31</f>
        <v>1</v>
      </c>
      <c r="F31" s="6">
        <f>CALC_GAMES_BASE!N31</f>
        <v>1.63</v>
      </c>
      <c r="G31" s="7">
        <f>CALC_GAMES_BASE!K31</f>
        <v>-3</v>
      </c>
      <c r="H31" s="7">
        <f t="shared" si="0"/>
        <v>1</v>
      </c>
      <c r="I31" s="6">
        <f>IF(H31=1,
  F31,
  G31*PARAMETRY!$B$11)</f>
        <v>1.63</v>
      </c>
      <c r="J31" s="6">
        <f>CALC_GAMES_BASE!U31-CALC_GAMES_BASE!V31</f>
        <v>3.0601343101343131E-2</v>
      </c>
      <c r="K31" s="6">
        <f>_xlfn.XLOOKUP(CALC_GAMES_BASE!W31,
  CALC_GOALIES!B:B,
  CALC_GOALIES!K:K)</f>
        <v>1.3707542055988897E-2</v>
      </c>
      <c r="L31" s="6">
        <f>_xlfn.XLOOKUP(C31,CALC_TEAMS_SEASON!B:B,CALC_TEAMS_SEASON!L:L)</f>
        <v>0.10805322128851533</v>
      </c>
      <c r="M31">
        <f>IF(CALC_GAMES_BASE!Z31="RS",1,1.2)</f>
        <v>1</v>
      </c>
      <c r="N31">
        <f xml:space="preserve"> CALC_GAMES_BASE!Y31</f>
        <v>1</v>
      </c>
    </row>
    <row r="32" spans="1:14" x14ac:dyDescent="0.25">
      <c r="A32" t="str">
        <f>CALC_GAMES_BASE!A32</f>
        <v>25/26</v>
      </c>
      <c r="B32" s="3">
        <f>CALC_GAMES_BASE!B32</f>
        <v>45914</v>
      </c>
      <c r="C32" s="3" t="str">
        <f>CALC_GAMES_BASE!C32</f>
        <v>SPA</v>
      </c>
      <c r="D32" s="3" t="str">
        <f>CALC_GAMES_BASE!D32</f>
        <v>KOM</v>
      </c>
      <c r="E32" s="7">
        <f>CALC_GAMES_BASE!E32</f>
        <v>0</v>
      </c>
      <c r="F32" s="6">
        <f>CALC_GAMES_BASE!N32</f>
        <v>1.0100000000000002</v>
      </c>
      <c r="G32" s="7">
        <f>CALC_GAMES_BASE!K32</f>
        <v>6</v>
      </c>
      <c r="H32" s="7">
        <f t="shared" si="0"/>
        <v>1</v>
      </c>
      <c r="I32" s="6">
        <f>IF(H32=1,
  F32,
  G32*PARAMETRY!$B$11)</f>
        <v>1.0100000000000002</v>
      </c>
      <c r="J32" s="6">
        <f>CALC_GAMES_BASE!U32-CALC_GAMES_BASE!V32</f>
        <v>7.7014652014652074E-2</v>
      </c>
      <c r="K32" s="6">
        <f>_xlfn.XLOOKUP(CALC_GAMES_BASE!W32,
  CALC_GOALIES!B:B,
  CALC_GOALIES!K:K)</f>
        <v>-1.0634669404866681E-2</v>
      </c>
      <c r="L32" s="6">
        <f>_xlfn.XLOOKUP(C32,CALC_TEAMS_SEASON!B:B,CALC_TEAMS_SEASON!L:L)</f>
        <v>6.4376750700279955E-2</v>
      </c>
      <c r="M32">
        <f>IF(CALC_GAMES_BASE!Z32="RS",1,1.2)</f>
        <v>1</v>
      </c>
      <c r="N32">
        <f xml:space="preserve"> CALC_GAMES_BASE!Y32</f>
        <v>0</v>
      </c>
    </row>
    <row r="33" spans="1:14" x14ac:dyDescent="0.25">
      <c r="A33" t="str">
        <f>CALC_GAMES_BASE!A33</f>
        <v>25/26</v>
      </c>
      <c r="B33" s="3">
        <f>CALC_GAMES_BASE!B33</f>
        <v>45914</v>
      </c>
      <c r="C33" s="3" t="str">
        <f>CALC_GAMES_BASE!C33</f>
        <v>KOM</v>
      </c>
      <c r="D33" s="3" t="str">
        <f>CALC_GAMES_BASE!D33</f>
        <v>SPA</v>
      </c>
      <c r="E33" s="7">
        <f>CALC_GAMES_BASE!E33</f>
        <v>1</v>
      </c>
      <c r="F33" s="6">
        <f>CALC_GAMES_BASE!N33</f>
        <v>-1.0100000000000002</v>
      </c>
      <c r="G33" s="7">
        <f>CALC_GAMES_BASE!K33</f>
        <v>-6</v>
      </c>
      <c r="H33" s="7">
        <f t="shared" si="0"/>
        <v>1</v>
      </c>
      <c r="I33" s="6">
        <f>IF(H33=1,
  F33,
  G33*PARAMETRY!$B$11)</f>
        <v>-1.0100000000000002</v>
      </c>
      <c r="J33" s="6">
        <f>CALC_GAMES_BASE!U33-CALC_GAMES_BASE!V33</f>
        <v>-7.7014652014652074E-2</v>
      </c>
      <c r="K33" s="6">
        <f>_xlfn.XLOOKUP(CALC_GAMES_BASE!W33,
  CALC_GOALIES!B:B,
  CALC_GOALIES!K:K)</f>
        <v>-1.5147095063735572E-3</v>
      </c>
      <c r="L33" s="6">
        <f>_xlfn.XLOOKUP(C33,CALC_TEAMS_SEASON!B:B,CALC_TEAMS_SEASON!L:L)</f>
        <v>-0.37268207282913179</v>
      </c>
      <c r="M33">
        <f>IF(CALC_GAMES_BASE!Z33="RS",1,1.2)</f>
        <v>1</v>
      </c>
      <c r="N33">
        <f xml:space="preserve"> CALC_GAMES_BASE!Y33</f>
        <v>1</v>
      </c>
    </row>
    <row r="34" spans="1:14" x14ac:dyDescent="0.25">
      <c r="A34" t="str">
        <f>CALC_GAMES_BASE!A34</f>
        <v>25/26</v>
      </c>
      <c r="B34" s="3">
        <f>CALC_GAMES_BASE!B34</f>
        <v>45914</v>
      </c>
      <c r="C34" s="3" t="str">
        <f>CALC_GAMES_BASE!C34</f>
        <v>CEB</v>
      </c>
      <c r="D34" s="3" t="str">
        <f>CALC_GAMES_BASE!D34</f>
        <v>PLZ</v>
      </c>
      <c r="E34" s="7">
        <f>CALC_GAMES_BASE!E34</f>
        <v>0</v>
      </c>
      <c r="F34" s="6" t="str">
        <f>CALC_GAMES_BASE!N34</f>
        <v/>
      </c>
      <c r="G34" s="7">
        <f>CALC_GAMES_BASE!K34</f>
        <v>4</v>
      </c>
      <c r="H34" s="7">
        <f t="shared" si="0"/>
        <v>0</v>
      </c>
      <c r="I34" s="6">
        <f>IF(H34=1,
  F34,
  G34*PARAMETRY!$B$11)</f>
        <v>0.2</v>
      </c>
      <c r="J34" s="6">
        <f>CALC_GAMES_BASE!U34-CALC_GAMES_BASE!V34</f>
        <v>-4.619824619824614E-2</v>
      </c>
      <c r="K34" s="6">
        <f>_xlfn.XLOOKUP(CALC_GAMES_BASE!W34,
  CALC_GOALIES!B:B,
  CALC_GOALIES!K:K)</f>
        <v>3.9343341510811314E-3</v>
      </c>
      <c r="L34" s="6">
        <f>_xlfn.XLOOKUP(C34,CALC_TEAMS_SEASON!B:B,CALC_TEAMS_SEASON!L:L)</f>
        <v>-0.24978011204481798</v>
      </c>
      <c r="M34">
        <f>IF(CALC_GAMES_BASE!Z34="RS",1,1.2)</f>
        <v>1</v>
      </c>
      <c r="N34">
        <f xml:space="preserve"> CALC_GAMES_BASE!Y34</f>
        <v>1</v>
      </c>
    </row>
    <row r="35" spans="1:14" x14ac:dyDescent="0.25">
      <c r="A35" t="str">
        <f>CALC_GAMES_BASE!A35</f>
        <v>25/26</v>
      </c>
      <c r="B35" s="3">
        <f>CALC_GAMES_BASE!B35</f>
        <v>45914</v>
      </c>
      <c r="C35" s="3" t="str">
        <f>CALC_GAMES_BASE!C35</f>
        <v>KLA</v>
      </c>
      <c r="D35" s="3" t="str">
        <f>CALC_GAMES_BASE!D35</f>
        <v>MHK</v>
      </c>
      <c r="E35" s="7">
        <f>CALC_GAMES_BASE!E35</f>
        <v>1</v>
      </c>
      <c r="F35" s="6" t="str">
        <f>CALC_GAMES_BASE!N35</f>
        <v/>
      </c>
      <c r="G35" s="7">
        <f>CALC_GAMES_BASE!K35</f>
        <v>-3</v>
      </c>
      <c r="H35" s="7">
        <f t="shared" si="0"/>
        <v>0</v>
      </c>
      <c r="I35" s="6">
        <f>IF(H35=1,
  F35,
  G35*PARAMETRY!$B$11)</f>
        <v>-0.15000000000000002</v>
      </c>
      <c r="J35" s="6">
        <f>CALC_GAMES_BASE!U35-CALC_GAMES_BASE!V35</f>
        <v>-1.0645604395604441E-2</v>
      </c>
      <c r="K35" s="6">
        <f>_xlfn.XLOOKUP(CALC_GAMES_BASE!W35,
  CALC_GOALIES!B:B,
  CALC_GOALIES!K:K)</f>
        <v>1.2463190300688209E-2</v>
      </c>
      <c r="L35" s="6">
        <f>_xlfn.XLOOKUP(C35,CALC_TEAMS_SEASON!B:B,CALC_TEAMS_SEASON!L:L)</f>
        <v>-0.19819677871148478</v>
      </c>
      <c r="M35">
        <f>IF(CALC_GAMES_BASE!Z35="RS",1,1.2)</f>
        <v>1</v>
      </c>
      <c r="N35">
        <f xml:space="preserve"> CALC_GAMES_BASE!Y35</f>
        <v>1</v>
      </c>
    </row>
    <row r="36" spans="1:14" x14ac:dyDescent="0.25">
      <c r="A36" t="str">
        <f>CALC_GAMES_BASE!A36</f>
        <v>25/26</v>
      </c>
      <c r="B36" s="3">
        <f>CALC_GAMES_BASE!B36</f>
        <v>45914</v>
      </c>
      <c r="C36" s="3" t="str">
        <f>CALC_GAMES_BASE!C36</f>
        <v>KVA</v>
      </c>
      <c r="D36" s="3" t="str">
        <f>CALC_GAMES_BASE!D36</f>
        <v>OLO</v>
      </c>
      <c r="E36" s="7">
        <f>CALC_GAMES_BASE!E36</f>
        <v>1</v>
      </c>
      <c r="F36" s="6" t="str">
        <f>CALC_GAMES_BASE!N36</f>
        <v/>
      </c>
      <c r="G36" s="7">
        <f>CALC_GAMES_BASE!K36</f>
        <v>-18</v>
      </c>
      <c r="H36" s="7">
        <f t="shared" si="0"/>
        <v>0</v>
      </c>
      <c r="I36" s="6">
        <f>IF(H36=1,
  F36,
  G36*PARAMETRY!$B$11)</f>
        <v>-0.9</v>
      </c>
      <c r="J36" s="6">
        <f>CALC_GAMES_BASE!U36-CALC_GAMES_BASE!V36</f>
        <v>2.3977411477411475E-2</v>
      </c>
      <c r="K36" s="6">
        <f>_xlfn.XLOOKUP(CALC_GAMES_BASE!W36,
  CALC_GOALIES!B:B,
  CALC_GOALIES!K:K)</f>
        <v>1.2242809776983998E-2</v>
      </c>
      <c r="L36" s="6">
        <f>_xlfn.XLOOKUP(C36,CALC_TEAMS_SEASON!B:B,CALC_TEAMS_SEASON!L:L)</f>
        <v>-0.28757177871148476</v>
      </c>
      <c r="M36">
        <f>IF(CALC_GAMES_BASE!Z36="RS",1,1.2)</f>
        <v>1</v>
      </c>
      <c r="N36">
        <f xml:space="preserve"> CALC_GAMES_BASE!Y36</f>
        <v>0</v>
      </c>
    </row>
    <row r="37" spans="1:14" x14ac:dyDescent="0.25">
      <c r="A37" t="str">
        <f>CALC_GAMES_BASE!A37</f>
        <v>25/26</v>
      </c>
      <c r="B37" s="3">
        <f>CALC_GAMES_BASE!B37</f>
        <v>45914</v>
      </c>
      <c r="C37" s="3" t="str">
        <f>CALC_GAMES_BASE!C37</f>
        <v>LIB</v>
      </c>
      <c r="D37" s="3" t="str">
        <f>CALC_GAMES_BASE!D37</f>
        <v>TRI</v>
      </c>
      <c r="E37" s="7">
        <f>CALC_GAMES_BASE!E37</f>
        <v>0</v>
      </c>
      <c r="F37" s="6">
        <f>CALC_GAMES_BASE!N37</f>
        <v>-1.63</v>
      </c>
      <c r="G37" s="7">
        <f>CALC_GAMES_BASE!K37</f>
        <v>3</v>
      </c>
      <c r="H37" s="7">
        <f t="shared" si="0"/>
        <v>1</v>
      </c>
      <c r="I37" s="6">
        <f>IF(H37=1,
  F37,
  G37*PARAMETRY!$B$11)</f>
        <v>-1.63</v>
      </c>
      <c r="J37" s="6">
        <f>CALC_GAMES_BASE!U37-CALC_GAMES_BASE!V37</f>
        <v>-3.0601343101343131E-2</v>
      </c>
      <c r="K37" s="6">
        <f>_xlfn.XLOOKUP(CALC_GAMES_BASE!W37,
  CALC_GOALIES!B:B,
  CALC_GOALIES!K:K)</f>
        <v>1.2275709048813366E-2</v>
      </c>
      <c r="L37" s="6">
        <f>_xlfn.XLOOKUP(C37,CALC_TEAMS_SEASON!B:B,CALC_TEAMS_SEASON!L:L)</f>
        <v>0.22367822128851536</v>
      </c>
      <c r="M37">
        <f>IF(CALC_GAMES_BASE!Z37="RS",1,1.2)</f>
        <v>1</v>
      </c>
      <c r="N37">
        <f xml:space="preserve"> CALC_GAMES_BASE!Y37</f>
        <v>0</v>
      </c>
    </row>
    <row r="38" spans="1:14" x14ac:dyDescent="0.25">
      <c r="A38" t="str">
        <f>CALC_GAMES_BASE!A38</f>
        <v>25/26</v>
      </c>
      <c r="B38" s="3">
        <f>CALC_GAMES_BASE!B38</f>
        <v>45914</v>
      </c>
      <c r="C38" s="3" t="str">
        <f>CALC_GAMES_BASE!C38</f>
        <v>LIT</v>
      </c>
      <c r="D38" s="3" t="str">
        <f>CALC_GAMES_BASE!D38</f>
        <v>VIT</v>
      </c>
      <c r="E38" s="7">
        <f>CALC_GAMES_BASE!E38</f>
        <v>1</v>
      </c>
      <c r="F38" s="6" t="str">
        <f>CALC_GAMES_BASE!N38</f>
        <v/>
      </c>
      <c r="G38" s="7">
        <f>CALC_GAMES_BASE!K38</f>
        <v>10</v>
      </c>
      <c r="H38" s="7">
        <f t="shared" si="0"/>
        <v>0</v>
      </c>
      <c r="I38" s="6">
        <f>IF(H38=1,
  F38,
  G38*PARAMETRY!$B$11)</f>
        <v>0.5</v>
      </c>
      <c r="J38" s="6">
        <f>CALC_GAMES_BASE!U38-CALC_GAMES_BASE!V38</f>
        <v>-6.8956043956044002E-2</v>
      </c>
      <c r="K38" s="6">
        <f>_xlfn.XLOOKUP(CALC_GAMES_BASE!W38,
  CALC_GOALIES!B:B,
  CALC_GOALIES!K:K)</f>
        <v>-8.1125178551773036E-3</v>
      </c>
      <c r="L38" s="6">
        <f>_xlfn.XLOOKUP(C38,CALC_TEAMS_SEASON!B:B,CALC_TEAMS_SEASON!L:L)</f>
        <v>-1.4784467787114848</v>
      </c>
      <c r="M38">
        <f>IF(CALC_GAMES_BASE!Z38="RS",1,1.2)</f>
        <v>1</v>
      </c>
      <c r="N38">
        <f xml:space="preserve"> CALC_GAMES_BASE!Y38</f>
        <v>0</v>
      </c>
    </row>
    <row r="39" spans="1:14" x14ac:dyDescent="0.25">
      <c r="A39" t="str">
        <f>CALC_GAMES_BASE!A39</f>
        <v>25/26</v>
      </c>
      <c r="B39" s="3">
        <f>CALC_GAMES_BASE!B39</f>
        <v>45914</v>
      </c>
      <c r="C39" s="3" t="str">
        <f>CALC_GAMES_BASE!C39</f>
        <v>MBL</v>
      </c>
      <c r="D39" s="3" t="str">
        <f>CALC_GAMES_BASE!D39</f>
        <v>PCE</v>
      </c>
      <c r="E39" s="7">
        <f>CALC_GAMES_BASE!E39</f>
        <v>0</v>
      </c>
      <c r="F39" s="6">
        <f>CALC_GAMES_BASE!N39</f>
        <v>-2.8100000000000005</v>
      </c>
      <c r="G39" s="7">
        <f>CALC_GAMES_BASE!K39</f>
        <v>-29</v>
      </c>
      <c r="H39" s="7">
        <f t="shared" si="0"/>
        <v>1</v>
      </c>
      <c r="I39" s="6">
        <f>IF(H39=1,
  F39,
  G39*PARAMETRY!$B$11)</f>
        <v>-2.8100000000000005</v>
      </c>
      <c r="J39" s="6">
        <f>CALC_GAMES_BASE!U39-CALC_GAMES_BASE!V39</f>
        <v>-8.4706959706959753E-2</v>
      </c>
      <c r="K39" s="6">
        <f>_xlfn.XLOOKUP(CALC_GAMES_BASE!W39,
  CALC_GOALIES!B:B,
  CALC_GOALIES!K:K)</f>
        <v>-2.6902958554511747E-2</v>
      </c>
      <c r="L39" s="6">
        <f>_xlfn.XLOOKUP(C39,CALC_TEAMS_SEASON!B:B,CALC_TEAMS_SEASON!L:L)</f>
        <v>-0.89069677871148467</v>
      </c>
      <c r="M39">
        <f>IF(CALC_GAMES_BASE!Z39="RS",1,1.2)</f>
        <v>1</v>
      </c>
      <c r="N39">
        <f xml:space="preserve"> CALC_GAMES_BASE!Y39</f>
        <v>0</v>
      </c>
    </row>
    <row r="40" spans="1:14" x14ac:dyDescent="0.25">
      <c r="A40" t="str">
        <f>CALC_GAMES_BASE!A40</f>
        <v>25/26</v>
      </c>
      <c r="B40" s="3">
        <f>CALC_GAMES_BASE!B40</f>
        <v>45914</v>
      </c>
      <c r="C40" s="3" t="str">
        <f>CALC_GAMES_BASE!C40</f>
        <v>MHK</v>
      </c>
      <c r="D40" s="3" t="str">
        <f>CALC_GAMES_BASE!D40</f>
        <v>KLA</v>
      </c>
      <c r="E40" s="7">
        <f>CALC_GAMES_BASE!E40</f>
        <v>0</v>
      </c>
      <c r="F40" s="6" t="str">
        <f>CALC_GAMES_BASE!N40</f>
        <v/>
      </c>
      <c r="G40" s="7">
        <f>CALC_GAMES_BASE!K40</f>
        <v>3</v>
      </c>
      <c r="H40" s="7">
        <f t="shared" si="0"/>
        <v>0</v>
      </c>
      <c r="I40" s="6">
        <f>IF(H40=1,
  F40,
  G40*PARAMETRY!$B$11)</f>
        <v>0.15000000000000002</v>
      </c>
      <c r="J40" s="6">
        <f>CALC_GAMES_BASE!U40-CALC_GAMES_BASE!V40</f>
        <v>1.0645604395604441E-2</v>
      </c>
      <c r="K40" s="6">
        <f>_xlfn.XLOOKUP(CALC_GAMES_BASE!W40,
  CALC_GOALIES!B:B,
  CALC_GOALIES!K:K)</f>
        <v>2.1917994590268441E-2</v>
      </c>
      <c r="L40" s="6">
        <f>_xlfn.XLOOKUP(C40,CALC_TEAMS_SEASON!B:B,CALC_TEAMS_SEASON!L:L)</f>
        <v>0.14821988795518207</v>
      </c>
      <c r="M40">
        <f>IF(CALC_GAMES_BASE!Z40="RS",1,1.2)</f>
        <v>1</v>
      </c>
      <c r="N40">
        <f xml:space="preserve"> CALC_GAMES_BASE!Y40</f>
        <v>0</v>
      </c>
    </row>
    <row r="41" spans="1:14" x14ac:dyDescent="0.25">
      <c r="A41" t="str">
        <f>CALC_GAMES_BASE!A41</f>
        <v>25/26</v>
      </c>
      <c r="B41" s="3">
        <f>CALC_GAMES_BASE!B41</f>
        <v>45914</v>
      </c>
      <c r="C41" s="3" t="str">
        <f>CALC_GAMES_BASE!C41</f>
        <v>OLO</v>
      </c>
      <c r="D41" s="3" t="str">
        <f>CALC_GAMES_BASE!D41</f>
        <v>KVA</v>
      </c>
      <c r="E41" s="7">
        <f>CALC_GAMES_BASE!E41</f>
        <v>0</v>
      </c>
      <c r="F41" s="6" t="str">
        <f>CALC_GAMES_BASE!N41</f>
        <v/>
      </c>
      <c r="G41" s="7">
        <f>CALC_GAMES_BASE!K41</f>
        <v>18</v>
      </c>
      <c r="H41" s="7">
        <f t="shared" si="0"/>
        <v>0</v>
      </c>
      <c r="I41" s="6">
        <f>IF(H41=1,
  F41,
  G41*PARAMETRY!$B$11)</f>
        <v>0.9</v>
      </c>
      <c r="J41" s="6">
        <f>CALC_GAMES_BASE!U41-CALC_GAMES_BASE!V41</f>
        <v>-2.3977411477411475E-2</v>
      </c>
      <c r="K41" s="6">
        <f>_xlfn.XLOOKUP(CALC_GAMES_BASE!W41,
  CALC_GOALIES!B:B,
  CALC_GOALIES!K:K)</f>
        <v>4.4713327207696052E-3</v>
      </c>
      <c r="L41" s="6">
        <f>_xlfn.XLOOKUP(C41,CALC_TEAMS_SEASON!B:B,CALC_TEAMS_SEASON!L:L)</f>
        <v>-1.0613217787114846</v>
      </c>
      <c r="M41">
        <f>IF(CALC_GAMES_BASE!Z41="RS",1,1.2)</f>
        <v>1</v>
      </c>
      <c r="N41">
        <f xml:space="preserve"> CALC_GAMES_BASE!Y41</f>
        <v>1</v>
      </c>
    </row>
    <row r="42" spans="1:14" x14ac:dyDescent="0.25">
      <c r="A42" t="str">
        <f>CALC_GAMES_BASE!A42</f>
        <v>25/26</v>
      </c>
      <c r="B42" s="3">
        <f>CALC_GAMES_BASE!B42</f>
        <v>45914</v>
      </c>
      <c r="C42" s="3" t="str">
        <f>CALC_GAMES_BASE!C42</f>
        <v>PLZ</v>
      </c>
      <c r="D42" s="3" t="str">
        <f>CALC_GAMES_BASE!D42</f>
        <v>CEB</v>
      </c>
      <c r="E42" s="7">
        <f>CALC_GAMES_BASE!E42</f>
        <v>1</v>
      </c>
      <c r="F42" s="6" t="str">
        <f>CALC_GAMES_BASE!N42</f>
        <v/>
      </c>
      <c r="G42" s="7">
        <f>CALC_GAMES_BASE!K42</f>
        <v>-4</v>
      </c>
      <c r="H42" s="7">
        <f t="shared" si="0"/>
        <v>0</v>
      </c>
      <c r="I42" s="6">
        <f>IF(H42=1,
  F42,
  G42*PARAMETRY!$B$11)</f>
        <v>-0.2</v>
      </c>
      <c r="J42" s="6">
        <f>CALC_GAMES_BASE!U42-CALC_GAMES_BASE!V42</f>
        <v>4.619824619824614E-2</v>
      </c>
      <c r="K42" s="6">
        <f>_xlfn.XLOOKUP(CALC_GAMES_BASE!W42,
  CALC_GOALIES!B:B,
  CALC_GOALIES!K:K)</f>
        <v>1.7617039556646619E-2</v>
      </c>
      <c r="L42" s="6">
        <f>_xlfn.XLOOKUP(C42,CALC_TEAMS_SEASON!B:B,CALC_TEAMS_SEASON!L:L)</f>
        <v>7.3678221288515283E-2</v>
      </c>
      <c r="M42">
        <f>IF(CALC_GAMES_BASE!Z42="RS",1,1.2)</f>
        <v>1</v>
      </c>
      <c r="N42">
        <f xml:space="preserve"> CALC_GAMES_BASE!Y42</f>
        <v>0</v>
      </c>
    </row>
    <row r="43" spans="1:14" x14ac:dyDescent="0.25">
      <c r="A43" t="str">
        <f>CALC_GAMES_BASE!A43</f>
        <v>25/26</v>
      </c>
      <c r="B43" s="3">
        <f>CALC_GAMES_BASE!B43</f>
        <v>45914</v>
      </c>
      <c r="C43" s="3" t="str">
        <f>CALC_GAMES_BASE!C43</f>
        <v>VIT</v>
      </c>
      <c r="D43" s="3" t="str">
        <f>CALC_GAMES_BASE!D43</f>
        <v>LIT</v>
      </c>
      <c r="E43" s="7">
        <f>CALC_GAMES_BASE!E43</f>
        <v>0</v>
      </c>
      <c r="F43" s="6" t="str">
        <f>CALC_GAMES_BASE!N43</f>
        <v/>
      </c>
      <c r="G43" s="7">
        <f>CALC_GAMES_BASE!K43</f>
        <v>-10</v>
      </c>
      <c r="H43" s="7">
        <f t="shared" si="0"/>
        <v>0</v>
      </c>
      <c r="I43" s="6">
        <f>IF(H43=1,
  F43,
  G43*PARAMETRY!$B$11)</f>
        <v>-0.5</v>
      </c>
      <c r="J43" s="6">
        <f>CALC_GAMES_BASE!U43-CALC_GAMES_BASE!V43</f>
        <v>6.8956043956044002E-2</v>
      </c>
      <c r="K43" s="6">
        <f>_xlfn.XLOOKUP(CALC_GAMES_BASE!W43,
  CALC_GOALIES!B:B,
  CALC_GOALIES!K:K)</f>
        <v>-4.0156231301455403E-2</v>
      </c>
      <c r="L43" s="6">
        <f>_xlfn.XLOOKUP(C43,CALC_TEAMS_SEASON!B:B,CALC_TEAMS_SEASON!L:L)</f>
        <v>-1.0281967787114845</v>
      </c>
      <c r="M43">
        <f>IF(CALC_GAMES_BASE!Z43="RS",1,1.2)</f>
        <v>1</v>
      </c>
      <c r="N43">
        <f xml:space="preserve"> CALC_GAMES_BASE!Y43</f>
        <v>1</v>
      </c>
    </row>
    <row r="44" spans="1:14" x14ac:dyDescent="0.25">
      <c r="A44" t="str">
        <f>CALC_GAMES_BASE!A44</f>
        <v>25/26</v>
      </c>
      <c r="B44" s="3">
        <f>CALC_GAMES_BASE!B44</f>
        <v>45916</v>
      </c>
      <c r="C44" s="3" t="str">
        <f>CALC_GAMES_BASE!C44</f>
        <v>PCE</v>
      </c>
      <c r="D44" s="3" t="str">
        <f>CALC_GAMES_BASE!D44</f>
        <v>CEB</v>
      </c>
      <c r="E44" s="7">
        <f>CALC_GAMES_BASE!E44</f>
        <v>0</v>
      </c>
      <c r="F44" s="6">
        <f>CALC_GAMES_BASE!N44</f>
        <v>-1.1600000000000001</v>
      </c>
      <c r="G44" s="7">
        <f>CALC_GAMES_BASE!K44</f>
        <v>-2</v>
      </c>
      <c r="H44" s="7">
        <f t="shared" si="0"/>
        <v>1</v>
      </c>
      <c r="I44" s="6">
        <f>IF(H44=1,
  F44,
  G44*PARAMETRY!$B$11)</f>
        <v>-1.1600000000000001</v>
      </c>
      <c r="J44" s="6">
        <f>CALC_GAMES_BASE!U44-CALC_GAMES_BASE!V44</f>
        <v>7.2762654012654054E-2</v>
      </c>
      <c r="K44" s="6">
        <f>_xlfn.XLOOKUP(CALC_GAMES_BASE!W44,
  CALC_GOALIES!B:B,
  CALC_GOALIES!K:K)</f>
        <v>-2.4829341344873024E-3</v>
      </c>
      <c r="L44" s="6">
        <f>_xlfn.XLOOKUP(C44,CALC_TEAMS_SEASON!B:B,CALC_TEAMS_SEASON!L:L)</f>
        <v>0.62437675070027965</v>
      </c>
      <c r="M44">
        <f>IF(CALC_GAMES_BASE!Z44="RS",1,1.2)</f>
        <v>1</v>
      </c>
      <c r="N44">
        <f xml:space="preserve"> CALC_GAMES_BASE!Y44</f>
        <v>0</v>
      </c>
    </row>
    <row r="45" spans="1:14" x14ac:dyDescent="0.25">
      <c r="A45" t="str">
        <f>CALC_GAMES_BASE!A45</f>
        <v>25/26</v>
      </c>
      <c r="B45" s="3">
        <f>CALC_GAMES_BASE!B45</f>
        <v>45916</v>
      </c>
      <c r="C45" s="3" t="str">
        <f>CALC_GAMES_BASE!C45</f>
        <v>TRI</v>
      </c>
      <c r="D45" s="3" t="str">
        <f>CALC_GAMES_BASE!D45</f>
        <v>MBL</v>
      </c>
      <c r="E45" s="7">
        <f>CALC_GAMES_BASE!E45</f>
        <v>0</v>
      </c>
      <c r="F45" s="6">
        <f>CALC_GAMES_BASE!N45</f>
        <v>-0.91000000000000014</v>
      </c>
      <c r="G45" s="7">
        <f>CALC_GAMES_BASE!K45</f>
        <v>0</v>
      </c>
      <c r="H45" s="7">
        <f t="shared" si="0"/>
        <v>1</v>
      </c>
      <c r="I45" s="6">
        <f>IF(H45=1,
  F45,
  G45*PARAMETRY!$B$11)</f>
        <v>-0.91000000000000014</v>
      </c>
      <c r="J45" s="6">
        <f>CALC_GAMES_BASE!U45-CALC_GAMES_BASE!V45</f>
        <v>5.6105006105006142E-2</v>
      </c>
      <c r="K45" s="6">
        <f>_xlfn.XLOOKUP(CALC_GAMES_BASE!W45,
  CALC_GOALIES!B:B,
  CALC_GOALIES!K:K)</f>
        <v>1.3707542055988897E-2</v>
      </c>
      <c r="L45" s="6">
        <f>_xlfn.XLOOKUP(C45,CALC_TEAMS_SEASON!B:B,CALC_TEAMS_SEASON!L:L)</f>
        <v>0.10805322128851533</v>
      </c>
      <c r="M45">
        <f>IF(CALC_GAMES_BASE!Z45="RS",1,1.2)</f>
        <v>1</v>
      </c>
      <c r="N45">
        <f xml:space="preserve"> CALC_GAMES_BASE!Y45</f>
        <v>0</v>
      </c>
    </row>
    <row r="46" spans="1:14" x14ac:dyDescent="0.25">
      <c r="A46" t="str">
        <f>CALC_GAMES_BASE!A46</f>
        <v>25/26</v>
      </c>
      <c r="B46" s="3">
        <f>CALC_GAMES_BASE!B46</f>
        <v>45916</v>
      </c>
      <c r="C46" s="3" t="str">
        <f>CALC_GAMES_BASE!C46</f>
        <v>SPA</v>
      </c>
      <c r="D46" s="3" t="str">
        <f>CALC_GAMES_BASE!D46</f>
        <v>KVA</v>
      </c>
      <c r="E46" s="7">
        <f>CALC_GAMES_BASE!E46</f>
        <v>1</v>
      </c>
      <c r="F46" s="6">
        <f>CALC_GAMES_BASE!N46</f>
        <v>0.69000000000000039</v>
      </c>
      <c r="G46" s="7">
        <f>CALC_GAMES_BASE!K46</f>
        <v>6</v>
      </c>
      <c r="H46" s="7">
        <f t="shared" si="0"/>
        <v>1</v>
      </c>
      <c r="I46" s="6">
        <f>IF(H46=1,
  F46,
  G46*PARAMETRY!$B$11)</f>
        <v>0.69000000000000039</v>
      </c>
      <c r="J46" s="6">
        <f>CALC_GAMES_BASE!U46-CALC_GAMES_BASE!V46</f>
        <v>4.6733821733821762E-2</v>
      </c>
      <c r="K46" s="6">
        <f>_xlfn.XLOOKUP(CALC_GAMES_BASE!W46,
  CALC_GOALIES!B:B,
  CALC_GOALIES!K:K)</f>
        <v>3.5919237922225067E-3</v>
      </c>
      <c r="L46" s="6">
        <f>_xlfn.XLOOKUP(C46,CALC_TEAMS_SEASON!B:B,CALC_TEAMS_SEASON!L:L)</f>
        <v>6.4376750700279955E-2</v>
      </c>
      <c r="M46">
        <f>IF(CALC_GAMES_BASE!Z46="RS",1,1.2)</f>
        <v>1</v>
      </c>
      <c r="N46">
        <f xml:space="preserve"> CALC_GAMES_BASE!Y46</f>
        <v>0</v>
      </c>
    </row>
    <row r="47" spans="1:14" x14ac:dyDescent="0.25">
      <c r="A47" t="str">
        <f>CALC_GAMES_BASE!A47</f>
        <v>25/26</v>
      </c>
      <c r="B47" s="3">
        <f>CALC_GAMES_BASE!B47</f>
        <v>45916</v>
      </c>
      <c r="C47" s="3" t="str">
        <f>CALC_GAMES_BASE!C47</f>
        <v>KVA</v>
      </c>
      <c r="D47" s="3" t="str">
        <f>CALC_GAMES_BASE!D47</f>
        <v>SPA</v>
      </c>
      <c r="E47" s="7">
        <f>CALC_GAMES_BASE!E47</f>
        <v>0</v>
      </c>
      <c r="F47" s="6">
        <f>CALC_GAMES_BASE!N47</f>
        <v>-0.69000000000000039</v>
      </c>
      <c r="G47" s="7">
        <f>CALC_GAMES_BASE!K47</f>
        <v>-6</v>
      </c>
      <c r="H47" s="7">
        <f t="shared" si="0"/>
        <v>1</v>
      </c>
      <c r="I47" s="6">
        <f>IF(H47=1,
  F47,
  G47*PARAMETRY!$B$11)</f>
        <v>-0.69000000000000039</v>
      </c>
      <c r="J47" s="6">
        <f>CALC_GAMES_BASE!U47-CALC_GAMES_BASE!V47</f>
        <v>-4.6733821733821762E-2</v>
      </c>
      <c r="K47" s="6">
        <f>_xlfn.XLOOKUP(CALC_GAMES_BASE!W47,
  CALC_GOALIES!B:B,
  CALC_GOALIES!K:K)</f>
        <v>1.2242809776983998E-2</v>
      </c>
      <c r="L47" s="6">
        <f>_xlfn.XLOOKUP(C47,CALC_TEAMS_SEASON!B:B,CALC_TEAMS_SEASON!L:L)</f>
        <v>-0.28757177871148476</v>
      </c>
      <c r="M47">
        <f>IF(CALC_GAMES_BASE!Z47="RS",1,1.2)</f>
        <v>1</v>
      </c>
      <c r="N47">
        <f xml:space="preserve"> CALC_GAMES_BASE!Y47</f>
        <v>1</v>
      </c>
    </row>
    <row r="48" spans="1:14" x14ac:dyDescent="0.25">
      <c r="A48" t="str">
        <f>CALC_GAMES_BASE!A48</f>
        <v>25/26</v>
      </c>
      <c r="B48" s="3">
        <f>CALC_GAMES_BASE!B48</f>
        <v>45916</v>
      </c>
      <c r="C48" s="3" t="str">
        <f>CALC_GAMES_BASE!C48</f>
        <v>KOM</v>
      </c>
      <c r="D48" s="3" t="str">
        <f>CALC_GAMES_BASE!D48</f>
        <v>VIT</v>
      </c>
      <c r="E48" s="7">
        <f>CALC_GAMES_BASE!E48</f>
        <v>1</v>
      </c>
      <c r="F48" s="6">
        <f>CALC_GAMES_BASE!N48</f>
        <v>1.4400000000000002</v>
      </c>
      <c r="G48" s="7">
        <f>CALC_GAMES_BASE!K48</f>
        <v>-4</v>
      </c>
      <c r="H48" s="7">
        <f t="shared" si="0"/>
        <v>1</v>
      </c>
      <c r="I48" s="6">
        <f>IF(H48=1,
  F48,
  G48*PARAMETRY!$B$11)</f>
        <v>1.4400000000000002</v>
      </c>
      <c r="J48" s="6">
        <f>CALC_GAMES_BASE!U48-CALC_GAMES_BASE!V48</f>
        <v>-2.6259157509157555E-2</v>
      </c>
      <c r="K48" s="6">
        <f>_xlfn.XLOOKUP(CALC_GAMES_BASE!W48,
  CALC_GOALIES!B:B,
  CALC_GOALIES!K:K)</f>
        <v>-1.5147095063735572E-3</v>
      </c>
      <c r="L48" s="6">
        <f>_xlfn.XLOOKUP(C48,CALC_TEAMS_SEASON!B:B,CALC_TEAMS_SEASON!L:L)</f>
        <v>-0.37268207282913179</v>
      </c>
      <c r="M48">
        <f>IF(CALC_GAMES_BASE!Z48="RS",1,1.2)</f>
        <v>1</v>
      </c>
      <c r="N48">
        <f xml:space="preserve"> CALC_GAMES_BASE!Y48</f>
        <v>1</v>
      </c>
    </row>
    <row r="49" spans="1:14" x14ac:dyDescent="0.25">
      <c r="A49" t="str">
        <f>CALC_GAMES_BASE!A49</f>
        <v>25/26</v>
      </c>
      <c r="B49" s="3">
        <f>CALC_GAMES_BASE!B49</f>
        <v>45916</v>
      </c>
      <c r="C49" s="3" t="str">
        <f>CALC_GAMES_BASE!C49</f>
        <v>CEB</v>
      </c>
      <c r="D49" s="3" t="str">
        <f>CALC_GAMES_BASE!D49</f>
        <v>PCE</v>
      </c>
      <c r="E49" s="7">
        <f>CALC_GAMES_BASE!E49</f>
        <v>1</v>
      </c>
      <c r="F49" s="6">
        <f>CALC_GAMES_BASE!N49</f>
        <v>1.1600000000000001</v>
      </c>
      <c r="G49" s="7">
        <f>CALC_GAMES_BASE!K49</f>
        <v>2</v>
      </c>
      <c r="H49" s="7">
        <f t="shared" si="0"/>
        <v>1</v>
      </c>
      <c r="I49" s="6">
        <f>IF(H49=1,
  F49,
  G49*PARAMETRY!$B$11)</f>
        <v>1.1600000000000001</v>
      </c>
      <c r="J49" s="6">
        <f>CALC_GAMES_BASE!U49-CALC_GAMES_BASE!V49</f>
        <v>-7.2762654012654054E-2</v>
      </c>
      <c r="K49" s="6">
        <f>_xlfn.XLOOKUP(CALC_GAMES_BASE!W49,
  CALC_GOALIES!B:B,
  CALC_GOALIES!K:K)</f>
        <v>3.9343341510811314E-3</v>
      </c>
      <c r="L49" s="6">
        <f>_xlfn.XLOOKUP(C49,CALC_TEAMS_SEASON!B:B,CALC_TEAMS_SEASON!L:L)</f>
        <v>-0.24978011204481798</v>
      </c>
      <c r="M49">
        <f>IF(CALC_GAMES_BASE!Z49="RS",1,1.2)</f>
        <v>1</v>
      </c>
      <c r="N49">
        <f xml:space="preserve"> CALC_GAMES_BASE!Y49</f>
        <v>1</v>
      </c>
    </row>
    <row r="50" spans="1:14" x14ac:dyDescent="0.25">
      <c r="A50" t="str">
        <f>CALC_GAMES_BASE!A50</f>
        <v>25/26</v>
      </c>
      <c r="B50" s="3">
        <f>CALC_GAMES_BASE!B50</f>
        <v>45916</v>
      </c>
      <c r="C50" s="3" t="str">
        <f>CALC_GAMES_BASE!C50</f>
        <v>LIB</v>
      </c>
      <c r="D50" s="3" t="str">
        <f>CALC_GAMES_BASE!D50</f>
        <v>LIT</v>
      </c>
      <c r="E50" s="7">
        <f>CALC_GAMES_BASE!E50</f>
        <v>1</v>
      </c>
      <c r="F50" s="6" t="str">
        <f>CALC_GAMES_BASE!N50</f>
        <v/>
      </c>
      <c r="G50" s="7">
        <f>CALC_GAMES_BASE!K50</f>
        <v>44</v>
      </c>
      <c r="H50" s="7">
        <f t="shared" si="0"/>
        <v>0</v>
      </c>
      <c r="I50" s="6">
        <f>IF(H50=1,
  F50,
  G50*PARAMETRY!$B$11)</f>
        <v>2.2000000000000002</v>
      </c>
      <c r="J50" s="6">
        <f>CALC_GAMES_BASE!U50-CALC_GAMES_BASE!V50</f>
        <v>4.2880036630036658E-2</v>
      </c>
      <c r="K50" s="6">
        <f>_xlfn.XLOOKUP(CALC_GAMES_BASE!W50,
  CALC_GOALIES!B:B,
  CALC_GOALIES!K:K)</f>
        <v>-2.3186867881899276E-2</v>
      </c>
      <c r="L50" s="6">
        <f>_xlfn.XLOOKUP(C50,CALC_TEAMS_SEASON!B:B,CALC_TEAMS_SEASON!L:L)</f>
        <v>0.22367822128851536</v>
      </c>
      <c r="M50">
        <f>IF(CALC_GAMES_BASE!Z50="RS",1,1.2)</f>
        <v>1</v>
      </c>
      <c r="N50">
        <f xml:space="preserve"> CALC_GAMES_BASE!Y50</f>
        <v>0</v>
      </c>
    </row>
    <row r="51" spans="1:14" x14ac:dyDescent="0.25">
      <c r="A51" t="str">
        <f>CALC_GAMES_BASE!A51</f>
        <v>25/26</v>
      </c>
      <c r="B51" s="3">
        <f>CALC_GAMES_BASE!B51</f>
        <v>45916</v>
      </c>
      <c r="C51" s="3" t="str">
        <f>CALC_GAMES_BASE!C51</f>
        <v>LIT</v>
      </c>
      <c r="D51" s="3" t="str">
        <f>CALC_GAMES_BASE!D51</f>
        <v>LIB</v>
      </c>
      <c r="E51" s="7">
        <f>CALC_GAMES_BASE!E51</f>
        <v>0</v>
      </c>
      <c r="F51" s="6" t="str">
        <f>CALC_GAMES_BASE!N51</f>
        <v/>
      </c>
      <c r="G51" s="7">
        <f>CALC_GAMES_BASE!K51</f>
        <v>-44</v>
      </c>
      <c r="H51" s="7">
        <f t="shared" si="0"/>
        <v>0</v>
      </c>
      <c r="I51" s="6">
        <f>IF(H51=1,
  F51,
  G51*PARAMETRY!$B$11)</f>
        <v>-2.2000000000000002</v>
      </c>
      <c r="J51" s="6">
        <f>CALC_GAMES_BASE!U51-CALC_GAMES_BASE!V51</f>
        <v>-4.2880036630036658E-2</v>
      </c>
      <c r="K51" s="6">
        <f>_xlfn.XLOOKUP(CALC_GAMES_BASE!W51,
  CALC_GOALIES!B:B,
  CALC_GOALIES!K:K)</f>
        <v>-8.1125178551773036E-3</v>
      </c>
      <c r="L51" s="6">
        <f>_xlfn.XLOOKUP(C51,CALC_TEAMS_SEASON!B:B,CALC_TEAMS_SEASON!L:L)</f>
        <v>-1.4784467787114848</v>
      </c>
      <c r="M51">
        <f>IF(CALC_GAMES_BASE!Z51="RS",1,1.2)</f>
        <v>1</v>
      </c>
      <c r="N51">
        <f xml:space="preserve"> CALC_GAMES_BASE!Y51</f>
        <v>1</v>
      </c>
    </row>
    <row r="52" spans="1:14" x14ac:dyDescent="0.25">
      <c r="A52" t="str">
        <f>CALC_GAMES_BASE!A52</f>
        <v>25/26</v>
      </c>
      <c r="B52" s="3">
        <f>CALC_GAMES_BASE!B52</f>
        <v>45916</v>
      </c>
      <c r="C52" s="3" t="str">
        <f>CALC_GAMES_BASE!C52</f>
        <v>MBL</v>
      </c>
      <c r="D52" s="3" t="str">
        <f>CALC_GAMES_BASE!D52</f>
        <v>TRI</v>
      </c>
      <c r="E52" s="7">
        <f>CALC_GAMES_BASE!E52</f>
        <v>1</v>
      </c>
      <c r="F52" s="6">
        <f>CALC_GAMES_BASE!N52</f>
        <v>0.91000000000000014</v>
      </c>
      <c r="G52" s="7">
        <f>CALC_GAMES_BASE!K52</f>
        <v>0</v>
      </c>
      <c r="H52" s="7">
        <f t="shared" si="0"/>
        <v>1</v>
      </c>
      <c r="I52" s="6">
        <f>IF(H52=1,
  F52,
  G52*PARAMETRY!$B$11)</f>
        <v>0.91000000000000014</v>
      </c>
      <c r="J52" s="6">
        <f>CALC_GAMES_BASE!U52-CALC_GAMES_BASE!V52</f>
        <v>-5.6105006105006142E-2</v>
      </c>
      <c r="K52" s="6">
        <f>_xlfn.XLOOKUP(CALC_GAMES_BASE!W52,
  CALC_GOALIES!B:B,
  CALC_GOALIES!K:K)</f>
        <v>-4.4670611186142795E-3</v>
      </c>
      <c r="L52" s="6">
        <f>_xlfn.XLOOKUP(C52,CALC_TEAMS_SEASON!B:B,CALC_TEAMS_SEASON!L:L)</f>
        <v>-0.89069677871148467</v>
      </c>
      <c r="M52">
        <f>IF(CALC_GAMES_BASE!Z52="RS",1,1.2)</f>
        <v>1</v>
      </c>
      <c r="N52">
        <f xml:space="preserve"> CALC_GAMES_BASE!Y52</f>
        <v>1</v>
      </c>
    </row>
    <row r="53" spans="1:14" x14ac:dyDescent="0.25">
      <c r="A53" t="str">
        <f>CALC_GAMES_BASE!A53</f>
        <v>25/26</v>
      </c>
      <c r="B53" s="3">
        <f>CALC_GAMES_BASE!B53</f>
        <v>45916</v>
      </c>
      <c r="C53" s="3" t="str">
        <f>CALC_GAMES_BASE!C53</f>
        <v>MHK</v>
      </c>
      <c r="D53" s="3" t="str">
        <f>CALC_GAMES_BASE!D53</f>
        <v>PLZ</v>
      </c>
      <c r="E53" s="7">
        <f>CALC_GAMES_BASE!E53</f>
        <v>1</v>
      </c>
      <c r="F53" s="6" t="str">
        <f>CALC_GAMES_BASE!N53</f>
        <v/>
      </c>
      <c r="G53" s="7">
        <f>CALC_GAMES_BASE!K53</f>
        <v>3</v>
      </c>
      <c r="H53" s="7">
        <f t="shared" si="0"/>
        <v>0</v>
      </c>
      <c r="I53" s="6">
        <f>IF(H53=1,
  F53,
  G53*PARAMETRY!$B$11)</f>
        <v>0.15000000000000002</v>
      </c>
      <c r="J53" s="6">
        <f>CALC_GAMES_BASE!U53-CALC_GAMES_BASE!V53</f>
        <v>-3.4561965811965745E-2</v>
      </c>
      <c r="K53" s="6">
        <f>_xlfn.XLOOKUP(CALC_GAMES_BASE!W53,
  CALC_GOALIES!B:B,
  CALC_GOALIES!K:K)</f>
        <v>2.1917994590268441E-2</v>
      </c>
      <c r="L53" s="6">
        <f>_xlfn.XLOOKUP(C53,CALC_TEAMS_SEASON!B:B,CALC_TEAMS_SEASON!L:L)</f>
        <v>0.14821988795518207</v>
      </c>
      <c r="M53">
        <f>IF(CALC_GAMES_BASE!Z53="RS",1,1.2)</f>
        <v>1</v>
      </c>
      <c r="N53">
        <f xml:space="preserve"> CALC_GAMES_BASE!Y53</f>
        <v>1</v>
      </c>
    </row>
    <row r="54" spans="1:14" x14ac:dyDescent="0.25">
      <c r="A54" t="str">
        <f>CALC_GAMES_BASE!A54</f>
        <v>25/26</v>
      </c>
      <c r="B54" s="3">
        <f>CALC_GAMES_BASE!B54</f>
        <v>45916</v>
      </c>
      <c r="C54" s="3" t="str">
        <f>CALC_GAMES_BASE!C54</f>
        <v>PLZ</v>
      </c>
      <c r="D54" s="3" t="str">
        <f>CALC_GAMES_BASE!D54</f>
        <v>MHK</v>
      </c>
      <c r="E54" s="7">
        <f>CALC_GAMES_BASE!E54</f>
        <v>0</v>
      </c>
      <c r="F54" s="6" t="str">
        <f>CALC_GAMES_BASE!N54</f>
        <v/>
      </c>
      <c r="G54" s="7">
        <f>CALC_GAMES_BASE!K54</f>
        <v>-3</v>
      </c>
      <c r="H54" s="7">
        <f t="shared" si="0"/>
        <v>0</v>
      </c>
      <c r="I54" s="6">
        <f>IF(H54=1,
  F54,
  G54*PARAMETRY!$B$11)</f>
        <v>-0.15000000000000002</v>
      </c>
      <c r="J54" s="6">
        <f>CALC_GAMES_BASE!U54-CALC_GAMES_BASE!V54</f>
        <v>3.4561965811965745E-2</v>
      </c>
      <c r="K54" s="6">
        <f>_xlfn.XLOOKUP(CALC_GAMES_BASE!W54,
  CALC_GOALIES!B:B,
  CALC_GOALIES!K:K)</f>
        <v>1.7617039556646619E-2</v>
      </c>
      <c r="L54" s="6">
        <f>_xlfn.XLOOKUP(C54,CALC_TEAMS_SEASON!B:B,CALC_TEAMS_SEASON!L:L)</f>
        <v>7.3678221288515283E-2</v>
      </c>
      <c r="M54">
        <f>IF(CALC_GAMES_BASE!Z54="RS",1,1.2)</f>
        <v>1</v>
      </c>
      <c r="N54">
        <f xml:space="preserve"> CALC_GAMES_BASE!Y54</f>
        <v>0</v>
      </c>
    </row>
    <row r="55" spans="1:14" x14ac:dyDescent="0.25">
      <c r="A55" t="str">
        <f>CALC_GAMES_BASE!A55</f>
        <v>25/26</v>
      </c>
      <c r="B55" s="3">
        <f>CALC_GAMES_BASE!B55</f>
        <v>45916</v>
      </c>
      <c r="C55" s="3" t="str">
        <f>CALC_GAMES_BASE!C55</f>
        <v>VIT</v>
      </c>
      <c r="D55" s="3" t="str">
        <f>CALC_GAMES_BASE!D55</f>
        <v>KOM</v>
      </c>
      <c r="E55" s="7">
        <f>CALC_GAMES_BASE!E55</f>
        <v>0</v>
      </c>
      <c r="F55" s="6">
        <f>CALC_GAMES_BASE!N55</f>
        <v>-1.4400000000000002</v>
      </c>
      <c r="G55" s="7">
        <f>CALC_GAMES_BASE!K55</f>
        <v>4</v>
      </c>
      <c r="H55" s="7">
        <f t="shared" si="0"/>
        <v>1</v>
      </c>
      <c r="I55" s="6">
        <f>IF(H55=1,
  F55,
  G55*PARAMETRY!$B$11)</f>
        <v>-1.4400000000000002</v>
      </c>
      <c r="J55" s="6">
        <f>CALC_GAMES_BASE!U55-CALC_GAMES_BASE!V55</f>
        <v>2.6259157509157555E-2</v>
      </c>
      <c r="K55" s="6">
        <f>_xlfn.XLOOKUP(CALC_GAMES_BASE!W55,
  CALC_GOALIES!B:B,
  CALC_GOALIES!K:K)</f>
        <v>1.905487900993541E-3</v>
      </c>
      <c r="L55" s="6">
        <f>_xlfn.XLOOKUP(C55,CALC_TEAMS_SEASON!B:B,CALC_TEAMS_SEASON!L:L)</f>
        <v>-1.0281967787114845</v>
      </c>
      <c r="M55">
        <f>IF(CALC_GAMES_BASE!Z55="RS",1,1.2)</f>
        <v>1</v>
      </c>
      <c r="N55">
        <f xml:space="preserve"> CALC_GAMES_BASE!Y55</f>
        <v>0</v>
      </c>
    </row>
    <row r="56" spans="1:14" x14ac:dyDescent="0.25">
      <c r="A56" t="str">
        <f>CALC_GAMES_BASE!A56</f>
        <v>25/26</v>
      </c>
      <c r="B56" s="3">
        <f>CALC_GAMES_BASE!B56</f>
        <v>45917</v>
      </c>
      <c r="C56" s="3" t="str">
        <f>CALC_GAMES_BASE!C56</f>
        <v>OLO</v>
      </c>
      <c r="D56" s="3" t="str">
        <f>CALC_GAMES_BASE!D56</f>
        <v>KLA</v>
      </c>
      <c r="E56" s="7">
        <f>CALC_GAMES_BASE!E56</f>
        <v>1</v>
      </c>
      <c r="F56" s="6" t="str">
        <f>CALC_GAMES_BASE!N56</f>
        <v/>
      </c>
      <c r="G56" s="7">
        <f>CALC_GAMES_BASE!K56</f>
        <v>3</v>
      </c>
      <c r="H56" s="7">
        <f t="shared" si="0"/>
        <v>0</v>
      </c>
      <c r="I56" s="6">
        <f>IF(H56=1,
  F56,
  G56*PARAMETRY!$B$11)</f>
        <v>0.15000000000000002</v>
      </c>
      <c r="J56" s="6">
        <f>CALC_GAMES_BASE!U56-CALC_GAMES_BASE!V56</f>
        <v>1.8688949938949984E-2</v>
      </c>
      <c r="K56" s="6">
        <f>_xlfn.XLOOKUP(CALC_GAMES_BASE!W56,
  CALC_GOALIES!B:B,
  CALC_GOALIES!K:K)</f>
        <v>4.4713327207696052E-3</v>
      </c>
      <c r="L56" s="6">
        <f>_xlfn.XLOOKUP(C56,CALC_TEAMS_SEASON!B:B,CALC_TEAMS_SEASON!L:L)</f>
        <v>-1.0613217787114846</v>
      </c>
      <c r="M56">
        <f>IF(CALC_GAMES_BASE!Z56="RS",1,1.2)</f>
        <v>1</v>
      </c>
      <c r="N56">
        <f xml:space="preserve"> CALC_GAMES_BASE!Y56</f>
        <v>1</v>
      </c>
    </row>
    <row r="57" spans="1:14" x14ac:dyDescent="0.25">
      <c r="A57" t="str">
        <f>CALC_GAMES_BASE!A57</f>
        <v>25/26</v>
      </c>
      <c r="B57" s="3">
        <f>CALC_GAMES_BASE!B57</f>
        <v>45917</v>
      </c>
      <c r="C57" s="3" t="str">
        <f>CALC_GAMES_BASE!C57</f>
        <v>KLA</v>
      </c>
      <c r="D57" s="3" t="str">
        <f>CALC_GAMES_BASE!D57</f>
        <v>OLO</v>
      </c>
      <c r="E57" s="7">
        <f>CALC_GAMES_BASE!E57</f>
        <v>0</v>
      </c>
      <c r="F57" s="6" t="str">
        <f>CALC_GAMES_BASE!N57</f>
        <v/>
      </c>
      <c r="G57" s="7">
        <f>CALC_GAMES_BASE!K57</f>
        <v>-3</v>
      </c>
      <c r="H57" s="7">
        <f t="shared" si="0"/>
        <v>0</v>
      </c>
      <c r="I57" s="6">
        <f>IF(H57=1,
  F57,
  G57*PARAMETRY!$B$11)</f>
        <v>-0.15000000000000002</v>
      </c>
      <c r="J57" s="6">
        <f>CALC_GAMES_BASE!U57-CALC_GAMES_BASE!V57</f>
        <v>-1.8688949938949984E-2</v>
      </c>
      <c r="K57" s="6">
        <f>_xlfn.XLOOKUP(CALC_GAMES_BASE!W57,
  CALC_GOALIES!B:B,
  CALC_GOALIES!K:K)</f>
        <v>1.2463190300688209E-2</v>
      </c>
      <c r="L57" s="6">
        <f>_xlfn.XLOOKUP(C57,CALC_TEAMS_SEASON!B:B,CALC_TEAMS_SEASON!L:L)</f>
        <v>-0.19819677871148478</v>
      </c>
      <c r="M57">
        <f>IF(CALC_GAMES_BASE!Z57="RS",1,1.2)</f>
        <v>1</v>
      </c>
      <c r="N57">
        <f xml:space="preserve"> CALC_GAMES_BASE!Y57</f>
        <v>0</v>
      </c>
    </row>
    <row r="58" spans="1:14" x14ac:dyDescent="0.25">
      <c r="A58" t="str">
        <f>CALC_GAMES_BASE!A58</f>
        <v>25/26</v>
      </c>
      <c r="B58" s="3">
        <f>CALC_GAMES_BASE!B58</f>
        <v>45919</v>
      </c>
      <c r="C58" s="3" t="str">
        <f>CALC_GAMES_BASE!C58</f>
        <v>PCE</v>
      </c>
      <c r="D58" s="3" t="str">
        <f>CALC_GAMES_BASE!D58</f>
        <v>OLO</v>
      </c>
      <c r="E58" s="7">
        <f>CALC_GAMES_BASE!E58</f>
        <v>1</v>
      </c>
      <c r="F58" s="6">
        <f>CALC_GAMES_BASE!N58</f>
        <v>2.64</v>
      </c>
      <c r="G58" s="7">
        <f>CALC_GAMES_BASE!K58</f>
        <v>21</v>
      </c>
      <c r="H58" s="7">
        <f t="shared" si="0"/>
        <v>1</v>
      </c>
      <c r="I58" s="6">
        <f>IF(H58=1,
  F58,
  G58*PARAMETRY!$B$11)</f>
        <v>2.64</v>
      </c>
      <c r="J58" s="6">
        <f>CALC_GAMES_BASE!U58-CALC_GAMES_BASE!V58</f>
        <v>5.3083028083028116E-2</v>
      </c>
      <c r="K58" s="6">
        <f>_xlfn.XLOOKUP(CALC_GAMES_BASE!W58,
  CALC_GOALIES!B:B,
  CALC_GOALIES!K:K)</f>
        <v>4.5881077393388203E-3</v>
      </c>
      <c r="L58" s="6">
        <f>_xlfn.XLOOKUP(C58,CALC_TEAMS_SEASON!B:B,CALC_TEAMS_SEASON!L:L)</f>
        <v>0.62437675070027965</v>
      </c>
      <c r="M58">
        <f>IF(CALC_GAMES_BASE!Z58="RS",1,1.2)</f>
        <v>1</v>
      </c>
      <c r="N58">
        <f xml:space="preserve"> CALC_GAMES_BASE!Y58</f>
        <v>1</v>
      </c>
    </row>
    <row r="59" spans="1:14" x14ac:dyDescent="0.25">
      <c r="A59" t="str">
        <f>CALC_GAMES_BASE!A59</f>
        <v>25/26</v>
      </c>
      <c r="B59" s="3">
        <f>CALC_GAMES_BASE!B59</f>
        <v>45919</v>
      </c>
      <c r="C59" s="3" t="str">
        <f>CALC_GAMES_BASE!C59</f>
        <v>TRI</v>
      </c>
      <c r="D59" s="3" t="str">
        <f>CALC_GAMES_BASE!D59</f>
        <v>PLZ</v>
      </c>
      <c r="E59" s="7">
        <f>CALC_GAMES_BASE!E59</f>
        <v>1</v>
      </c>
      <c r="F59" s="6">
        <f>CALC_GAMES_BASE!N59</f>
        <v>-1.02</v>
      </c>
      <c r="G59" s="7">
        <f>CALC_GAMES_BASE!K59</f>
        <v>0</v>
      </c>
      <c r="H59" s="7">
        <f t="shared" si="0"/>
        <v>1</v>
      </c>
      <c r="I59" s="6">
        <f>IF(H59=1,
  F59,
  G59*PARAMETRY!$B$11)</f>
        <v>-1.02</v>
      </c>
      <c r="J59" s="6">
        <f>CALC_GAMES_BASE!U59-CALC_GAMES_BASE!V59</f>
        <v>-2.037545787545697E-3</v>
      </c>
      <c r="K59" s="6">
        <f>_xlfn.XLOOKUP(CALC_GAMES_BASE!W59,
  CALC_GOALIES!B:B,
  CALC_GOALIES!K:K)</f>
        <v>-1.9657016882340561E-2</v>
      </c>
      <c r="L59" s="6">
        <f>_xlfn.XLOOKUP(C59,CALC_TEAMS_SEASON!B:B,CALC_TEAMS_SEASON!L:L)</f>
        <v>0.10805322128851533</v>
      </c>
      <c r="M59">
        <f>IF(CALC_GAMES_BASE!Z59="RS",1,1.2)</f>
        <v>1</v>
      </c>
      <c r="N59">
        <f xml:space="preserve"> CALC_GAMES_BASE!Y59</f>
        <v>1</v>
      </c>
    </row>
    <row r="60" spans="1:14" x14ac:dyDescent="0.25">
      <c r="A60" t="str">
        <f>CALC_GAMES_BASE!A60</f>
        <v>25/26</v>
      </c>
      <c r="B60" s="3">
        <f>CALC_GAMES_BASE!B60</f>
        <v>45919</v>
      </c>
      <c r="C60" s="3" t="str">
        <f>CALC_GAMES_BASE!C60</f>
        <v>SPA</v>
      </c>
      <c r="D60" s="3" t="str">
        <f>CALC_GAMES_BASE!D60</f>
        <v>LIT</v>
      </c>
      <c r="E60" s="7">
        <f>CALC_GAMES_BASE!E60</f>
        <v>0</v>
      </c>
      <c r="F60" s="6">
        <f>CALC_GAMES_BASE!N60</f>
        <v>2.25</v>
      </c>
      <c r="G60" s="7">
        <f>CALC_GAMES_BASE!K60</f>
        <v>14</v>
      </c>
      <c r="H60" s="7">
        <f t="shared" si="0"/>
        <v>1</v>
      </c>
      <c r="I60" s="6">
        <f>IF(H60=1,
  F60,
  G60*PARAMETRY!$B$11)</f>
        <v>2.25</v>
      </c>
      <c r="J60" s="6">
        <f>CALC_GAMES_BASE!U60-CALC_GAMES_BASE!V60</f>
        <v>0.11971153846153852</v>
      </c>
      <c r="K60" s="6">
        <f>_xlfn.XLOOKUP(CALC_GAMES_BASE!W60,
  CALC_GOALIES!B:B,
  CALC_GOALIES!K:K)</f>
        <v>-1.0634669404866681E-2</v>
      </c>
      <c r="L60" s="6">
        <f>_xlfn.XLOOKUP(C60,CALC_TEAMS_SEASON!B:B,CALC_TEAMS_SEASON!L:L)</f>
        <v>6.4376750700279955E-2</v>
      </c>
      <c r="M60">
        <f>IF(CALC_GAMES_BASE!Z60="RS",1,1.2)</f>
        <v>1</v>
      </c>
      <c r="N60">
        <f xml:space="preserve"> CALC_GAMES_BASE!Y60</f>
        <v>1</v>
      </c>
    </row>
    <row r="61" spans="1:14" x14ac:dyDescent="0.25">
      <c r="A61" t="str">
        <f>CALC_GAMES_BASE!A61</f>
        <v>25/26</v>
      </c>
      <c r="B61" s="3">
        <f>CALC_GAMES_BASE!B61</f>
        <v>45919</v>
      </c>
      <c r="C61" s="3" t="str">
        <f>CALC_GAMES_BASE!C61</f>
        <v>KOM</v>
      </c>
      <c r="D61" s="3" t="str">
        <f>CALC_GAMES_BASE!D61</f>
        <v>LIB</v>
      </c>
      <c r="E61" s="7">
        <f>CALC_GAMES_BASE!E61</f>
        <v>1</v>
      </c>
      <c r="F61" s="6">
        <f>CALC_GAMES_BASE!N61</f>
        <v>-2.21</v>
      </c>
      <c r="G61" s="7">
        <f>CALC_GAMES_BASE!K61</f>
        <v>-15</v>
      </c>
      <c r="H61" s="7">
        <f t="shared" si="0"/>
        <v>1</v>
      </c>
      <c r="I61" s="6">
        <f>IF(H61=1,
  F61,
  G61*PARAMETRY!$B$11)</f>
        <v>-2.21</v>
      </c>
      <c r="J61" s="6">
        <f>CALC_GAMES_BASE!U61-CALC_GAMES_BASE!V61</f>
        <v>-1.8315018315021026E-4</v>
      </c>
      <c r="K61" s="6">
        <f>_xlfn.XLOOKUP(CALC_GAMES_BASE!W61,
  CALC_GOALIES!B:B,
  CALC_GOALIES!K:K)</f>
        <v>-1.5147095063735572E-3</v>
      </c>
      <c r="L61" s="6">
        <f>_xlfn.XLOOKUP(C61,CALC_TEAMS_SEASON!B:B,CALC_TEAMS_SEASON!L:L)</f>
        <v>-0.37268207282913179</v>
      </c>
      <c r="M61">
        <f>IF(CALC_GAMES_BASE!Z61="RS",1,1.2)</f>
        <v>1</v>
      </c>
      <c r="N61">
        <f xml:space="preserve"> CALC_GAMES_BASE!Y61</f>
        <v>0</v>
      </c>
    </row>
    <row r="62" spans="1:14" x14ac:dyDescent="0.25">
      <c r="A62" t="str">
        <f>CALC_GAMES_BASE!A62</f>
        <v>25/26</v>
      </c>
      <c r="B62" s="3">
        <f>CALC_GAMES_BASE!B62</f>
        <v>45919</v>
      </c>
      <c r="C62" s="3" t="str">
        <f>CALC_GAMES_BASE!C62</f>
        <v>CEB</v>
      </c>
      <c r="D62" s="3" t="str">
        <f>CALC_GAMES_BASE!D62</f>
        <v>KLA</v>
      </c>
      <c r="E62" s="7">
        <f>CALC_GAMES_BASE!E62</f>
        <v>0</v>
      </c>
      <c r="F62" s="6" t="str">
        <f>CALC_GAMES_BASE!N62</f>
        <v/>
      </c>
      <c r="G62" s="7">
        <f>CALC_GAMES_BASE!K62</f>
        <v>-14</v>
      </c>
      <c r="H62" s="7">
        <f t="shared" si="0"/>
        <v>0</v>
      </c>
      <c r="I62" s="6">
        <f>IF(H62=1,
  F62,
  G62*PARAMETRY!$B$11)</f>
        <v>-0.70000000000000007</v>
      </c>
      <c r="J62" s="6">
        <f>CALC_GAMES_BASE!U62-CALC_GAMES_BASE!V62</f>
        <v>-9.9067599067595435E-4</v>
      </c>
      <c r="K62" s="6">
        <f>_xlfn.XLOOKUP(CALC_GAMES_BASE!W62,
  CALC_GOALIES!B:B,
  CALC_GOALIES!K:K)</f>
        <v>3.9343341510811314E-3</v>
      </c>
      <c r="L62" s="6">
        <f>_xlfn.XLOOKUP(C62,CALC_TEAMS_SEASON!B:B,CALC_TEAMS_SEASON!L:L)</f>
        <v>-0.24978011204481798</v>
      </c>
      <c r="M62">
        <f>IF(CALC_GAMES_BASE!Z62="RS",1,1.2)</f>
        <v>1</v>
      </c>
      <c r="N62">
        <f xml:space="preserve"> CALC_GAMES_BASE!Y62</f>
        <v>1</v>
      </c>
    </row>
    <row r="63" spans="1:14" x14ac:dyDescent="0.25">
      <c r="A63" t="str">
        <f>CALC_GAMES_BASE!A63</f>
        <v>25/26</v>
      </c>
      <c r="B63" s="3">
        <f>CALC_GAMES_BASE!B63</f>
        <v>45919</v>
      </c>
      <c r="C63" s="3" t="str">
        <f>CALC_GAMES_BASE!C63</f>
        <v>KLA</v>
      </c>
      <c r="D63" s="3" t="str">
        <f>CALC_GAMES_BASE!D63</f>
        <v>CEB</v>
      </c>
      <c r="E63" s="7">
        <f>CALC_GAMES_BASE!E63</f>
        <v>1</v>
      </c>
      <c r="F63" s="6" t="str">
        <f>CALC_GAMES_BASE!N63</f>
        <v/>
      </c>
      <c r="G63" s="7">
        <f>CALC_GAMES_BASE!K63</f>
        <v>14</v>
      </c>
      <c r="H63" s="7">
        <f t="shared" si="0"/>
        <v>0</v>
      </c>
      <c r="I63" s="6">
        <f>IF(H63=1,
  F63,
  G63*PARAMETRY!$B$11)</f>
        <v>0.70000000000000007</v>
      </c>
      <c r="J63" s="6">
        <f>CALC_GAMES_BASE!U63-CALC_GAMES_BASE!V63</f>
        <v>9.9067599067595435E-4</v>
      </c>
      <c r="K63" s="6">
        <f>_xlfn.XLOOKUP(CALC_GAMES_BASE!W63,
  CALC_GOALIES!B:B,
  CALC_GOALIES!K:K)</f>
        <v>-2.7663687063931297E-2</v>
      </c>
      <c r="L63" s="6">
        <f>_xlfn.XLOOKUP(C63,CALC_TEAMS_SEASON!B:B,CALC_TEAMS_SEASON!L:L)</f>
        <v>-0.19819677871148478</v>
      </c>
      <c r="M63">
        <f>IF(CALC_GAMES_BASE!Z63="RS",1,1.2)</f>
        <v>1</v>
      </c>
      <c r="N63">
        <f xml:space="preserve"> CALC_GAMES_BASE!Y63</f>
        <v>0</v>
      </c>
    </row>
    <row r="64" spans="1:14" x14ac:dyDescent="0.25">
      <c r="A64" t="str">
        <f>CALC_GAMES_BASE!A64</f>
        <v>25/26</v>
      </c>
      <c r="B64" s="3">
        <f>CALC_GAMES_BASE!B64</f>
        <v>45919</v>
      </c>
      <c r="C64" s="3" t="str">
        <f>CALC_GAMES_BASE!C64</f>
        <v>KVA</v>
      </c>
      <c r="D64" s="3" t="str">
        <f>CALC_GAMES_BASE!D64</f>
        <v>MHK</v>
      </c>
      <c r="E64" s="7">
        <f>CALC_GAMES_BASE!E64</f>
        <v>1</v>
      </c>
      <c r="F64" s="6" t="str">
        <f>CALC_GAMES_BASE!N64</f>
        <v/>
      </c>
      <c r="G64" s="7">
        <f>CALC_GAMES_BASE!K64</f>
        <v>-17</v>
      </c>
      <c r="H64" s="7">
        <f t="shared" si="0"/>
        <v>0</v>
      </c>
      <c r="I64" s="6">
        <f>IF(H64=1,
  F64,
  G64*PARAMETRY!$B$11)</f>
        <v>-0.85000000000000009</v>
      </c>
      <c r="J64" s="6">
        <f>CALC_GAMES_BASE!U64-CALC_GAMES_BASE!V64</f>
        <v>3.2020757020757018E-2</v>
      </c>
      <c r="K64" s="6">
        <f>_xlfn.XLOOKUP(CALC_GAMES_BASE!W64,
  CALC_GOALIES!B:B,
  CALC_GOALIES!K:K)</f>
        <v>1.2242809776983998E-2</v>
      </c>
      <c r="L64" s="6">
        <f>_xlfn.XLOOKUP(C64,CALC_TEAMS_SEASON!B:B,CALC_TEAMS_SEASON!L:L)</f>
        <v>-0.28757177871148476</v>
      </c>
      <c r="M64">
        <f>IF(CALC_GAMES_BASE!Z64="RS",1,1.2)</f>
        <v>1</v>
      </c>
      <c r="N64">
        <f xml:space="preserve"> CALC_GAMES_BASE!Y64</f>
        <v>1</v>
      </c>
    </row>
    <row r="65" spans="1:14" x14ac:dyDescent="0.25">
      <c r="A65" t="str">
        <f>CALC_GAMES_BASE!A65</f>
        <v>25/26</v>
      </c>
      <c r="B65" s="3">
        <f>CALC_GAMES_BASE!B65</f>
        <v>45919</v>
      </c>
      <c r="C65" s="3" t="str">
        <f>CALC_GAMES_BASE!C65</f>
        <v>LIB</v>
      </c>
      <c r="D65" s="3" t="str">
        <f>CALC_GAMES_BASE!D65</f>
        <v>KOM</v>
      </c>
      <c r="E65" s="7">
        <f>CALC_GAMES_BASE!E65</f>
        <v>0</v>
      </c>
      <c r="F65" s="6">
        <f>CALC_GAMES_BASE!N65</f>
        <v>2.21</v>
      </c>
      <c r="G65" s="7">
        <f>CALC_GAMES_BASE!K65</f>
        <v>15</v>
      </c>
      <c r="H65" s="7">
        <f t="shared" si="0"/>
        <v>1</v>
      </c>
      <c r="I65" s="6">
        <f>IF(H65=1,
  F65,
  G65*PARAMETRY!$B$11)</f>
        <v>2.21</v>
      </c>
      <c r="J65" s="6">
        <f>CALC_GAMES_BASE!U65-CALC_GAMES_BASE!V65</f>
        <v>1.8315018315021026E-4</v>
      </c>
      <c r="K65" s="6">
        <f>_xlfn.XLOOKUP(CALC_GAMES_BASE!W65,
  CALC_GOALIES!B:B,
  CALC_GOALIES!K:K)</f>
        <v>1.2275709048813366E-2</v>
      </c>
      <c r="L65" s="6">
        <f>_xlfn.XLOOKUP(C65,CALC_TEAMS_SEASON!B:B,CALC_TEAMS_SEASON!L:L)</f>
        <v>0.22367822128851536</v>
      </c>
      <c r="M65">
        <f>IF(CALC_GAMES_BASE!Z65="RS",1,1.2)</f>
        <v>1</v>
      </c>
      <c r="N65">
        <f xml:space="preserve"> CALC_GAMES_BASE!Y65</f>
        <v>1</v>
      </c>
    </row>
    <row r="66" spans="1:14" x14ac:dyDescent="0.25">
      <c r="A66" t="str">
        <f>CALC_GAMES_BASE!A66</f>
        <v>25/26</v>
      </c>
      <c r="B66" s="3">
        <f>CALC_GAMES_BASE!B66</f>
        <v>45919</v>
      </c>
      <c r="C66" s="3" t="str">
        <f>CALC_GAMES_BASE!C66</f>
        <v>LIT</v>
      </c>
      <c r="D66" s="3" t="str">
        <f>CALC_GAMES_BASE!D66</f>
        <v>SPA</v>
      </c>
      <c r="E66" s="7">
        <f>CALC_GAMES_BASE!E66</f>
        <v>1</v>
      </c>
      <c r="F66" s="6">
        <f>CALC_GAMES_BASE!N66</f>
        <v>-2.25</v>
      </c>
      <c r="G66" s="7">
        <f>CALC_GAMES_BASE!K66</f>
        <v>-14</v>
      </c>
      <c r="H66" s="7">
        <f t="shared" si="0"/>
        <v>1</v>
      </c>
      <c r="I66" s="6">
        <f>IF(H66=1,
  F66,
  G66*PARAMETRY!$B$11)</f>
        <v>-2.25</v>
      </c>
      <c r="J66" s="6">
        <f>CALC_GAMES_BASE!U66-CALC_GAMES_BASE!V66</f>
        <v>-0.11971153846153852</v>
      </c>
      <c r="K66" s="6">
        <f>_xlfn.XLOOKUP(CALC_GAMES_BASE!W66,
  CALC_GOALIES!B:B,
  CALC_GOALIES!K:K)</f>
        <v>-4.9010888963920696E-3</v>
      </c>
      <c r="L66" s="6">
        <f>_xlfn.XLOOKUP(C66,CALC_TEAMS_SEASON!B:B,CALC_TEAMS_SEASON!L:L)</f>
        <v>-1.4784467787114848</v>
      </c>
      <c r="M66">
        <f>IF(CALC_GAMES_BASE!Z66="RS",1,1.2)</f>
        <v>1</v>
      </c>
      <c r="N66">
        <f xml:space="preserve"> CALC_GAMES_BASE!Y66</f>
        <v>0</v>
      </c>
    </row>
    <row r="67" spans="1:14" x14ac:dyDescent="0.25">
      <c r="A67" t="str">
        <f>CALC_GAMES_BASE!A67</f>
        <v>25/26</v>
      </c>
      <c r="B67" s="3">
        <f>CALC_GAMES_BASE!B67</f>
        <v>45919</v>
      </c>
      <c r="C67" s="3" t="str">
        <f>CALC_GAMES_BASE!C67</f>
        <v>MBL</v>
      </c>
      <c r="D67" s="3" t="str">
        <f>CALC_GAMES_BASE!D67</f>
        <v>VIT</v>
      </c>
      <c r="E67" s="7">
        <f>CALC_GAMES_BASE!E67</f>
        <v>0</v>
      </c>
      <c r="F67" s="6" t="str">
        <f>CALC_GAMES_BASE!N67</f>
        <v/>
      </c>
      <c r="G67" s="7">
        <f>CALC_GAMES_BASE!K67</f>
        <v>-4</v>
      </c>
      <c r="H67" s="7">
        <f t="shared" ref="H67:H130" si="1">IF(F67&lt;&gt;"",1,0)</f>
        <v>0</v>
      </c>
      <c r="I67" s="6">
        <f>IF(H67=1,
  F67,
  G67*PARAMETRY!$B$11)</f>
        <v>-0.2</v>
      </c>
      <c r="J67" s="6">
        <f>CALC_GAMES_BASE!U67-CALC_GAMES_BASE!V67</f>
        <v>-5.1579670329670355E-2</v>
      </c>
      <c r="K67" s="6">
        <f>_xlfn.XLOOKUP(CALC_GAMES_BASE!W67,
  CALC_GOALIES!B:B,
  CALC_GOALIES!K:K)</f>
        <v>-4.4670611186142795E-3</v>
      </c>
      <c r="L67" s="6">
        <f>_xlfn.XLOOKUP(C67,CALC_TEAMS_SEASON!B:B,CALC_TEAMS_SEASON!L:L)</f>
        <v>-0.89069677871148467</v>
      </c>
      <c r="M67">
        <f>IF(CALC_GAMES_BASE!Z67="RS",1,1.2)</f>
        <v>1</v>
      </c>
      <c r="N67">
        <f xml:space="preserve"> CALC_GAMES_BASE!Y67</f>
        <v>1</v>
      </c>
    </row>
    <row r="68" spans="1:14" x14ac:dyDescent="0.25">
      <c r="A68" t="str">
        <f>CALC_GAMES_BASE!A68</f>
        <v>25/26</v>
      </c>
      <c r="B68" s="3">
        <f>CALC_GAMES_BASE!B68</f>
        <v>45919</v>
      </c>
      <c r="C68" s="3" t="str">
        <f>CALC_GAMES_BASE!C68</f>
        <v>MHK</v>
      </c>
      <c r="D68" s="3" t="str">
        <f>CALC_GAMES_BASE!D68</f>
        <v>KVA</v>
      </c>
      <c r="E68" s="7">
        <f>CALC_GAMES_BASE!E68</f>
        <v>0</v>
      </c>
      <c r="F68" s="6" t="str">
        <f>CALC_GAMES_BASE!N68</f>
        <v/>
      </c>
      <c r="G68" s="7">
        <f>CALC_GAMES_BASE!K68</f>
        <v>-17</v>
      </c>
      <c r="H68" s="7">
        <f t="shared" si="1"/>
        <v>0</v>
      </c>
      <c r="I68" s="6">
        <f>IF(H68=1,
  F68,
  G68*PARAMETRY!$B$11)</f>
        <v>-0.85000000000000009</v>
      </c>
      <c r="J68" s="6">
        <f>CALC_GAMES_BASE!U68-CALC_GAMES_BASE!V68</f>
        <v>-3.2020757020757018E-2</v>
      </c>
      <c r="K68" s="6">
        <f>_xlfn.XLOOKUP(CALC_GAMES_BASE!W68,
  CALC_GOALIES!B:B,
  CALC_GOALIES!K:K)</f>
        <v>2.1917994590268441E-2</v>
      </c>
      <c r="L68" s="6">
        <f>_xlfn.XLOOKUP(C68,CALC_TEAMS_SEASON!B:B,CALC_TEAMS_SEASON!L:L)</f>
        <v>0.14821988795518207</v>
      </c>
      <c r="M68">
        <f>IF(CALC_GAMES_BASE!Z68="RS",1,1.2)</f>
        <v>1</v>
      </c>
      <c r="N68">
        <f xml:space="preserve"> CALC_GAMES_BASE!Y68</f>
        <v>0</v>
      </c>
    </row>
    <row r="69" spans="1:14" x14ac:dyDescent="0.25">
      <c r="A69" t="str">
        <f>CALC_GAMES_BASE!A69</f>
        <v>25/26</v>
      </c>
      <c r="B69" s="3">
        <f>CALC_GAMES_BASE!B69</f>
        <v>45919</v>
      </c>
      <c r="C69" s="3" t="str">
        <f>CALC_GAMES_BASE!C69</f>
        <v>OLO</v>
      </c>
      <c r="D69" s="3" t="str">
        <f>CALC_GAMES_BASE!D69</f>
        <v>PCE</v>
      </c>
      <c r="E69" s="7">
        <f>CALC_GAMES_BASE!E69</f>
        <v>0</v>
      </c>
      <c r="F69" s="6">
        <f>CALC_GAMES_BASE!N69</f>
        <v>-2.64</v>
      </c>
      <c r="G69" s="7">
        <f>CALC_GAMES_BASE!K69</f>
        <v>-11</v>
      </c>
      <c r="H69" s="7">
        <f t="shared" si="1"/>
        <v>1</v>
      </c>
      <c r="I69" s="6">
        <f>IF(H69=1,
  F69,
  G69*PARAMETRY!$B$11)</f>
        <v>-2.64</v>
      </c>
      <c r="J69" s="6">
        <f>CALC_GAMES_BASE!U69-CALC_GAMES_BASE!V69</f>
        <v>-5.3083028083028116E-2</v>
      </c>
      <c r="K69" s="6">
        <f>_xlfn.XLOOKUP(CALC_GAMES_BASE!W69,
  CALC_GOALIES!B:B,
  CALC_GOALIES!K:K)</f>
        <v>4.4713327207696052E-3</v>
      </c>
      <c r="L69" s="6">
        <f>_xlfn.XLOOKUP(C69,CALC_TEAMS_SEASON!B:B,CALC_TEAMS_SEASON!L:L)</f>
        <v>-1.0613217787114846</v>
      </c>
      <c r="M69">
        <f>IF(CALC_GAMES_BASE!Z69="RS",1,1.2)</f>
        <v>1</v>
      </c>
      <c r="N69">
        <f xml:space="preserve"> CALC_GAMES_BASE!Y69</f>
        <v>0</v>
      </c>
    </row>
    <row r="70" spans="1:14" x14ac:dyDescent="0.25">
      <c r="A70" t="str">
        <f>CALC_GAMES_BASE!A70</f>
        <v>25/26</v>
      </c>
      <c r="B70" s="3">
        <f>CALC_GAMES_BASE!B70</f>
        <v>45919</v>
      </c>
      <c r="C70" s="3" t="str">
        <f>CALC_GAMES_BASE!C70</f>
        <v>PLZ</v>
      </c>
      <c r="D70" s="3" t="str">
        <f>CALC_GAMES_BASE!D70</f>
        <v>TRI</v>
      </c>
      <c r="E70" s="7">
        <f>CALC_GAMES_BASE!E70</f>
        <v>0</v>
      </c>
      <c r="F70" s="6">
        <f>CALC_GAMES_BASE!N70</f>
        <v>1.02</v>
      </c>
      <c r="G70" s="7">
        <f>CALC_GAMES_BASE!K70</f>
        <v>0</v>
      </c>
      <c r="H70" s="7">
        <f t="shared" si="1"/>
        <v>1</v>
      </c>
      <c r="I70" s="6">
        <f>IF(H70=1,
  F70,
  G70*PARAMETRY!$B$11)</f>
        <v>1.02</v>
      </c>
      <c r="J70" s="6">
        <f>CALC_GAMES_BASE!U70-CALC_GAMES_BASE!V70</f>
        <v>2.037545787545697E-3</v>
      </c>
      <c r="K70" s="6">
        <f>_xlfn.XLOOKUP(CALC_GAMES_BASE!W70,
  CALC_GOALIES!B:B,
  CALC_GOALIES!K:K)</f>
        <v>-1.4856765927271365E-3</v>
      </c>
      <c r="L70" s="6">
        <f>_xlfn.XLOOKUP(C70,CALC_TEAMS_SEASON!B:B,CALC_TEAMS_SEASON!L:L)</f>
        <v>7.3678221288515283E-2</v>
      </c>
      <c r="M70">
        <f>IF(CALC_GAMES_BASE!Z70="RS",1,1.2)</f>
        <v>1</v>
      </c>
      <c r="N70">
        <f xml:space="preserve"> CALC_GAMES_BASE!Y70</f>
        <v>0</v>
      </c>
    </row>
    <row r="71" spans="1:14" x14ac:dyDescent="0.25">
      <c r="A71" t="str">
        <f>CALC_GAMES_BASE!A71</f>
        <v>25/26</v>
      </c>
      <c r="B71" s="3">
        <f>CALC_GAMES_BASE!B71</f>
        <v>45919</v>
      </c>
      <c r="C71" s="3" t="str">
        <f>CALC_GAMES_BASE!C71</f>
        <v>VIT</v>
      </c>
      <c r="D71" s="3" t="str">
        <f>CALC_GAMES_BASE!D71</f>
        <v>MBL</v>
      </c>
      <c r="E71" s="7">
        <f>CALC_GAMES_BASE!E71</f>
        <v>1</v>
      </c>
      <c r="F71" s="6" t="str">
        <f>CALC_GAMES_BASE!N71</f>
        <v/>
      </c>
      <c r="G71" s="7">
        <f>CALC_GAMES_BASE!K71</f>
        <v>4</v>
      </c>
      <c r="H71" s="7">
        <f t="shared" si="1"/>
        <v>0</v>
      </c>
      <c r="I71" s="6">
        <f>IF(H71=1,
  F71,
  G71*PARAMETRY!$B$11)</f>
        <v>0.2</v>
      </c>
      <c r="J71" s="6">
        <f>CALC_GAMES_BASE!U71-CALC_GAMES_BASE!V71</f>
        <v>5.1579670329670355E-2</v>
      </c>
      <c r="K71" s="6">
        <f>_xlfn.XLOOKUP(CALC_GAMES_BASE!W71,
  CALC_GOALIES!B:B,
  CALC_GOALIES!K:K)</f>
        <v>-4.0156231301455403E-2</v>
      </c>
      <c r="L71" s="6">
        <f>_xlfn.XLOOKUP(C71,CALC_TEAMS_SEASON!B:B,CALC_TEAMS_SEASON!L:L)</f>
        <v>-1.0281967787114845</v>
      </c>
      <c r="M71">
        <f>IF(CALC_GAMES_BASE!Z71="RS",1,1.2)</f>
        <v>1</v>
      </c>
      <c r="N71">
        <f xml:space="preserve"> CALC_GAMES_BASE!Y71</f>
        <v>0</v>
      </c>
    </row>
    <row r="72" spans="1:14" x14ac:dyDescent="0.25">
      <c r="A72" t="str">
        <f>CALC_GAMES_BASE!A72</f>
        <v>25/26</v>
      </c>
      <c r="B72" s="3">
        <f>CALC_GAMES_BASE!B72</f>
        <v>45921</v>
      </c>
      <c r="C72" s="3" t="str">
        <f>CALC_GAMES_BASE!C72</f>
        <v>PCE</v>
      </c>
      <c r="D72" s="3" t="str">
        <f>CALC_GAMES_BASE!D72</f>
        <v>PLZ</v>
      </c>
      <c r="E72" s="7">
        <f>CALC_GAMES_BASE!E72</f>
        <v>0</v>
      </c>
      <c r="F72" s="6">
        <f>CALC_GAMES_BASE!N72</f>
        <v>-1.1000000000000001</v>
      </c>
      <c r="G72" s="7">
        <f>CALC_GAMES_BASE!K72</f>
        <v>14</v>
      </c>
      <c r="H72" s="7">
        <f t="shared" si="1"/>
        <v>1</v>
      </c>
      <c r="I72" s="6">
        <f>IF(H72=1,
  F72,
  G72*PARAMETRY!$B$11)</f>
        <v>-1.1000000000000001</v>
      </c>
      <c r="J72" s="6">
        <f>CALC_GAMES_BASE!U72-CALC_GAMES_BASE!V72</f>
        <v>2.6564407814407914E-2</v>
      </c>
      <c r="K72" s="6">
        <f>_xlfn.XLOOKUP(CALC_GAMES_BASE!W72,
  CALC_GOALIES!B:B,
  CALC_GOALIES!K:K)</f>
        <v>4.5881077393388203E-3</v>
      </c>
      <c r="L72" s="6">
        <f>_xlfn.XLOOKUP(C72,CALC_TEAMS_SEASON!B:B,CALC_TEAMS_SEASON!L:L)</f>
        <v>0.62437675070027965</v>
      </c>
      <c r="M72">
        <f>IF(CALC_GAMES_BASE!Z72="RS",1,1.2)</f>
        <v>1</v>
      </c>
      <c r="N72">
        <f xml:space="preserve"> CALC_GAMES_BASE!Y72</f>
        <v>0</v>
      </c>
    </row>
    <row r="73" spans="1:14" x14ac:dyDescent="0.25">
      <c r="A73" t="str">
        <f>CALC_GAMES_BASE!A73</f>
        <v>25/26</v>
      </c>
      <c r="B73" s="3">
        <f>CALC_GAMES_BASE!B73</f>
        <v>45921</v>
      </c>
      <c r="C73" s="3" t="str">
        <f>CALC_GAMES_BASE!C73</f>
        <v>TRI</v>
      </c>
      <c r="D73" s="3" t="str">
        <f>CALC_GAMES_BASE!D73</f>
        <v>CEB</v>
      </c>
      <c r="E73" s="7">
        <f>CALC_GAMES_BASE!E73</f>
        <v>0</v>
      </c>
      <c r="F73" s="6">
        <f>CALC_GAMES_BASE!N73</f>
        <v>-3.0100000000000002</v>
      </c>
      <c r="G73" s="7">
        <f>CALC_GAMES_BASE!K73</f>
        <v>-31</v>
      </c>
      <c r="H73" s="7">
        <f t="shared" si="1"/>
        <v>1</v>
      </c>
      <c r="I73" s="6">
        <f>IF(H73=1,
  F73,
  G73*PARAMETRY!$B$11)</f>
        <v>-3.0100000000000002</v>
      </c>
      <c r="J73" s="6">
        <f>CALC_GAMES_BASE!U73-CALC_GAMES_BASE!V73</f>
        <v>4.4160700410700443E-2</v>
      </c>
      <c r="K73" s="6">
        <f>_xlfn.XLOOKUP(CALC_GAMES_BASE!W73,
  CALC_GOALIES!B:B,
  CALC_GOALIES!K:K)</f>
        <v>1.3707542055988897E-2</v>
      </c>
      <c r="L73" s="6">
        <f>_xlfn.XLOOKUP(C73,CALC_TEAMS_SEASON!B:B,CALC_TEAMS_SEASON!L:L)</f>
        <v>0.10805322128851533</v>
      </c>
      <c r="M73">
        <f>IF(CALC_GAMES_BASE!Z73="RS",1,1.2)</f>
        <v>1</v>
      </c>
      <c r="N73">
        <f xml:space="preserve"> CALC_GAMES_BASE!Y73</f>
        <v>1</v>
      </c>
    </row>
    <row r="74" spans="1:14" x14ac:dyDescent="0.25">
      <c r="A74" t="str">
        <f>CALC_GAMES_BASE!A74</f>
        <v>25/26</v>
      </c>
      <c r="B74" s="3">
        <f>CALC_GAMES_BASE!B74</f>
        <v>45921</v>
      </c>
      <c r="C74" s="3" t="str">
        <f>CALC_GAMES_BASE!C74</f>
        <v>SPA</v>
      </c>
      <c r="D74" s="3" t="str">
        <f>CALC_GAMES_BASE!D74</f>
        <v>VIT</v>
      </c>
      <c r="E74" s="7">
        <f>CALC_GAMES_BASE!E74</f>
        <v>0</v>
      </c>
      <c r="F74" s="6">
        <f>CALC_GAMES_BASE!N74</f>
        <v>0.29999999999999982</v>
      </c>
      <c r="G74" s="7">
        <f>CALC_GAMES_BASE!K74</f>
        <v>2</v>
      </c>
      <c r="H74" s="7">
        <f t="shared" si="1"/>
        <v>1</v>
      </c>
      <c r="I74" s="6">
        <f>IF(H74=1,
  F74,
  G74*PARAMETRY!$B$11)</f>
        <v>0.29999999999999982</v>
      </c>
      <c r="J74" s="6">
        <f>CALC_GAMES_BASE!U74-CALC_GAMES_BASE!V74</f>
        <v>5.0755494505494519E-2</v>
      </c>
      <c r="K74" s="6">
        <f>_xlfn.XLOOKUP(CALC_GAMES_BASE!W74,
  CALC_GOALIES!B:B,
  CALC_GOALIES!K:K)</f>
        <v>-1.0634669404866681E-2</v>
      </c>
      <c r="L74" s="6">
        <f>_xlfn.XLOOKUP(C74,CALC_TEAMS_SEASON!B:B,CALC_TEAMS_SEASON!L:L)</f>
        <v>6.4376750700279955E-2</v>
      </c>
      <c r="M74">
        <f>IF(CALC_GAMES_BASE!Z74="RS",1,1.2)</f>
        <v>1</v>
      </c>
      <c r="N74">
        <f xml:space="preserve"> CALC_GAMES_BASE!Y74</f>
        <v>1</v>
      </c>
    </row>
    <row r="75" spans="1:14" x14ac:dyDescent="0.25">
      <c r="A75" t="str">
        <f>CALC_GAMES_BASE!A75</f>
        <v>25/26</v>
      </c>
      <c r="B75" s="3">
        <f>CALC_GAMES_BASE!B75</f>
        <v>45921</v>
      </c>
      <c r="C75" s="3" t="str">
        <f>CALC_GAMES_BASE!C75</f>
        <v>KOM</v>
      </c>
      <c r="D75" s="3" t="str">
        <f>CALC_GAMES_BASE!D75</f>
        <v>MHK</v>
      </c>
      <c r="E75" s="7">
        <f>CALC_GAMES_BASE!E75</f>
        <v>0</v>
      </c>
      <c r="F75" s="6">
        <f>CALC_GAMES_BASE!N75</f>
        <v>0.39999999999999991</v>
      </c>
      <c r="G75" s="7">
        <f>CALC_GAMES_BASE!K75</f>
        <v>-6</v>
      </c>
      <c r="H75" s="7">
        <f t="shared" si="1"/>
        <v>1</v>
      </c>
      <c r="I75" s="6">
        <f>IF(H75=1,
  F75,
  G75*PARAMETRY!$B$11)</f>
        <v>0.39999999999999991</v>
      </c>
      <c r="J75" s="6">
        <f>CALC_GAMES_BASE!U75-CALC_GAMES_BASE!V75</f>
        <v>1.739926739926706E-3</v>
      </c>
      <c r="K75" s="6">
        <f>_xlfn.XLOOKUP(CALC_GAMES_BASE!W75,
  CALC_GOALIES!B:B,
  CALC_GOALIES!K:K)</f>
        <v>-1.7945945907462235E-2</v>
      </c>
      <c r="L75" s="6">
        <f>_xlfn.XLOOKUP(C75,CALC_TEAMS_SEASON!B:B,CALC_TEAMS_SEASON!L:L)</f>
        <v>-0.37268207282913179</v>
      </c>
      <c r="M75">
        <f>IF(CALC_GAMES_BASE!Z75="RS",1,1.2)</f>
        <v>1</v>
      </c>
      <c r="N75">
        <f xml:space="preserve"> CALC_GAMES_BASE!Y75</f>
        <v>1</v>
      </c>
    </row>
    <row r="76" spans="1:14" x14ac:dyDescent="0.25">
      <c r="A76" t="str">
        <f>CALC_GAMES_BASE!A76</f>
        <v>25/26</v>
      </c>
      <c r="B76" s="3">
        <f>CALC_GAMES_BASE!B76</f>
        <v>45921</v>
      </c>
      <c r="C76" s="3" t="str">
        <f>CALC_GAMES_BASE!C76</f>
        <v>CEB</v>
      </c>
      <c r="D76" s="3" t="str">
        <f>CALC_GAMES_BASE!D76</f>
        <v>TRI</v>
      </c>
      <c r="E76" s="7">
        <f>CALC_GAMES_BASE!E76</f>
        <v>1</v>
      </c>
      <c r="F76" s="6">
        <f>CALC_GAMES_BASE!N76</f>
        <v>3.0100000000000002</v>
      </c>
      <c r="G76" s="7">
        <f>CALC_GAMES_BASE!K76</f>
        <v>31</v>
      </c>
      <c r="H76" s="7">
        <f t="shared" si="1"/>
        <v>1</v>
      </c>
      <c r="I76" s="6">
        <f>IF(H76=1,
  F76,
  G76*PARAMETRY!$B$11)</f>
        <v>3.0100000000000002</v>
      </c>
      <c r="J76" s="6">
        <f>CALC_GAMES_BASE!U76-CALC_GAMES_BASE!V76</f>
        <v>-4.4160700410700443E-2</v>
      </c>
      <c r="K76" s="6">
        <f>_xlfn.XLOOKUP(CALC_GAMES_BASE!W76,
  CALC_GOALIES!B:B,
  CALC_GOALIES!K:K)</f>
        <v>3.9343341510811314E-3</v>
      </c>
      <c r="L76" s="6">
        <f>_xlfn.XLOOKUP(C76,CALC_TEAMS_SEASON!B:B,CALC_TEAMS_SEASON!L:L)</f>
        <v>-0.24978011204481798</v>
      </c>
      <c r="M76">
        <f>IF(CALC_GAMES_BASE!Z76="RS",1,1.2)</f>
        <v>1</v>
      </c>
      <c r="N76">
        <f xml:space="preserve"> CALC_GAMES_BASE!Y76</f>
        <v>0</v>
      </c>
    </row>
    <row r="77" spans="1:14" x14ac:dyDescent="0.25">
      <c r="A77" t="str">
        <f>CALC_GAMES_BASE!A77</f>
        <v>25/26</v>
      </c>
      <c r="B77" s="3">
        <f>CALC_GAMES_BASE!B77</f>
        <v>45921</v>
      </c>
      <c r="C77" s="3" t="str">
        <f>CALC_GAMES_BASE!C77</f>
        <v>KLA</v>
      </c>
      <c r="D77" s="3" t="str">
        <f>CALC_GAMES_BASE!D77</f>
        <v>LIB</v>
      </c>
      <c r="E77" s="7">
        <f>CALC_GAMES_BASE!E77</f>
        <v>0</v>
      </c>
      <c r="F77" s="6" t="str">
        <f>CALC_GAMES_BASE!N77</f>
        <v/>
      </c>
      <c r="G77" s="7">
        <f>CALC_GAMES_BASE!K77</f>
        <v>0</v>
      </c>
      <c r="H77" s="7">
        <f t="shared" si="1"/>
        <v>0</v>
      </c>
      <c r="I77" s="6">
        <f>IF(H77=1,
  F77,
  G77*PARAMETRY!$B$11)</f>
        <v>0</v>
      </c>
      <c r="J77" s="6">
        <f>CALC_GAMES_BASE!U77-CALC_GAMES_BASE!V77</f>
        <v>-1.2568681318681357E-2</v>
      </c>
      <c r="K77" s="6">
        <f>_xlfn.XLOOKUP(CALC_GAMES_BASE!W77,
  CALC_GOALIES!B:B,
  CALC_GOALIES!K:K)</f>
        <v>1.2463190300688209E-2</v>
      </c>
      <c r="L77" s="6">
        <f>_xlfn.XLOOKUP(C77,CALC_TEAMS_SEASON!B:B,CALC_TEAMS_SEASON!L:L)</f>
        <v>-0.19819677871148478</v>
      </c>
      <c r="M77">
        <f>IF(CALC_GAMES_BASE!Z77="RS",1,1.2)</f>
        <v>1</v>
      </c>
      <c r="N77">
        <f xml:space="preserve"> CALC_GAMES_BASE!Y77</f>
        <v>0</v>
      </c>
    </row>
    <row r="78" spans="1:14" x14ac:dyDescent="0.25">
      <c r="A78" t="str">
        <f>CALC_GAMES_BASE!A78</f>
        <v>25/26</v>
      </c>
      <c r="B78" s="3">
        <f>CALC_GAMES_BASE!B78</f>
        <v>45921</v>
      </c>
      <c r="C78" s="3" t="str">
        <f>CALC_GAMES_BASE!C78</f>
        <v>KVA</v>
      </c>
      <c r="D78" s="3" t="str">
        <f>CALC_GAMES_BASE!D78</f>
        <v>MBL</v>
      </c>
      <c r="E78" s="7">
        <f>CALC_GAMES_BASE!E78</f>
        <v>0</v>
      </c>
      <c r="F78" s="6" t="str">
        <f>CALC_GAMES_BASE!N78</f>
        <v/>
      </c>
      <c r="G78" s="7">
        <f>CALC_GAMES_BASE!K78</f>
        <v>-8</v>
      </c>
      <c r="H78" s="7">
        <f t="shared" si="1"/>
        <v>0</v>
      </c>
      <c r="I78" s="6">
        <f>IF(H78=1,
  F78,
  G78*PARAMETRY!$B$11)</f>
        <v>-0.4</v>
      </c>
      <c r="J78" s="6">
        <f>CALC_GAMES_BASE!U78-CALC_GAMES_BASE!V78</f>
        <v>5.5601343101343112E-2</v>
      </c>
      <c r="K78" s="6">
        <f>_xlfn.XLOOKUP(CALC_GAMES_BASE!W78,
  CALC_GOALIES!B:B,
  CALC_GOALIES!K:K)</f>
        <v>-2.2629454281007488E-2</v>
      </c>
      <c r="L78" s="6">
        <f>_xlfn.XLOOKUP(C78,CALC_TEAMS_SEASON!B:B,CALC_TEAMS_SEASON!L:L)</f>
        <v>-0.28757177871148476</v>
      </c>
      <c r="M78">
        <f>IF(CALC_GAMES_BASE!Z78="RS",1,1.2)</f>
        <v>1</v>
      </c>
      <c r="N78">
        <f xml:space="preserve"> CALC_GAMES_BASE!Y78</f>
        <v>1</v>
      </c>
    </row>
    <row r="79" spans="1:14" x14ac:dyDescent="0.25">
      <c r="A79" t="str">
        <f>CALC_GAMES_BASE!A79</f>
        <v>25/26</v>
      </c>
      <c r="B79" s="3">
        <f>CALC_GAMES_BASE!B79</f>
        <v>45921</v>
      </c>
      <c r="C79" s="3" t="str">
        <f>CALC_GAMES_BASE!C79</f>
        <v>LIB</v>
      </c>
      <c r="D79" s="3" t="str">
        <f>CALC_GAMES_BASE!D79</f>
        <v>KLA</v>
      </c>
      <c r="E79" s="7">
        <f>CALC_GAMES_BASE!E79</f>
        <v>1</v>
      </c>
      <c r="F79" s="6" t="str">
        <f>CALC_GAMES_BASE!N79</f>
        <v/>
      </c>
      <c r="G79" s="7">
        <f>CALC_GAMES_BASE!K79</f>
        <v>0</v>
      </c>
      <c r="H79" s="7">
        <f t="shared" si="1"/>
        <v>0</v>
      </c>
      <c r="I79" s="6">
        <f>IF(H79=1,
  F79,
  G79*PARAMETRY!$B$11)</f>
        <v>0</v>
      </c>
      <c r="J79" s="6">
        <f>CALC_GAMES_BASE!U79-CALC_GAMES_BASE!V79</f>
        <v>1.2568681318681357E-2</v>
      </c>
      <c r="K79" s="6">
        <f>_xlfn.XLOOKUP(CALC_GAMES_BASE!W79,
  CALC_GOALIES!B:B,
  CALC_GOALIES!K:K)</f>
        <v>1.2275709048813366E-2</v>
      </c>
      <c r="L79" s="6">
        <f>_xlfn.XLOOKUP(C79,CALC_TEAMS_SEASON!B:B,CALC_TEAMS_SEASON!L:L)</f>
        <v>0.22367822128851536</v>
      </c>
      <c r="M79">
        <f>IF(CALC_GAMES_BASE!Z79="RS",1,1.2)</f>
        <v>1</v>
      </c>
      <c r="N79">
        <f xml:space="preserve"> CALC_GAMES_BASE!Y79</f>
        <v>1</v>
      </c>
    </row>
    <row r="80" spans="1:14" x14ac:dyDescent="0.25">
      <c r="A80" t="str">
        <f>CALC_GAMES_BASE!A80</f>
        <v>25/26</v>
      </c>
      <c r="B80" s="3">
        <f>CALC_GAMES_BASE!B80</f>
        <v>45921</v>
      </c>
      <c r="C80" s="3" t="str">
        <f>CALC_GAMES_BASE!C80</f>
        <v>MBL</v>
      </c>
      <c r="D80" s="3" t="str">
        <f>CALC_GAMES_BASE!D80</f>
        <v>KVA</v>
      </c>
      <c r="E80" s="7">
        <f>CALC_GAMES_BASE!E80</f>
        <v>1</v>
      </c>
      <c r="F80" s="6" t="str">
        <f>CALC_GAMES_BASE!N80</f>
        <v/>
      </c>
      <c r="G80" s="7">
        <f>CALC_GAMES_BASE!K80</f>
        <v>8</v>
      </c>
      <c r="H80" s="7">
        <f t="shared" si="1"/>
        <v>0</v>
      </c>
      <c r="I80" s="6">
        <f>IF(H80=1,
  F80,
  G80*PARAMETRY!$B$11)</f>
        <v>0.4</v>
      </c>
      <c r="J80" s="6">
        <f>CALC_GAMES_BASE!U80-CALC_GAMES_BASE!V80</f>
        <v>-5.5601343101343112E-2</v>
      </c>
      <c r="K80" s="6">
        <f>_xlfn.XLOOKUP(CALC_GAMES_BASE!W80,
  CALC_GOALIES!B:B,
  CALC_GOALIES!K:K)</f>
        <v>-4.4670611186142795E-3</v>
      </c>
      <c r="L80" s="6">
        <f>_xlfn.XLOOKUP(C80,CALC_TEAMS_SEASON!B:B,CALC_TEAMS_SEASON!L:L)</f>
        <v>-0.89069677871148467</v>
      </c>
      <c r="M80">
        <f>IF(CALC_GAMES_BASE!Z80="RS",1,1.2)</f>
        <v>1</v>
      </c>
      <c r="N80">
        <f xml:space="preserve"> CALC_GAMES_BASE!Y80</f>
        <v>0</v>
      </c>
    </row>
    <row r="81" spans="1:14" x14ac:dyDescent="0.25">
      <c r="A81" t="str">
        <f>CALC_GAMES_BASE!A81</f>
        <v>25/26</v>
      </c>
      <c r="B81" s="3">
        <f>CALC_GAMES_BASE!B81</f>
        <v>45921</v>
      </c>
      <c r="C81" s="3" t="str">
        <f>CALC_GAMES_BASE!C81</f>
        <v>MHK</v>
      </c>
      <c r="D81" s="3" t="str">
        <f>CALC_GAMES_BASE!D81</f>
        <v>KOM</v>
      </c>
      <c r="E81" s="7">
        <f>CALC_GAMES_BASE!E81</f>
        <v>1</v>
      </c>
      <c r="F81" s="6">
        <f>CALC_GAMES_BASE!N81</f>
        <v>-0.39999999999999991</v>
      </c>
      <c r="G81" s="7">
        <f>CALC_GAMES_BASE!K81</f>
        <v>6</v>
      </c>
      <c r="H81" s="7">
        <f t="shared" si="1"/>
        <v>1</v>
      </c>
      <c r="I81" s="6">
        <f>IF(H81=1,
  F81,
  G81*PARAMETRY!$B$11)</f>
        <v>-0.39999999999999991</v>
      </c>
      <c r="J81" s="6">
        <f>CALC_GAMES_BASE!U81-CALC_GAMES_BASE!V81</f>
        <v>-1.739926739926706E-3</v>
      </c>
      <c r="K81" s="6">
        <f>_xlfn.XLOOKUP(CALC_GAMES_BASE!W81,
  CALC_GOALIES!B:B,
  CALC_GOALIES!K:K)</f>
        <v>-6.4024499913341248E-2</v>
      </c>
      <c r="L81" s="6">
        <f>_xlfn.XLOOKUP(C81,CALC_TEAMS_SEASON!B:B,CALC_TEAMS_SEASON!L:L)</f>
        <v>0.14821988795518207</v>
      </c>
      <c r="M81">
        <f>IF(CALC_GAMES_BASE!Z81="RS",1,1.2)</f>
        <v>1</v>
      </c>
      <c r="N81">
        <f xml:space="preserve"> CALC_GAMES_BASE!Y81</f>
        <v>0</v>
      </c>
    </row>
    <row r="82" spans="1:14" x14ac:dyDescent="0.25">
      <c r="A82" t="str">
        <f>CALC_GAMES_BASE!A82</f>
        <v>25/26</v>
      </c>
      <c r="B82" s="3">
        <f>CALC_GAMES_BASE!B82</f>
        <v>45921</v>
      </c>
      <c r="C82" s="3" t="str">
        <f>CALC_GAMES_BASE!C82</f>
        <v>PLZ</v>
      </c>
      <c r="D82" s="3" t="str">
        <f>CALC_GAMES_BASE!D82</f>
        <v>PCE</v>
      </c>
      <c r="E82" s="7">
        <f>CALC_GAMES_BASE!E82</f>
        <v>1</v>
      </c>
      <c r="F82" s="6">
        <f>CALC_GAMES_BASE!N82</f>
        <v>1.1000000000000001</v>
      </c>
      <c r="G82" s="7">
        <f>CALC_GAMES_BASE!K82</f>
        <v>-14</v>
      </c>
      <c r="H82" s="7">
        <f t="shared" si="1"/>
        <v>1</v>
      </c>
      <c r="I82" s="6">
        <f>IF(H82=1,
  F82,
  G82*PARAMETRY!$B$11)</f>
        <v>1.1000000000000001</v>
      </c>
      <c r="J82" s="6">
        <f>CALC_GAMES_BASE!U82-CALC_GAMES_BASE!V82</f>
        <v>-2.6564407814407914E-2</v>
      </c>
      <c r="K82" s="6">
        <f>_xlfn.XLOOKUP(CALC_GAMES_BASE!W82,
  CALC_GOALIES!B:B,
  CALC_GOALIES!K:K)</f>
        <v>-1.4856765927271365E-3</v>
      </c>
      <c r="L82" s="6">
        <f>_xlfn.XLOOKUP(C82,CALC_TEAMS_SEASON!B:B,CALC_TEAMS_SEASON!L:L)</f>
        <v>7.3678221288515283E-2</v>
      </c>
      <c r="M82">
        <f>IF(CALC_GAMES_BASE!Z82="RS",1,1.2)</f>
        <v>1</v>
      </c>
      <c r="N82">
        <f xml:space="preserve"> CALC_GAMES_BASE!Y82</f>
        <v>1</v>
      </c>
    </row>
    <row r="83" spans="1:14" x14ac:dyDescent="0.25">
      <c r="A83" t="str">
        <f>CALC_GAMES_BASE!A83</f>
        <v>25/26</v>
      </c>
      <c r="B83" s="3">
        <f>CALC_GAMES_BASE!B83</f>
        <v>45921</v>
      </c>
      <c r="C83" s="3" t="str">
        <f>CALC_GAMES_BASE!C83</f>
        <v>VIT</v>
      </c>
      <c r="D83" s="3" t="str">
        <f>CALC_GAMES_BASE!D83</f>
        <v>SPA</v>
      </c>
      <c r="E83" s="7">
        <f>CALC_GAMES_BASE!E83</f>
        <v>1</v>
      </c>
      <c r="F83" s="6">
        <f>CALC_GAMES_BASE!N83</f>
        <v>-0.29000000000000004</v>
      </c>
      <c r="G83" s="7">
        <f>CALC_GAMES_BASE!K83</f>
        <v>-2</v>
      </c>
      <c r="H83" s="7">
        <f t="shared" si="1"/>
        <v>1</v>
      </c>
      <c r="I83" s="6">
        <f>IF(H83=1,
  F83,
  G83*PARAMETRY!$B$11)</f>
        <v>-0.29000000000000004</v>
      </c>
      <c r="J83" s="6">
        <f>CALC_GAMES_BASE!U83-CALC_GAMES_BASE!V83</f>
        <v>-5.0755494505494519E-2</v>
      </c>
      <c r="K83" s="6">
        <f>_xlfn.XLOOKUP(CALC_GAMES_BASE!W83,
  CALC_GOALIES!B:B,
  CALC_GOALIES!K:K)</f>
        <v>1.905487900993541E-3</v>
      </c>
      <c r="L83" s="6">
        <f>_xlfn.XLOOKUP(C83,CALC_TEAMS_SEASON!B:B,CALC_TEAMS_SEASON!L:L)</f>
        <v>-1.0281967787114845</v>
      </c>
      <c r="M83">
        <f>IF(CALC_GAMES_BASE!Z83="RS",1,1.2)</f>
        <v>1</v>
      </c>
      <c r="N83">
        <f xml:space="preserve"> CALC_GAMES_BASE!Y83</f>
        <v>0</v>
      </c>
    </row>
    <row r="84" spans="1:14" x14ac:dyDescent="0.25">
      <c r="A84" t="str">
        <f>CALC_GAMES_BASE!A84</f>
        <v>25/26</v>
      </c>
      <c r="B84" s="3">
        <f>CALC_GAMES_BASE!B84</f>
        <v>45923</v>
      </c>
      <c r="C84" s="3" t="str">
        <f>CALC_GAMES_BASE!C84</f>
        <v>PCE</v>
      </c>
      <c r="D84" s="3" t="str">
        <f>CALC_GAMES_BASE!D84</f>
        <v>KLA</v>
      </c>
      <c r="E84" s="7">
        <f>CALC_GAMES_BASE!E84</f>
        <v>0</v>
      </c>
      <c r="F84" s="6">
        <f>CALC_GAMES_BASE!N84</f>
        <v>-2.48</v>
      </c>
      <c r="G84" s="7">
        <f>CALC_GAMES_BASE!K84</f>
        <v>-17</v>
      </c>
      <c r="H84" s="7">
        <f t="shared" si="1"/>
        <v>1</v>
      </c>
      <c r="I84" s="6">
        <f>IF(H84=1,
  F84,
  G84*PARAMETRY!$B$11)</f>
        <v>-2.48</v>
      </c>
      <c r="J84" s="6">
        <f>CALC_GAMES_BASE!U84-CALC_GAMES_BASE!V84</f>
        <v>7.17719780219781E-2</v>
      </c>
      <c r="K84" s="6">
        <f>_xlfn.XLOOKUP(CALC_GAMES_BASE!W84,
  CALC_GOALIES!B:B,
  CALC_GOALIES!K:K)</f>
        <v>-2.4829341344873024E-3</v>
      </c>
      <c r="L84" s="6">
        <f>_xlfn.XLOOKUP(C84,CALC_TEAMS_SEASON!B:B,CALC_TEAMS_SEASON!L:L)</f>
        <v>0.62437675070027965</v>
      </c>
      <c r="M84">
        <f>IF(CALC_GAMES_BASE!Z84="RS",1,1.2)</f>
        <v>1</v>
      </c>
      <c r="N84">
        <f xml:space="preserve"> CALC_GAMES_BASE!Y84</f>
        <v>1</v>
      </c>
    </row>
    <row r="85" spans="1:14" x14ac:dyDescent="0.25">
      <c r="A85" t="str">
        <f>CALC_GAMES_BASE!A85</f>
        <v>25/26</v>
      </c>
      <c r="B85" s="3">
        <f>CALC_GAMES_BASE!B85</f>
        <v>45923</v>
      </c>
      <c r="C85" s="3" t="str">
        <f>CALC_GAMES_BASE!C85</f>
        <v>SPA</v>
      </c>
      <c r="D85" s="3" t="str">
        <f>CALC_GAMES_BASE!D85</f>
        <v>OLO</v>
      </c>
      <c r="E85" s="7">
        <f>CALC_GAMES_BASE!E85</f>
        <v>0</v>
      </c>
      <c r="F85" s="6">
        <f>CALC_GAMES_BASE!N85</f>
        <v>0.27</v>
      </c>
      <c r="G85" s="7">
        <f>CALC_GAMES_BASE!K85</f>
        <v>10</v>
      </c>
      <c r="H85" s="7">
        <f t="shared" si="1"/>
        <v>1</v>
      </c>
      <c r="I85" s="6">
        <f>IF(H85=1,
  F85,
  G85*PARAMETRY!$B$11)</f>
        <v>0.27</v>
      </c>
      <c r="J85" s="6">
        <f>CALC_GAMES_BASE!U85-CALC_GAMES_BASE!V85</f>
        <v>7.0711233211233238E-2</v>
      </c>
      <c r="K85" s="6">
        <f>_xlfn.XLOOKUP(CALC_GAMES_BASE!W85,
  CALC_GOALIES!B:B,
  CALC_GOALIES!K:K)</f>
        <v>3.5919237922225067E-3</v>
      </c>
      <c r="L85" s="6">
        <f>_xlfn.XLOOKUP(C85,CALC_TEAMS_SEASON!B:B,CALC_TEAMS_SEASON!L:L)</f>
        <v>6.4376750700279955E-2</v>
      </c>
      <c r="M85">
        <f>IF(CALC_GAMES_BASE!Z85="RS",1,1.2)</f>
        <v>1</v>
      </c>
      <c r="N85">
        <f xml:space="preserve"> CALC_GAMES_BASE!Y85</f>
        <v>0</v>
      </c>
    </row>
    <row r="86" spans="1:14" x14ac:dyDescent="0.25">
      <c r="A86" t="str">
        <f>CALC_GAMES_BASE!A86</f>
        <v>25/26</v>
      </c>
      <c r="B86" s="3">
        <f>CALC_GAMES_BASE!B86</f>
        <v>45923</v>
      </c>
      <c r="C86" s="3" t="str">
        <f>CALC_GAMES_BASE!C86</f>
        <v>KOM</v>
      </c>
      <c r="D86" s="3" t="str">
        <f>CALC_GAMES_BASE!D86</f>
        <v>PLZ</v>
      </c>
      <c r="E86" s="7">
        <f>CALC_GAMES_BASE!E86</f>
        <v>1</v>
      </c>
      <c r="F86" s="6">
        <f>CALC_GAMES_BASE!N86</f>
        <v>1.2</v>
      </c>
      <c r="G86" s="7">
        <f>CALC_GAMES_BASE!K86</f>
        <v>11</v>
      </c>
      <c r="H86" s="7">
        <f t="shared" si="1"/>
        <v>1</v>
      </c>
      <c r="I86" s="6">
        <f>IF(H86=1,
  F86,
  G86*PARAMETRY!$B$11)</f>
        <v>1.2</v>
      </c>
      <c r="J86" s="6">
        <f>CALC_GAMES_BASE!U86-CALC_GAMES_BASE!V86</f>
        <v>-3.2822039072039039E-2</v>
      </c>
      <c r="K86" s="6">
        <f>_xlfn.XLOOKUP(CALC_GAMES_BASE!W86,
  CALC_GOALIES!B:B,
  CALC_GOALIES!K:K)</f>
        <v>-1.5147095063735572E-3</v>
      </c>
      <c r="L86" s="6">
        <f>_xlfn.XLOOKUP(C86,CALC_TEAMS_SEASON!B:B,CALC_TEAMS_SEASON!L:L)</f>
        <v>-0.37268207282913179</v>
      </c>
      <c r="M86">
        <f>IF(CALC_GAMES_BASE!Z86="RS",1,1.2)</f>
        <v>1</v>
      </c>
      <c r="N86">
        <f xml:space="preserve"> CALC_GAMES_BASE!Y86</f>
        <v>1</v>
      </c>
    </row>
    <row r="87" spans="1:14" x14ac:dyDescent="0.25">
      <c r="A87" t="str">
        <f>CALC_GAMES_BASE!A87</f>
        <v>25/26</v>
      </c>
      <c r="B87" s="3">
        <f>CALC_GAMES_BASE!B87</f>
        <v>45923</v>
      </c>
      <c r="C87" s="3" t="str">
        <f>CALC_GAMES_BASE!C87</f>
        <v>CEB</v>
      </c>
      <c r="D87" s="3" t="str">
        <f>CALC_GAMES_BASE!D87</f>
        <v>KVA</v>
      </c>
      <c r="E87" s="7">
        <f>CALC_GAMES_BASE!E87</f>
        <v>0</v>
      </c>
      <c r="F87" s="6" t="str">
        <f>CALC_GAMES_BASE!N87</f>
        <v/>
      </c>
      <c r="G87" s="7">
        <f>CALC_GAMES_BASE!K87</f>
        <v>-17</v>
      </c>
      <c r="H87" s="7">
        <f t="shared" si="1"/>
        <v>0</v>
      </c>
      <c r="I87" s="6">
        <f>IF(H87=1,
  F87,
  G87*PARAMETRY!$B$11)</f>
        <v>-0.85000000000000009</v>
      </c>
      <c r="J87" s="6">
        <f>CALC_GAMES_BASE!U87-CALC_GAMES_BASE!V87</f>
        <v>-4.3657037407037413E-2</v>
      </c>
      <c r="K87" s="6">
        <f>_xlfn.XLOOKUP(CALC_GAMES_BASE!W87,
  CALC_GOALIES!B:B,
  CALC_GOALIES!K:K)</f>
        <v>-1.372632037787358E-2</v>
      </c>
      <c r="L87" s="6">
        <f>_xlfn.XLOOKUP(C87,CALC_TEAMS_SEASON!B:B,CALC_TEAMS_SEASON!L:L)</f>
        <v>-0.24978011204481798</v>
      </c>
      <c r="M87">
        <f>IF(CALC_GAMES_BASE!Z87="RS",1,1.2)</f>
        <v>1</v>
      </c>
      <c r="N87">
        <f xml:space="preserve"> CALC_GAMES_BASE!Y87</f>
        <v>0</v>
      </c>
    </row>
    <row r="88" spans="1:14" x14ac:dyDescent="0.25">
      <c r="A88" t="str">
        <f>CALC_GAMES_BASE!A88</f>
        <v>25/26</v>
      </c>
      <c r="B88" s="3">
        <f>CALC_GAMES_BASE!B88</f>
        <v>45923</v>
      </c>
      <c r="C88" s="3" t="str">
        <f>CALC_GAMES_BASE!C88</f>
        <v>KLA</v>
      </c>
      <c r="D88" s="3" t="str">
        <f>CALC_GAMES_BASE!D88</f>
        <v>PCE</v>
      </c>
      <c r="E88" s="7">
        <f>CALC_GAMES_BASE!E88</f>
        <v>1</v>
      </c>
      <c r="F88" s="6">
        <f>CALC_GAMES_BASE!N88</f>
        <v>2.48</v>
      </c>
      <c r="G88" s="7">
        <f>CALC_GAMES_BASE!K88</f>
        <v>17</v>
      </c>
      <c r="H88" s="7">
        <f t="shared" si="1"/>
        <v>1</v>
      </c>
      <c r="I88" s="6">
        <f>IF(H88=1,
  F88,
  G88*PARAMETRY!$B$11)</f>
        <v>2.48</v>
      </c>
      <c r="J88" s="6">
        <f>CALC_GAMES_BASE!U88-CALC_GAMES_BASE!V88</f>
        <v>-7.17719780219781E-2</v>
      </c>
      <c r="K88" s="6">
        <f>_xlfn.XLOOKUP(CALC_GAMES_BASE!W88,
  CALC_GOALIES!B:B,
  CALC_GOALIES!K:K)</f>
        <v>1.2463190300688209E-2</v>
      </c>
      <c r="L88" s="6">
        <f>_xlfn.XLOOKUP(C88,CALC_TEAMS_SEASON!B:B,CALC_TEAMS_SEASON!L:L)</f>
        <v>-0.19819677871148478</v>
      </c>
      <c r="M88">
        <f>IF(CALC_GAMES_BASE!Z88="RS",1,1.2)</f>
        <v>1</v>
      </c>
      <c r="N88">
        <f xml:space="preserve"> CALC_GAMES_BASE!Y88</f>
        <v>0</v>
      </c>
    </row>
    <row r="89" spans="1:14" x14ac:dyDescent="0.25">
      <c r="A89" t="str">
        <f>CALC_GAMES_BASE!A89</f>
        <v>25/26</v>
      </c>
      <c r="B89" s="3">
        <f>CALC_GAMES_BASE!B89</f>
        <v>45923</v>
      </c>
      <c r="C89" s="3" t="str">
        <f>CALC_GAMES_BASE!C89</f>
        <v>KVA</v>
      </c>
      <c r="D89" s="3" t="str">
        <f>CALC_GAMES_BASE!D89</f>
        <v>CEB</v>
      </c>
      <c r="E89" s="7">
        <f>CALC_GAMES_BASE!E89</f>
        <v>1</v>
      </c>
      <c r="F89" s="6" t="str">
        <f>CALC_GAMES_BASE!N89</f>
        <v/>
      </c>
      <c r="G89" s="7">
        <f>CALC_GAMES_BASE!K89</f>
        <v>17</v>
      </c>
      <c r="H89" s="7">
        <f t="shared" si="1"/>
        <v>0</v>
      </c>
      <c r="I89" s="6">
        <f>IF(H89=1,
  F89,
  G89*PARAMETRY!$B$11)</f>
        <v>0.85000000000000009</v>
      </c>
      <c r="J89" s="6">
        <f>CALC_GAMES_BASE!U89-CALC_GAMES_BASE!V89</f>
        <v>4.3657037407037413E-2</v>
      </c>
      <c r="K89" s="6">
        <f>_xlfn.XLOOKUP(CALC_GAMES_BASE!W89,
  CALC_GOALIES!B:B,
  CALC_GOALIES!K:K)</f>
        <v>1.2242809776983998E-2</v>
      </c>
      <c r="L89" s="6">
        <f>_xlfn.XLOOKUP(C89,CALC_TEAMS_SEASON!B:B,CALC_TEAMS_SEASON!L:L)</f>
        <v>-0.28757177871148476</v>
      </c>
      <c r="M89">
        <f>IF(CALC_GAMES_BASE!Z89="RS",1,1.2)</f>
        <v>1</v>
      </c>
      <c r="N89">
        <f xml:space="preserve"> CALC_GAMES_BASE!Y89</f>
        <v>1</v>
      </c>
    </row>
    <row r="90" spans="1:14" x14ac:dyDescent="0.25">
      <c r="A90" t="str">
        <f>CALC_GAMES_BASE!A90</f>
        <v>25/26</v>
      </c>
      <c r="B90" s="3">
        <f>CALC_GAMES_BASE!B90</f>
        <v>45923</v>
      </c>
      <c r="C90" s="3" t="str">
        <f>CALC_GAMES_BASE!C90</f>
        <v>LIB</v>
      </c>
      <c r="D90" s="3" t="str">
        <f>CALC_GAMES_BASE!D90</f>
        <v>VIT</v>
      </c>
      <c r="E90" s="7">
        <f>CALC_GAMES_BASE!E90</f>
        <v>0</v>
      </c>
      <c r="F90" s="6" t="str">
        <f>CALC_GAMES_BASE!N90</f>
        <v/>
      </c>
      <c r="G90" s="7">
        <f>CALC_GAMES_BASE!K90</f>
        <v>7</v>
      </c>
      <c r="H90" s="7">
        <f t="shared" si="1"/>
        <v>0</v>
      </c>
      <c r="I90" s="6">
        <f>IF(H90=1,
  F90,
  G90*PARAMETRY!$B$11)</f>
        <v>0.35000000000000003</v>
      </c>
      <c r="J90" s="6">
        <f>CALC_GAMES_BASE!U90-CALC_GAMES_BASE!V90</f>
        <v>-2.6076007326007344E-2</v>
      </c>
      <c r="K90" s="6">
        <f>_xlfn.XLOOKUP(CALC_GAMES_BASE!W90,
  CALC_GOALIES!B:B,
  CALC_GOALIES!K:K)</f>
        <v>-2.3186867881899276E-2</v>
      </c>
      <c r="L90" s="6">
        <f>_xlfn.XLOOKUP(C90,CALC_TEAMS_SEASON!B:B,CALC_TEAMS_SEASON!L:L)</f>
        <v>0.22367822128851536</v>
      </c>
      <c r="M90">
        <f>IF(CALC_GAMES_BASE!Z90="RS",1,1.2)</f>
        <v>1</v>
      </c>
      <c r="N90">
        <f xml:space="preserve"> CALC_GAMES_BASE!Y90</f>
        <v>0</v>
      </c>
    </row>
    <row r="91" spans="1:14" x14ac:dyDescent="0.25">
      <c r="A91" t="str">
        <f>CALC_GAMES_BASE!A91</f>
        <v>25/26</v>
      </c>
      <c r="B91" s="3">
        <f>CALC_GAMES_BASE!B91</f>
        <v>45923</v>
      </c>
      <c r="C91" s="3" t="str">
        <f>CALC_GAMES_BASE!C91</f>
        <v>LIT</v>
      </c>
      <c r="D91" s="3" t="str">
        <f>CALC_GAMES_BASE!D91</f>
        <v>MBL</v>
      </c>
      <c r="E91" s="7">
        <f>CALC_GAMES_BASE!E91</f>
        <v>1</v>
      </c>
      <c r="F91" s="6" t="str">
        <f>CALC_GAMES_BASE!N91</f>
        <v/>
      </c>
      <c r="G91" s="7">
        <f>CALC_GAMES_BASE!K91</f>
        <v>-11</v>
      </c>
      <c r="H91" s="7">
        <f t="shared" si="1"/>
        <v>0</v>
      </c>
      <c r="I91" s="6">
        <f>IF(H91=1,
  F91,
  G91*PARAMETRY!$B$11)</f>
        <v>-0.55000000000000004</v>
      </c>
      <c r="J91" s="6">
        <f>CALC_GAMES_BASE!U91-CALC_GAMES_BASE!V91</f>
        <v>-1.7376373626373648E-2</v>
      </c>
      <c r="K91" s="6">
        <f>_xlfn.XLOOKUP(CALC_GAMES_BASE!W91,
  CALC_GOALIES!B:B,
  CALC_GOALIES!K:K)</f>
        <v>-8.1125178551773036E-3</v>
      </c>
      <c r="L91" s="6">
        <f>_xlfn.XLOOKUP(C91,CALC_TEAMS_SEASON!B:B,CALC_TEAMS_SEASON!L:L)</f>
        <v>-1.4784467787114848</v>
      </c>
      <c r="M91">
        <f>IF(CALC_GAMES_BASE!Z91="RS",1,1.2)</f>
        <v>1</v>
      </c>
      <c r="N91">
        <f xml:space="preserve"> CALC_GAMES_BASE!Y91</f>
        <v>1</v>
      </c>
    </row>
    <row r="92" spans="1:14" x14ac:dyDescent="0.25">
      <c r="A92" t="str">
        <f>CALC_GAMES_BASE!A92</f>
        <v>25/26</v>
      </c>
      <c r="B92" s="3">
        <f>CALC_GAMES_BASE!B92</f>
        <v>45923</v>
      </c>
      <c r="C92" s="3" t="str">
        <f>CALC_GAMES_BASE!C92</f>
        <v>MBL</v>
      </c>
      <c r="D92" s="3" t="str">
        <f>CALC_GAMES_BASE!D92</f>
        <v>LIT</v>
      </c>
      <c r="E92" s="7">
        <f>CALC_GAMES_BASE!E92</f>
        <v>0</v>
      </c>
      <c r="F92" s="6" t="str">
        <f>CALC_GAMES_BASE!N92</f>
        <v/>
      </c>
      <c r="G92" s="7">
        <f>CALC_GAMES_BASE!K92</f>
        <v>11</v>
      </c>
      <c r="H92" s="7">
        <f t="shared" si="1"/>
        <v>0</v>
      </c>
      <c r="I92" s="6">
        <f>IF(H92=1,
  F92,
  G92*PARAMETRY!$B$11)</f>
        <v>0.55000000000000004</v>
      </c>
      <c r="J92" s="6">
        <f>CALC_GAMES_BASE!U92-CALC_GAMES_BASE!V92</f>
        <v>1.7376373626373648E-2</v>
      </c>
      <c r="K92" s="6">
        <f>_xlfn.XLOOKUP(CALC_GAMES_BASE!W92,
  CALC_GOALIES!B:B,
  CALC_GOALIES!K:K)</f>
        <v>-2.6902958554511747E-2</v>
      </c>
      <c r="L92" s="6">
        <f>_xlfn.XLOOKUP(C92,CALC_TEAMS_SEASON!B:B,CALC_TEAMS_SEASON!L:L)</f>
        <v>-0.89069677871148467</v>
      </c>
      <c r="M92">
        <f>IF(CALC_GAMES_BASE!Z92="RS",1,1.2)</f>
        <v>1</v>
      </c>
      <c r="N92">
        <f xml:space="preserve"> CALC_GAMES_BASE!Y92</f>
        <v>0</v>
      </c>
    </row>
    <row r="93" spans="1:14" x14ac:dyDescent="0.25">
      <c r="A93" t="str">
        <f>CALC_GAMES_BASE!A93</f>
        <v>25/26</v>
      </c>
      <c r="B93" s="3">
        <f>CALC_GAMES_BASE!B93</f>
        <v>45923</v>
      </c>
      <c r="C93" s="3" t="str">
        <f>CALC_GAMES_BASE!C93</f>
        <v>OLO</v>
      </c>
      <c r="D93" s="3" t="str">
        <f>CALC_GAMES_BASE!D93</f>
        <v>SPA</v>
      </c>
      <c r="E93" s="7">
        <f>CALC_GAMES_BASE!E93</f>
        <v>1</v>
      </c>
      <c r="F93" s="6">
        <f>CALC_GAMES_BASE!N93</f>
        <v>-0.27</v>
      </c>
      <c r="G93" s="7">
        <f>CALC_GAMES_BASE!K93</f>
        <v>-10</v>
      </c>
      <c r="H93" s="7">
        <f t="shared" si="1"/>
        <v>1</v>
      </c>
      <c r="I93" s="6">
        <f>IF(H93=1,
  F93,
  G93*PARAMETRY!$B$11)</f>
        <v>-0.27</v>
      </c>
      <c r="J93" s="6">
        <f>CALC_GAMES_BASE!U93-CALC_GAMES_BASE!V93</f>
        <v>-7.0711233211233238E-2</v>
      </c>
      <c r="K93" s="6">
        <f>_xlfn.XLOOKUP(CALC_GAMES_BASE!W93,
  CALC_GOALIES!B:B,
  CALC_GOALIES!K:K)</f>
        <v>4.4713327207696052E-3</v>
      </c>
      <c r="L93" s="6">
        <f>_xlfn.XLOOKUP(C93,CALC_TEAMS_SEASON!B:B,CALC_TEAMS_SEASON!L:L)</f>
        <v>-1.0613217787114846</v>
      </c>
      <c r="M93">
        <f>IF(CALC_GAMES_BASE!Z93="RS",1,1.2)</f>
        <v>1</v>
      </c>
      <c r="N93">
        <f xml:space="preserve"> CALC_GAMES_BASE!Y93</f>
        <v>1</v>
      </c>
    </row>
    <row r="94" spans="1:14" x14ac:dyDescent="0.25">
      <c r="A94" t="str">
        <f>CALC_GAMES_BASE!A94</f>
        <v>25/26</v>
      </c>
      <c r="B94" s="3">
        <f>CALC_GAMES_BASE!B94</f>
        <v>45923</v>
      </c>
      <c r="C94" s="3" t="str">
        <f>CALC_GAMES_BASE!C94</f>
        <v>PLZ</v>
      </c>
      <c r="D94" s="3" t="str">
        <f>CALC_GAMES_BASE!D94</f>
        <v>KOM</v>
      </c>
      <c r="E94" s="7">
        <f>CALC_GAMES_BASE!E94</f>
        <v>0</v>
      </c>
      <c r="F94" s="6">
        <f>CALC_GAMES_BASE!N94</f>
        <v>-1.2</v>
      </c>
      <c r="G94" s="7">
        <f>CALC_GAMES_BASE!K94</f>
        <v>-11</v>
      </c>
      <c r="H94" s="7">
        <f t="shared" si="1"/>
        <v>1</v>
      </c>
      <c r="I94" s="6">
        <f>IF(H94=1,
  F94,
  G94*PARAMETRY!$B$11)</f>
        <v>-1.2</v>
      </c>
      <c r="J94" s="6">
        <f>CALC_GAMES_BASE!U94-CALC_GAMES_BASE!V94</f>
        <v>3.2822039072039039E-2</v>
      </c>
      <c r="K94" s="6">
        <f>_xlfn.XLOOKUP(CALC_GAMES_BASE!W94,
  CALC_GOALIES!B:B,
  CALC_GOALIES!K:K)</f>
        <v>-1.4856765927271365E-3</v>
      </c>
      <c r="L94" s="6">
        <f>_xlfn.XLOOKUP(C94,CALC_TEAMS_SEASON!B:B,CALC_TEAMS_SEASON!L:L)</f>
        <v>7.3678221288515283E-2</v>
      </c>
      <c r="M94">
        <f>IF(CALC_GAMES_BASE!Z94="RS",1,1.2)</f>
        <v>1</v>
      </c>
      <c r="N94">
        <f xml:space="preserve"> CALC_GAMES_BASE!Y94</f>
        <v>0</v>
      </c>
    </row>
    <row r="95" spans="1:14" x14ac:dyDescent="0.25">
      <c r="A95" t="str">
        <f>CALC_GAMES_BASE!A95</f>
        <v>25/26</v>
      </c>
      <c r="B95" s="3">
        <f>CALC_GAMES_BASE!B95</f>
        <v>45923</v>
      </c>
      <c r="C95" s="3" t="str">
        <f>CALC_GAMES_BASE!C95</f>
        <v>VIT</v>
      </c>
      <c r="D95" s="3" t="str">
        <f>CALC_GAMES_BASE!D95</f>
        <v>LIB</v>
      </c>
      <c r="E95" s="7">
        <f>CALC_GAMES_BASE!E95</f>
        <v>1</v>
      </c>
      <c r="F95" s="6" t="str">
        <f>CALC_GAMES_BASE!N95</f>
        <v/>
      </c>
      <c r="G95" s="7">
        <f>CALC_GAMES_BASE!K95</f>
        <v>-7</v>
      </c>
      <c r="H95" s="7">
        <f t="shared" si="1"/>
        <v>0</v>
      </c>
      <c r="I95" s="6">
        <f>IF(H95=1,
  F95,
  G95*PARAMETRY!$B$11)</f>
        <v>-0.35000000000000003</v>
      </c>
      <c r="J95" s="6">
        <f>CALC_GAMES_BASE!U95-CALC_GAMES_BASE!V95</f>
        <v>2.6076007326007344E-2</v>
      </c>
      <c r="K95" s="6">
        <f>_xlfn.XLOOKUP(CALC_GAMES_BASE!W95,
  CALC_GOALIES!B:B,
  CALC_GOALIES!K:K)</f>
        <v>1.905487900993541E-3</v>
      </c>
      <c r="L95" s="6">
        <f>_xlfn.XLOOKUP(C95,CALC_TEAMS_SEASON!B:B,CALC_TEAMS_SEASON!L:L)</f>
        <v>-1.0281967787114845</v>
      </c>
      <c r="M95">
        <f>IF(CALC_GAMES_BASE!Z95="RS",1,1.2)</f>
        <v>1</v>
      </c>
      <c r="N95">
        <f xml:space="preserve"> CALC_GAMES_BASE!Y95</f>
        <v>1</v>
      </c>
    </row>
    <row r="96" spans="1:14" x14ac:dyDescent="0.25">
      <c r="A96" t="str">
        <f>CALC_GAMES_BASE!A96</f>
        <v>25/26</v>
      </c>
      <c r="B96" s="3">
        <f>CALC_GAMES_BASE!B96</f>
        <v>45925</v>
      </c>
      <c r="C96" s="3" t="str">
        <f>CALC_GAMES_BASE!C96</f>
        <v>PCE</v>
      </c>
      <c r="D96" s="3" t="str">
        <f>CALC_GAMES_BASE!D96</f>
        <v>TRI</v>
      </c>
      <c r="E96" s="7">
        <f>CALC_GAMES_BASE!E96</f>
        <v>1</v>
      </c>
      <c r="F96" s="6">
        <f>CALC_GAMES_BASE!N96</f>
        <v>1.34</v>
      </c>
      <c r="G96" s="7">
        <f>CALC_GAMES_BASE!K96</f>
        <v>9</v>
      </c>
      <c r="H96" s="7">
        <f t="shared" si="1"/>
        <v>1</v>
      </c>
      <c r="I96" s="6">
        <f>IF(H96=1,
  F96,
  G96*PARAMETRY!$B$11)</f>
        <v>1.34</v>
      </c>
      <c r="J96" s="6">
        <f>CALC_GAMES_BASE!U96-CALC_GAMES_BASE!V96</f>
        <v>2.8601953601953611E-2</v>
      </c>
      <c r="K96" s="6">
        <f>_xlfn.XLOOKUP(CALC_GAMES_BASE!W96,
  CALC_GOALIES!B:B,
  CALC_GOALIES!K:K)</f>
        <v>4.5881077393388203E-3</v>
      </c>
      <c r="L96" s="6">
        <f>_xlfn.XLOOKUP(C96,CALC_TEAMS_SEASON!B:B,CALC_TEAMS_SEASON!L:L)</f>
        <v>0.62437675070027965</v>
      </c>
      <c r="M96">
        <f>IF(CALC_GAMES_BASE!Z96="RS",1,1.2)</f>
        <v>1</v>
      </c>
      <c r="N96">
        <f xml:space="preserve"> CALC_GAMES_BASE!Y96</f>
        <v>0</v>
      </c>
    </row>
    <row r="97" spans="1:14" x14ac:dyDescent="0.25">
      <c r="A97" t="str">
        <f>CALC_GAMES_BASE!A97</f>
        <v>25/26</v>
      </c>
      <c r="B97" s="3">
        <f>CALC_GAMES_BASE!B97</f>
        <v>45925</v>
      </c>
      <c r="C97" s="3" t="str">
        <f>CALC_GAMES_BASE!C97</f>
        <v>TRI</v>
      </c>
      <c r="D97" s="3" t="str">
        <f>CALC_GAMES_BASE!D97</f>
        <v>PCE</v>
      </c>
      <c r="E97" s="7">
        <f>CALC_GAMES_BASE!E97</f>
        <v>0</v>
      </c>
      <c r="F97" s="6">
        <f>CALC_GAMES_BASE!N97</f>
        <v>-1.34</v>
      </c>
      <c r="G97" s="7">
        <f>CALC_GAMES_BASE!K97</f>
        <v>-9</v>
      </c>
      <c r="H97" s="7">
        <f t="shared" si="1"/>
        <v>1</v>
      </c>
      <c r="I97" s="6">
        <f>IF(H97=1,
  F97,
  G97*PARAMETRY!$B$11)</f>
        <v>-1.34</v>
      </c>
      <c r="J97" s="6">
        <f>CALC_GAMES_BASE!U97-CALC_GAMES_BASE!V97</f>
        <v>-2.8601953601953611E-2</v>
      </c>
      <c r="K97" s="6">
        <f>_xlfn.XLOOKUP(CALC_GAMES_BASE!W97,
  CALC_GOALIES!B:B,
  CALC_GOALIES!K:K)</f>
        <v>-1.9657016882340561E-2</v>
      </c>
      <c r="L97" s="6">
        <f>_xlfn.XLOOKUP(C97,CALC_TEAMS_SEASON!B:B,CALC_TEAMS_SEASON!L:L)</f>
        <v>0.10805322128851533</v>
      </c>
      <c r="M97">
        <f>IF(CALC_GAMES_BASE!Z97="RS",1,1.2)</f>
        <v>1</v>
      </c>
      <c r="N97">
        <f xml:space="preserve"> CALC_GAMES_BASE!Y97</f>
        <v>1</v>
      </c>
    </row>
    <row r="98" spans="1:14" x14ac:dyDescent="0.25">
      <c r="A98" t="str">
        <f>CALC_GAMES_BASE!A98</f>
        <v>25/26</v>
      </c>
      <c r="B98" s="3">
        <f>CALC_GAMES_BASE!B98</f>
        <v>45926</v>
      </c>
      <c r="C98" s="3" t="str">
        <f>CALC_GAMES_BASE!C98</f>
        <v>SPA</v>
      </c>
      <c r="D98" s="3" t="str">
        <f>CALC_GAMES_BASE!D98</f>
        <v>MBL</v>
      </c>
      <c r="E98" s="7">
        <f>CALC_GAMES_BASE!E98</f>
        <v>0</v>
      </c>
      <c r="F98" s="6">
        <f>CALC_GAMES_BASE!N98</f>
        <v>-0.17000000000000037</v>
      </c>
      <c r="G98" s="7">
        <f>CALC_GAMES_BASE!K98</f>
        <v>12</v>
      </c>
      <c r="H98" s="7">
        <f t="shared" si="1"/>
        <v>1</v>
      </c>
      <c r="I98" s="6">
        <f>IF(H98=1,
  F98,
  G98*PARAMETRY!$B$11)</f>
        <v>-0.17000000000000037</v>
      </c>
      <c r="J98" s="6">
        <f>CALC_GAMES_BASE!U98-CALC_GAMES_BASE!V98</f>
        <v>0.10233516483516487</v>
      </c>
      <c r="K98" s="6">
        <f>_xlfn.XLOOKUP(CALC_GAMES_BASE!W98,
  CALC_GOALIES!B:B,
  CALC_GOALIES!K:K)</f>
        <v>3.6462502125188534E-3</v>
      </c>
      <c r="L98" s="6">
        <f>_xlfn.XLOOKUP(C98,CALC_TEAMS_SEASON!B:B,CALC_TEAMS_SEASON!L:L)</f>
        <v>6.4376750700279955E-2</v>
      </c>
      <c r="M98">
        <f>IF(CALC_GAMES_BASE!Z98="RS",1,1.2)</f>
        <v>1</v>
      </c>
      <c r="N98">
        <f xml:space="preserve"> CALC_GAMES_BASE!Y98</f>
        <v>1</v>
      </c>
    </row>
    <row r="99" spans="1:14" x14ac:dyDescent="0.25">
      <c r="A99" t="str">
        <f>CALC_GAMES_BASE!A99</f>
        <v>25/26</v>
      </c>
      <c r="B99" s="3">
        <f>CALC_GAMES_BASE!B99</f>
        <v>45926</v>
      </c>
      <c r="C99" s="3" t="str">
        <f>CALC_GAMES_BASE!C99</f>
        <v>KOM</v>
      </c>
      <c r="D99" s="3" t="str">
        <f>CALC_GAMES_BASE!D99</f>
        <v>CEB</v>
      </c>
      <c r="E99" s="7">
        <f>CALC_GAMES_BASE!E99</f>
        <v>0</v>
      </c>
      <c r="F99" s="6">
        <f>CALC_GAMES_BASE!N99</f>
        <v>-1.32</v>
      </c>
      <c r="G99" s="7">
        <f>CALC_GAMES_BASE!K99</f>
        <v>-14</v>
      </c>
      <c r="H99" s="7">
        <f t="shared" si="1"/>
        <v>1</v>
      </c>
      <c r="I99" s="6">
        <f>IF(H99=1,
  F99,
  G99*PARAMETRY!$B$11)</f>
        <v>-1.32</v>
      </c>
      <c r="J99" s="6">
        <f>CALC_GAMES_BASE!U99-CALC_GAMES_BASE!V99</f>
        <v>1.3376207126207101E-2</v>
      </c>
      <c r="K99" s="6">
        <f>_xlfn.XLOOKUP(CALC_GAMES_BASE!W99,
  CALC_GOALIES!B:B,
  CALC_GOALIES!K:K)</f>
        <v>-1.7945945907462235E-2</v>
      </c>
      <c r="L99" s="6">
        <f>_xlfn.XLOOKUP(C99,CALC_TEAMS_SEASON!B:B,CALC_TEAMS_SEASON!L:L)</f>
        <v>-0.37268207282913179</v>
      </c>
      <c r="M99">
        <f>IF(CALC_GAMES_BASE!Z99="RS",1,1.2)</f>
        <v>1</v>
      </c>
      <c r="N99">
        <f xml:space="preserve"> CALC_GAMES_BASE!Y99</f>
        <v>0</v>
      </c>
    </row>
    <row r="100" spans="1:14" x14ac:dyDescent="0.25">
      <c r="A100" t="str">
        <f>CALC_GAMES_BASE!A100</f>
        <v>25/26</v>
      </c>
      <c r="B100" s="3">
        <f>CALC_GAMES_BASE!B100</f>
        <v>45926</v>
      </c>
      <c r="C100" s="3" t="str">
        <f>CALC_GAMES_BASE!C100</f>
        <v>CEB</v>
      </c>
      <c r="D100" s="3" t="str">
        <f>CALC_GAMES_BASE!D100</f>
        <v>KOM</v>
      </c>
      <c r="E100" s="7">
        <f>CALC_GAMES_BASE!E100</f>
        <v>1</v>
      </c>
      <c r="F100" s="6">
        <f>CALC_GAMES_BASE!N100</f>
        <v>1.32</v>
      </c>
      <c r="G100" s="7">
        <f>CALC_GAMES_BASE!K100</f>
        <v>14</v>
      </c>
      <c r="H100" s="7">
        <f t="shared" si="1"/>
        <v>1</v>
      </c>
      <c r="I100" s="6">
        <f>IF(H100=1,
  F100,
  G100*PARAMETRY!$B$11)</f>
        <v>1.32</v>
      </c>
      <c r="J100" s="6">
        <f>CALC_GAMES_BASE!U100-CALC_GAMES_BASE!V100</f>
        <v>-1.3376207126207101E-2</v>
      </c>
      <c r="K100" s="6">
        <f>_xlfn.XLOOKUP(CALC_GAMES_BASE!W100,
  CALC_GOALIES!B:B,
  CALC_GOALIES!K:K)</f>
        <v>3.9343341510811314E-3</v>
      </c>
      <c r="L100" s="6">
        <f>_xlfn.XLOOKUP(C100,CALC_TEAMS_SEASON!B:B,CALC_TEAMS_SEASON!L:L)</f>
        <v>-0.24978011204481798</v>
      </c>
      <c r="M100">
        <f>IF(CALC_GAMES_BASE!Z100="RS",1,1.2)</f>
        <v>1</v>
      </c>
      <c r="N100">
        <f xml:space="preserve"> CALC_GAMES_BASE!Y100</f>
        <v>1</v>
      </c>
    </row>
    <row r="101" spans="1:14" x14ac:dyDescent="0.25">
      <c r="A101" t="str">
        <f>CALC_GAMES_BASE!A101</f>
        <v>25/26</v>
      </c>
      <c r="B101" s="3">
        <f>CALC_GAMES_BASE!B101</f>
        <v>45926</v>
      </c>
      <c r="C101" s="3" t="str">
        <f>CALC_GAMES_BASE!C101</f>
        <v>KLA</v>
      </c>
      <c r="D101" s="3" t="str">
        <f>CALC_GAMES_BASE!D101</f>
        <v>PLZ</v>
      </c>
      <c r="E101" s="7">
        <f>CALC_GAMES_BASE!E101</f>
        <v>0</v>
      </c>
      <c r="F101" s="6" t="str">
        <f>CALC_GAMES_BASE!N101</f>
        <v/>
      </c>
      <c r="G101" s="7">
        <f>CALC_GAMES_BASE!K101</f>
        <v>10</v>
      </c>
      <c r="H101" s="7">
        <f t="shared" si="1"/>
        <v>0</v>
      </c>
      <c r="I101" s="6">
        <f>IF(H101=1,
  F101,
  G101*PARAMETRY!$B$11)</f>
        <v>0.5</v>
      </c>
      <c r="J101" s="6">
        <f>CALC_GAMES_BASE!U101-CALC_GAMES_BASE!V101</f>
        <v>-4.5207570207570186E-2</v>
      </c>
      <c r="K101" s="6">
        <f>_xlfn.XLOOKUP(CALC_GAMES_BASE!W101,
  CALC_GOALIES!B:B,
  CALC_GOALIES!K:K)</f>
        <v>1.2463190300688209E-2</v>
      </c>
      <c r="L101" s="6">
        <f>_xlfn.XLOOKUP(C101,CALC_TEAMS_SEASON!B:B,CALC_TEAMS_SEASON!L:L)</f>
        <v>-0.19819677871148478</v>
      </c>
      <c r="M101">
        <f>IF(CALC_GAMES_BASE!Z101="RS",1,1.2)</f>
        <v>1</v>
      </c>
      <c r="N101">
        <f xml:space="preserve"> CALC_GAMES_BASE!Y101</f>
        <v>0</v>
      </c>
    </row>
    <row r="102" spans="1:14" x14ac:dyDescent="0.25">
      <c r="A102" t="str">
        <f>CALC_GAMES_BASE!A102</f>
        <v>25/26</v>
      </c>
      <c r="B102" s="3">
        <f>CALC_GAMES_BASE!B102</f>
        <v>45926</v>
      </c>
      <c r="C102" s="3" t="str">
        <f>CALC_GAMES_BASE!C102</f>
        <v>KVA</v>
      </c>
      <c r="D102" s="3" t="str">
        <f>CALC_GAMES_BASE!D102</f>
        <v>LIB</v>
      </c>
      <c r="E102" s="7">
        <f>CALC_GAMES_BASE!E102</f>
        <v>0</v>
      </c>
      <c r="F102" s="6" t="str">
        <f>CALC_GAMES_BASE!N102</f>
        <v/>
      </c>
      <c r="G102" s="7">
        <f>CALC_GAMES_BASE!K102</f>
        <v>0</v>
      </c>
      <c r="H102" s="7">
        <f t="shared" si="1"/>
        <v>0</v>
      </c>
      <c r="I102" s="6">
        <f>IF(H102=1,
  F102,
  G102*PARAMETRY!$B$11)</f>
        <v>0</v>
      </c>
      <c r="J102" s="6">
        <f>CALC_GAMES_BASE!U102-CALC_GAMES_BASE!V102</f>
        <v>3.0097680097680102E-2</v>
      </c>
      <c r="K102" s="6">
        <f>_xlfn.XLOOKUP(CALC_GAMES_BASE!W102,
  CALC_GOALIES!B:B,
  CALC_GOALIES!K:K)</f>
        <v>1.2242809776983998E-2</v>
      </c>
      <c r="L102" s="6">
        <f>_xlfn.XLOOKUP(C102,CALC_TEAMS_SEASON!B:B,CALC_TEAMS_SEASON!L:L)</f>
        <v>-0.28757177871148476</v>
      </c>
      <c r="M102">
        <f>IF(CALC_GAMES_BASE!Z102="RS",1,1.2)</f>
        <v>1</v>
      </c>
      <c r="N102">
        <f xml:space="preserve"> CALC_GAMES_BASE!Y102</f>
        <v>0</v>
      </c>
    </row>
    <row r="103" spans="1:14" x14ac:dyDescent="0.25">
      <c r="A103" t="str">
        <f>CALC_GAMES_BASE!A103</f>
        <v>25/26</v>
      </c>
      <c r="B103" s="3">
        <f>CALC_GAMES_BASE!B103</f>
        <v>45926</v>
      </c>
      <c r="C103" s="3" t="str">
        <f>CALC_GAMES_BASE!C103</f>
        <v>LIB</v>
      </c>
      <c r="D103" s="3" t="str">
        <f>CALC_GAMES_BASE!D103</f>
        <v>KVA</v>
      </c>
      <c r="E103" s="7">
        <f>CALC_GAMES_BASE!E103</f>
        <v>1</v>
      </c>
      <c r="F103" s="6" t="str">
        <f>CALC_GAMES_BASE!N103</f>
        <v/>
      </c>
      <c r="G103" s="7">
        <f>CALC_GAMES_BASE!K103</f>
        <v>0</v>
      </c>
      <c r="H103" s="7">
        <f t="shared" si="1"/>
        <v>0</v>
      </c>
      <c r="I103" s="6">
        <f>IF(H103=1,
  F103,
  G103*PARAMETRY!$B$11)</f>
        <v>0</v>
      </c>
      <c r="J103" s="6">
        <f>CALC_GAMES_BASE!U103-CALC_GAMES_BASE!V103</f>
        <v>-3.0097680097680102E-2</v>
      </c>
      <c r="K103" s="6">
        <f>_xlfn.XLOOKUP(CALC_GAMES_BASE!W103,
  CALC_GOALIES!B:B,
  CALC_GOALIES!K:K)</f>
        <v>1.2275709048813366E-2</v>
      </c>
      <c r="L103" s="6">
        <f>_xlfn.XLOOKUP(C103,CALC_TEAMS_SEASON!B:B,CALC_TEAMS_SEASON!L:L)</f>
        <v>0.22367822128851536</v>
      </c>
      <c r="M103">
        <f>IF(CALC_GAMES_BASE!Z103="RS",1,1.2)</f>
        <v>1</v>
      </c>
      <c r="N103">
        <f xml:space="preserve"> CALC_GAMES_BASE!Y103</f>
        <v>1</v>
      </c>
    </row>
    <row r="104" spans="1:14" x14ac:dyDescent="0.25">
      <c r="A104" t="str">
        <f>CALC_GAMES_BASE!A104</f>
        <v>25/26</v>
      </c>
      <c r="B104" s="3">
        <f>CALC_GAMES_BASE!B104</f>
        <v>45926</v>
      </c>
      <c r="C104" s="3" t="str">
        <f>CALC_GAMES_BASE!C104</f>
        <v>LIT</v>
      </c>
      <c r="D104" s="3" t="str">
        <f>CALC_GAMES_BASE!D104</f>
        <v>MHK</v>
      </c>
      <c r="E104" s="7">
        <f>CALC_GAMES_BASE!E104</f>
        <v>0</v>
      </c>
      <c r="F104" s="6" t="str">
        <f>CALC_GAMES_BASE!N104</f>
        <v/>
      </c>
      <c r="G104" s="7">
        <f>CALC_GAMES_BASE!K104</f>
        <v>-27</v>
      </c>
      <c r="H104" s="7">
        <f t="shared" si="1"/>
        <v>0</v>
      </c>
      <c r="I104" s="6">
        <f>IF(H104=1,
  F104,
  G104*PARAMETRY!$B$11)</f>
        <v>-1.35</v>
      </c>
      <c r="J104" s="6">
        <f>CALC_GAMES_BASE!U104-CALC_GAMES_BASE!V104</f>
        <v>-4.0956959706959742E-2</v>
      </c>
      <c r="K104" s="6">
        <f>_xlfn.XLOOKUP(CALC_GAMES_BASE!W104,
  CALC_GOALIES!B:B,
  CALC_GOALIES!K:K)</f>
        <v>-8.1125178551773036E-3</v>
      </c>
      <c r="L104" s="6">
        <f>_xlfn.XLOOKUP(C104,CALC_TEAMS_SEASON!B:B,CALC_TEAMS_SEASON!L:L)</f>
        <v>-1.4784467787114848</v>
      </c>
      <c r="M104">
        <f>IF(CALC_GAMES_BASE!Z104="RS",1,1.2)</f>
        <v>1</v>
      </c>
      <c r="N104">
        <f xml:space="preserve"> CALC_GAMES_BASE!Y104</f>
        <v>0</v>
      </c>
    </row>
    <row r="105" spans="1:14" x14ac:dyDescent="0.25">
      <c r="A105" t="str">
        <f>CALC_GAMES_BASE!A105</f>
        <v>25/26</v>
      </c>
      <c r="B105" s="3">
        <f>CALC_GAMES_BASE!B105</f>
        <v>45926</v>
      </c>
      <c r="C105" s="3" t="str">
        <f>CALC_GAMES_BASE!C105</f>
        <v>MBL</v>
      </c>
      <c r="D105" s="3" t="str">
        <f>CALC_GAMES_BASE!D105</f>
        <v>SPA</v>
      </c>
      <c r="E105" s="7">
        <f>CALC_GAMES_BASE!E105</f>
        <v>1</v>
      </c>
      <c r="F105" s="6">
        <f>CALC_GAMES_BASE!N105</f>
        <v>0.17000000000000037</v>
      </c>
      <c r="G105" s="7">
        <f>CALC_GAMES_BASE!K105</f>
        <v>-12</v>
      </c>
      <c r="H105" s="7">
        <f t="shared" si="1"/>
        <v>1</v>
      </c>
      <c r="I105" s="6">
        <f>IF(H105=1,
  F105,
  G105*PARAMETRY!$B$11)</f>
        <v>0.17000000000000037</v>
      </c>
      <c r="J105" s="6">
        <f>CALC_GAMES_BASE!U105-CALC_GAMES_BASE!V105</f>
        <v>-0.10233516483516487</v>
      </c>
      <c r="K105" s="6">
        <f>_xlfn.XLOOKUP(CALC_GAMES_BASE!W105,
  CALC_GOALIES!B:B,
  CALC_GOALIES!K:K)</f>
        <v>-2.6902958554511747E-2</v>
      </c>
      <c r="L105" s="6">
        <f>_xlfn.XLOOKUP(C105,CALC_TEAMS_SEASON!B:B,CALC_TEAMS_SEASON!L:L)</f>
        <v>-0.89069677871148467</v>
      </c>
      <c r="M105">
        <f>IF(CALC_GAMES_BASE!Z105="RS",1,1.2)</f>
        <v>1</v>
      </c>
      <c r="N105">
        <f xml:space="preserve"> CALC_GAMES_BASE!Y105</f>
        <v>0</v>
      </c>
    </row>
    <row r="106" spans="1:14" x14ac:dyDescent="0.25">
      <c r="A106" t="str">
        <f>CALC_GAMES_BASE!A106</f>
        <v>25/26</v>
      </c>
      <c r="B106" s="3">
        <f>CALC_GAMES_BASE!B106</f>
        <v>45926</v>
      </c>
      <c r="C106" s="3" t="str">
        <f>CALC_GAMES_BASE!C106</f>
        <v>MHK</v>
      </c>
      <c r="D106" s="3" t="str">
        <f>CALC_GAMES_BASE!D106</f>
        <v>LIT</v>
      </c>
      <c r="E106" s="7">
        <f>CALC_GAMES_BASE!E106</f>
        <v>1</v>
      </c>
      <c r="F106" s="6" t="str">
        <f>CALC_GAMES_BASE!N106</f>
        <v/>
      </c>
      <c r="G106" s="7">
        <f>CALC_GAMES_BASE!K106</f>
        <v>27</v>
      </c>
      <c r="H106" s="7">
        <f t="shared" si="1"/>
        <v>0</v>
      </c>
      <c r="I106" s="6">
        <f>IF(H106=1,
  F106,
  G106*PARAMETRY!$B$11)</f>
        <v>1.35</v>
      </c>
      <c r="J106" s="6">
        <f>CALC_GAMES_BASE!U106-CALC_GAMES_BASE!V106</f>
        <v>4.0956959706959742E-2</v>
      </c>
      <c r="K106" s="6">
        <f>_xlfn.XLOOKUP(CALC_GAMES_BASE!W106,
  CALC_GOALIES!B:B,
  CALC_GOALIES!K:K)</f>
        <v>2.1917994590268441E-2</v>
      </c>
      <c r="L106" s="6">
        <f>_xlfn.XLOOKUP(C106,CALC_TEAMS_SEASON!B:B,CALC_TEAMS_SEASON!L:L)</f>
        <v>0.14821988795518207</v>
      </c>
      <c r="M106">
        <f>IF(CALC_GAMES_BASE!Z106="RS",1,1.2)</f>
        <v>1</v>
      </c>
      <c r="N106">
        <f xml:space="preserve"> CALC_GAMES_BASE!Y106</f>
        <v>1</v>
      </c>
    </row>
    <row r="107" spans="1:14" x14ac:dyDescent="0.25">
      <c r="A107" t="str">
        <f>CALC_GAMES_BASE!A107</f>
        <v>25/26</v>
      </c>
      <c r="B107" s="3">
        <f>CALC_GAMES_BASE!B107</f>
        <v>45926</v>
      </c>
      <c r="C107" s="3" t="str">
        <f>CALC_GAMES_BASE!C107</f>
        <v>OLO</v>
      </c>
      <c r="D107" s="3" t="str">
        <f>CALC_GAMES_BASE!D107</f>
        <v>VIT</v>
      </c>
      <c r="E107" s="7">
        <f>CALC_GAMES_BASE!E107</f>
        <v>1</v>
      </c>
      <c r="F107" s="6" t="str">
        <f>CALC_GAMES_BASE!N107</f>
        <v/>
      </c>
      <c r="G107" s="7">
        <f>CALC_GAMES_BASE!K107</f>
        <v>4</v>
      </c>
      <c r="H107" s="7">
        <f t="shared" si="1"/>
        <v>0</v>
      </c>
      <c r="I107" s="6">
        <f>IF(H107=1,
  F107,
  G107*PARAMETRY!$B$11)</f>
        <v>0.2</v>
      </c>
      <c r="J107" s="6">
        <f>CALC_GAMES_BASE!U107-CALC_GAMES_BASE!V107</f>
        <v>-1.9955738705738718E-2</v>
      </c>
      <c r="K107" s="6">
        <f>_xlfn.XLOOKUP(CALC_GAMES_BASE!W107,
  CALC_GOALIES!B:B,
  CALC_GOALIES!K:K)</f>
        <v>4.4713327207696052E-3</v>
      </c>
      <c r="L107" s="6">
        <f>_xlfn.XLOOKUP(C107,CALC_TEAMS_SEASON!B:B,CALC_TEAMS_SEASON!L:L)</f>
        <v>-1.0613217787114846</v>
      </c>
      <c r="M107">
        <f>IF(CALC_GAMES_BASE!Z107="RS",1,1.2)</f>
        <v>1</v>
      </c>
      <c r="N107">
        <f xml:space="preserve"> CALC_GAMES_BASE!Y107</f>
        <v>0</v>
      </c>
    </row>
    <row r="108" spans="1:14" x14ac:dyDescent="0.25">
      <c r="A108" t="str">
        <f>CALC_GAMES_BASE!A108</f>
        <v>25/26</v>
      </c>
      <c r="B108" s="3">
        <f>CALC_GAMES_BASE!B108</f>
        <v>45926</v>
      </c>
      <c r="C108" s="3" t="str">
        <f>CALC_GAMES_BASE!C108</f>
        <v>PLZ</v>
      </c>
      <c r="D108" s="3" t="str">
        <f>CALC_GAMES_BASE!D108</f>
        <v>KLA</v>
      </c>
      <c r="E108" s="7">
        <f>CALC_GAMES_BASE!E108</f>
        <v>1</v>
      </c>
      <c r="F108" s="6" t="str">
        <f>CALC_GAMES_BASE!N108</f>
        <v/>
      </c>
      <c r="G108" s="7">
        <f>CALC_GAMES_BASE!K108</f>
        <v>-10</v>
      </c>
      <c r="H108" s="7">
        <f t="shared" si="1"/>
        <v>0</v>
      </c>
      <c r="I108" s="6">
        <f>IF(H108=1,
  F108,
  G108*PARAMETRY!$B$11)</f>
        <v>-0.5</v>
      </c>
      <c r="J108" s="6">
        <f>CALC_GAMES_BASE!U108-CALC_GAMES_BASE!V108</f>
        <v>4.5207570207570186E-2</v>
      </c>
      <c r="K108" s="6">
        <f>_xlfn.XLOOKUP(CALC_GAMES_BASE!W108,
  CALC_GOALIES!B:B,
  CALC_GOALIES!K:K)</f>
        <v>1.7617039556646619E-2</v>
      </c>
      <c r="L108" s="6">
        <f>_xlfn.XLOOKUP(C108,CALC_TEAMS_SEASON!B:B,CALC_TEAMS_SEASON!L:L)</f>
        <v>7.3678221288515283E-2</v>
      </c>
      <c r="M108">
        <f>IF(CALC_GAMES_BASE!Z108="RS",1,1.2)</f>
        <v>1</v>
      </c>
      <c r="N108">
        <f xml:space="preserve"> CALC_GAMES_BASE!Y108</f>
        <v>1</v>
      </c>
    </row>
    <row r="109" spans="1:14" x14ac:dyDescent="0.25">
      <c r="A109" t="str">
        <f>CALC_GAMES_BASE!A109</f>
        <v>25/26</v>
      </c>
      <c r="B109" s="3">
        <f>CALC_GAMES_BASE!B109</f>
        <v>45926</v>
      </c>
      <c r="C109" s="3" t="str">
        <f>CALC_GAMES_BASE!C109</f>
        <v>VIT</v>
      </c>
      <c r="D109" s="3" t="str">
        <f>CALC_GAMES_BASE!D109</f>
        <v>OLO</v>
      </c>
      <c r="E109" s="7">
        <f>CALC_GAMES_BASE!E109</f>
        <v>0</v>
      </c>
      <c r="F109" s="6" t="str">
        <f>CALC_GAMES_BASE!N109</f>
        <v/>
      </c>
      <c r="G109" s="7">
        <f>CALC_GAMES_BASE!K109</f>
        <v>-4</v>
      </c>
      <c r="H109" s="7">
        <f t="shared" si="1"/>
        <v>0</v>
      </c>
      <c r="I109" s="6">
        <f>IF(H109=1,
  F109,
  G109*PARAMETRY!$B$11)</f>
        <v>-0.2</v>
      </c>
      <c r="J109" s="6">
        <f>CALC_GAMES_BASE!U109-CALC_GAMES_BASE!V109</f>
        <v>1.9955738705738718E-2</v>
      </c>
      <c r="K109" s="6">
        <f>_xlfn.XLOOKUP(CALC_GAMES_BASE!W109,
  CALC_GOALIES!B:B,
  CALC_GOALIES!K:K)</f>
        <v>1.905487900993541E-3</v>
      </c>
      <c r="L109" s="6">
        <f>_xlfn.XLOOKUP(C109,CALC_TEAMS_SEASON!B:B,CALC_TEAMS_SEASON!L:L)</f>
        <v>-1.0281967787114845</v>
      </c>
      <c r="M109">
        <f>IF(CALC_GAMES_BASE!Z109="RS",1,1.2)</f>
        <v>1</v>
      </c>
      <c r="N109">
        <f xml:space="preserve"> CALC_GAMES_BASE!Y109</f>
        <v>1</v>
      </c>
    </row>
    <row r="110" spans="1:14" x14ac:dyDescent="0.25">
      <c r="A110" t="str">
        <f>CALC_GAMES_BASE!A110</f>
        <v>25/26</v>
      </c>
      <c r="B110" s="3">
        <f>CALC_GAMES_BASE!B110</f>
        <v>45928</v>
      </c>
      <c r="C110" s="3" t="str">
        <f>CALC_GAMES_BASE!C110</f>
        <v>PCE</v>
      </c>
      <c r="D110" s="3" t="str">
        <f>CALC_GAMES_BASE!D110</f>
        <v>KOM</v>
      </c>
      <c r="E110" s="7">
        <f>CALC_GAMES_BASE!E110</f>
        <v>0</v>
      </c>
      <c r="F110" s="6">
        <f>CALC_GAMES_BASE!N110</f>
        <v>0.8</v>
      </c>
      <c r="G110" s="7">
        <f>CALC_GAMES_BASE!K110</f>
        <v>-4</v>
      </c>
      <c r="H110" s="7">
        <f t="shared" si="1"/>
        <v>1</v>
      </c>
      <c r="I110" s="6">
        <f>IF(H110=1,
  F110,
  G110*PARAMETRY!$B$11)</f>
        <v>0.8</v>
      </c>
      <c r="J110" s="6">
        <f>CALC_GAMES_BASE!U110-CALC_GAMES_BASE!V110</f>
        <v>5.9386446886446953E-2</v>
      </c>
      <c r="K110" s="6">
        <f>_xlfn.XLOOKUP(CALC_GAMES_BASE!W110,
  CALC_GOALIES!B:B,
  CALC_GOALIES!K:K)</f>
        <v>4.5881077393388203E-3</v>
      </c>
      <c r="L110" s="6">
        <f>_xlfn.XLOOKUP(C110,CALC_TEAMS_SEASON!B:B,CALC_TEAMS_SEASON!L:L)</f>
        <v>0.62437675070027965</v>
      </c>
      <c r="M110">
        <f>IF(CALC_GAMES_BASE!Z110="RS",1,1.2)</f>
        <v>1</v>
      </c>
      <c r="N110">
        <f xml:space="preserve"> CALC_GAMES_BASE!Y110</f>
        <v>1</v>
      </c>
    </row>
    <row r="111" spans="1:14" x14ac:dyDescent="0.25">
      <c r="A111" t="str">
        <f>CALC_GAMES_BASE!A111</f>
        <v>25/26</v>
      </c>
      <c r="B111" s="3">
        <f>CALC_GAMES_BASE!B111</f>
        <v>45928</v>
      </c>
      <c r="C111" s="3" t="str">
        <f>CALC_GAMES_BASE!C111</f>
        <v>TRI</v>
      </c>
      <c r="D111" s="3" t="str">
        <f>CALC_GAMES_BASE!D111</f>
        <v>KLA</v>
      </c>
      <c r="E111" s="7">
        <f>CALC_GAMES_BASE!E111</f>
        <v>1</v>
      </c>
      <c r="F111" s="6">
        <f>CALC_GAMES_BASE!N111</f>
        <v>-1.2</v>
      </c>
      <c r="G111" s="7">
        <f>CALC_GAMES_BASE!K111</f>
        <v>-14</v>
      </c>
      <c r="H111" s="7">
        <f t="shared" si="1"/>
        <v>1</v>
      </c>
      <c r="I111" s="6">
        <f>IF(H111=1,
  F111,
  G111*PARAMETRY!$B$11)</f>
        <v>-1.2</v>
      </c>
      <c r="J111" s="6">
        <f>CALC_GAMES_BASE!U111-CALC_GAMES_BASE!V111</f>
        <v>4.3170024420024489E-2</v>
      </c>
      <c r="K111" s="6">
        <f>_xlfn.XLOOKUP(CALC_GAMES_BASE!W111,
  CALC_GOALIES!B:B,
  CALC_GOALIES!K:K)</f>
        <v>1.3707542055988897E-2</v>
      </c>
      <c r="L111" s="6">
        <f>_xlfn.XLOOKUP(C111,CALC_TEAMS_SEASON!B:B,CALC_TEAMS_SEASON!L:L)</f>
        <v>0.10805322128851533</v>
      </c>
      <c r="M111">
        <f>IF(CALC_GAMES_BASE!Z111="RS",1,1.2)</f>
        <v>1</v>
      </c>
      <c r="N111">
        <f xml:space="preserve"> CALC_GAMES_BASE!Y111</f>
        <v>1</v>
      </c>
    </row>
    <row r="112" spans="1:14" x14ac:dyDescent="0.25">
      <c r="A112" t="str">
        <f>CALC_GAMES_BASE!A112</f>
        <v>25/26</v>
      </c>
      <c r="B112" s="3">
        <f>CALC_GAMES_BASE!B112</f>
        <v>45928</v>
      </c>
      <c r="C112" s="3" t="str">
        <f>CALC_GAMES_BASE!C112</f>
        <v>SPA</v>
      </c>
      <c r="D112" s="3" t="str">
        <f>CALC_GAMES_BASE!D112</f>
        <v>LIB</v>
      </c>
      <c r="E112" s="7">
        <f>CALC_GAMES_BASE!E112</f>
        <v>1</v>
      </c>
      <c r="F112" s="6">
        <f>CALC_GAMES_BASE!N112</f>
        <v>2.11</v>
      </c>
      <c r="G112" s="7">
        <f>CALC_GAMES_BASE!K112</f>
        <v>28</v>
      </c>
      <c r="H112" s="7">
        <f t="shared" si="1"/>
        <v>1</v>
      </c>
      <c r="I112" s="6">
        <f>IF(H112=1,
  F112,
  G112*PARAMETRY!$B$11)</f>
        <v>2.11</v>
      </c>
      <c r="J112" s="6">
        <f>CALC_GAMES_BASE!U112-CALC_GAMES_BASE!V112</f>
        <v>7.6831501831501864E-2</v>
      </c>
      <c r="K112" s="6">
        <f>_xlfn.XLOOKUP(CALC_GAMES_BASE!W112,
  CALC_GOALIES!B:B,
  CALC_GOALIES!K:K)</f>
        <v>3.6462502125188534E-3</v>
      </c>
      <c r="L112" s="6">
        <f>_xlfn.XLOOKUP(C112,CALC_TEAMS_SEASON!B:B,CALC_TEAMS_SEASON!L:L)</f>
        <v>6.4376750700279955E-2</v>
      </c>
      <c r="M112">
        <f>IF(CALC_GAMES_BASE!Z112="RS",1,1.2)</f>
        <v>1</v>
      </c>
      <c r="N112">
        <f xml:space="preserve"> CALC_GAMES_BASE!Y112</f>
        <v>0</v>
      </c>
    </row>
    <row r="113" spans="1:14" x14ac:dyDescent="0.25">
      <c r="A113" t="str">
        <f>CALC_GAMES_BASE!A113</f>
        <v>25/26</v>
      </c>
      <c r="B113" s="3">
        <f>CALC_GAMES_BASE!B113</f>
        <v>45928</v>
      </c>
      <c r="C113" s="3" t="str">
        <f>CALC_GAMES_BASE!C113</f>
        <v>KOM</v>
      </c>
      <c r="D113" s="3" t="str">
        <f>CALC_GAMES_BASE!D113</f>
        <v>PCE</v>
      </c>
      <c r="E113" s="7">
        <f>CALC_GAMES_BASE!E113</f>
        <v>1</v>
      </c>
      <c r="F113" s="6">
        <f>CALC_GAMES_BASE!N113</f>
        <v>-0.8</v>
      </c>
      <c r="G113" s="7">
        <f>CALC_GAMES_BASE!K113</f>
        <v>3</v>
      </c>
      <c r="H113" s="7">
        <f t="shared" si="1"/>
        <v>1</v>
      </c>
      <c r="I113" s="6">
        <f>IF(H113=1,
  F113,
  G113*PARAMETRY!$B$11)</f>
        <v>-0.8</v>
      </c>
      <c r="J113" s="6">
        <f>CALC_GAMES_BASE!U113-CALC_GAMES_BASE!V113</f>
        <v>-5.9386446886446953E-2</v>
      </c>
      <c r="K113" s="6">
        <f>_xlfn.XLOOKUP(CALC_GAMES_BASE!W113,
  CALC_GOALIES!B:B,
  CALC_GOALIES!K:K)</f>
        <v>-1.5147095063735572E-3</v>
      </c>
      <c r="L113" s="6">
        <f>_xlfn.XLOOKUP(C113,CALC_TEAMS_SEASON!B:B,CALC_TEAMS_SEASON!L:L)</f>
        <v>-0.37268207282913179</v>
      </c>
      <c r="M113">
        <f>IF(CALC_GAMES_BASE!Z113="RS",1,1.2)</f>
        <v>1</v>
      </c>
      <c r="N113">
        <f xml:space="preserve"> CALC_GAMES_BASE!Y113</f>
        <v>0</v>
      </c>
    </row>
    <row r="114" spans="1:14" x14ac:dyDescent="0.25">
      <c r="A114" t="str">
        <f>CALC_GAMES_BASE!A114</f>
        <v>25/26</v>
      </c>
      <c r="B114" s="3">
        <f>CALC_GAMES_BASE!B114</f>
        <v>45928</v>
      </c>
      <c r="C114" s="3" t="str">
        <f>CALC_GAMES_BASE!C114</f>
        <v>CEB</v>
      </c>
      <c r="D114" s="3" t="str">
        <f>CALC_GAMES_BASE!D114</f>
        <v>LIT</v>
      </c>
      <c r="E114" s="7">
        <f>CALC_GAMES_BASE!E114</f>
        <v>0</v>
      </c>
      <c r="F114" s="6" t="str">
        <f>CALC_GAMES_BASE!N114</f>
        <v/>
      </c>
      <c r="G114" s="7">
        <f>CALC_GAMES_BASE!K114</f>
        <v>8</v>
      </c>
      <c r="H114" s="7">
        <f t="shared" si="1"/>
        <v>0</v>
      </c>
      <c r="I114" s="6">
        <f>IF(H114=1,
  F114,
  G114*PARAMETRY!$B$11)</f>
        <v>0.4</v>
      </c>
      <c r="J114" s="6">
        <f>CALC_GAMES_BASE!U114-CALC_GAMES_BASE!V114</f>
        <v>2.9320679320679346E-2</v>
      </c>
      <c r="K114" s="6">
        <f>_xlfn.XLOOKUP(CALC_GAMES_BASE!W114,
  CALC_GOALIES!B:B,
  CALC_GOALIES!K:K)</f>
        <v>3.9343341510811314E-3</v>
      </c>
      <c r="L114" s="6">
        <f>_xlfn.XLOOKUP(C114,CALC_TEAMS_SEASON!B:B,CALC_TEAMS_SEASON!L:L)</f>
        <v>-0.24978011204481798</v>
      </c>
      <c r="M114">
        <f>IF(CALC_GAMES_BASE!Z114="RS",1,1.2)</f>
        <v>1</v>
      </c>
      <c r="N114">
        <f xml:space="preserve"> CALC_GAMES_BASE!Y114</f>
        <v>1</v>
      </c>
    </row>
    <row r="115" spans="1:14" x14ac:dyDescent="0.25">
      <c r="A115" t="str">
        <f>CALC_GAMES_BASE!A115</f>
        <v>25/26</v>
      </c>
      <c r="B115" s="3">
        <f>CALC_GAMES_BASE!B115</f>
        <v>45928</v>
      </c>
      <c r="C115" s="3" t="str">
        <f>CALC_GAMES_BASE!C115</f>
        <v>KLA</v>
      </c>
      <c r="D115" s="3" t="str">
        <f>CALC_GAMES_BASE!D115</f>
        <v>TRI</v>
      </c>
      <c r="E115" s="7">
        <f>CALC_GAMES_BASE!E115</f>
        <v>0</v>
      </c>
      <c r="F115" s="6">
        <f>CALC_GAMES_BASE!N115</f>
        <v>1.2</v>
      </c>
      <c r="G115" s="7">
        <f>CALC_GAMES_BASE!K115</f>
        <v>14</v>
      </c>
      <c r="H115" s="7">
        <f t="shared" si="1"/>
        <v>1</v>
      </c>
      <c r="I115" s="6">
        <f>IF(H115=1,
  F115,
  G115*PARAMETRY!$B$11)</f>
        <v>1.2</v>
      </c>
      <c r="J115" s="6">
        <f>CALC_GAMES_BASE!U115-CALC_GAMES_BASE!V115</f>
        <v>-4.3170024420024489E-2</v>
      </c>
      <c r="K115" s="6">
        <f>_xlfn.XLOOKUP(CALC_GAMES_BASE!W115,
  CALC_GOALIES!B:B,
  CALC_GOALIES!K:K)</f>
        <v>1.2463190300688209E-2</v>
      </c>
      <c r="L115" s="6">
        <f>_xlfn.XLOOKUP(C115,CALC_TEAMS_SEASON!B:B,CALC_TEAMS_SEASON!L:L)</f>
        <v>-0.19819677871148478</v>
      </c>
      <c r="M115">
        <f>IF(CALC_GAMES_BASE!Z115="RS",1,1.2)</f>
        <v>1</v>
      </c>
      <c r="N115">
        <f xml:space="preserve"> CALC_GAMES_BASE!Y115</f>
        <v>0</v>
      </c>
    </row>
    <row r="116" spans="1:14" x14ac:dyDescent="0.25">
      <c r="A116" t="str">
        <f>CALC_GAMES_BASE!A116</f>
        <v>25/26</v>
      </c>
      <c r="B116" s="3">
        <f>CALC_GAMES_BASE!B116</f>
        <v>45928</v>
      </c>
      <c r="C116" s="3" t="str">
        <f>CALC_GAMES_BASE!C116</f>
        <v>KVA</v>
      </c>
      <c r="D116" s="3" t="str">
        <f>CALC_GAMES_BASE!D116</f>
        <v>PLZ</v>
      </c>
      <c r="E116" s="7">
        <f>CALC_GAMES_BASE!E116</f>
        <v>0</v>
      </c>
      <c r="F116" s="6" t="str">
        <f>CALC_GAMES_BASE!N116</f>
        <v/>
      </c>
      <c r="G116" s="7">
        <f>CALC_GAMES_BASE!K116</f>
        <v>-4</v>
      </c>
      <c r="H116" s="7">
        <f t="shared" si="1"/>
        <v>0</v>
      </c>
      <c r="I116" s="6">
        <f>IF(H116=1,
  F116,
  G116*PARAMETRY!$B$11)</f>
        <v>-0.2</v>
      </c>
      <c r="J116" s="6">
        <f>CALC_GAMES_BASE!U116-CALC_GAMES_BASE!V116</f>
        <v>-2.5412087912087267E-3</v>
      </c>
      <c r="K116" s="6">
        <f>_xlfn.XLOOKUP(CALC_GAMES_BASE!W116,
  CALC_GOALIES!B:B,
  CALC_GOALIES!K:K)</f>
        <v>1.2242809776983998E-2</v>
      </c>
      <c r="L116" s="6">
        <f>_xlfn.XLOOKUP(C116,CALC_TEAMS_SEASON!B:B,CALC_TEAMS_SEASON!L:L)</f>
        <v>-0.28757177871148476</v>
      </c>
      <c r="M116">
        <f>IF(CALC_GAMES_BASE!Z116="RS",1,1.2)</f>
        <v>1</v>
      </c>
      <c r="N116">
        <f xml:space="preserve"> CALC_GAMES_BASE!Y116</f>
        <v>0</v>
      </c>
    </row>
    <row r="117" spans="1:14" x14ac:dyDescent="0.25">
      <c r="A117" t="str">
        <f>CALC_GAMES_BASE!A117</f>
        <v>25/26</v>
      </c>
      <c r="B117" s="3">
        <f>CALC_GAMES_BASE!B117</f>
        <v>45928</v>
      </c>
      <c r="C117" s="3" t="str">
        <f>CALC_GAMES_BASE!C117</f>
        <v>LIB</v>
      </c>
      <c r="D117" s="3" t="str">
        <f>CALC_GAMES_BASE!D117</f>
        <v>SPA</v>
      </c>
      <c r="E117" s="7">
        <f>CALC_GAMES_BASE!E117</f>
        <v>0</v>
      </c>
      <c r="F117" s="6">
        <f>CALC_GAMES_BASE!N117</f>
        <v>-2.11</v>
      </c>
      <c r="G117" s="7">
        <f>CALC_GAMES_BASE!K117</f>
        <v>-28</v>
      </c>
      <c r="H117" s="7">
        <f t="shared" si="1"/>
        <v>1</v>
      </c>
      <c r="I117" s="6">
        <f>IF(H117=1,
  F117,
  G117*PARAMETRY!$B$11)</f>
        <v>-2.11</v>
      </c>
      <c r="J117" s="6">
        <f>CALC_GAMES_BASE!U117-CALC_GAMES_BASE!V117</f>
        <v>-7.6831501831501864E-2</v>
      </c>
      <c r="K117" s="6">
        <f>_xlfn.XLOOKUP(CALC_GAMES_BASE!W117,
  CALC_GOALIES!B:B,
  CALC_GOALIES!K:K)</f>
        <v>1.2275709048813366E-2</v>
      </c>
      <c r="L117" s="6">
        <f>_xlfn.XLOOKUP(C117,CALC_TEAMS_SEASON!B:B,CALC_TEAMS_SEASON!L:L)</f>
        <v>0.22367822128851536</v>
      </c>
      <c r="M117">
        <f>IF(CALC_GAMES_BASE!Z117="RS",1,1.2)</f>
        <v>1</v>
      </c>
      <c r="N117">
        <f xml:space="preserve"> CALC_GAMES_BASE!Y117</f>
        <v>1</v>
      </c>
    </row>
    <row r="118" spans="1:14" x14ac:dyDescent="0.25">
      <c r="A118" t="str">
        <f>CALC_GAMES_BASE!A118</f>
        <v>25/26</v>
      </c>
      <c r="B118" s="3">
        <f>CALC_GAMES_BASE!B118</f>
        <v>45928</v>
      </c>
      <c r="C118" s="3" t="str">
        <f>CALC_GAMES_BASE!C118</f>
        <v>LIT</v>
      </c>
      <c r="D118" s="3" t="str">
        <f>CALC_GAMES_BASE!D118</f>
        <v>CEB</v>
      </c>
      <c r="E118" s="7">
        <f>CALC_GAMES_BASE!E118</f>
        <v>1</v>
      </c>
      <c r="F118" s="6" t="str">
        <f>CALC_GAMES_BASE!N118</f>
        <v/>
      </c>
      <c r="G118" s="7">
        <f>CALC_GAMES_BASE!K118</f>
        <v>-8</v>
      </c>
      <c r="H118" s="7">
        <f t="shared" si="1"/>
        <v>0</v>
      </c>
      <c r="I118" s="6">
        <f>IF(H118=1,
  F118,
  G118*PARAMETRY!$B$11)</f>
        <v>-0.4</v>
      </c>
      <c r="J118" s="6">
        <f>CALC_GAMES_BASE!U118-CALC_GAMES_BASE!V118</f>
        <v>-2.9320679320679346E-2</v>
      </c>
      <c r="K118" s="6">
        <f>_xlfn.XLOOKUP(CALC_GAMES_BASE!W118,
  CALC_GOALIES!B:B,
  CALC_GOALIES!K:K)</f>
        <v>-8.1125178551773036E-3</v>
      </c>
      <c r="L118" s="6">
        <f>_xlfn.XLOOKUP(C118,CALC_TEAMS_SEASON!B:B,CALC_TEAMS_SEASON!L:L)</f>
        <v>-1.4784467787114848</v>
      </c>
      <c r="M118">
        <f>IF(CALC_GAMES_BASE!Z118="RS",1,1.2)</f>
        <v>1</v>
      </c>
      <c r="N118">
        <f xml:space="preserve"> CALC_GAMES_BASE!Y118</f>
        <v>0</v>
      </c>
    </row>
    <row r="119" spans="1:14" x14ac:dyDescent="0.25">
      <c r="A119" t="str">
        <f>CALC_GAMES_BASE!A119</f>
        <v>25/26</v>
      </c>
      <c r="B119" s="3">
        <f>CALC_GAMES_BASE!B119</f>
        <v>45928</v>
      </c>
      <c r="C119" s="3" t="str">
        <f>CALC_GAMES_BASE!C119</f>
        <v>MBL</v>
      </c>
      <c r="D119" s="3" t="str">
        <f>CALC_GAMES_BASE!D119</f>
        <v>OLO</v>
      </c>
      <c r="E119" s="7">
        <f>CALC_GAMES_BASE!E119</f>
        <v>0</v>
      </c>
      <c r="F119" s="6" t="str">
        <f>CALC_GAMES_BASE!N119</f>
        <v/>
      </c>
      <c r="G119" s="7">
        <f>CALC_GAMES_BASE!K119</f>
        <v>7</v>
      </c>
      <c r="H119" s="7">
        <f t="shared" si="1"/>
        <v>0</v>
      </c>
      <c r="I119" s="6">
        <f>IF(H119=1,
  F119,
  G119*PARAMETRY!$B$11)</f>
        <v>0.35000000000000003</v>
      </c>
      <c r="J119" s="6">
        <f>CALC_GAMES_BASE!U119-CALC_GAMES_BASE!V119</f>
        <v>-3.1623931623931636E-2</v>
      </c>
      <c r="K119" s="6">
        <f>_xlfn.XLOOKUP(CALC_GAMES_BASE!W119,
  CALC_GOALIES!B:B,
  CALC_GOALIES!K:K)</f>
        <v>-4.4670611186142795E-3</v>
      </c>
      <c r="L119" s="6">
        <f>_xlfn.XLOOKUP(C119,CALC_TEAMS_SEASON!B:B,CALC_TEAMS_SEASON!L:L)</f>
        <v>-0.89069677871148467</v>
      </c>
      <c r="M119">
        <f>IF(CALC_GAMES_BASE!Z119="RS",1,1.2)</f>
        <v>1</v>
      </c>
      <c r="N119">
        <f xml:space="preserve"> CALC_GAMES_BASE!Y119</f>
        <v>0</v>
      </c>
    </row>
    <row r="120" spans="1:14" x14ac:dyDescent="0.25">
      <c r="A120" t="str">
        <f>CALC_GAMES_BASE!A120</f>
        <v>25/26</v>
      </c>
      <c r="B120" s="3">
        <f>CALC_GAMES_BASE!B120</f>
        <v>45928</v>
      </c>
      <c r="C120" s="3" t="str">
        <f>CALC_GAMES_BASE!C120</f>
        <v>MHK</v>
      </c>
      <c r="D120" s="3" t="str">
        <f>CALC_GAMES_BASE!D120</f>
        <v>VIT</v>
      </c>
      <c r="E120" s="7">
        <f>CALC_GAMES_BASE!E120</f>
        <v>0</v>
      </c>
      <c r="F120" s="6" t="str">
        <f>CALC_GAMES_BASE!N120</f>
        <v/>
      </c>
      <c r="G120" s="7">
        <f>CALC_GAMES_BASE!K120</f>
        <v>21</v>
      </c>
      <c r="H120" s="7">
        <f t="shared" si="1"/>
        <v>0</v>
      </c>
      <c r="I120" s="6">
        <f>IF(H120=1,
  F120,
  G120*PARAMETRY!$B$11)</f>
        <v>1.05</v>
      </c>
      <c r="J120" s="6">
        <f>CALC_GAMES_BASE!U120-CALC_GAMES_BASE!V120</f>
        <v>-2.7999084249084261E-2</v>
      </c>
      <c r="K120" s="6">
        <f>_xlfn.XLOOKUP(CALC_GAMES_BASE!W120,
  CALC_GOALIES!B:B,
  CALC_GOALIES!K:K)</f>
        <v>2.1917994590268441E-2</v>
      </c>
      <c r="L120" s="6">
        <f>_xlfn.XLOOKUP(C120,CALC_TEAMS_SEASON!B:B,CALC_TEAMS_SEASON!L:L)</f>
        <v>0.14821988795518207</v>
      </c>
      <c r="M120">
        <f>IF(CALC_GAMES_BASE!Z120="RS",1,1.2)</f>
        <v>1</v>
      </c>
      <c r="N120">
        <f xml:space="preserve"> CALC_GAMES_BASE!Y120</f>
        <v>1</v>
      </c>
    </row>
    <row r="121" spans="1:14" x14ac:dyDescent="0.25">
      <c r="A121" t="str">
        <f>CALC_GAMES_BASE!A121</f>
        <v>25/26</v>
      </c>
      <c r="B121" s="3">
        <f>CALC_GAMES_BASE!B121</f>
        <v>45928</v>
      </c>
      <c r="C121" s="3" t="str">
        <f>CALC_GAMES_BASE!C121</f>
        <v>OLO</v>
      </c>
      <c r="D121" s="3" t="str">
        <f>CALC_GAMES_BASE!D121</f>
        <v>MBL</v>
      </c>
      <c r="E121" s="7">
        <f>CALC_GAMES_BASE!E121</f>
        <v>1</v>
      </c>
      <c r="F121" s="6" t="str">
        <f>CALC_GAMES_BASE!N121</f>
        <v/>
      </c>
      <c r="G121" s="7">
        <f>CALC_GAMES_BASE!K121</f>
        <v>-7</v>
      </c>
      <c r="H121" s="7">
        <f t="shared" si="1"/>
        <v>0</v>
      </c>
      <c r="I121" s="6">
        <f>IF(H121=1,
  F121,
  G121*PARAMETRY!$B$11)</f>
        <v>-0.35000000000000003</v>
      </c>
      <c r="J121" s="6">
        <f>CALC_GAMES_BASE!U121-CALC_GAMES_BASE!V121</f>
        <v>3.1623931623931636E-2</v>
      </c>
      <c r="K121" s="6">
        <f>_xlfn.XLOOKUP(CALC_GAMES_BASE!W121,
  CALC_GOALIES!B:B,
  CALC_GOALIES!K:K)</f>
        <v>4.4713327207696052E-3</v>
      </c>
      <c r="L121" s="6">
        <f>_xlfn.XLOOKUP(C121,CALC_TEAMS_SEASON!B:B,CALC_TEAMS_SEASON!L:L)</f>
        <v>-1.0613217787114846</v>
      </c>
      <c r="M121">
        <f>IF(CALC_GAMES_BASE!Z121="RS",1,1.2)</f>
        <v>1</v>
      </c>
      <c r="N121">
        <f xml:space="preserve"> CALC_GAMES_BASE!Y121</f>
        <v>1</v>
      </c>
    </row>
    <row r="122" spans="1:14" x14ac:dyDescent="0.25">
      <c r="A122" t="str">
        <f>CALC_GAMES_BASE!A122</f>
        <v>25/26</v>
      </c>
      <c r="B122" s="3">
        <f>CALC_GAMES_BASE!B122</f>
        <v>45928</v>
      </c>
      <c r="C122" s="3" t="str">
        <f>CALC_GAMES_BASE!C122</f>
        <v>PLZ</v>
      </c>
      <c r="D122" s="3" t="str">
        <f>CALC_GAMES_BASE!D122</f>
        <v>KVA</v>
      </c>
      <c r="E122" s="7">
        <f>CALC_GAMES_BASE!E122</f>
        <v>1</v>
      </c>
      <c r="F122" s="6" t="str">
        <f>CALC_GAMES_BASE!N122</f>
        <v/>
      </c>
      <c r="G122" s="7">
        <f>CALC_GAMES_BASE!K122</f>
        <v>4</v>
      </c>
      <c r="H122" s="7">
        <f t="shared" si="1"/>
        <v>0</v>
      </c>
      <c r="I122" s="6">
        <f>IF(H122=1,
  F122,
  G122*PARAMETRY!$B$11)</f>
        <v>0.2</v>
      </c>
      <c r="J122" s="6">
        <f>CALC_GAMES_BASE!U122-CALC_GAMES_BASE!V122</f>
        <v>2.5412087912087267E-3</v>
      </c>
      <c r="K122" s="6">
        <f>_xlfn.XLOOKUP(CALC_GAMES_BASE!W122,
  CALC_GOALIES!B:B,
  CALC_GOALIES!K:K)</f>
        <v>1.7617039556646619E-2</v>
      </c>
      <c r="L122" s="6">
        <f>_xlfn.XLOOKUP(C122,CALC_TEAMS_SEASON!B:B,CALC_TEAMS_SEASON!L:L)</f>
        <v>7.3678221288515283E-2</v>
      </c>
      <c r="M122">
        <f>IF(CALC_GAMES_BASE!Z122="RS",1,1.2)</f>
        <v>1</v>
      </c>
      <c r="N122">
        <f xml:space="preserve"> CALC_GAMES_BASE!Y122</f>
        <v>1</v>
      </c>
    </row>
    <row r="123" spans="1:14" x14ac:dyDescent="0.25">
      <c r="A123" t="str">
        <f>CALC_GAMES_BASE!A123</f>
        <v>25/26</v>
      </c>
      <c r="B123" s="3">
        <f>CALC_GAMES_BASE!B123</f>
        <v>45928</v>
      </c>
      <c r="C123" s="3" t="str">
        <f>CALC_GAMES_BASE!C123</f>
        <v>VIT</v>
      </c>
      <c r="D123" s="3" t="str">
        <f>CALC_GAMES_BASE!D123</f>
        <v>MHK</v>
      </c>
      <c r="E123" s="7">
        <f>CALC_GAMES_BASE!E123</f>
        <v>1</v>
      </c>
      <c r="F123" s="6" t="str">
        <f>CALC_GAMES_BASE!N123</f>
        <v/>
      </c>
      <c r="G123" s="7">
        <f>CALC_GAMES_BASE!K123</f>
        <v>-21</v>
      </c>
      <c r="H123" s="7">
        <f t="shared" si="1"/>
        <v>0</v>
      </c>
      <c r="I123" s="6">
        <f>IF(H123=1,
  F123,
  G123*PARAMETRY!$B$11)</f>
        <v>-1.05</v>
      </c>
      <c r="J123" s="6">
        <f>CALC_GAMES_BASE!U123-CALC_GAMES_BASE!V123</f>
        <v>2.7999084249084261E-2</v>
      </c>
      <c r="K123" s="6">
        <f>_xlfn.XLOOKUP(CALC_GAMES_BASE!W123,
  CALC_GOALIES!B:B,
  CALC_GOALIES!K:K)</f>
        <v>-4.0156231301455403E-2</v>
      </c>
      <c r="L123" s="6">
        <f>_xlfn.XLOOKUP(C123,CALC_TEAMS_SEASON!B:B,CALC_TEAMS_SEASON!L:L)</f>
        <v>-1.0281967787114845</v>
      </c>
      <c r="M123">
        <f>IF(CALC_GAMES_BASE!Z123="RS",1,1.2)</f>
        <v>1</v>
      </c>
      <c r="N123">
        <f xml:space="preserve"> CALC_GAMES_BASE!Y123</f>
        <v>0</v>
      </c>
    </row>
    <row r="124" spans="1:14" x14ac:dyDescent="0.25">
      <c r="A124" t="str">
        <f>CALC_GAMES_BASE!A124</f>
        <v>25/26</v>
      </c>
      <c r="B124" s="3">
        <f>CALC_GAMES_BASE!B124</f>
        <v>45930</v>
      </c>
      <c r="C124" s="3" t="str">
        <f>CALC_GAMES_BASE!C124</f>
        <v>PCE</v>
      </c>
      <c r="D124" s="3" t="str">
        <f>CALC_GAMES_BASE!D124</f>
        <v>LIT</v>
      </c>
      <c r="E124" s="7">
        <f>CALC_GAMES_BASE!E124</f>
        <v>1</v>
      </c>
      <c r="F124" s="6">
        <f>CALC_GAMES_BASE!N124</f>
        <v>2.1800000000000002</v>
      </c>
      <c r="G124" s="7">
        <f>CALC_GAMES_BASE!K124</f>
        <v>23</v>
      </c>
      <c r="H124" s="7">
        <f t="shared" si="1"/>
        <v>1</v>
      </c>
      <c r="I124" s="6">
        <f>IF(H124=1,
  F124,
  G124*PARAMETRY!$B$11)</f>
        <v>2.1800000000000002</v>
      </c>
      <c r="J124" s="6">
        <f>CALC_GAMES_BASE!U124-CALC_GAMES_BASE!V124</f>
        <v>0.1020833333333334</v>
      </c>
      <c r="K124" s="6">
        <f>_xlfn.XLOOKUP(CALC_GAMES_BASE!W124,
  CALC_GOALIES!B:B,
  CALC_GOALIES!K:K)</f>
        <v>-2.4829341344873024E-3</v>
      </c>
      <c r="L124" s="6">
        <f>_xlfn.XLOOKUP(C124,CALC_TEAMS_SEASON!B:B,CALC_TEAMS_SEASON!L:L)</f>
        <v>0.62437675070027965</v>
      </c>
      <c r="M124">
        <f>IF(CALC_GAMES_BASE!Z124="RS",1,1.2)</f>
        <v>1</v>
      </c>
      <c r="N124">
        <f xml:space="preserve"> CALC_GAMES_BASE!Y124</f>
        <v>1</v>
      </c>
    </row>
    <row r="125" spans="1:14" x14ac:dyDescent="0.25">
      <c r="A125" t="str">
        <f>CALC_GAMES_BASE!A125</f>
        <v>25/26</v>
      </c>
      <c r="B125" s="3">
        <f>CALC_GAMES_BASE!B125</f>
        <v>45930</v>
      </c>
      <c r="C125" s="3" t="str">
        <f>CALC_GAMES_BASE!C125</f>
        <v>TRI</v>
      </c>
      <c r="D125" s="3" t="str">
        <f>CALC_GAMES_BASE!D125</f>
        <v>KOM</v>
      </c>
      <c r="E125" s="7">
        <f>CALC_GAMES_BASE!E125</f>
        <v>1</v>
      </c>
      <c r="F125" s="6">
        <f>CALC_GAMES_BASE!N125</f>
        <v>0.65999999999999992</v>
      </c>
      <c r="G125" s="7">
        <f>CALC_GAMES_BASE!K125</f>
        <v>-3</v>
      </c>
      <c r="H125" s="7">
        <f t="shared" si="1"/>
        <v>1</v>
      </c>
      <c r="I125" s="6">
        <f>IF(H125=1,
  F125,
  G125*PARAMETRY!$B$11)</f>
        <v>0.65999999999999992</v>
      </c>
      <c r="J125" s="6">
        <f>CALC_GAMES_BASE!U125-CALC_GAMES_BASE!V125</f>
        <v>3.0784493284493342E-2</v>
      </c>
      <c r="K125" s="6">
        <f>_xlfn.XLOOKUP(CALC_GAMES_BASE!W125,
  CALC_GOALIES!B:B,
  CALC_GOALIES!K:K)</f>
        <v>1.3707542055988897E-2</v>
      </c>
      <c r="L125" s="6">
        <f>_xlfn.XLOOKUP(C125,CALC_TEAMS_SEASON!B:B,CALC_TEAMS_SEASON!L:L)</f>
        <v>0.10805322128851533</v>
      </c>
      <c r="M125">
        <f>IF(CALC_GAMES_BASE!Z125="RS",1,1.2)</f>
        <v>1</v>
      </c>
      <c r="N125">
        <f xml:space="preserve"> CALC_GAMES_BASE!Y125</f>
        <v>1</v>
      </c>
    </row>
    <row r="126" spans="1:14" x14ac:dyDescent="0.25">
      <c r="A126" t="str">
        <f>CALC_GAMES_BASE!A126</f>
        <v>25/26</v>
      </c>
      <c r="B126" s="3">
        <f>CALC_GAMES_BASE!B126</f>
        <v>45930</v>
      </c>
      <c r="C126" s="3" t="str">
        <f>CALC_GAMES_BASE!C126</f>
        <v>SPA</v>
      </c>
      <c r="D126" s="3" t="str">
        <f>CALC_GAMES_BASE!D126</f>
        <v>PLZ</v>
      </c>
      <c r="E126" s="7">
        <f>CALC_GAMES_BASE!E126</f>
        <v>1</v>
      </c>
      <c r="F126" s="6">
        <f>CALC_GAMES_BASE!N126</f>
        <v>-0.2799999999999998</v>
      </c>
      <c r="G126" s="7">
        <f>CALC_GAMES_BASE!K126</f>
        <v>7</v>
      </c>
      <c r="H126" s="7">
        <f t="shared" si="1"/>
        <v>1</v>
      </c>
      <c r="I126" s="6">
        <f>IF(H126=1,
  F126,
  G126*PARAMETRY!$B$11)</f>
        <v>-0.2799999999999998</v>
      </c>
      <c r="J126" s="6">
        <f>CALC_GAMES_BASE!U126-CALC_GAMES_BASE!V126</f>
        <v>4.4192612942613035E-2</v>
      </c>
      <c r="K126" s="6">
        <f>_xlfn.XLOOKUP(CALC_GAMES_BASE!W126,
  CALC_GOALIES!B:B,
  CALC_GOALIES!K:K)</f>
        <v>3.6462502125188534E-3</v>
      </c>
      <c r="L126" s="6">
        <f>_xlfn.XLOOKUP(C126,CALC_TEAMS_SEASON!B:B,CALC_TEAMS_SEASON!L:L)</f>
        <v>6.4376750700279955E-2</v>
      </c>
      <c r="M126">
        <f>IF(CALC_GAMES_BASE!Z126="RS",1,1.2)</f>
        <v>1</v>
      </c>
      <c r="N126">
        <f xml:space="preserve"> CALC_GAMES_BASE!Y126</f>
        <v>0</v>
      </c>
    </row>
    <row r="127" spans="1:14" x14ac:dyDescent="0.25">
      <c r="A127" t="str">
        <f>CALC_GAMES_BASE!A127</f>
        <v>25/26</v>
      </c>
      <c r="B127" s="3">
        <f>CALC_GAMES_BASE!B127</f>
        <v>45930</v>
      </c>
      <c r="C127" s="3" t="str">
        <f>CALC_GAMES_BASE!C127</f>
        <v>KOM</v>
      </c>
      <c r="D127" s="3" t="str">
        <f>CALC_GAMES_BASE!D127</f>
        <v>TRI</v>
      </c>
      <c r="E127" s="7">
        <f>CALC_GAMES_BASE!E127</f>
        <v>0</v>
      </c>
      <c r="F127" s="6">
        <f>CALC_GAMES_BASE!N127</f>
        <v>-0.65999999999999992</v>
      </c>
      <c r="G127" s="7">
        <f>CALC_GAMES_BASE!K127</f>
        <v>3</v>
      </c>
      <c r="H127" s="7">
        <f t="shared" si="1"/>
        <v>1</v>
      </c>
      <c r="I127" s="6">
        <f>IF(H127=1,
  F127,
  G127*PARAMETRY!$B$11)</f>
        <v>-0.65999999999999992</v>
      </c>
      <c r="J127" s="6">
        <f>CALC_GAMES_BASE!U127-CALC_GAMES_BASE!V127</f>
        <v>-3.0784493284493342E-2</v>
      </c>
      <c r="K127" s="6">
        <f>_xlfn.XLOOKUP(CALC_GAMES_BASE!W127,
  CALC_GOALIES!B:B,
  CALC_GOALIES!K:K)</f>
        <v>-1.5147095063735572E-3</v>
      </c>
      <c r="L127" s="6">
        <f>_xlfn.XLOOKUP(C127,CALC_TEAMS_SEASON!B:B,CALC_TEAMS_SEASON!L:L)</f>
        <v>-0.37268207282913179</v>
      </c>
      <c r="M127">
        <f>IF(CALC_GAMES_BASE!Z127="RS",1,1.2)</f>
        <v>1</v>
      </c>
      <c r="N127">
        <f xml:space="preserve"> CALC_GAMES_BASE!Y127</f>
        <v>0</v>
      </c>
    </row>
    <row r="128" spans="1:14" x14ac:dyDescent="0.25">
      <c r="A128" t="str">
        <f>CALC_GAMES_BASE!A128</f>
        <v>25/26</v>
      </c>
      <c r="B128" s="3">
        <f>CALC_GAMES_BASE!B128</f>
        <v>45930</v>
      </c>
      <c r="C128" s="3" t="str">
        <f>CALC_GAMES_BASE!C128</f>
        <v>CEB</v>
      </c>
      <c r="D128" s="3" t="str">
        <f>CALC_GAMES_BASE!D128</f>
        <v>VIT</v>
      </c>
      <c r="E128" s="7">
        <f>CALC_GAMES_BASE!E128</f>
        <v>1</v>
      </c>
      <c r="F128" s="6" t="str">
        <f>CALC_GAMES_BASE!N128</f>
        <v/>
      </c>
      <c r="G128" s="7">
        <f>CALC_GAMES_BASE!K128</f>
        <v>1</v>
      </c>
      <c r="H128" s="7">
        <f t="shared" si="1"/>
        <v>0</v>
      </c>
      <c r="I128" s="6">
        <f>IF(H128=1,
  F128,
  G128*PARAMETRY!$B$11)</f>
        <v>0.05</v>
      </c>
      <c r="J128" s="6">
        <f>CALC_GAMES_BASE!U128-CALC_GAMES_BASE!V128</f>
        <v>-3.9635364635364656E-2</v>
      </c>
      <c r="K128" s="6">
        <f>_xlfn.XLOOKUP(CALC_GAMES_BASE!W128,
  CALC_GOALIES!B:B,
  CALC_GOALIES!K:K)</f>
        <v>3.9343341510811314E-3</v>
      </c>
      <c r="L128" s="6">
        <f>_xlfn.XLOOKUP(C128,CALC_TEAMS_SEASON!B:B,CALC_TEAMS_SEASON!L:L)</f>
        <v>-0.24978011204481798</v>
      </c>
      <c r="M128">
        <f>IF(CALC_GAMES_BASE!Z128="RS",1,1.2)</f>
        <v>1</v>
      </c>
      <c r="N128">
        <f xml:space="preserve"> CALC_GAMES_BASE!Y128</f>
        <v>1</v>
      </c>
    </row>
    <row r="129" spans="1:14" x14ac:dyDescent="0.25">
      <c r="A129" t="str">
        <f>CALC_GAMES_BASE!A129</f>
        <v>25/26</v>
      </c>
      <c r="B129" s="3">
        <f>CALC_GAMES_BASE!B129</f>
        <v>45930</v>
      </c>
      <c r="C129" s="3" t="str">
        <f>CALC_GAMES_BASE!C129</f>
        <v>KLA</v>
      </c>
      <c r="D129" s="3" t="str">
        <f>CALC_GAMES_BASE!D129</f>
        <v>KVA</v>
      </c>
      <c r="E129" s="7">
        <f>CALC_GAMES_BASE!E129</f>
        <v>1</v>
      </c>
      <c r="F129" s="6" t="str">
        <f>CALC_GAMES_BASE!N129</f>
        <v/>
      </c>
      <c r="G129" s="7">
        <f>CALC_GAMES_BASE!K129</f>
        <v>4</v>
      </c>
      <c r="H129" s="7">
        <f t="shared" si="1"/>
        <v>0</v>
      </c>
      <c r="I129" s="6">
        <f>IF(H129=1,
  F129,
  G129*PARAMETRY!$B$11)</f>
        <v>0.2</v>
      </c>
      <c r="J129" s="6">
        <f>CALC_GAMES_BASE!U129-CALC_GAMES_BASE!V129</f>
        <v>-4.2666361416361459E-2</v>
      </c>
      <c r="K129" s="6">
        <f>_xlfn.XLOOKUP(CALC_GAMES_BASE!W129,
  CALC_GOALIES!B:B,
  CALC_GOALIES!K:K)</f>
        <v>1.2463190300688209E-2</v>
      </c>
      <c r="L129" s="6">
        <f>_xlfn.XLOOKUP(C129,CALC_TEAMS_SEASON!B:B,CALC_TEAMS_SEASON!L:L)</f>
        <v>-0.19819677871148478</v>
      </c>
      <c r="M129">
        <f>IF(CALC_GAMES_BASE!Z129="RS",1,1.2)</f>
        <v>1</v>
      </c>
      <c r="N129">
        <f xml:space="preserve"> CALC_GAMES_BASE!Y129</f>
        <v>0</v>
      </c>
    </row>
    <row r="130" spans="1:14" x14ac:dyDescent="0.25">
      <c r="A130" t="str">
        <f>CALC_GAMES_BASE!A130</f>
        <v>25/26</v>
      </c>
      <c r="B130" s="3">
        <f>CALC_GAMES_BASE!B130</f>
        <v>45930</v>
      </c>
      <c r="C130" s="3" t="str">
        <f>CALC_GAMES_BASE!C130</f>
        <v>KVA</v>
      </c>
      <c r="D130" s="3" t="str">
        <f>CALC_GAMES_BASE!D130</f>
        <v>KLA</v>
      </c>
      <c r="E130" s="7">
        <f>CALC_GAMES_BASE!E130</f>
        <v>0</v>
      </c>
      <c r="F130" s="6" t="str">
        <f>CALC_GAMES_BASE!N130</f>
        <v/>
      </c>
      <c r="G130" s="7">
        <f>CALC_GAMES_BASE!K130</f>
        <v>-4</v>
      </c>
      <c r="H130" s="7">
        <f t="shared" si="1"/>
        <v>0</v>
      </c>
      <c r="I130" s="6">
        <f>IF(H130=1,
  F130,
  G130*PARAMETRY!$B$11)</f>
        <v>-0.2</v>
      </c>
      <c r="J130" s="6">
        <f>CALC_GAMES_BASE!U130-CALC_GAMES_BASE!V130</f>
        <v>4.2666361416361459E-2</v>
      </c>
      <c r="K130" s="6">
        <f>_xlfn.XLOOKUP(CALC_GAMES_BASE!W130,
  CALC_GOALIES!B:B,
  CALC_GOALIES!K:K)</f>
        <v>1.2242809776983998E-2</v>
      </c>
      <c r="L130" s="6">
        <f>_xlfn.XLOOKUP(C130,CALC_TEAMS_SEASON!B:B,CALC_TEAMS_SEASON!L:L)</f>
        <v>-0.28757177871148476</v>
      </c>
      <c r="M130">
        <f>IF(CALC_GAMES_BASE!Z130="RS",1,1.2)</f>
        <v>1</v>
      </c>
      <c r="N130">
        <f xml:space="preserve"> CALC_GAMES_BASE!Y130</f>
        <v>1</v>
      </c>
    </row>
    <row r="131" spans="1:14" x14ac:dyDescent="0.25">
      <c r="A131" t="str">
        <f>CALC_GAMES_BASE!A131</f>
        <v>25/26</v>
      </c>
      <c r="B131" s="3">
        <f>CALC_GAMES_BASE!B131</f>
        <v>45930</v>
      </c>
      <c r="C131" s="3" t="str">
        <f>CALC_GAMES_BASE!C131</f>
        <v>LIB</v>
      </c>
      <c r="D131" s="3" t="str">
        <f>CALC_GAMES_BASE!D131</f>
        <v>MBL</v>
      </c>
      <c r="E131" s="7">
        <f>CALC_GAMES_BASE!E131</f>
        <v>1</v>
      </c>
      <c r="F131" s="6" t="str">
        <f>CALC_GAMES_BASE!N131</f>
        <v/>
      </c>
      <c r="G131" s="7">
        <f>CALC_GAMES_BASE!K131</f>
        <v>10</v>
      </c>
      <c r="H131" s="7">
        <f t="shared" ref="H131:H194" si="2">IF(F131&lt;&gt;"",1,0)</f>
        <v>0</v>
      </c>
      <c r="I131" s="6">
        <f>IF(H131=1,
  F131,
  G131*PARAMETRY!$B$11)</f>
        <v>0.5</v>
      </c>
      <c r="J131" s="6">
        <f>CALC_GAMES_BASE!U131-CALC_GAMES_BASE!V131</f>
        <v>2.550366300366301E-2</v>
      </c>
      <c r="K131" s="6">
        <f>_xlfn.XLOOKUP(CALC_GAMES_BASE!W131,
  CALC_GOALIES!B:B,
  CALC_GOALIES!K:K)</f>
        <v>1.2275709048813366E-2</v>
      </c>
      <c r="L131" s="6">
        <f>_xlfn.XLOOKUP(C131,CALC_TEAMS_SEASON!B:B,CALC_TEAMS_SEASON!L:L)</f>
        <v>0.22367822128851536</v>
      </c>
      <c r="M131">
        <f>IF(CALC_GAMES_BASE!Z131="RS",1,1.2)</f>
        <v>1</v>
      </c>
      <c r="N131">
        <f xml:space="preserve"> CALC_GAMES_BASE!Y131</f>
        <v>0</v>
      </c>
    </row>
    <row r="132" spans="1:14" x14ac:dyDescent="0.25">
      <c r="A132" t="str">
        <f>CALC_GAMES_BASE!A132</f>
        <v>25/26</v>
      </c>
      <c r="B132" s="3">
        <f>CALC_GAMES_BASE!B132</f>
        <v>45930</v>
      </c>
      <c r="C132" s="3" t="str">
        <f>CALC_GAMES_BASE!C132</f>
        <v>LIT</v>
      </c>
      <c r="D132" s="3" t="str">
        <f>CALC_GAMES_BASE!D132</f>
        <v>PCE</v>
      </c>
      <c r="E132" s="7">
        <f>CALC_GAMES_BASE!E132</f>
        <v>0</v>
      </c>
      <c r="F132" s="6">
        <f>CALC_GAMES_BASE!N132</f>
        <v>-2.1800000000000002</v>
      </c>
      <c r="G132" s="7">
        <f>CALC_GAMES_BASE!K132</f>
        <v>-23</v>
      </c>
      <c r="H132" s="7">
        <f t="shared" si="2"/>
        <v>1</v>
      </c>
      <c r="I132" s="6">
        <f>IF(H132=1,
  F132,
  G132*PARAMETRY!$B$11)</f>
        <v>-2.1800000000000002</v>
      </c>
      <c r="J132" s="6">
        <f>CALC_GAMES_BASE!U132-CALC_GAMES_BASE!V132</f>
        <v>-0.1020833333333334</v>
      </c>
      <c r="K132" s="6">
        <f>_xlfn.XLOOKUP(CALC_GAMES_BASE!W132,
  CALC_GOALIES!B:B,
  CALC_GOALIES!K:K)</f>
        <v>-4.9010888963920696E-3</v>
      </c>
      <c r="L132" s="6">
        <f>_xlfn.XLOOKUP(C132,CALC_TEAMS_SEASON!B:B,CALC_TEAMS_SEASON!L:L)</f>
        <v>-1.4784467787114848</v>
      </c>
      <c r="M132">
        <f>IF(CALC_GAMES_BASE!Z132="RS",1,1.2)</f>
        <v>1</v>
      </c>
      <c r="N132">
        <f xml:space="preserve"> CALC_GAMES_BASE!Y132</f>
        <v>0</v>
      </c>
    </row>
    <row r="133" spans="1:14" x14ac:dyDescent="0.25">
      <c r="A133" t="str">
        <f>CALC_GAMES_BASE!A133</f>
        <v>25/26</v>
      </c>
      <c r="B133" s="3">
        <f>CALC_GAMES_BASE!B133</f>
        <v>45930</v>
      </c>
      <c r="C133" s="3" t="str">
        <f>CALC_GAMES_BASE!C133</f>
        <v>MBL</v>
      </c>
      <c r="D133" s="3" t="str">
        <f>CALC_GAMES_BASE!D133</f>
        <v>LIB</v>
      </c>
      <c r="E133" s="7">
        <f>CALC_GAMES_BASE!E133</f>
        <v>0</v>
      </c>
      <c r="F133" s="6" t="str">
        <f>CALC_GAMES_BASE!N133</f>
        <v/>
      </c>
      <c r="G133" s="7">
        <f>CALC_GAMES_BASE!K133</f>
        <v>-10</v>
      </c>
      <c r="H133" s="7">
        <f t="shared" si="2"/>
        <v>0</v>
      </c>
      <c r="I133" s="6">
        <f>IF(H133=1,
  F133,
  G133*PARAMETRY!$B$11)</f>
        <v>-0.5</v>
      </c>
      <c r="J133" s="6">
        <f>CALC_GAMES_BASE!U133-CALC_GAMES_BASE!V133</f>
        <v>-2.550366300366301E-2</v>
      </c>
      <c r="K133" s="6">
        <f>_xlfn.XLOOKUP(CALC_GAMES_BASE!W133,
  CALC_GOALIES!B:B,
  CALC_GOALIES!K:K)</f>
        <v>-4.4670611186142795E-3</v>
      </c>
      <c r="L133" s="6">
        <f>_xlfn.XLOOKUP(C133,CALC_TEAMS_SEASON!B:B,CALC_TEAMS_SEASON!L:L)</f>
        <v>-0.89069677871148467</v>
      </c>
      <c r="M133">
        <f>IF(CALC_GAMES_BASE!Z133="RS",1,1.2)</f>
        <v>1</v>
      </c>
      <c r="N133">
        <f xml:space="preserve"> CALC_GAMES_BASE!Y133</f>
        <v>1</v>
      </c>
    </row>
    <row r="134" spans="1:14" x14ac:dyDescent="0.25">
      <c r="A134" t="str">
        <f>CALC_GAMES_BASE!A134</f>
        <v>25/26</v>
      </c>
      <c r="B134" s="3">
        <f>CALC_GAMES_BASE!B134</f>
        <v>45930</v>
      </c>
      <c r="C134" s="3" t="str">
        <f>CALC_GAMES_BASE!C134</f>
        <v>MHK</v>
      </c>
      <c r="D134" s="3" t="str">
        <f>CALC_GAMES_BASE!D134</f>
        <v>OLO</v>
      </c>
      <c r="E134" s="7">
        <f>CALC_GAMES_BASE!E134</f>
        <v>1</v>
      </c>
      <c r="F134" s="6" t="str">
        <f>CALC_GAMES_BASE!N134</f>
        <v/>
      </c>
      <c r="G134" s="7">
        <f>CALC_GAMES_BASE!K134</f>
        <v>11</v>
      </c>
      <c r="H134" s="7">
        <f t="shared" si="2"/>
        <v>0</v>
      </c>
      <c r="I134" s="6">
        <f>IF(H134=1,
  F134,
  G134*PARAMETRY!$B$11)</f>
        <v>0.55000000000000004</v>
      </c>
      <c r="J134" s="6">
        <f>CALC_GAMES_BASE!U134-CALC_GAMES_BASE!V134</f>
        <v>-8.0433455433455425E-3</v>
      </c>
      <c r="K134" s="6">
        <f>_xlfn.XLOOKUP(CALC_GAMES_BASE!W134,
  CALC_GOALIES!B:B,
  CALC_GOALIES!K:K)</f>
        <v>2.1917994590268441E-2</v>
      </c>
      <c r="L134" s="6">
        <f>_xlfn.XLOOKUP(C134,CALC_TEAMS_SEASON!B:B,CALC_TEAMS_SEASON!L:L)</f>
        <v>0.14821988795518207</v>
      </c>
      <c r="M134">
        <f>IF(CALC_GAMES_BASE!Z134="RS",1,1.2)</f>
        <v>1</v>
      </c>
      <c r="N134">
        <f xml:space="preserve"> CALC_GAMES_BASE!Y134</f>
        <v>0</v>
      </c>
    </row>
    <row r="135" spans="1:14" x14ac:dyDescent="0.25">
      <c r="A135" t="str">
        <f>CALC_GAMES_BASE!A135</f>
        <v>25/26</v>
      </c>
      <c r="B135" s="3">
        <f>CALC_GAMES_BASE!B135</f>
        <v>45930</v>
      </c>
      <c r="C135" s="3" t="str">
        <f>CALC_GAMES_BASE!C135</f>
        <v>OLO</v>
      </c>
      <c r="D135" s="3" t="str">
        <f>CALC_GAMES_BASE!D135</f>
        <v>MHK</v>
      </c>
      <c r="E135" s="7">
        <f>CALC_GAMES_BASE!E135</f>
        <v>0</v>
      </c>
      <c r="F135" s="6" t="str">
        <f>CALC_GAMES_BASE!N135</f>
        <v/>
      </c>
      <c r="G135" s="7">
        <f>CALC_GAMES_BASE!K135</f>
        <v>-11</v>
      </c>
      <c r="H135" s="7">
        <f t="shared" si="2"/>
        <v>0</v>
      </c>
      <c r="I135" s="6">
        <f>IF(H135=1,
  F135,
  G135*PARAMETRY!$B$11)</f>
        <v>-0.55000000000000004</v>
      </c>
      <c r="J135" s="6">
        <f>CALC_GAMES_BASE!U135-CALC_GAMES_BASE!V135</f>
        <v>8.0433455433455425E-3</v>
      </c>
      <c r="K135" s="6">
        <f>_xlfn.XLOOKUP(CALC_GAMES_BASE!W135,
  CALC_GOALIES!B:B,
  CALC_GOALIES!K:K)</f>
        <v>4.4713327207696052E-3</v>
      </c>
      <c r="L135" s="6">
        <f>_xlfn.XLOOKUP(C135,CALC_TEAMS_SEASON!B:B,CALC_TEAMS_SEASON!L:L)</f>
        <v>-1.0613217787114846</v>
      </c>
      <c r="M135">
        <f>IF(CALC_GAMES_BASE!Z135="RS",1,1.2)</f>
        <v>1</v>
      </c>
      <c r="N135">
        <f xml:space="preserve"> CALC_GAMES_BASE!Y135</f>
        <v>1</v>
      </c>
    </row>
    <row r="136" spans="1:14" x14ac:dyDescent="0.25">
      <c r="A136" t="str">
        <f>CALC_GAMES_BASE!A136</f>
        <v>25/26</v>
      </c>
      <c r="B136" s="3">
        <f>CALC_GAMES_BASE!B136</f>
        <v>45930</v>
      </c>
      <c r="C136" s="3" t="str">
        <f>CALC_GAMES_BASE!C136</f>
        <v>PLZ</v>
      </c>
      <c r="D136" s="3" t="str">
        <f>CALC_GAMES_BASE!D136</f>
        <v>SPA</v>
      </c>
      <c r="E136" s="7">
        <f>CALC_GAMES_BASE!E136</f>
        <v>0</v>
      </c>
      <c r="F136" s="6">
        <f>CALC_GAMES_BASE!N136</f>
        <v>0.2799999999999998</v>
      </c>
      <c r="G136" s="7">
        <f>CALC_GAMES_BASE!K136</f>
        <v>-7</v>
      </c>
      <c r="H136" s="7">
        <f t="shared" si="2"/>
        <v>1</v>
      </c>
      <c r="I136" s="6">
        <f>IF(H136=1,
  F136,
  G136*PARAMETRY!$B$11)</f>
        <v>0.2799999999999998</v>
      </c>
      <c r="J136" s="6">
        <f>CALC_GAMES_BASE!U136-CALC_GAMES_BASE!V136</f>
        <v>-4.4192612942613035E-2</v>
      </c>
      <c r="K136" s="6">
        <f>_xlfn.XLOOKUP(CALC_GAMES_BASE!W136,
  CALC_GOALIES!B:B,
  CALC_GOALIES!K:K)</f>
        <v>-1.4856765927271365E-3</v>
      </c>
      <c r="L136" s="6">
        <f>_xlfn.XLOOKUP(C136,CALC_TEAMS_SEASON!B:B,CALC_TEAMS_SEASON!L:L)</f>
        <v>7.3678221288515283E-2</v>
      </c>
      <c r="M136">
        <f>IF(CALC_GAMES_BASE!Z136="RS",1,1.2)</f>
        <v>1</v>
      </c>
      <c r="N136">
        <f xml:space="preserve"> CALC_GAMES_BASE!Y136</f>
        <v>1</v>
      </c>
    </row>
    <row r="137" spans="1:14" x14ac:dyDescent="0.25">
      <c r="A137" t="str">
        <f>CALC_GAMES_BASE!A137</f>
        <v>25/26</v>
      </c>
      <c r="B137" s="3">
        <f>CALC_GAMES_BASE!B137</f>
        <v>45930</v>
      </c>
      <c r="C137" s="3" t="str">
        <f>CALC_GAMES_BASE!C137</f>
        <v>VIT</v>
      </c>
      <c r="D137" s="3" t="str">
        <f>CALC_GAMES_BASE!D137</f>
        <v>CEB</v>
      </c>
      <c r="E137" s="7">
        <f>CALC_GAMES_BASE!E137</f>
        <v>0</v>
      </c>
      <c r="F137" s="6" t="str">
        <f>CALC_GAMES_BASE!N137</f>
        <v/>
      </c>
      <c r="G137" s="7">
        <f>CALC_GAMES_BASE!K137</f>
        <v>-1</v>
      </c>
      <c r="H137" s="7">
        <f t="shared" si="2"/>
        <v>0</v>
      </c>
      <c r="I137" s="6">
        <f>IF(H137=1,
  F137,
  G137*PARAMETRY!$B$11)</f>
        <v>-0.05</v>
      </c>
      <c r="J137" s="6">
        <f>CALC_GAMES_BASE!U137-CALC_GAMES_BASE!V137</f>
        <v>3.9635364635364656E-2</v>
      </c>
      <c r="K137" s="6">
        <f>_xlfn.XLOOKUP(CALC_GAMES_BASE!W137,
  CALC_GOALIES!B:B,
  CALC_GOALIES!K:K)</f>
        <v>1.905487900993541E-3</v>
      </c>
      <c r="L137" s="6">
        <f>_xlfn.XLOOKUP(C137,CALC_TEAMS_SEASON!B:B,CALC_TEAMS_SEASON!L:L)</f>
        <v>-1.0281967787114845</v>
      </c>
      <c r="M137">
        <f>IF(CALC_GAMES_BASE!Z137="RS",1,1.2)</f>
        <v>1</v>
      </c>
      <c r="N137">
        <f xml:space="preserve"> CALC_GAMES_BASE!Y137</f>
        <v>0</v>
      </c>
    </row>
    <row r="138" spans="1:14" x14ac:dyDescent="0.25">
      <c r="A138" t="str">
        <f>CALC_GAMES_BASE!A138</f>
        <v>25/26</v>
      </c>
      <c r="B138" s="3">
        <f>CALC_GAMES_BASE!B138</f>
        <v>45933</v>
      </c>
      <c r="C138" s="3" t="str">
        <f>CALC_GAMES_BASE!C138</f>
        <v>PCE</v>
      </c>
      <c r="D138" s="3" t="str">
        <f>CALC_GAMES_BASE!D138</f>
        <v>KVA</v>
      </c>
      <c r="E138" s="7">
        <f>CALC_GAMES_BASE!E138</f>
        <v>0</v>
      </c>
      <c r="F138" s="6">
        <f>CALC_GAMES_BASE!N138</f>
        <v>-0.42999999999999994</v>
      </c>
      <c r="G138" s="7">
        <f>CALC_GAMES_BASE!K138</f>
        <v>-3</v>
      </c>
      <c r="H138" s="7">
        <f t="shared" si="2"/>
        <v>1</v>
      </c>
      <c r="I138" s="6">
        <f>IF(H138=1,
  F138,
  G138*PARAMETRY!$B$11)</f>
        <v>-0.42999999999999994</v>
      </c>
      <c r="J138" s="6">
        <f>CALC_GAMES_BASE!U138-CALC_GAMES_BASE!V138</f>
        <v>2.9105616605616641E-2</v>
      </c>
      <c r="K138" s="6">
        <f>_xlfn.XLOOKUP(CALC_GAMES_BASE!W138,
  CALC_GOALIES!B:B,
  CALC_GOALIES!K:K)</f>
        <v>4.5881077393388203E-3</v>
      </c>
      <c r="L138" s="6">
        <f>_xlfn.XLOOKUP(C138,CALC_TEAMS_SEASON!B:B,CALC_TEAMS_SEASON!L:L)</f>
        <v>0.62437675070027965</v>
      </c>
      <c r="M138">
        <f>IF(CALC_GAMES_BASE!Z138="RS",1,1.2)</f>
        <v>1</v>
      </c>
      <c r="N138">
        <f xml:space="preserve"> CALC_GAMES_BASE!Y138</f>
        <v>1</v>
      </c>
    </row>
    <row r="139" spans="1:14" x14ac:dyDescent="0.25">
      <c r="A139" t="str">
        <f>CALC_GAMES_BASE!A139</f>
        <v>25/26</v>
      </c>
      <c r="B139" s="3">
        <f>CALC_GAMES_BASE!B139</f>
        <v>45933</v>
      </c>
      <c r="C139" s="3" t="str">
        <f>CALC_GAMES_BASE!C139</f>
        <v>TRI</v>
      </c>
      <c r="D139" s="3" t="str">
        <f>CALC_GAMES_BASE!D139</f>
        <v>VIT</v>
      </c>
      <c r="E139" s="7">
        <f>CALC_GAMES_BASE!E139</f>
        <v>1</v>
      </c>
      <c r="F139" s="6">
        <f>CALC_GAMES_BASE!N139</f>
        <v>2.23</v>
      </c>
      <c r="G139" s="7">
        <f>CALC_GAMES_BASE!K139</f>
        <v>10</v>
      </c>
      <c r="H139" s="7">
        <f t="shared" si="2"/>
        <v>1</v>
      </c>
      <c r="I139" s="6">
        <f>IF(H139=1,
  F139,
  G139*PARAMETRY!$B$11)</f>
        <v>2.23</v>
      </c>
      <c r="J139" s="6">
        <f>CALC_GAMES_BASE!U139-CALC_GAMES_BASE!V139</f>
        <v>4.525335775335787E-3</v>
      </c>
      <c r="K139" s="6">
        <f>_xlfn.XLOOKUP(CALC_GAMES_BASE!W139,
  CALC_GOALIES!B:B,
  CALC_GOALIES!K:K)</f>
        <v>-1.9657016882340561E-2</v>
      </c>
      <c r="L139" s="6">
        <f>_xlfn.XLOOKUP(C139,CALC_TEAMS_SEASON!B:B,CALC_TEAMS_SEASON!L:L)</f>
        <v>0.10805322128851533</v>
      </c>
      <c r="M139">
        <f>IF(CALC_GAMES_BASE!Z139="RS",1,1.2)</f>
        <v>1</v>
      </c>
      <c r="N139">
        <f xml:space="preserve"> CALC_GAMES_BASE!Y139</f>
        <v>0</v>
      </c>
    </row>
    <row r="140" spans="1:14" x14ac:dyDescent="0.25">
      <c r="A140" t="str">
        <f>CALC_GAMES_BASE!A140</f>
        <v>25/26</v>
      </c>
      <c r="B140" s="3">
        <f>CALC_GAMES_BASE!B140</f>
        <v>45933</v>
      </c>
      <c r="C140" s="3" t="str">
        <f>CALC_GAMES_BASE!C140</f>
        <v>SPA</v>
      </c>
      <c r="D140" s="3" t="str">
        <f>CALC_GAMES_BASE!D140</f>
        <v>MHK</v>
      </c>
      <c r="E140" s="7">
        <f>CALC_GAMES_BASE!E140</f>
        <v>1</v>
      </c>
      <c r="F140" s="6">
        <f>CALC_GAMES_BASE!N140</f>
        <v>0.13999999999999968</v>
      </c>
      <c r="G140" s="7">
        <f>CALC_GAMES_BASE!K140</f>
        <v>7</v>
      </c>
      <c r="H140" s="7">
        <f t="shared" si="2"/>
        <v>1</v>
      </c>
      <c r="I140" s="6">
        <f>IF(H140=1,
  F140,
  G140*PARAMETRY!$B$11)</f>
        <v>0.13999999999999968</v>
      </c>
      <c r="J140" s="6">
        <f>CALC_GAMES_BASE!U140-CALC_GAMES_BASE!V140</f>
        <v>7.875457875457878E-2</v>
      </c>
      <c r="K140" s="6">
        <f>_xlfn.XLOOKUP(CALC_GAMES_BASE!W140,
  CALC_GOALIES!B:B,
  CALC_GOALIES!K:K)</f>
        <v>3.6462502125188534E-3</v>
      </c>
      <c r="L140" s="6">
        <f>_xlfn.XLOOKUP(C140,CALC_TEAMS_SEASON!B:B,CALC_TEAMS_SEASON!L:L)</f>
        <v>6.4376750700279955E-2</v>
      </c>
      <c r="M140">
        <f>IF(CALC_GAMES_BASE!Z140="RS",1,1.2)</f>
        <v>1</v>
      </c>
      <c r="N140">
        <f xml:space="preserve"> CALC_GAMES_BASE!Y140</f>
        <v>0</v>
      </c>
    </row>
    <row r="141" spans="1:14" x14ac:dyDescent="0.25">
      <c r="A141" t="str">
        <f>CALC_GAMES_BASE!A141</f>
        <v>25/26</v>
      </c>
      <c r="B141" s="3">
        <f>CALC_GAMES_BASE!B141</f>
        <v>45933</v>
      </c>
      <c r="C141" s="3" t="str">
        <f>CALC_GAMES_BASE!C141</f>
        <v>KOM</v>
      </c>
      <c r="D141" s="3" t="str">
        <f>CALC_GAMES_BASE!D141</f>
        <v>KLA</v>
      </c>
      <c r="E141" s="7">
        <f>CALC_GAMES_BASE!E141</f>
        <v>1</v>
      </c>
      <c r="F141" s="6">
        <f>CALC_GAMES_BASE!N141</f>
        <v>-4.0000000000000036E-2</v>
      </c>
      <c r="G141" s="7">
        <f>CALC_GAMES_BASE!K141</f>
        <v>-2</v>
      </c>
      <c r="H141" s="7">
        <f t="shared" si="2"/>
        <v>1</v>
      </c>
      <c r="I141" s="6">
        <f>IF(H141=1,
  F141,
  G141*PARAMETRY!$B$11)</f>
        <v>-4.0000000000000036E-2</v>
      </c>
      <c r="J141" s="6">
        <f>CALC_GAMES_BASE!U141-CALC_GAMES_BASE!V141</f>
        <v>1.2385531135531147E-2</v>
      </c>
      <c r="K141" s="6">
        <f>_xlfn.XLOOKUP(CALC_GAMES_BASE!W141,
  CALC_GOALIES!B:B,
  CALC_GOALIES!K:K)</f>
        <v>-1.5147095063735572E-3</v>
      </c>
      <c r="L141" s="6">
        <f>_xlfn.XLOOKUP(C141,CALC_TEAMS_SEASON!B:B,CALC_TEAMS_SEASON!L:L)</f>
        <v>-0.37268207282913179</v>
      </c>
      <c r="M141">
        <f>IF(CALC_GAMES_BASE!Z141="RS",1,1.2)</f>
        <v>1</v>
      </c>
      <c r="N141">
        <f xml:space="preserve"> CALC_GAMES_BASE!Y141</f>
        <v>0</v>
      </c>
    </row>
    <row r="142" spans="1:14" x14ac:dyDescent="0.25">
      <c r="A142" t="str">
        <f>CALC_GAMES_BASE!A142</f>
        <v>25/26</v>
      </c>
      <c r="B142" s="3">
        <f>CALC_GAMES_BASE!B142</f>
        <v>45933</v>
      </c>
      <c r="C142" s="3" t="str">
        <f>CALC_GAMES_BASE!C142</f>
        <v>CEB</v>
      </c>
      <c r="D142" s="3" t="str">
        <f>CALC_GAMES_BASE!D142</f>
        <v>MBL</v>
      </c>
      <c r="E142" s="7">
        <f>CALC_GAMES_BASE!E142</f>
        <v>0</v>
      </c>
      <c r="F142" s="6" t="str">
        <f>CALC_GAMES_BASE!N142</f>
        <v/>
      </c>
      <c r="G142" s="7">
        <f>CALC_GAMES_BASE!K142</f>
        <v>-9</v>
      </c>
      <c r="H142" s="7">
        <f t="shared" si="2"/>
        <v>0</v>
      </c>
      <c r="I142" s="6">
        <f>IF(H142=1,
  F142,
  G142*PARAMETRY!$B$11)</f>
        <v>-0.45</v>
      </c>
      <c r="J142" s="6">
        <f>CALC_GAMES_BASE!U142-CALC_GAMES_BASE!V142</f>
        <v>1.1944305694305699E-2</v>
      </c>
      <c r="K142" s="6">
        <f>_xlfn.XLOOKUP(CALC_GAMES_BASE!W142,
  CALC_GOALIES!B:B,
  CALC_GOALIES!K:K)</f>
        <v>3.9343341510811314E-3</v>
      </c>
      <c r="L142" s="6">
        <f>_xlfn.XLOOKUP(C142,CALC_TEAMS_SEASON!B:B,CALC_TEAMS_SEASON!L:L)</f>
        <v>-0.24978011204481798</v>
      </c>
      <c r="M142">
        <f>IF(CALC_GAMES_BASE!Z142="RS",1,1.2)</f>
        <v>1</v>
      </c>
      <c r="N142">
        <f xml:space="preserve"> CALC_GAMES_BASE!Y142</f>
        <v>1</v>
      </c>
    </row>
    <row r="143" spans="1:14" x14ac:dyDescent="0.25">
      <c r="A143" t="str">
        <f>CALC_GAMES_BASE!A143</f>
        <v>25/26</v>
      </c>
      <c r="B143" s="3">
        <f>CALC_GAMES_BASE!B143</f>
        <v>45933</v>
      </c>
      <c r="C143" s="3" t="str">
        <f>CALC_GAMES_BASE!C143</f>
        <v>KLA</v>
      </c>
      <c r="D143" s="3" t="str">
        <f>CALC_GAMES_BASE!D143</f>
        <v>KOM</v>
      </c>
      <c r="E143" s="7">
        <f>CALC_GAMES_BASE!E143</f>
        <v>0</v>
      </c>
      <c r="F143" s="6">
        <f>CALC_GAMES_BASE!N143</f>
        <v>4.0000000000000036E-2</v>
      </c>
      <c r="G143" s="7">
        <f>CALC_GAMES_BASE!K143</f>
        <v>2</v>
      </c>
      <c r="H143" s="7">
        <f t="shared" si="2"/>
        <v>1</v>
      </c>
      <c r="I143" s="6">
        <f>IF(H143=1,
  F143,
  G143*PARAMETRY!$B$11)</f>
        <v>4.0000000000000036E-2</v>
      </c>
      <c r="J143" s="6">
        <f>CALC_GAMES_BASE!U143-CALC_GAMES_BASE!V143</f>
        <v>-1.2385531135531147E-2</v>
      </c>
      <c r="K143" s="6">
        <f>_xlfn.XLOOKUP(CALC_GAMES_BASE!W143,
  CALC_GOALIES!B:B,
  CALC_GOALIES!K:K)</f>
        <v>1.2463190300688209E-2</v>
      </c>
      <c r="L143" s="6">
        <f>_xlfn.XLOOKUP(C143,CALC_TEAMS_SEASON!B:B,CALC_TEAMS_SEASON!L:L)</f>
        <v>-0.19819677871148478</v>
      </c>
      <c r="M143">
        <f>IF(CALC_GAMES_BASE!Z143="RS",1,1.2)</f>
        <v>1</v>
      </c>
      <c r="N143">
        <f xml:space="preserve"> CALC_GAMES_BASE!Y143</f>
        <v>1</v>
      </c>
    </row>
    <row r="144" spans="1:14" x14ac:dyDescent="0.25">
      <c r="A144" t="str">
        <f>CALC_GAMES_BASE!A144</f>
        <v>25/26</v>
      </c>
      <c r="B144" s="3">
        <f>CALC_GAMES_BASE!B144</f>
        <v>45933</v>
      </c>
      <c r="C144" s="3" t="str">
        <f>CALC_GAMES_BASE!C144</f>
        <v>KVA</v>
      </c>
      <c r="D144" s="3" t="str">
        <f>CALC_GAMES_BASE!D144</f>
        <v>PCE</v>
      </c>
      <c r="E144" s="7">
        <f>CALC_GAMES_BASE!E144</f>
        <v>1</v>
      </c>
      <c r="F144" s="6">
        <f>CALC_GAMES_BASE!N144</f>
        <v>0.42999999999999994</v>
      </c>
      <c r="G144" s="7">
        <f>CALC_GAMES_BASE!K144</f>
        <v>3</v>
      </c>
      <c r="H144" s="7">
        <f t="shared" si="2"/>
        <v>1</v>
      </c>
      <c r="I144" s="6">
        <f>IF(H144=1,
  F144,
  G144*PARAMETRY!$B$11)</f>
        <v>0.42999999999999994</v>
      </c>
      <c r="J144" s="6">
        <f>CALC_GAMES_BASE!U144-CALC_GAMES_BASE!V144</f>
        <v>-2.9105616605616641E-2</v>
      </c>
      <c r="K144" s="6">
        <f>_xlfn.XLOOKUP(CALC_GAMES_BASE!W144,
  CALC_GOALIES!B:B,
  CALC_GOALIES!K:K)</f>
        <v>1.2242809776983998E-2</v>
      </c>
      <c r="L144" s="6">
        <f>_xlfn.XLOOKUP(C144,CALC_TEAMS_SEASON!B:B,CALC_TEAMS_SEASON!L:L)</f>
        <v>-0.28757177871148476</v>
      </c>
      <c r="M144">
        <f>IF(CALC_GAMES_BASE!Z144="RS",1,1.2)</f>
        <v>1</v>
      </c>
      <c r="N144">
        <f xml:space="preserve"> CALC_GAMES_BASE!Y144</f>
        <v>0</v>
      </c>
    </row>
    <row r="145" spans="1:14" x14ac:dyDescent="0.25">
      <c r="A145" t="str">
        <f>CALC_GAMES_BASE!A145</f>
        <v>25/26</v>
      </c>
      <c r="B145" s="3">
        <f>CALC_GAMES_BASE!B145</f>
        <v>45933</v>
      </c>
      <c r="C145" s="3" t="str">
        <f>CALC_GAMES_BASE!C145</f>
        <v>LIB</v>
      </c>
      <c r="D145" s="3" t="str">
        <f>CALC_GAMES_BASE!D145</f>
        <v>OLO</v>
      </c>
      <c r="E145" s="7">
        <f>CALC_GAMES_BASE!E145</f>
        <v>0</v>
      </c>
      <c r="F145" s="6" t="str">
        <f>CALC_GAMES_BASE!N145</f>
        <v/>
      </c>
      <c r="G145" s="7">
        <f>CALC_GAMES_BASE!K145</f>
        <v>-2</v>
      </c>
      <c r="H145" s="7">
        <f t="shared" si="2"/>
        <v>0</v>
      </c>
      <c r="I145" s="6">
        <f>IF(H145=1,
  F145,
  G145*PARAMETRY!$B$11)</f>
        <v>-0.1</v>
      </c>
      <c r="J145" s="6">
        <f>CALC_GAMES_BASE!U145-CALC_GAMES_BASE!V145</f>
        <v>-6.1202686202686263E-3</v>
      </c>
      <c r="K145" s="6">
        <f>_xlfn.XLOOKUP(CALC_GAMES_BASE!W145,
  CALC_GOALIES!B:B,
  CALC_GOALIES!K:K)</f>
        <v>-2.3186867881899276E-2</v>
      </c>
      <c r="L145" s="6">
        <f>_xlfn.XLOOKUP(C145,CALC_TEAMS_SEASON!B:B,CALC_TEAMS_SEASON!L:L)</f>
        <v>0.22367822128851536</v>
      </c>
      <c r="M145">
        <f>IF(CALC_GAMES_BASE!Z145="RS",1,1.2)</f>
        <v>1</v>
      </c>
      <c r="N145">
        <f xml:space="preserve"> CALC_GAMES_BASE!Y145</f>
        <v>1</v>
      </c>
    </row>
    <row r="146" spans="1:14" x14ac:dyDescent="0.25">
      <c r="A146" t="str">
        <f>CALC_GAMES_BASE!A146</f>
        <v>25/26</v>
      </c>
      <c r="B146" s="3">
        <f>CALC_GAMES_BASE!B146</f>
        <v>45933</v>
      </c>
      <c r="C146" s="3" t="str">
        <f>CALC_GAMES_BASE!C146</f>
        <v>LIT</v>
      </c>
      <c r="D146" s="3" t="str">
        <f>CALC_GAMES_BASE!D146</f>
        <v>PLZ</v>
      </c>
      <c r="E146" s="7">
        <f>CALC_GAMES_BASE!E146</f>
        <v>1</v>
      </c>
      <c r="F146" s="6" t="str">
        <f>CALC_GAMES_BASE!N146</f>
        <v/>
      </c>
      <c r="G146" s="7">
        <f>CALC_GAMES_BASE!K146</f>
        <v>1</v>
      </c>
      <c r="H146" s="7">
        <f t="shared" si="2"/>
        <v>0</v>
      </c>
      <c r="I146" s="6">
        <f>IF(H146=1,
  F146,
  G146*PARAMETRY!$B$11)</f>
        <v>0.05</v>
      </c>
      <c r="J146" s="6">
        <f>CALC_GAMES_BASE!U146-CALC_GAMES_BASE!V146</f>
        <v>-7.5518925518925487E-2</v>
      </c>
      <c r="K146" s="6">
        <f>_xlfn.XLOOKUP(CALC_GAMES_BASE!W146,
  CALC_GOALIES!B:B,
  CALC_GOALIES!K:K)</f>
        <v>-4.9010888963920696E-3</v>
      </c>
      <c r="L146" s="6">
        <f>_xlfn.XLOOKUP(C146,CALC_TEAMS_SEASON!B:B,CALC_TEAMS_SEASON!L:L)</f>
        <v>-1.4784467787114848</v>
      </c>
      <c r="M146">
        <f>IF(CALC_GAMES_BASE!Z146="RS",1,1.2)</f>
        <v>1</v>
      </c>
      <c r="N146">
        <f xml:space="preserve"> CALC_GAMES_BASE!Y146</f>
        <v>0</v>
      </c>
    </row>
    <row r="147" spans="1:14" x14ac:dyDescent="0.25">
      <c r="A147" t="str">
        <f>CALC_GAMES_BASE!A147</f>
        <v>25/26</v>
      </c>
      <c r="B147" s="3">
        <f>CALC_GAMES_BASE!B147</f>
        <v>45933</v>
      </c>
      <c r="C147" s="3" t="str">
        <f>CALC_GAMES_BASE!C147</f>
        <v>MBL</v>
      </c>
      <c r="D147" s="3" t="str">
        <f>CALC_GAMES_BASE!D147</f>
        <v>CEB</v>
      </c>
      <c r="E147" s="7">
        <f>CALC_GAMES_BASE!E147</f>
        <v>1</v>
      </c>
      <c r="F147" s="6" t="str">
        <f>CALC_GAMES_BASE!N147</f>
        <v/>
      </c>
      <c r="G147" s="7">
        <f>CALC_GAMES_BASE!K147</f>
        <v>9</v>
      </c>
      <c r="H147" s="7">
        <f t="shared" si="2"/>
        <v>0</v>
      </c>
      <c r="I147" s="6">
        <f>IF(H147=1,
  F147,
  G147*PARAMETRY!$B$11)</f>
        <v>0.45</v>
      </c>
      <c r="J147" s="6">
        <f>CALC_GAMES_BASE!U147-CALC_GAMES_BASE!V147</f>
        <v>-1.1944305694305699E-2</v>
      </c>
      <c r="K147" s="6">
        <f>_xlfn.XLOOKUP(CALC_GAMES_BASE!W147,
  CALC_GOALIES!B:B,
  CALC_GOALIES!K:K)</f>
        <v>-4.4670611186142795E-3</v>
      </c>
      <c r="L147" s="6">
        <f>_xlfn.XLOOKUP(C147,CALC_TEAMS_SEASON!B:B,CALC_TEAMS_SEASON!L:L)</f>
        <v>-0.89069677871148467</v>
      </c>
      <c r="M147">
        <f>IF(CALC_GAMES_BASE!Z147="RS",1,1.2)</f>
        <v>1</v>
      </c>
      <c r="N147">
        <f xml:space="preserve"> CALC_GAMES_BASE!Y147</f>
        <v>0</v>
      </c>
    </row>
    <row r="148" spans="1:14" x14ac:dyDescent="0.25">
      <c r="A148" t="str">
        <f>CALC_GAMES_BASE!A148</f>
        <v>25/26</v>
      </c>
      <c r="B148" s="3">
        <f>CALC_GAMES_BASE!B148</f>
        <v>45933</v>
      </c>
      <c r="C148" s="3" t="str">
        <f>CALC_GAMES_BASE!C148</f>
        <v>MHK</v>
      </c>
      <c r="D148" s="3" t="str">
        <f>CALC_GAMES_BASE!D148</f>
        <v>SPA</v>
      </c>
      <c r="E148" s="7">
        <f>CALC_GAMES_BASE!E148</f>
        <v>0</v>
      </c>
      <c r="F148" s="6">
        <f>CALC_GAMES_BASE!N148</f>
        <v>-0.13999999999999968</v>
      </c>
      <c r="G148" s="7">
        <f>CALC_GAMES_BASE!K148</f>
        <v>-7</v>
      </c>
      <c r="H148" s="7">
        <f t="shared" si="2"/>
        <v>1</v>
      </c>
      <c r="I148" s="6">
        <f>IF(H148=1,
  F148,
  G148*PARAMETRY!$B$11)</f>
        <v>-0.13999999999999968</v>
      </c>
      <c r="J148" s="6">
        <f>CALC_GAMES_BASE!U148-CALC_GAMES_BASE!V148</f>
        <v>-7.875457875457878E-2</v>
      </c>
      <c r="K148" s="6">
        <f>_xlfn.XLOOKUP(CALC_GAMES_BASE!W148,
  CALC_GOALIES!B:B,
  CALC_GOALIES!K:K)</f>
        <v>2.1917994590268441E-2</v>
      </c>
      <c r="L148" s="6">
        <f>_xlfn.XLOOKUP(C148,CALC_TEAMS_SEASON!B:B,CALC_TEAMS_SEASON!L:L)</f>
        <v>0.14821988795518207</v>
      </c>
      <c r="M148">
        <f>IF(CALC_GAMES_BASE!Z148="RS",1,1.2)</f>
        <v>1</v>
      </c>
      <c r="N148">
        <f xml:space="preserve"> CALC_GAMES_BASE!Y148</f>
        <v>1</v>
      </c>
    </row>
    <row r="149" spans="1:14" x14ac:dyDescent="0.25">
      <c r="A149" t="str">
        <f>CALC_GAMES_BASE!A149</f>
        <v>25/26</v>
      </c>
      <c r="B149" s="3">
        <f>CALC_GAMES_BASE!B149</f>
        <v>45933</v>
      </c>
      <c r="C149" s="3" t="str">
        <f>CALC_GAMES_BASE!C149</f>
        <v>OLO</v>
      </c>
      <c r="D149" s="3" t="str">
        <f>CALC_GAMES_BASE!D149</f>
        <v>LIB</v>
      </c>
      <c r="E149" s="7">
        <f>CALC_GAMES_BASE!E149</f>
        <v>1</v>
      </c>
      <c r="F149" s="6" t="str">
        <f>CALC_GAMES_BASE!N149</f>
        <v/>
      </c>
      <c r="G149" s="7">
        <f>CALC_GAMES_BASE!K149</f>
        <v>2</v>
      </c>
      <c r="H149" s="7">
        <f t="shared" si="2"/>
        <v>0</v>
      </c>
      <c r="I149" s="6">
        <f>IF(H149=1,
  F149,
  G149*PARAMETRY!$B$11)</f>
        <v>0.1</v>
      </c>
      <c r="J149" s="6">
        <f>CALC_GAMES_BASE!U149-CALC_GAMES_BASE!V149</f>
        <v>6.1202686202686263E-3</v>
      </c>
      <c r="K149" s="6">
        <f>_xlfn.XLOOKUP(CALC_GAMES_BASE!W149,
  CALC_GOALIES!B:B,
  CALC_GOALIES!K:K)</f>
        <v>4.4713327207696052E-3</v>
      </c>
      <c r="L149" s="6">
        <f>_xlfn.XLOOKUP(C149,CALC_TEAMS_SEASON!B:B,CALC_TEAMS_SEASON!L:L)</f>
        <v>-1.0613217787114846</v>
      </c>
      <c r="M149">
        <f>IF(CALC_GAMES_BASE!Z149="RS",1,1.2)</f>
        <v>1</v>
      </c>
      <c r="N149">
        <f xml:space="preserve"> CALC_GAMES_BASE!Y149</f>
        <v>0</v>
      </c>
    </row>
    <row r="150" spans="1:14" x14ac:dyDescent="0.25">
      <c r="A150" t="str">
        <f>CALC_GAMES_BASE!A150</f>
        <v>25/26</v>
      </c>
      <c r="B150" s="3">
        <f>CALC_GAMES_BASE!B150</f>
        <v>45933</v>
      </c>
      <c r="C150" s="3" t="str">
        <f>CALC_GAMES_BASE!C150</f>
        <v>PLZ</v>
      </c>
      <c r="D150" s="3" t="str">
        <f>CALC_GAMES_BASE!D150</f>
        <v>LIT</v>
      </c>
      <c r="E150" s="7">
        <f>CALC_GAMES_BASE!E150</f>
        <v>0</v>
      </c>
      <c r="F150" s="6" t="str">
        <f>CALC_GAMES_BASE!N150</f>
        <v/>
      </c>
      <c r="G150" s="7">
        <f>CALC_GAMES_BASE!K150</f>
        <v>-1</v>
      </c>
      <c r="H150" s="7">
        <f t="shared" si="2"/>
        <v>0</v>
      </c>
      <c r="I150" s="6">
        <f>IF(H150=1,
  F150,
  G150*PARAMETRY!$B$11)</f>
        <v>-0.05</v>
      </c>
      <c r="J150" s="6">
        <f>CALC_GAMES_BASE!U150-CALC_GAMES_BASE!V150</f>
        <v>7.5518925518925487E-2</v>
      </c>
      <c r="K150" s="6">
        <f>_xlfn.XLOOKUP(CALC_GAMES_BASE!W150,
  CALC_GOALIES!B:B,
  CALC_GOALIES!K:K)</f>
        <v>1.7617039556646619E-2</v>
      </c>
      <c r="L150" s="6">
        <f>_xlfn.XLOOKUP(C150,CALC_TEAMS_SEASON!B:B,CALC_TEAMS_SEASON!L:L)</f>
        <v>7.3678221288515283E-2</v>
      </c>
      <c r="M150">
        <f>IF(CALC_GAMES_BASE!Z150="RS",1,1.2)</f>
        <v>1</v>
      </c>
      <c r="N150">
        <f xml:space="preserve"> CALC_GAMES_BASE!Y150</f>
        <v>1</v>
      </c>
    </row>
    <row r="151" spans="1:14" x14ac:dyDescent="0.25">
      <c r="A151" t="str">
        <f>CALC_GAMES_BASE!A151</f>
        <v>25/26</v>
      </c>
      <c r="B151" s="3">
        <f>CALC_GAMES_BASE!B151</f>
        <v>45933</v>
      </c>
      <c r="C151" s="3" t="str">
        <f>CALC_GAMES_BASE!C151</f>
        <v>VIT</v>
      </c>
      <c r="D151" s="3" t="str">
        <f>CALC_GAMES_BASE!D151</f>
        <v>TRI</v>
      </c>
      <c r="E151" s="7">
        <f>CALC_GAMES_BASE!E151</f>
        <v>0</v>
      </c>
      <c r="F151" s="6">
        <f>CALC_GAMES_BASE!N151</f>
        <v>-2.23</v>
      </c>
      <c r="G151" s="7">
        <f>CALC_GAMES_BASE!K151</f>
        <v>-10</v>
      </c>
      <c r="H151" s="7">
        <f t="shared" si="2"/>
        <v>1</v>
      </c>
      <c r="I151" s="6">
        <f>IF(H151=1,
  F151,
  G151*PARAMETRY!$B$11)</f>
        <v>-2.23</v>
      </c>
      <c r="J151" s="6">
        <f>CALC_GAMES_BASE!U151-CALC_GAMES_BASE!V151</f>
        <v>-4.525335775335787E-3</v>
      </c>
      <c r="K151" s="6">
        <f>_xlfn.XLOOKUP(CALC_GAMES_BASE!W151,
  CALC_GOALIES!B:B,
  CALC_GOALIES!K:K)</f>
        <v>1.905487900993541E-3</v>
      </c>
      <c r="L151" s="6">
        <f>_xlfn.XLOOKUP(C151,CALC_TEAMS_SEASON!B:B,CALC_TEAMS_SEASON!L:L)</f>
        <v>-1.0281967787114845</v>
      </c>
      <c r="M151">
        <f>IF(CALC_GAMES_BASE!Z151="RS",1,1.2)</f>
        <v>1</v>
      </c>
      <c r="N151">
        <f xml:space="preserve"> CALC_GAMES_BASE!Y151</f>
        <v>1</v>
      </c>
    </row>
    <row r="152" spans="1:14" x14ac:dyDescent="0.25">
      <c r="A152" t="str">
        <f>CALC_GAMES_BASE!A152</f>
        <v>25/26</v>
      </c>
      <c r="B152" s="3">
        <f>CALC_GAMES_BASE!B152</f>
        <v>45935</v>
      </c>
      <c r="C152" s="3" t="str">
        <f>CALC_GAMES_BASE!C152</f>
        <v>PCE</v>
      </c>
      <c r="D152" s="3" t="str">
        <f>CALC_GAMES_BASE!D152</f>
        <v>VIT</v>
      </c>
      <c r="E152" s="7">
        <f>CALC_GAMES_BASE!E152</f>
        <v>1</v>
      </c>
      <c r="F152" s="6">
        <f>CALC_GAMES_BASE!N152</f>
        <v>1.96</v>
      </c>
      <c r="G152" s="7">
        <f>CALC_GAMES_BASE!K152</f>
        <v>29</v>
      </c>
      <c r="H152" s="7">
        <f t="shared" si="2"/>
        <v>1</v>
      </c>
      <c r="I152" s="6">
        <f>IF(H152=1,
  F152,
  G152*PARAMETRY!$B$11)</f>
        <v>1.96</v>
      </c>
      <c r="J152" s="6">
        <f>CALC_GAMES_BASE!U152-CALC_GAMES_BASE!V152</f>
        <v>3.3127289377289398E-2</v>
      </c>
      <c r="K152" s="6">
        <f>_xlfn.XLOOKUP(CALC_GAMES_BASE!W152,
  CALC_GOALIES!B:B,
  CALC_GOALIES!K:K)</f>
        <v>4.5881077393388203E-3</v>
      </c>
      <c r="L152" s="6">
        <f>_xlfn.XLOOKUP(C152,CALC_TEAMS_SEASON!B:B,CALC_TEAMS_SEASON!L:L)</f>
        <v>0.62437675070027965</v>
      </c>
      <c r="M152">
        <f>IF(CALC_GAMES_BASE!Z152="RS",1,1.2)</f>
        <v>1</v>
      </c>
      <c r="N152">
        <f xml:space="preserve"> CALC_GAMES_BASE!Y152</f>
        <v>1</v>
      </c>
    </row>
    <row r="153" spans="1:14" x14ac:dyDescent="0.25">
      <c r="A153" t="str">
        <f>CALC_GAMES_BASE!A153</f>
        <v>25/26</v>
      </c>
      <c r="B153" s="3">
        <f>CALC_GAMES_BASE!B153</f>
        <v>45935</v>
      </c>
      <c r="C153" s="3" t="str">
        <f>CALC_GAMES_BASE!C153</f>
        <v>TRI</v>
      </c>
      <c r="D153" s="3" t="str">
        <f>CALC_GAMES_BASE!D153</f>
        <v>LIT</v>
      </c>
      <c r="E153" s="7">
        <f>CALC_GAMES_BASE!E153</f>
        <v>1</v>
      </c>
      <c r="F153" s="6">
        <f>CALC_GAMES_BASE!N153</f>
        <v>4.67</v>
      </c>
      <c r="G153" s="7">
        <f>CALC_GAMES_BASE!K153</f>
        <v>21</v>
      </c>
      <c r="H153" s="7">
        <f t="shared" si="2"/>
        <v>1</v>
      </c>
      <c r="I153" s="6">
        <f>IF(H153=1,
  F153,
  G153*PARAMETRY!$B$11)</f>
        <v>4.67</v>
      </c>
      <c r="J153" s="6">
        <f>CALC_GAMES_BASE!U153-CALC_GAMES_BASE!V153</f>
        <v>7.348137973137979E-2</v>
      </c>
      <c r="K153" s="6">
        <f>_xlfn.XLOOKUP(CALC_GAMES_BASE!W153,
  CALC_GOALIES!B:B,
  CALC_GOALIES!K:K)</f>
        <v>1.3707542055988897E-2</v>
      </c>
      <c r="L153" s="6">
        <f>_xlfn.XLOOKUP(C153,CALC_TEAMS_SEASON!B:B,CALC_TEAMS_SEASON!L:L)</f>
        <v>0.10805322128851533</v>
      </c>
      <c r="M153">
        <f>IF(CALC_GAMES_BASE!Z153="RS",1,1.2)</f>
        <v>1</v>
      </c>
      <c r="N153">
        <f xml:space="preserve"> CALC_GAMES_BASE!Y153</f>
        <v>1</v>
      </c>
    </row>
    <row r="154" spans="1:14" x14ac:dyDescent="0.25">
      <c r="A154" t="str">
        <f>CALC_GAMES_BASE!A154</f>
        <v>25/26</v>
      </c>
      <c r="B154" s="3">
        <f>CALC_GAMES_BASE!B154</f>
        <v>45935</v>
      </c>
      <c r="C154" s="3" t="str">
        <f>CALC_GAMES_BASE!C154</f>
        <v>SPA</v>
      </c>
      <c r="D154" s="3" t="str">
        <f>CALC_GAMES_BASE!D154</f>
        <v>KLA</v>
      </c>
      <c r="E154" s="7">
        <f>CALC_GAMES_BASE!E154</f>
        <v>0</v>
      </c>
      <c r="F154" s="6">
        <f>CALC_GAMES_BASE!N154</f>
        <v>0.18000000000000016</v>
      </c>
      <c r="G154" s="7">
        <f>CALC_GAMES_BASE!K154</f>
        <v>1</v>
      </c>
      <c r="H154" s="7">
        <f t="shared" si="2"/>
        <v>1</v>
      </c>
      <c r="I154" s="6">
        <f>IF(H154=1,
  F154,
  G154*PARAMETRY!$B$11)</f>
        <v>0.18000000000000016</v>
      </c>
      <c r="J154" s="6">
        <f>CALC_GAMES_BASE!U154-CALC_GAMES_BASE!V154</f>
        <v>8.9400183150183221E-2</v>
      </c>
      <c r="K154" s="6">
        <f>_xlfn.XLOOKUP(CALC_GAMES_BASE!W154,
  CALC_GOALIES!B:B,
  CALC_GOALIES!K:K)</f>
        <v>-1.0634669404866681E-2</v>
      </c>
      <c r="L154" s="6">
        <f>_xlfn.XLOOKUP(C154,CALC_TEAMS_SEASON!B:B,CALC_TEAMS_SEASON!L:L)</f>
        <v>6.4376750700279955E-2</v>
      </c>
      <c r="M154">
        <f>IF(CALC_GAMES_BASE!Z154="RS",1,1.2)</f>
        <v>1</v>
      </c>
      <c r="N154">
        <f xml:space="preserve"> CALC_GAMES_BASE!Y154</f>
        <v>0</v>
      </c>
    </row>
    <row r="155" spans="1:14" x14ac:dyDescent="0.25">
      <c r="A155" t="str">
        <f>CALC_GAMES_BASE!A155</f>
        <v>25/26</v>
      </c>
      <c r="B155" s="3">
        <f>CALC_GAMES_BASE!B155</f>
        <v>45935</v>
      </c>
      <c r="C155" s="3" t="str">
        <f>CALC_GAMES_BASE!C155</f>
        <v>KOM</v>
      </c>
      <c r="D155" s="3" t="str">
        <f>CALC_GAMES_BASE!D155</f>
        <v>KVA</v>
      </c>
      <c r="E155" s="7">
        <f>CALC_GAMES_BASE!E155</f>
        <v>1</v>
      </c>
      <c r="F155" s="6">
        <f>CALC_GAMES_BASE!N155</f>
        <v>1.5699999999999998</v>
      </c>
      <c r="G155" s="7">
        <f>CALC_GAMES_BASE!K155</f>
        <v>-4</v>
      </c>
      <c r="H155" s="7">
        <f t="shared" si="2"/>
        <v>1</v>
      </c>
      <c r="I155" s="6">
        <f>IF(H155=1,
  F155,
  G155*PARAMETRY!$B$11)</f>
        <v>1.5699999999999998</v>
      </c>
      <c r="J155" s="6">
        <f>CALC_GAMES_BASE!U155-CALC_GAMES_BASE!V155</f>
        <v>-3.0280830280830312E-2</v>
      </c>
      <c r="K155" s="6">
        <f>_xlfn.XLOOKUP(CALC_GAMES_BASE!W155,
  CALC_GOALIES!B:B,
  CALC_GOALIES!K:K)</f>
        <v>-1.7945945907462235E-2</v>
      </c>
      <c r="L155" s="6">
        <f>_xlfn.XLOOKUP(C155,CALC_TEAMS_SEASON!B:B,CALC_TEAMS_SEASON!L:L)</f>
        <v>-0.37268207282913179</v>
      </c>
      <c r="M155">
        <f>IF(CALC_GAMES_BASE!Z155="RS",1,1.2)</f>
        <v>1</v>
      </c>
      <c r="N155">
        <f xml:space="preserve"> CALC_GAMES_BASE!Y155</f>
        <v>1</v>
      </c>
    </row>
    <row r="156" spans="1:14" x14ac:dyDescent="0.25">
      <c r="A156" t="str">
        <f>CALC_GAMES_BASE!A156</f>
        <v>25/26</v>
      </c>
      <c r="B156" s="3">
        <f>CALC_GAMES_BASE!B156</f>
        <v>45935</v>
      </c>
      <c r="C156" s="3" t="str">
        <f>CALC_GAMES_BASE!C156</f>
        <v>CEB</v>
      </c>
      <c r="D156" s="3" t="str">
        <f>CALC_GAMES_BASE!D156</f>
        <v>OLO</v>
      </c>
      <c r="E156" s="7">
        <f>CALC_GAMES_BASE!E156</f>
        <v>1</v>
      </c>
      <c r="F156" s="6" t="str">
        <f>CALC_GAMES_BASE!N156</f>
        <v/>
      </c>
      <c r="G156" s="7">
        <f>CALC_GAMES_BASE!K156</f>
        <v>17</v>
      </c>
      <c r="H156" s="7">
        <f t="shared" si="2"/>
        <v>0</v>
      </c>
      <c r="I156" s="6">
        <f>IF(H156=1,
  F156,
  G156*PARAMETRY!$B$11)</f>
        <v>0.85000000000000009</v>
      </c>
      <c r="J156" s="6">
        <f>CALC_GAMES_BASE!U156-CALC_GAMES_BASE!V156</f>
        <v>-1.9679625929625938E-2</v>
      </c>
      <c r="K156" s="6">
        <f>_xlfn.XLOOKUP(CALC_GAMES_BASE!W156,
  CALC_GOALIES!B:B,
  CALC_GOALIES!K:K)</f>
        <v>3.9343341510811314E-3</v>
      </c>
      <c r="L156" s="6">
        <f>_xlfn.XLOOKUP(C156,CALC_TEAMS_SEASON!B:B,CALC_TEAMS_SEASON!L:L)</f>
        <v>-0.24978011204481798</v>
      </c>
      <c r="M156">
        <f>IF(CALC_GAMES_BASE!Z156="RS",1,1.2)</f>
        <v>1</v>
      </c>
      <c r="N156">
        <f xml:space="preserve"> CALC_GAMES_BASE!Y156</f>
        <v>0</v>
      </c>
    </row>
    <row r="157" spans="1:14" x14ac:dyDescent="0.25">
      <c r="A157" t="str">
        <f>CALC_GAMES_BASE!A157</f>
        <v>25/26</v>
      </c>
      <c r="B157" s="3">
        <f>CALC_GAMES_BASE!B157</f>
        <v>45935</v>
      </c>
      <c r="C157" s="3" t="str">
        <f>CALC_GAMES_BASE!C157</f>
        <v>KLA</v>
      </c>
      <c r="D157" s="3" t="str">
        <f>CALC_GAMES_BASE!D157</f>
        <v>SPA</v>
      </c>
      <c r="E157" s="7">
        <f>CALC_GAMES_BASE!E157</f>
        <v>1</v>
      </c>
      <c r="F157" s="6">
        <f>CALC_GAMES_BASE!N157</f>
        <v>-0.18000000000000016</v>
      </c>
      <c r="G157" s="7">
        <f>CALC_GAMES_BASE!K157</f>
        <v>-1</v>
      </c>
      <c r="H157" s="7">
        <f t="shared" si="2"/>
        <v>1</v>
      </c>
      <c r="I157" s="6">
        <f>IF(H157=1,
  F157,
  G157*PARAMETRY!$B$11)</f>
        <v>-0.18000000000000016</v>
      </c>
      <c r="J157" s="6">
        <f>CALC_GAMES_BASE!U157-CALC_GAMES_BASE!V157</f>
        <v>-8.9400183150183221E-2</v>
      </c>
      <c r="K157" s="6">
        <f>_xlfn.XLOOKUP(CALC_GAMES_BASE!W157,
  CALC_GOALIES!B:B,
  CALC_GOALIES!K:K)</f>
        <v>1.2463190300688209E-2</v>
      </c>
      <c r="L157" s="6">
        <f>_xlfn.XLOOKUP(C157,CALC_TEAMS_SEASON!B:B,CALC_TEAMS_SEASON!L:L)</f>
        <v>-0.19819677871148478</v>
      </c>
      <c r="M157">
        <f>IF(CALC_GAMES_BASE!Z157="RS",1,1.2)</f>
        <v>1</v>
      </c>
      <c r="N157">
        <f xml:space="preserve"> CALC_GAMES_BASE!Y157</f>
        <v>1</v>
      </c>
    </row>
    <row r="158" spans="1:14" x14ac:dyDescent="0.25">
      <c r="A158" t="str">
        <f>CALC_GAMES_BASE!A158</f>
        <v>25/26</v>
      </c>
      <c r="B158" s="3">
        <f>CALC_GAMES_BASE!B158</f>
        <v>45935</v>
      </c>
      <c r="C158" s="3" t="str">
        <f>CALC_GAMES_BASE!C158</f>
        <v>KVA</v>
      </c>
      <c r="D158" s="3" t="str">
        <f>CALC_GAMES_BASE!D158</f>
        <v>KOM</v>
      </c>
      <c r="E158" s="7">
        <f>CALC_GAMES_BASE!E158</f>
        <v>0</v>
      </c>
      <c r="F158" s="6">
        <f>CALC_GAMES_BASE!N158</f>
        <v>-1.5699999999999998</v>
      </c>
      <c r="G158" s="7">
        <f>CALC_GAMES_BASE!K158</f>
        <v>4</v>
      </c>
      <c r="H158" s="7">
        <f t="shared" si="2"/>
        <v>1</v>
      </c>
      <c r="I158" s="6">
        <f>IF(H158=1,
  F158,
  G158*PARAMETRY!$B$11)</f>
        <v>-1.5699999999999998</v>
      </c>
      <c r="J158" s="6">
        <f>CALC_GAMES_BASE!U158-CALC_GAMES_BASE!V158</f>
        <v>3.0280830280830312E-2</v>
      </c>
      <c r="K158" s="6">
        <f>_xlfn.XLOOKUP(CALC_GAMES_BASE!W158,
  CALC_GOALIES!B:B,
  CALC_GOALIES!K:K)</f>
        <v>-2.2629454281007488E-2</v>
      </c>
      <c r="L158" s="6">
        <f>_xlfn.XLOOKUP(C158,CALC_TEAMS_SEASON!B:B,CALC_TEAMS_SEASON!L:L)</f>
        <v>-0.28757177871148476</v>
      </c>
      <c r="M158">
        <f>IF(CALC_GAMES_BASE!Z158="RS",1,1.2)</f>
        <v>1</v>
      </c>
      <c r="N158">
        <f xml:space="preserve"> CALC_GAMES_BASE!Y158</f>
        <v>0</v>
      </c>
    </row>
    <row r="159" spans="1:14" x14ac:dyDescent="0.25">
      <c r="A159" t="str">
        <f>CALC_GAMES_BASE!A159</f>
        <v>25/26</v>
      </c>
      <c r="B159" s="3">
        <f>CALC_GAMES_BASE!B159</f>
        <v>45935</v>
      </c>
      <c r="C159" s="3" t="str">
        <f>CALC_GAMES_BASE!C159</f>
        <v>LIB</v>
      </c>
      <c r="D159" s="3" t="str">
        <f>CALC_GAMES_BASE!D159</f>
        <v>MHK</v>
      </c>
      <c r="E159" s="7">
        <f>CALC_GAMES_BASE!E159</f>
        <v>0</v>
      </c>
      <c r="F159" s="6" t="str">
        <f>CALC_GAMES_BASE!N159</f>
        <v/>
      </c>
      <c r="G159" s="7">
        <f>CALC_GAMES_BASE!K159</f>
        <v>2</v>
      </c>
      <c r="H159" s="7">
        <f t="shared" si="2"/>
        <v>0</v>
      </c>
      <c r="I159" s="6">
        <f>IF(H159=1,
  F159,
  G159*PARAMETRY!$B$11)</f>
        <v>0.1</v>
      </c>
      <c r="J159" s="6">
        <f>CALC_GAMES_BASE!U159-CALC_GAMES_BASE!V159</f>
        <v>1.9230769230769162E-3</v>
      </c>
      <c r="K159" s="6">
        <f>_xlfn.XLOOKUP(CALC_GAMES_BASE!W159,
  CALC_GOALIES!B:B,
  CALC_GOALIES!K:K)</f>
        <v>1.2275709048813366E-2</v>
      </c>
      <c r="L159" s="6">
        <f>_xlfn.XLOOKUP(C159,CALC_TEAMS_SEASON!B:B,CALC_TEAMS_SEASON!L:L)</f>
        <v>0.22367822128851536</v>
      </c>
      <c r="M159">
        <f>IF(CALC_GAMES_BASE!Z159="RS",1,1.2)</f>
        <v>1</v>
      </c>
      <c r="N159">
        <f xml:space="preserve"> CALC_GAMES_BASE!Y159</f>
        <v>0</v>
      </c>
    </row>
    <row r="160" spans="1:14" x14ac:dyDescent="0.25">
      <c r="A160" t="str">
        <f>CALC_GAMES_BASE!A160</f>
        <v>25/26</v>
      </c>
      <c r="B160" s="3">
        <f>CALC_GAMES_BASE!B160</f>
        <v>45935</v>
      </c>
      <c r="C160" s="3" t="str">
        <f>CALC_GAMES_BASE!C160</f>
        <v>LIT</v>
      </c>
      <c r="D160" s="3" t="str">
        <f>CALC_GAMES_BASE!D160</f>
        <v>TRI</v>
      </c>
      <c r="E160" s="7">
        <f>CALC_GAMES_BASE!E160</f>
        <v>0</v>
      </c>
      <c r="F160" s="6">
        <f>CALC_GAMES_BASE!N160</f>
        <v>-4.67</v>
      </c>
      <c r="G160" s="7">
        <f>CALC_GAMES_BASE!K160</f>
        <v>-21</v>
      </c>
      <c r="H160" s="7">
        <f t="shared" si="2"/>
        <v>1</v>
      </c>
      <c r="I160" s="6">
        <f>IF(H160=1,
  F160,
  G160*PARAMETRY!$B$11)</f>
        <v>-4.67</v>
      </c>
      <c r="J160" s="6">
        <f>CALC_GAMES_BASE!U160-CALC_GAMES_BASE!V160</f>
        <v>-7.348137973137979E-2</v>
      </c>
      <c r="K160" s="6">
        <f>_xlfn.XLOOKUP(CALC_GAMES_BASE!W160,
  CALC_GOALIES!B:B,
  CALC_GOALIES!K:K)</f>
        <v>-8.1125178551773036E-3</v>
      </c>
      <c r="L160" s="6">
        <f>_xlfn.XLOOKUP(C160,CALC_TEAMS_SEASON!B:B,CALC_TEAMS_SEASON!L:L)</f>
        <v>-1.4784467787114848</v>
      </c>
      <c r="M160">
        <f>IF(CALC_GAMES_BASE!Z160="RS",1,1.2)</f>
        <v>1</v>
      </c>
      <c r="N160">
        <f xml:space="preserve"> CALC_GAMES_BASE!Y160</f>
        <v>0</v>
      </c>
    </row>
    <row r="161" spans="1:14" x14ac:dyDescent="0.25">
      <c r="A161" t="str">
        <f>CALC_GAMES_BASE!A161</f>
        <v>25/26</v>
      </c>
      <c r="B161" s="3">
        <f>CALC_GAMES_BASE!B161</f>
        <v>45935</v>
      </c>
      <c r="C161" s="3" t="str">
        <f>CALC_GAMES_BASE!C161</f>
        <v>MHK</v>
      </c>
      <c r="D161" s="3" t="str">
        <f>CALC_GAMES_BASE!D161</f>
        <v>LIB</v>
      </c>
      <c r="E161" s="7">
        <f>CALC_GAMES_BASE!E161</f>
        <v>1</v>
      </c>
      <c r="F161" s="6" t="str">
        <f>CALC_GAMES_BASE!N161</f>
        <v/>
      </c>
      <c r="G161" s="7">
        <f>CALC_GAMES_BASE!K161</f>
        <v>-2</v>
      </c>
      <c r="H161" s="7">
        <f t="shared" si="2"/>
        <v>0</v>
      </c>
      <c r="I161" s="6">
        <f>IF(H161=1,
  F161,
  G161*PARAMETRY!$B$11)</f>
        <v>-0.1</v>
      </c>
      <c r="J161" s="6">
        <f>CALC_GAMES_BASE!U161-CALC_GAMES_BASE!V161</f>
        <v>-1.9230769230769162E-3</v>
      </c>
      <c r="K161" s="6">
        <f>_xlfn.XLOOKUP(CALC_GAMES_BASE!W161,
  CALC_GOALIES!B:B,
  CALC_GOALIES!K:K)</f>
        <v>2.1917994590268441E-2</v>
      </c>
      <c r="L161" s="6">
        <f>_xlfn.XLOOKUP(C161,CALC_TEAMS_SEASON!B:B,CALC_TEAMS_SEASON!L:L)</f>
        <v>0.14821988795518207</v>
      </c>
      <c r="M161">
        <f>IF(CALC_GAMES_BASE!Z161="RS",1,1.2)</f>
        <v>1</v>
      </c>
      <c r="N161">
        <f xml:space="preserve"> CALC_GAMES_BASE!Y161</f>
        <v>1</v>
      </c>
    </row>
    <row r="162" spans="1:14" x14ac:dyDescent="0.25">
      <c r="A162" t="str">
        <f>CALC_GAMES_BASE!A162</f>
        <v>25/26</v>
      </c>
      <c r="B162" s="3">
        <f>CALC_GAMES_BASE!B162</f>
        <v>45935</v>
      </c>
      <c r="C162" s="3" t="str">
        <f>CALC_GAMES_BASE!C162</f>
        <v>OLO</v>
      </c>
      <c r="D162" s="3" t="str">
        <f>CALC_GAMES_BASE!D162</f>
        <v>CEB</v>
      </c>
      <c r="E162" s="7">
        <f>CALC_GAMES_BASE!E162</f>
        <v>0</v>
      </c>
      <c r="F162" s="6" t="str">
        <f>CALC_GAMES_BASE!N162</f>
        <v/>
      </c>
      <c r="G162" s="7">
        <f>CALC_GAMES_BASE!K162</f>
        <v>-17</v>
      </c>
      <c r="H162" s="7">
        <f t="shared" si="2"/>
        <v>0</v>
      </c>
      <c r="I162" s="6">
        <f>IF(H162=1,
  F162,
  G162*PARAMETRY!$B$11)</f>
        <v>-0.85000000000000009</v>
      </c>
      <c r="J162" s="6">
        <f>CALC_GAMES_BASE!U162-CALC_GAMES_BASE!V162</f>
        <v>1.9679625929625938E-2</v>
      </c>
      <c r="K162" s="6">
        <f>_xlfn.XLOOKUP(CALC_GAMES_BASE!W162,
  CALC_GOALIES!B:B,
  CALC_GOALIES!K:K)</f>
        <v>4.4713327207696052E-3</v>
      </c>
      <c r="L162" s="6">
        <f>_xlfn.XLOOKUP(C162,CALC_TEAMS_SEASON!B:B,CALC_TEAMS_SEASON!L:L)</f>
        <v>-1.0613217787114846</v>
      </c>
      <c r="M162">
        <f>IF(CALC_GAMES_BASE!Z162="RS",1,1.2)</f>
        <v>1</v>
      </c>
      <c r="N162">
        <f xml:space="preserve"> CALC_GAMES_BASE!Y162</f>
        <v>1</v>
      </c>
    </row>
    <row r="163" spans="1:14" x14ac:dyDescent="0.25">
      <c r="A163" t="str">
        <f>CALC_GAMES_BASE!A163</f>
        <v>25/26</v>
      </c>
      <c r="B163" s="3">
        <f>CALC_GAMES_BASE!B163</f>
        <v>45935</v>
      </c>
      <c r="C163" s="3" t="str">
        <f>CALC_GAMES_BASE!C163</f>
        <v>VIT</v>
      </c>
      <c r="D163" s="3" t="str">
        <f>CALC_GAMES_BASE!D163</f>
        <v>PCE</v>
      </c>
      <c r="E163" s="7">
        <f>CALC_GAMES_BASE!E163</f>
        <v>0</v>
      </c>
      <c r="F163" s="6">
        <f>CALC_GAMES_BASE!N163</f>
        <v>-1.96</v>
      </c>
      <c r="G163" s="7">
        <f>CALC_GAMES_BASE!K163</f>
        <v>-29</v>
      </c>
      <c r="H163" s="7">
        <f t="shared" si="2"/>
        <v>1</v>
      </c>
      <c r="I163" s="6">
        <f>IF(H163=1,
  F163,
  G163*PARAMETRY!$B$11)</f>
        <v>-1.96</v>
      </c>
      <c r="J163" s="6">
        <f>CALC_GAMES_BASE!U163-CALC_GAMES_BASE!V163</f>
        <v>-3.3127289377289398E-2</v>
      </c>
      <c r="K163" s="6">
        <f>_xlfn.XLOOKUP(CALC_GAMES_BASE!W163,
  CALC_GOALIES!B:B,
  CALC_GOALIES!K:K)</f>
        <v>1.905487900993541E-3</v>
      </c>
      <c r="L163" s="6">
        <f>_xlfn.XLOOKUP(C163,CALC_TEAMS_SEASON!B:B,CALC_TEAMS_SEASON!L:L)</f>
        <v>-1.0281967787114845</v>
      </c>
      <c r="M163">
        <f>IF(CALC_GAMES_BASE!Z163="RS",1,1.2)</f>
        <v>1</v>
      </c>
      <c r="N163">
        <f xml:space="preserve"> CALC_GAMES_BASE!Y163</f>
        <v>1</v>
      </c>
    </row>
    <row r="164" spans="1:14" x14ac:dyDescent="0.25">
      <c r="A164" t="str">
        <f>CALC_GAMES_BASE!A164</f>
        <v>25/26</v>
      </c>
      <c r="B164" s="3">
        <f>CALC_GAMES_BASE!B164</f>
        <v>45938</v>
      </c>
      <c r="C164" s="3" t="str">
        <f>CALC_GAMES_BASE!C164</f>
        <v>MBL</v>
      </c>
      <c r="D164" s="3" t="str">
        <f>CALC_GAMES_BASE!D164</f>
        <v>PLZ</v>
      </c>
      <c r="E164" s="7">
        <f>CALC_GAMES_BASE!E164</f>
        <v>0</v>
      </c>
      <c r="F164" s="6" t="str">
        <f>CALC_GAMES_BASE!N164</f>
        <v/>
      </c>
      <c r="G164" s="7">
        <f>CALC_GAMES_BASE!K164</f>
        <v>5</v>
      </c>
      <c r="H164" s="7">
        <f t="shared" si="2"/>
        <v>0</v>
      </c>
      <c r="I164" s="6">
        <f>IF(H164=1,
  F164,
  G164*PARAMETRY!$B$11)</f>
        <v>0.25</v>
      </c>
      <c r="J164" s="6">
        <f>CALC_GAMES_BASE!U164-CALC_GAMES_BASE!V164</f>
        <v>-5.8142551892551839E-2</v>
      </c>
      <c r="K164" s="6">
        <f>_xlfn.XLOOKUP(CALC_GAMES_BASE!W164,
  CALC_GOALIES!B:B,
  CALC_GOALIES!K:K)</f>
        <v>-4.4670611186142795E-3</v>
      </c>
      <c r="L164" s="6">
        <f>_xlfn.XLOOKUP(C164,CALC_TEAMS_SEASON!B:B,CALC_TEAMS_SEASON!L:L)</f>
        <v>-0.89069677871148467</v>
      </c>
      <c r="M164">
        <f>IF(CALC_GAMES_BASE!Z164="RS",1,1.2)</f>
        <v>1</v>
      </c>
      <c r="N164">
        <f xml:space="preserve"> CALC_GAMES_BASE!Y164</f>
        <v>0</v>
      </c>
    </row>
    <row r="165" spans="1:14" x14ac:dyDescent="0.25">
      <c r="A165" t="str">
        <f>CALC_GAMES_BASE!A165</f>
        <v>25/26</v>
      </c>
      <c r="B165" s="3">
        <f>CALC_GAMES_BASE!B165</f>
        <v>45938</v>
      </c>
      <c r="C165" s="3" t="str">
        <f>CALC_GAMES_BASE!C165</f>
        <v>PLZ</v>
      </c>
      <c r="D165" s="3" t="str">
        <f>CALC_GAMES_BASE!D165</f>
        <v>MBL</v>
      </c>
      <c r="E165" s="7">
        <f>CALC_GAMES_BASE!E165</f>
        <v>1</v>
      </c>
      <c r="F165" s="6" t="str">
        <f>CALC_GAMES_BASE!N165</f>
        <v/>
      </c>
      <c r="G165" s="7">
        <f>CALC_GAMES_BASE!K165</f>
        <v>-5</v>
      </c>
      <c r="H165" s="7">
        <f t="shared" si="2"/>
        <v>0</v>
      </c>
      <c r="I165" s="6">
        <f>IF(H165=1,
  F165,
  G165*PARAMETRY!$B$11)</f>
        <v>-0.25</v>
      </c>
      <c r="J165" s="6">
        <f>CALC_GAMES_BASE!U165-CALC_GAMES_BASE!V165</f>
        <v>5.8142551892551839E-2</v>
      </c>
      <c r="K165" s="6">
        <f>_xlfn.XLOOKUP(CALC_GAMES_BASE!W165,
  CALC_GOALIES!B:B,
  CALC_GOALIES!K:K)</f>
        <v>1.7617039556646619E-2</v>
      </c>
      <c r="L165" s="6">
        <f>_xlfn.XLOOKUP(C165,CALC_TEAMS_SEASON!B:B,CALC_TEAMS_SEASON!L:L)</f>
        <v>7.3678221288515283E-2</v>
      </c>
      <c r="M165">
        <f>IF(CALC_GAMES_BASE!Z165="RS",1,1.2)</f>
        <v>1</v>
      </c>
      <c r="N165">
        <f xml:space="preserve"> CALC_GAMES_BASE!Y165</f>
        <v>1</v>
      </c>
    </row>
    <row r="166" spans="1:14" x14ac:dyDescent="0.25">
      <c r="A166" t="str">
        <f>CALC_GAMES_BASE!A166</f>
        <v>25/26</v>
      </c>
      <c r="B166" s="3">
        <f>CALC_GAMES_BASE!B166</f>
        <v>45940</v>
      </c>
      <c r="C166" s="3" t="str">
        <f>CALC_GAMES_BASE!C166</f>
        <v>PCE</v>
      </c>
      <c r="D166" s="3" t="str">
        <f>CALC_GAMES_BASE!D166</f>
        <v>SPA</v>
      </c>
      <c r="E166" s="7">
        <f>CALC_GAMES_BASE!E166</f>
        <v>0</v>
      </c>
      <c r="F166" s="6">
        <f>CALC_GAMES_BASE!N166</f>
        <v>2.3100000000000005</v>
      </c>
      <c r="G166" s="7">
        <f>CALC_GAMES_BASE!K166</f>
        <v>5</v>
      </c>
      <c r="H166" s="7">
        <f t="shared" si="2"/>
        <v>1</v>
      </c>
      <c r="I166" s="6">
        <f>IF(H166=1,
  F166,
  G166*PARAMETRY!$B$11)</f>
        <v>2.3100000000000005</v>
      </c>
      <c r="J166" s="6">
        <f>CALC_GAMES_BASE!U166-CALC_GAMES_BASE!V166</f>
        <v>-1.7628205128205121E-2</v>
      </c>
      <c r="K166" s="6">
        <f>_xlfn.XLOOKUP(CALC_GAMES_BASE!W166,
  CALC_GOALIES!B:B,
  CALC_GOALIES!K:K)</f>
        <v>4.5881077393388203E-3</v>
      </c>
      <c r="L166" s="6">
        <f>_xlfn.XLOOKUP(C166,CALC_TEAMS_SEASON!B:B,CALC_TEAMS_SEASON!L:L)</f>
        <v>0.62437675070027965</v>
      </c>
      <c r="M166">
        <f>IF(CALC_GAMES_BASE!Z166="RS",1,1.2)</f>
        <v>1</v>
      </c>
      <c r="N166">
        <f xml:space="preserve"> CALC_GAMES_BASE!Y166</f>
        <v>1</v>
      </c>
    </row>
    <row r="167" spans="1:14" x14ac:dyDescent="0.25">
      <c r="A167" t="str">
        <f>CALC_GAMES_BASE!A167</f>
        <v>25/26</v>
      </c>
      <c r="B167" s="3">
        <f>CALC_GAMES_BASE!B167</f>
        <v>45940</v>
      </c>
      <c r="C167" s="3" t="str">
        <f>CALC_GAMES_BASE!C167</f>
        <v>TRI</v>
      </c>
      <c r="D167" s="3" t="str">
        <f>CALC_GAMES_BASE!D167</f>
        <v>KVA</v>
      </c>
      <c r="E167" s="7">
        <f>CALC_GAMES_BASE!E167</f>
        <v>0</v>
      </c>
      <c r="F167" s="6">
        <f>CALC_GAMES_BASE!N167</f>
        <v>-0.45000000000000018</v>
      </c>
      <c r="G167" s="7">
        <f>CALC_GAMES_BASE!K167</f>
        <v>-6</v>
      </c>
      <c r="H167" s="7">
        <f t="shared" si="2"/>
        <v>1</v>
      </c>
      <c r="I167" s="6">
        <f>IF(H167=1,
  F167,
  G167*PARAMETRY!$B$11)</f>
        <v>-0.45000000000000018</v>
      </c>
      <c r="J167" s="6">
        <f>CALC_GAMES_BASE!U167-CALC_GAMES_BASE!V167</f>
        <v>5.0366300366302963E-4</v>
      </c>
      <c r="K167" s="6">
        <f>_xlfn.XLOOKUP(CALC_GAMES_BASE!W167,
  CALC_GOALIES!B:B,
  CALC_GOALIES!K:K)</f>
        <v>1.3707542055988897E-2</v>
      </c>
      <c r="L167" s="6">
        <f>_xlfn.XLOOKUP(C167,CALC_TEAMS_SEASON!B:B,CALC_TEAMS_SEASON!L:L)</f>
        <v>0.10805322128851533</v>
      </c>
      <c r="M167">
        <f>IF(CALC_GAMES_BASE!Z167="RS",1,1.2)</f>
        <v>1</v>
      </c>
      <c r="N167">
        <f xml:space="preserve"> CALC_GAMES_BASE!Y167</f>
        <v>1</v>
      </c>
    </row>
    <row r="168" spans="1:14" x14ac:dyDescent="0.25">
      <c r="A168" t="str">
        <f>CALC_GAMES_BASE!A168</f>
        <v>25/26</v>
      </c>
      <c r="B168" s="3">
        <f>CALC_GAMES_BASE!B168</f>
        <v>45940</v>
      </c>
      <c r="C168" s="3" t="str">
        <f>CALC_GAMES_BASE!C168</f>
        <v>SPA</v>
      </c>
      <c r="D168" s="3" t="str">
        <f>CALC_GAMES_BASE!D168</f>
        <v>PCE</v>
      </c>
      <c r="E168" s="7">
        <f>CALC_GAMES_BASE!E168</f>
        <v>1</v>
      </c>
      <c r="F168" s="6">
        <f>CALC_GAMES_BASE!N168</f>
        <v>-2.3100000000000005</v>
      </c>
      <c r="G168" s="7">
        <f>CALC_GAMES_BASE!K168</f>
        <v>5</v>
      </c>
      <c r="H168" s="7">
        <f t="shared" si="2"/>
        <v>1</v>
      </c>
      <c r="I168" s="6">
        <f>IF(H168=1,
  F168,
  G168*PARAMETRY!$B$11)</f>
        <v>-2.3100000000000005</v>
      </c>
      <c r="J168" s="6">
        <f>CALC_GAMES_BASE!U168-CALC_GAMES_BASE!V168</f>
        <v>1.7628205128205121E-2</v>
      </c>
      <c r="K168" s="6">
        <f>_xlfn.XLOOKUP(CALC_GAMES_BASE!W168,
  CALC_GOALIES!B:B,
  CALC_GOALIES!K:K)</f>
        <v>-1.0634669404866681E-2</v>
      </c>
      <c r="L168" s="6">
        <f>_xlfn.XLOOKUP(C168,CALC_TEAMS_SEASON!B:B,CALC_TEAMS_SEASON!L:L)</f>
        <v>6.4376750700279955E-2</v>
      </c>
      <c r="M168">
        <f>IF(CALC_GAMES_BASE!Z168="RS",1,1.2)</f>
        <v>1</v>
      </c>
      <c r="N168">
        <f xml:space="preserve"> CALC_GAMES_BASE!Y168</f>
        <v>0</v>
      </c>
    </row>
    <row r="169" spans="1:14" x14ac:dyDescent="0.25">
      <c r="A169" t="str">
        <f>CALC_GAMES_BASE!A169</f>
        <v>25/26</v>
      </c>
      <c r="B169" s="3">
        <f>CALC_GAMES_BASE!B169</f>
        <v>45940</v>
      </c>
      <c r="C169" s="3" t="str">
        <f>CALC_GAMES_BASE!C169</f>
        <v>KOM</v>
      </c>
      <c r="D169" s="3" t="str">
        <f>CALC_GAMES_BASE!D169</f>
        <v>OLO</v>
      </c>
      <c r="E169" s="7">
        <f>CALC_GAMES_BASE!E169</f>
        <v>0</v>
      </c>
      <c r="F169" s="6">
        <f>CALC_GAMES_BASE!N169</f>
        <v>-0.85999999999999988</v>
      </c>
      <c r="G169" s="7">
        <f>CALC_GAMES_BASE!K169</f>
        <v>2</v>
      </c>
      <c r="H169" s="7">
        <f t="shared" si="2"/>
        <v>1</v>
      </c>
      <c r="I169" s="6">
        <f>IF(H169=1,
  F169,
  G169*PARAMETRY!$B$11)</f>
        <v>-0.85999999999999988</v>
      </c>
      <c r="J169" s="6">
        <f>CALC_GAMES_BASE!U169-CALC_GAMES_BASE!V169</f>
        <v>-6.3034188034188365E-3</v>
      </c>
      <c r="K169" s="6">
        <f>_xlfn.XLOOKUP(CALC_GAMES_BASE!W169,
  CALC_GOALIES!B:B,
  CALC_GOALIES!K:K)</f>
        <v>-1.7945945907462235E-2</v>
      </c>
      <c r="L169" s="6">
        <f>_xlfn.XLOOKUP(C169,CALC_TEAMS_SEASON!B:B,CALC_TEAMS_SEASON!L:L)</f>
        <v>-0.37268207282913179</v>
      </c>
      <c r="M169">
        <f>IF(CALC_GAMES_BASE!Z169="RS",1,1.2)</f>
        <v>1</v>
      </c>
      <c r="N169">
        <f xml:space="preserve"> CALC_GAMES_BASE!Y169</f>
        <v>1</v>
      </c>
    </row>
    <row r="170" spans="1:14" x14ac:dyDescent="0.25">
      <c r="A170" t="str">
        <f>CALC_GAMES_BASE!A170</f>
        <v>25/26</v>
      </c>
      <c r="B170" s="3">
        <f>CALC_GAMES_BASE!B170</f>
        <v>45940</v>
      </c>
      <c r="C170" s="3" t="str">
        <f>CALC_GAMES_BASE!C170</f>
        <v>CEB</v>
      </c>
      <c r="D170" s="3" t="str">
        <f>CALC_GAMES_BASE!D170</f>
        <v>LIB</v>
      </c>
      <c r="E170" s="7">
        <f>CALC_GAMES_BASE!E170</f>
        <v>1</v>
      </c>
      <c r="F170" s="6" t="str">
        <f>CALC_GAMES_BASE!N170</f>
        <v/>
      </c>
      <c r="G170" s="7">
        <f>CALC_GAMES_BASE!K170</f>
        <v>-20</v>
      </c>
      <c r="H170" s="7">
        <f t="shared" si="2"/>
        <v>0</v>
      </c>
      <c r="I170" s="6">
        <f>IF(H170=1,
  F170,
  G170*PARAMETRY!$B$11)</f>
        <v>-1</v>
      </c>
      <c r="J170" s="6">
        <f>CALC_GAMES_BASE!U170-CALC_GAMES_BASE!V170</f>
        <v>-1.3559357309357312E-2</v>
      </c>
      <c r="K170" s="6">
        <f>_xlfn.XLOOKUP(CALC_GAMES_BASE!W170,
  CALC_GOALIES!B:B,
  CALC_GOALIES!K:K)</f>
        <v>-1.372632037787358E-2</v>
      </c>
      <c r="L170" s="6">
        <f>_xlfn.XLOOKUP(C170,CALC_TEAMS_SEASON!B:B,CALC_TEAMS_SEASON!L:L)</f>
        <v>-0.24978011204481798</v>
      </c>
      <c r="M170">
        <f>IF(CALC_GAMES_BASE!Z170="RS",1,1.2)</f>
        <v>1</v>
      </c>
      <c r="N170">
        <f xml:space="preserve"> CALC_GAMES_BASE!Y170</f>
        <v>1</v>
      </c>
    </row>
    <row r="171" spans="1:14" x14ac:dyDescent="0.25">
      <c r="A171" t="str">
        <f>CALC_GAMES_BASE!A171</f>
        <v>25/26</v>
      </c>
      <c r="B171" s="3">
        <f>CALC_GAMES_BASE!B171</f>
        <v>45940</v>
      </c>
      <c r="C171" s="3" t="str">
        <f>CALC_GAMES_BASE!C171</f>
        <v>KLA</v>
      </c>
      <c r="D171" s="3" t="str">
        <f>CALC_GAMES_BASE!D171</f>
        <v>LIT</v>
      </c>
      <c r="E171" s="7">
        <f>CALC_GAMES_BASE!E171</f>
        <v>0</v>
      </c>
      <c r="F171" s="6" t="str">
        <f>CALC_GAMES_BASE!N171</f>
        <v/>
      </c>
      <c r="G171" s="7">
        <f>CALC_GAMES_BASE!K171</f>
        <v>0</v>
      </c>
      <c r="H171" s="7">
        <f t="shared" si="2"/>
        <v>0</v>
      </c>
      <c r="I171" s="6">
        <f>IF(H171=1,
  F171,
  G171*PARAMETRY!$B$11)</f>
        <v>0</v>
      </c>
      <c r="J171" s="6">
        <f>CALC_GAMES_BASE!U171-CALC_GAMES_BASE!V171</f>
        <v>3.0311355311355301E-2</v>
      </c>
      <c r="K171" s="6">
        <f>_xlfn.XLOOKUP(CALC_GAMES_BASE!W171,
  CALC_GOALIES!B:B,
  CALC_GOALIES!K:K)</f>
        <v>1.2463190300688209E-2</v>
      </c>
      <c r="L171" s="6">
        <f>_xlfn.XLOOKUP(C171,CALC_TEAMS_SEASON!B:B,CALC_TEAMS_SEASON!L:L)</f>
        <v>-0.19819677871148478</v>
      </c>
      <c r="M171">
        <f>IF(CALC_GAMES_BASE!Z171="RS",1,1.2)</f>
        <v>1</v>
      </c>
      <c r="N171">
        <f xml:space="preserve"> CALC_GAMES_BASE!Y171</f>
        <v>1</v>
      </c>
    </row>
    <row r="172" spans="1:14" x14ac:dyDescent="0.25">
      <c r="A172" t="str">
        <f>CALC_GAMES_BASE!A172</f>
        <v>25/26</v>
      </c>
      <c r="B172" s="3">
        <f>CALC_GAMES_BASE!B172</f>
        <v>45940</v>
      </c>
      <c r="C172" s="3" t="str">
        <f>CALC_GAMES_BASE!C172</f>
        <v>KVA</v>
      </c>
      <c r="D172" s="3" t="str">
        <f>CALC_GAMES_BASE!D172</f>
        <v>TRI</v>
      </c>
      <c r="E172" s="7">
        <f>CALC_GAMES_BASE!E172</f>
        <v>1</v>
      </c>
      <c r="F172" s="6">
        <f>CALC_GAMES_BASE!N172</f>
        <v>0.45000000000000018</v>
      </c>
      <c r="G172" s="7">
        <f>CALC_GAMES_BASE!K172</f>
        <v>6</v>
      </c>
      <c r="H172" s="7">
        <f t="shared" si="2"/>
        <v>1</v>
      </c>
      <c r="I172" s="6">
        <f>IF(H172=1,
  F172,
  G172*PARAMETRY!$B$11)</f>
        <v>0.45000000000000018</v>
      </c>
      <c r="J172" s="6">
        <f>CALC_GAMES_BASE!U172-CALC_GAMES_BASE!V172</f>
        <v>-5.0366300366302963E-4</v>
      </c>
      <c r="K172" s="6">
        <f>_xlfn.XLOOKUP(CALC_GAMES_BASE!W172,
  CALC_GOALIES!B:B,
  CALC_GOALIES!K:K)</f>
        <v>1.2242809776983998E-2</v>
      </c>
      <c r="L172" s="6">
        <f>_xlfn.XLOOKUP(C172,CALC_TEAMS_SEASON!B:B,CALC_TEAMS_SEASON!L:L)</f>
        <v>-0.28757177871148476</v>
      </c>
      <c r="M172">
        <f>IF(CALC_GAMES_BASE!Z172="RS",1,1.2)</f>
        <v>1</v>
      </c>
      <c r="N172">
        <f xml:space="preserve"> CALC_GAMES_BASE!Y172</f>
        <v>0</v>
      </c>
    </row>
    <row r="173" spans="1:14" x14ac:dyDescent="0.25">
      <c r="A173" t="str">
        <f>CALC_GAMES_BASE!A173</f>
        <v>25/26</v>
      </c>
      <c r="B173" s="3">
        <f>CALC_GAMES_BASE!B173</f>
        <v>45940</v>
      </c>
      <c r="C173" s="3" t="str">
        <f>CALC_GAMES_BASE!C173</f>
        <v>LIB</v>
      </c>
      <c r="D173" s="3" t="str">
        <f>CALC_GAMES_BASE!D173</f>
        <v>CEB</v>
      </c>
      <c r="E173" s="7">
        <f>CALC_GAMES_BASE!E173</f>
        <v>0</v>
      </c>
      <c r="F173" s="6" t="str">
        <f>CALC_GAMES_BASE!N173</f>
        <v/>
      </c>
      <c r="G173" s="7">
        <f>CALC_GAMES_BASE!K173</f>
        <v>20</v>
      </c>
      <c r="H173" s="7">
        <f t="shared" si="2"/>
        <v>0</v>
      </c>
      <c r="I173" s="6">
        <f>IF(H173=1,
  F173,
  G173*PARAMETRY!$B$11)</f>
        <v>1</v>
      </c>
      <c r="J173" s="6">
        <f>CALC_GAMES_BASE!U173-CALC_GAMES_BASE!V173</f>
        <v>1.3559357309357312E-2</v>
      </c>
      <c r="K173" s="6">
        <f>_xlfn.XLOOKUP(CALC_GAMES_BASE!W173,
  CALC_GOALIES!B:B,
  CALC_GOALIES!K:K)</f>
        <v>1.2275709048813366E-2</v>
      </c>
      <c r="L173" s="6">
        <f>_xlfn.XLOOKUP(C173,CALC_TEAMS_SEASON!B:B,CALC_TEAMS_SEASON!L:L)</f>
        <v>0.22367822128851536</v>
      </c>
      <c r="M173">
        <f>IF(CALC_GAMES_BASE!Z173="RS",1,1.2)</f>
        <v>1</v>
      </c>
      <c r="N173">
        <f xml:space="preserve"> CALC_GAMES_BASE!Y173</f>
        <v>0</v>
      </c>
    </row>
    <row r="174" spans="1:14" x14ac:dyDescent="0.25">
      <c r="A174" t="str">
        <f>CALC_GAMES_BASE!A174</f>
        <v>25/26</v>
      </c>
      <c r="B174" s="3">
        <f>CALC_GAMES_BASE!B174</f>
        <v>45940</v>
      </c>
      <c r="C174" s="3" t="str">
        <f>CALC_GAMES_BASE!C174</f>
        <v>LIT</v>
      </c>
      <c r="D174" s="3" t="str">
        <f>CALC_GAMES_BASE!D174</f>
        <v>KLA</v>
      </c>
      <c r="E174" s="7">
        <f>CALC_GAMES_BASE!E174</f>
        <v>1</v>
      </c>
      <c r="F174" s="6" t="str">
        <f>CALC_GAMES_BASE!N174</f>
        <v/>
      </c>
      <c r="G174" s="7">
        <f>CALC_GAMES_BASE!K174</f>
        <v>0</v>
      </c>
      <c r="H174" s="7">
        <f t="shared" si="2"/>
        <v>0</v>
      </c>
      <c r="I174" s="6">
        <f>IF(H174=1,
  F174,
  G174*PARAMETRY!$B$11)</f>
        <v>0</v>
      </c>
      <c r="J174" s="6">
        <f>CALC_GAMES_BASE!U174-CALC_GAMES_BASE!V174</f>
        <v>-3.0311355311355301E-2</v>
      </c>
      <c r="K174" s="6">
        <f>_xlfn.XLOOKUP(CALC_GAMES_BASE!W174,
  CALC_GOALIES!B:B,
  CALC_GOALIES!K:K)</f>
        <v>-8.1125178551773036E-3</v>
      </c>
      <c r="L174" s="6">
        <f>_xlfn.XLOOKUP(C174,CALC_TEAMS_SEASON!B:B,CALC_TEAMS_SEASON!L:L)</f>
        <v>-1.4784467787114848</v>
      </c>
      <c r="M174">
        <f>IF(CALC_GAMES_BASE!Z174="RS",1,1.2)</f>
        <v>1</v>
      </c>
      <c r="N174">
        <f xml:space="preserve"> CALC_GAMES_BASE!Y174</f>
        <v>0</v>
      </c>
    </row>
    <row r="175" spans="1:14" x14ac:dyDescent="0.25">
      <c r="A175" t="str">
        <f>CALC_GAMES_BASE!A175</f>
        <v>25/26</v>
      </c>
      <c r="B175" s="3">
        <f>CALC_GAMES_BASE!B175</f>
        <v>45940</v>
      </c>
      <c r="C175" s="3" t="str">
        <f>CALC_GAMES_BASE!C175</f>
        <v>MBL</v>
      </c>
      <c r="D175" s="3" t="str">
        <f>CALC_GAMES_BASE!D175</f>
        <v>MHK</v>
      </c>
      <c r="E175" s="7">
        <f>CALC_GAMES_BASE!E175</f>
        <v>1</v>
      </c>
      <c r="F175" s="6" t="str">
        <f>CALC_GAMES_BASE!N175</f>
        <v/>
      </c>
      <c r="G175" s="7">
        <f>CALC_GAMES_BASE!K175</f>
        <v>-18</v>
      </c>
      <c r="H175" s="7">
        <f t="shared" si="2"/>
        <v>0</v>
      </c>
      <c r="I175" s="6">
        <f>IF(H175=1,
  F175,
  G175*PARAMETRY!$B$11)</f>
        <v>-0.9</v>
      </c>
      <c r="J175" s="6">
        <f>CALC_GAMES_BASE!U175-CALC_GAMES_BASE!V175</f>
        <v>-2.3580586080586094E-2</v>
      </c>
      <c r="K175" s="6">
        <f>_xlfn.XLOOKUP(CALC_GAMES_BASE!W175,
  CALC_GOALIES!B:B,
  CALC_GOALIES!K:K)</f>
        <v>-4.4670611186142795E-3</v>
      </c>
      <c r="L175" s="6">
        <f>_xlfn.XLOOKUP(C175,CALC_TEAMS_SEASON!B:B,CALC_TEAMS_SEASON!L:L)</f>
        <v>-0.89069677871148467</v>
      </c>
      <c r="M175">
        <f>IF(CALC_GAMES_BASE!Z175="RS",1,1.2)</f>
        <v>1</v>
      </c>
      <c r="N175">
        <f xml:space="preserve"> CALC_GAMES_BASE!Y175</f>
        <v>0</v>
      </c>
    </row>
    <row r="176" spans="1:14" x14ac:dyDescent="0.25">
      <c r="A176" t="str">
        <f>CALC_GAMES_BASE!A176</f>
        <v>25/26</v>
      </c>
      <c r="B176" s="3">
        <f>CALC_GAMES_BASE!B176</f>
        <v>45940</v>
      </c>
      <c r="C176" s="3" t="str">
        <f>CALC_GAMES_BASE!C176</f>
        <v>MHK</v>
      </c>
      <c r="D176" s="3" t="str">
        <f>CALC_GAMES_BASE!D176</f>
        <v>MBL</v>
      </c>
      <c r="E176" s="7">
        <f>CALC_GAMES_BASE!E176</f>
        <v>0</v>
      </c>
      <c r="F176" s="6" t="str">
        <f>CALC_GAMES_BASE!N176</f>
        <v/>
      </c>
      <c r="G176" s="7">
        <f>CALC_GAMES_BASE!K176</f>
        <v>18</v>
      </c>
      <c r="H176" s="7">
        <f t="shared" si="2"/>
        <v>0</v>
      </c>
      <c r="I176" s="6">
        <f>IF(H176=1,
  F176,
  G176*PARAMETRY!$B$11)</f>
        <v>0.9</v>
      </c>
      <c r="J176" s="6">
        <f>CALC_GAMES_BASE!U176-CALC_GAMES_BASE!V176</f>
        <v>2.3580586080586094E-2</v>
      </c>
      <c r="K176" s="6">
        <f>_xlfn.XLOOKUP(CALC_GAMES_BASE!W176,
  CALC_GOALIES!B:B,
  CALC_GOALIES!K:K)</f>
        <v>2.1917994590268441E-2</v>
      </c>
      <c r="L176" s="6">
        <f>_xlfn.XLOOKUP(C176,CALC_TEAMS_SEASON!B:B,CALC_TEAMS_SEASON!L:L)</f>
        <v>0.14821988795518207</v>
      </c>
      <c r="M176">
        <f>IF(CALC_GAMES_BASE!Z176="RS",1,1.2)</f>
        <v>1</v>
      </c>
      <c r="N176">
        <f xml:space="preserve"> CALC_GAMES_BASE!Y176</f>
        <v>1</v>
      </c>
    </row>
    <row r="177" spans="1:14" x14ac:dyDescent="0.25">
      <c r="A177" t="str">
        <f>CALC_GAMES_BASE!A177</f>
        <v>25/26</v>
      </c>
      <c r="B177" s="3">
        <f>CALC_GAMES_BASE!B177</f>
        <v>45940</v>
      </c>
      <c r="C177" s="3" t="str">
        <f>CALC_GAMES_BASE!C177</f>
        <v>OLO</v>
      </c>
      <c r="D177" s="3" t="str">
        <f>CALC_GAMES_BASE!D177</f>
        <v>KOM</v>
      </c>
      <c r="E177" s="7">
        <f>CALC_GAMES_BASE!E177</f>
        <v>1</v>
      </c>
      <c r="F177" s="6">
        <f>CALC_GAMES_BASE!N177</f>
        <v>0.85999999999999988</v>
      </c>
      <c r="G177" s="7">
        <f>CALC_GAMES_BASE!K177</f>
        <v>-2</v>
      </c>
      <c r="H177" s="7">
        <f t="shared" si="2"/>
        <v>1</v>
      </c>
      <c r="I177" s="6">
        <f>IF(H177=1,
  F177,
  G177*PARAMETRY!$B$11)</f>
        <v>0.85999999999999988</v>
      </c>
      <c r="J177" s="6">
        <f>CALC_GAMES_BASE!U177-CALC_GAMES_BASE!V177</f>
        <v>6.3034188034188365E-3</v>
      </c>
      <c r="K177" s="6">
        <f>_xlfn.XLOOKUP(CALC_GAMES_BASE!W177,
  CALC_GOALIES!B:B,
  CALC_GOALIES!K:K)</f>
        <v>4.4713327207696052E-3</v>
      </c>
      <c r="L177" s="6">
        <f>_xlfn.XLOOKUP(C177,CALC_TEAMS_SEASON!B:B,CALC_TEAMS_SEASON!L:L)</f>
        <v>-1.0613217787114846</v>
      </c>
      <c r="M177">
        <f>IF(CALC_GAMES_BASE!Z177="RS",1,1.2)</f>
        <v>1</v>
      </c>
      <c r="N177">
        <f xml:space="preserve"> CALC_GAMES_BASE!Y177</f>
        <v>0</v>
      </c>
    </row>
    <row r="178" spans="1:14" x14ac:dyDescent="0.25">
      <c r="A178" t="str">
        <f>CALC_GAMES_BASE!A178</f>
        <v>25/26</v>
      </c>
      <c r="B178" s="3">
        <f>CALC_GAMES_BASE!B178</f>
        <v>45942</v>
      </c>
      <c r="C178" s="3" t="str">
        <f>CALC_GAMES_BASE!C178</f>
        <v>PCE</v>
      </c>
      <c r="D178" s="3" t="str">
        <f>CALC_GAMES_BASE!D178</f>
        <v>MHK</v>
      </c>
      <c r="E178" s="7">
        <f>CALC_GAMES_BASE!E178</f>
        <v>0</v>
      </c>
      <c r="F178" s="6">
        <f>CALC_GAMES_BASE!N178</f>
        <v>-0.57000000000000028</v>
      </c>
      <c r="G178" s="7">
        <f>CALC_GAMES_BASE!K178</f>
        <v>-8</v>
      </c>
      <c r="H178" s="7">
        <f t="shared" si="2"/>
        <v>1</v>
      </c>
      <c r="I178" s="6">
        <f>IF(H178=1,
  F178,
  G178*PARAMETRY!$B$11)</f>
        <v>-0.57000000000000028</v>
      </c>
      <c r="J178" s="6">
        <f>CALC_GAMES_BASE!U178-CALC_GAMES_BASE!V178</f>
        <v>6.1126373626373659E-2</v>
      </c>
      <c r="K178" s="6">
        <f>_xlfn.XLOOKUP(CALC_GAMES_BASE!W178,
  CALC_GOALIES!B:B,
  CALC_GOALIES!K:K)</f>
        <v>-2.4829341344873024E-3</v>
      </c>
      <c r="L178" s="6">
        <f>_xlfn.XLOOKUP(C178,CALC_TEAMS_SEASON!B:B,CALC_TEAMS_SEASON!L:L)</f>
        <v>0.62437675070027965</v>
      </c>
      <c r="M178">
        <f>IF(CALC_GAMES_BASE!Z178="RS",1,1.2)</f>
        <v>1</v>
      </c>
      <c r="N178">
        <f xml:space="preserve"> CALC_GAMES_BASE!Y178</f>
        <v>0</v>
      </c>
    </row>
    <row r="179" spans="1:14" x14ac:dyDescent="0.25">
      <c r="A179" t="str">
        <f>CALC_GAMES_BASE!A179</f>
        <v>25/26</v>
      </c>
      <c r="B179" s="3">
        <f>CALC_GAMES_BASE!B179</f>
        <v>45942</v>
      </c>
      <c r="C179" s="3" t="str">
        <f>CALC_GAMES_BASE!C179</f>
        <v>TRI</v>
      </c>
      <c r="D179" s="3" t="str">
        <f>CALC_GAMES_BASE!D179</f>
        <v>OLO</v>
      </c>
      <c r="E179" s="7">
        <f>CALC_GAMES_BASE!E179</f>
        <v>0</v>
      </c>
      <c r="F179" s="6">
        <f>CALC_GAMES_BASE!N179</f>
        <v>-0.76000000000000023</v>
      </c>
      <c r="G179" s="7">
        <f>CALC_GAMES_BASE!K179</f>
        <v>-5</v>
      </c>
      <c r="H179" s="7">
        <f t="shared" si="2"/>
        <v>1</v>
      </c>
      <c r="I179" s="6">
        <f>IF(H179=1,
  F179,
  G179*PARAMETRY!$B$11)</f>
        <v>-0.76000000000000023</v>
      </c>
      <c r="J179" s="6">
        <f>CALC_GAMES_BASE!U179-CALC_GAMES_BASE!V179</f>
        <v>2.4481074481074505E-2</v>
      </c>
      <c r="K179" s="6">
        <f>_xlfn.XLOOKUP(CALC_GAMES_BASE!W179,
  CALC_GOALIES!B:B,
  CALC_GOALIES!K:K)</f>
        <v>1.3707542055988897E-2</v>
      </c>
      <c r="L179" s="6">
        <f>_xlfn.XLOOKUP(C179,CALC_TEAMS_SEASON!B:B,CALC_TEAMS_SEASON!L:L)</f>
        <v>0.10805322128851533</v>
      </c>
      <c r="M179">
        <f>IF(CALC_GAMES_BASE!Z179="RS",1,1.2)</f>
        <v>1</v>
      </c>
      <c r="N179">
        <f xml:space="preserve"> CALC_GAMES_BASE!Y179</f>
        <v>1</v>
      </c>
    </row>
    <row r="180" spans="1:14" x14ac:dyDescent="0.25">
      <c r="A180" t="str">
        <f>CALC_GAMES_BASE!A180</f>
        <v>25/26</v>
      </c>
      <c r="B180" s="3">
        <f>CALC_GAMES_BASE!B180</f>
        <v>45942</v>
      </c>
      <c r="C180" s="3" t="str">
        <f>CALC_GAMES_BASE!C180</f>
        <v>SPA</v>
      </c>
      <c r="D180" s="3" t="str">
        <f>CALC_GAMES_BASE!D180</f>
        <v>CEB</v>
      </c>
      <c r="E180" s="7">
        <f>CALC_GAMES_BASE!E180</f>
        <v>1</v>
      </c>
      <c r="F180" s="6">
        <f>CALC_GAMES_BASE!N180</f>
        <v>1.4300000000000002</v>
      </c>
      <c r="G180" s="7">
        <f>CALC_GAMES_BASE!K180</f>
        <v>13</v>
      </c>
      <c r="H180" s="7">
        <f t="shared" si="2"/>
        <v>1</v>
      </c>
      <c r="I180" s="6">
        <f>IF(H180=1,
  F180,
  G180*PARAMETRY!$B$11)</f>
        <v>1.4300000000000002</v>
      </c>
      <c r="J180" s="6">
        <f>CALC_GAMES_BASE!U180-CALC_GAMES_BASE!V180</f>
        <v>9.0390859140859176E-2</v>
      </c>
      <c r="K180" s="6">
        <f>_xlfn.XLOOKUP(CALC_GAMES_BASE!W180,
  CALC_GOALIES!B:B,
  CALC_GOALIES!K:K)</f>
        <v>-1.0634669404866681E-2</v>
      </c>
      <c r="L180" s="6">
        <f>_xlfn.XLOOKUP(C180,CALC_TEAMS_SEASON!B:B,CALC_TEAMS_SEASON!L:L)</f>
        <v>6.4376750700279955E-2</v>
      </c>
      <c r="M180">
        <f>IF(CALC_GAMES_BASE!Z180="RS",1,1.2)</f>
        <v>1</v>
      </c>
      <c r="N180">
        <f xml:space="preserve"> CALC_GAMES_BASE!Y180</f>
        <v>1</v>
      </c>
    </row>
    <row r="181" spans="1:14" x14ac:dyDescent="0.25">
      <c r="A181" t="str">
        <f>CALC_GAMES_BASE!A181</f>
        <v>25/26</v>
      </c>
      <c r="B181" s="3">
        <f>CALC_GAMES_BASE!B181</f>
        <v>45942</v>
      </c>
      <c r="C181" s="3" t="str">
        <f>CALC_GAMES_BASE!C181</f>
        <v>KOM</v>
      </c>
      <c r="D181" s="3" t="str">
        <f>CALC_GAMES_BASE!D181</f>
        <v>LIT</v>
      </c>
      <c r="E181" s="7">
        <f>CALC_GAMES_BASE!E181</f>
        <v>0</v>
      </c>
      <c r="F181" s="6">
        <f>CALC_GAMES_BASE!N181</f>
        <v>2.6100000000000003</v>
      </c>
      <c r="G181" s="7">
        <f>CALC_GAMES_BASE!K181</f>
        <v>16</v>
      </c>
      <c r="H181" s="7">
        <f t="shared" si="2"/>
        <v>1</v>
      </c>
      <c r="I181" s="6">
        <f>IF(H181=1,
  F181,
  G181*PARAMETRY!$B$11)</f>
        <v>2.6100000000000003</v>
      </c>
      <c r="J181" s="6">
        <f>CALC_GAMES_BASE!U181-CALC_GAMES_BASE!V181</f>
        <v>4.2696886446886448E-2</v>
      </c>
      <c r="K181" s="6">
        <f>_xlfn.XLOOKUP(CALC_GAMES_BASE!W181,
  CALC_GOALIES!B:B,
  CALC_GOALIES!K:K)</f>
        <v>-1.7945945907462235E-2</v>
      </c>
      <c r="L181" s="6">
        <f>_xlfn.XLOOKUP(C181,CALC_TEAMS_SEASON!B:B,CALC_TEAMS_SEASON!L:L)</f>
        <v>-0.37268207282913179</v>
      </c>
      <c r="M181">
        <f>IF(CALC_GAMES_BASE!Z181="RS",1,1.2)</f>
        <v>1</v>
      </c>
      <c r="N181">
        <f xml:space="preserve"> CALC_GAMES_BASE!Y181</f>
        <v>1</v>
      </c>
    </row>
    <row r="182" spans="1:14" x14ac:dyDescent="0.25">
      <c r="A182" t="str">
        <f>CALC_GAMES_BASE!A182</f>
        <v>25/26</v>
      </c>
      <c r="B182" s="3">
        <f>CALC_GAMES_BASE!B182</f>
        <v>45942</v>
      </c>
      <c r="C182" s="3" t="str">
        <f>CALC_GAMES_BASE!C182</f>
        <v>CEB</v>
      </c>
      <c r="D182" s="3" t="str">
        <f>CALC_GAMES_BASE!D182</f>
        <v>SPA</v>
      </c>
      <c r="E182" s="7">
        <f>CALC_GAMES_BASE!E182</f>
        <v>0</v>
      </c>
      <c r="F182" s="6">
        <f>CALC_GAMES_BASE!N182</f>
        <v>-1.4300000000000002</v>
      </c>
      <c r="G182" s="7">
        <f>CALC_GAMES_BASE!K182</f>
        <v>-13</v>
      </c>
      <c r="H182" s="7">
        <f t="shared" si="2"/>
        <v>1</v>
      </c>
      <c r="I182" s="6">
        <f>IF(H182=1,
  F182,
  G182*PARAMETRY!$B$11)</f>
        <v>-1.4300000000000002</v>
      </c>
      <c r="J182" s="6">
        <f>CALC_GAMES_BASE!U182-CALC_GAMES_BASE!V182</f>
        <v>-9.0390859140859176E-2</v>
      </c>
      <c r="K182" s="6">
        <f>_xlfn.XLOOKUP(CALC_GAMES_BASE!W182,
  CALC_GOALIES!B:B,
  CALC_GOALIES!K:K)</f>
        <v>-1.372632037787358E-2</v>
      </c>
      <c r="L182" s="6">
        <f>_xlfn.XLOOKUP(C182,CALC_TEAMS_SEASON!B:B,CALC_TEAMS_SEASON!L:L)</f>
        <v>-0.24978011204481798</v>
      </c>
      <c r="M182">
        <f>IF(CALC_GAMES_BASE!Z182="RS",1,1.2)</f>
        <v>1</v>
      </c>
      <c r="N182">
        <f xml:space="preserve"> CALC_GAMES_BASE!Y182</f>
        <v>0</v>
      </c>
    </row>
    <row r="183" spans="1:14" x14ac:dyDescent="0.25">
      <c r="A183" t="str">
        <f>CALC_GAMES_BASE!A183</f>
        <v>25/26</v>
      </c>
      <c r="B183" s="3">
        <f>CALC_GAMES_BASE!B183</f>
        <v>45942</v>
      </c>
      <c r="C183" s="3" t="str">
        <f>CALC_GAMES_BASE!C183</f>
        <v>KLA</v>
      </c>
      <c r="D183" s="3" t="str">
        <f>CALC_GAMES_BASE!D183</f>
        <v>MBL</v>
      </c>
      <c r="E183" s="7">
        <f>CALC_GAMES_BASE!E183</f>
        <v>0</v>
      </c>
      <c r="F183" s="6" t="str">
        <f>CALC_GAMES_BASE!N183</f>
        <v/>
      </c>
      <c r="G183" s="7">
        <f>CALC_GAMES_BASE!K183</f>
        <v>8</v>
      </c>
      <c r="H183" s="7">
        <f t="shared" si="2"/>
        <v>0</v>
      </c>
      <c r="I183" s="6">
        <f>IF(H183=1,
  F183,
  G183*PARAMETRY!$B$11)</f>
        <v>0.4</v>
      </c>
      <c r="J183" s="6">
        <f>CALC_GAMES_BASE!U183-CALC_GAMES_BASE!V183</f>
        <v>1.2934981684981653E-2</v>
      </c>
      <c r="K183" s="6">
        <f>_xlfn.XLOOKUP(CALC_GAMES_BASE!W183,
  CALC_GOALIES!B:B,
  CALC_GOALIES!K:K)</f>
        <v>1.2463190300688209E-2</v>
      </c>
      <c r="L183" s="6">
        <f>_xlfn.XLOOKUP(C183,CALC_TEAMS_SEASON!B:B,CALC_TEAMS_SEASON!L:L)</f>
        <v>-0.19819677871148478</v>
      </c>
      <c r="M183">
        <f>IF(CALC_GAMES_BASE!Z183="RS",1,1.2)</f>
        <v>1</v>
      </c>
      <c r="N183">
        <f xml:space="preserve"> CALC_GAMES_BASE!Y183</f>
        <v>0</v>
      </c>
    </row>
    <row r="184" spans="1:14" x14ac:dyDescent="0.25">
      <c r="A184" t="str">
        <f>CALC_GAMES_BASE!A184</f>
        <v>25/26</v>
      </c>
      <c r="B184" s="3">
        <f>CALC_GAMES_BASE!B184</f>
        <v>45942</v>
      </c>
      <c r="C184" s="3" t="str">
        <f>CALC_GAMES_BASE!C184</f>
        <v>KVA</v>
      </c>
      <c r="D184" s="3" t="str">
        <f>CALC_GAMES_BASE!D184</f>
        <v>VIT</v>
      </c>
      <c r="E184" s="7">
        <f>CALC_GAMES_BASE!E184</f>
        <v>0</v>
      </c>
      <c r="F184" s="6" t="str">
        <f>CALC_GAMES_BASE!N184</f>
        <v/>
      </c>
      <c r="G184" s="7">
        <f>CALC_GAMES_BASE!K184</f>
        <v>5</v>
      </c>
      <c r="H184" s="7">
        <f t="shared" si="2"/>
        <v>0</v>
      </c>
      <c r="I184" s="6">
        <f>IF(H184=1,
  F184,
  G184*PARAMETRY!$B$11)</f>
        <v>0.25</v>
      </c>
      <c r="J184" s="6">
        <f>CALC_GAMES_BASE!U184-CALC_GAMES_BASE!V184</f>
        <v>4.0216727716727574E-3</v>
      </c>
      <c r="K184" s="6">
        <f>_xlfn.XLOOKUP(CALC_GAMES_BASE!W184,
  CALC_GOALIES!B:B,
  CALC_GOALIES!K:K)</f>
        <v>1.2242809776983998E-2</v>
      </c>
      <c r="L184" s="6">
        <f>_xlfn.XLOOKUP(C184,CALC_TEAMS_SEASON!B:B,CALC_TEAMS_SEASON!L:L)</f>
        <v>-0.28757177871148476</v>
      </c>
      <c r="M184">
        <f>IF(CALC_GAMES_BASE!Z184="RS",1,1.2)</f>
        <v>1</v>
      </c>
      <c r="N184">
        <f xml:space="preserve"> CALC_GAMES_BASE!Y184</f>
        <v>0</v>
      </c>
    </row>
    <row r="185" spans="1:14" x14ac:dyDescent="0.25">
      <c r="A185" t="str">
        <f>CALC_GAMES_BASE!A185</f>
        <v>25/26</v>
      </c>
      <c r="B185" s="3">
        <f>CALC_GAMES_BASE!B185</f>
        <v>45942</v>
      </c>
      <c r="C185" s="3" t="str">
        <f>CALC_GAMES_BASE!C185</f>
        <v>LIB</v>
      </c>
      <c r="D185" s="3" t="str">
        <f>CALC_GAMES_BASE!D185</f>
        <v>PLZ</v>
      </c>
      <c r="E185" s="7">
        <f>CALC_GAMES_BASE!E185</f>
        <v>0</v>
      </c>
      <c r="F185" s="6" t="str">
        <f>CALC_GAMES_BASE!N185</f>
        <v/>
      </c>
      <c r="G185" s="7">
        <f>CALC_GAMES_BASE!K185</f>
        <v>-14</v>
      </c>
      <c r="H185" s="7">
        <f t="shared" si="2"/>
        <v>0</v>
      </c>
      <c r="I185" s="6">
        <f>IF(H185=1,
  F185,
  G185*PARAMETRY!$B$11)</f>
        <v>-0.70000000000000007</v>
      </c>
      <c r="J185" s="6">
        <f>CALC_GAMES_BASE!U185-CALC_GAMES_BASE!V185</f>
        <v>-3.2638888888888828E-2</v>
      </c>
      <c r="K185" s="6">
        <f>_xlfn.XLOOKUP(CALC_GAMES_BASE!W185,
  CALC_GOALIES!B:B,
  CALC_GOALIES!K:K)</f>
        <v>1.2275709048813366E-2</v>
      </c>
      <c r="L185" s="6">
        <f>_xlfn.XLOOKUP(C185,CALC_TEAMS_SEASON!B:B,CALC_TEAMS_SEASON!L:L)</f>
        <v>0.22367822128851536</v>
      </c>
      <c r="M185">
        <f>IF(CALC_GAMES_BASE!Z185="RS",1,1.2)</f>
        <v>1</v>
      </c>
      <c r="N185">
        <f xml:space="preserve"> CALC_GAMES_BASE!Y185</f>
        <v>1</v>
      </c>
    </row>
    <row r="186" spans="1:14" x14ac:dyDescent="0.25">
      <c r="A186" t="str">
        <f>CALC_GAMES_BASE!A186</f>
        <v>25/26</v>
      </c>
      <c r="B186" s="3">
        <f>CALC_GAMES_BASE!B186</f>
        <v>45942</v>
      </c>
      <c r="C186" s="3" t="str">
        <f>CALC_GAMES_BASE!C186</f>
        <v>LIT</v>
      </c>
      <c r="D186" s="3" t="str">
        <f>CALC_GAMES_BASE!D186</f>
        <v>KOM</v>
      </c>
      <c r="E186" s="7">
        <f>CALC_GAMES_BASE!E186</f>
        <v>1</v>
      </c>
      <c r="F186" s="6">
        <f>CALC_GAMES_BASE!N186</f>
        <v>-2.6100000000000003</v>
      </c>
      <c r="G186" s="7">
        <f>CALC_GAMES_BASE!K186</f>
        <v>-16</v>
      </c>
      <c r="H186" s="7">
        <f t="shared" si="2"/>
        <v>1</v>
      </c>
      <c r="I186" s="6">
        <f>IF(H186=1,
  F186,
  G186*PARAMETRY!$B$11)</f>
        <v>-2.6100000000000003</v>
      </c>
      <c r="J186" s="6">
        <f>CALC_GAMES_BASE!U186-CALC_GAMES_BASE!V186</f>
        <v>-4.2696886446886448E-2</v>
      </c>
      <c r="K186" s="6">
        <f>_xlfn.XLOOKUP(CALC_GAMES_BASE!W186,
  CALC_GOALIES!B:B,
  CALC_GOALIES!K:K)</f>
        <v>-4.9010888963920696E-3</v>
      </c>
      <c r="L186" s="6">
        <f>_xlfn.XLOOKUP(C186,CALC_TEAMS_SEASON!B:B,CALC_TEAMS_SEASON!L:L)</f>
        <v>-1.4784467787114848</v>
      </c>
      <c r="M186">
        <f>IF(CALC_GAMES_BASE!Z186="RS",1,1.2)</f>
        <v>1</v>
      </c>
      <c r="N186">
        <f xml:space="preserve"> CALC_GAMES_BASE!Y186</f>
        <v>0</v>
      </c>
    </row>
    <row r="187" spans="1:14" x14ac:dyDescent="0.25">
      <c r="A187" t="str">
        <f>CALC_GAMES_BASE!A187</f>
        <v>25/26</v>
      </c>
      <c r="B187" s="3">
        <f>CALC_GAMES_BASE!B187</f>
        <v>45942</v>
      </c>
      <c r="C187" s="3" t="str">
        <f>CALC_GAMES_BASE!C187</f>
        <v>MBL</v>
      </c>
      <c r="D187" s="3" t="str">
        <f>CALC_GAMES_BASE!D187</f>
        <v>KLA</v>
      </c>
      <c r="E187" s="7">
        <f>CALC_GAMES_BASE!E187</f>
        <v>1</v>
      </c>
      <c r="F187" s="6" t="str">
        <f>CALC_GAMES_BASE!N187</f>
        <v/>
      </c>
      <c r="G187" s="7">
        <f>CALC_GAMES_BASE!K187</f>
        <v>-8</v>
      </c>
      <c r="H187" s="7">
        <f t="shared" si="2"/>
        <v>0</v>
      </c>
      <c r="I187" s="6">
        <f>IF(H187=1,
  F187,
  G187*PARAMETRY!$B$11)</f>
        <v>-0.4</v>
      </c>
      <c r="J187" s="6">
        <f>CALC_GAMES_BASE!U187-CALC_GAMES_BASE!V187</f>
        <v>-1.2934981684981653E-2</v>
      </c>
      <c r="K187" s="6">
        <f>_xlfn.XLOOKUP(CALC_GAMES_BASE!W187,
  CALC_GOALIES!B:B,
  CALC_GOALIES!K:K)</f>
        <v>-4.4670611186142795E-3</v>
      </c>
      <c r="L187" s="6">
        <f>_xlfn.XLOOKUP(C187,CALC_TEAMS_SEASON!B:B,CALC_TEAMS_SEASON!L:L)</f>
        <v>-0.89069677871148467</v>
      </c>
      <c r="M187">
        <f>IF(CALC_GAMES_BASE!Z187="RS",1,1.2)</f>
        <v>1</v>
      </c>
      <c r="N187">
        <f xml:space="preserve"> CALC_GAMES_BASE!Y187</f>
        <v>1</v>
      </c>
    </row>
    <row r="188" spans="1:14" x14ac:dyDescent="0.25">
      <c r="A188" t="str">
        <f>CALC_GAMES_BASE!A188</f>
        <v>25/26</v>
      </c>
      <c r="B188" s="3">
        <f>CALC_GAMES_BASE!B188</f>
        <v>45942</v>
      </c>
      <c r="C188" s="3" t="str">
        <f>CALC_GAMES_BASE!C188</f>
        <v>MHK</v>
      </c>
      <c r="D188" s="3" t="str">
        <f>CALC_GAMES_BASE!D188</f>
        <v>PCE</v>
      </c>
      <c r="E188" s="7">
        <f>CALC_GAMES_BASE!E188</f>
        <v>1</v>
      </c>
      <c r="F188" s="6">
        <f>CALC_GAMES_BASE!N188</f>
        <v>0.57000000000000028</v>
      </c>
      <c r="G188" s="7">
        <f>CALC_GAMES_BASE!K188</f>
        <v>8</v>
      </c>
      <c r="H188" s="7">
        <f t="shared" si="2"/>
        <v>1</v>
      </c>
      <c r="I188" s="6">
        <f>IF(H188=1,
  F188,
  G188*PARAMETRY!$B$11)</f>
        <v>0.57000000000000028</v>
      </c>
      <c r="J188" s="6">
        <f>CALC_GAMES_BASE!U188-CALC_GAMES_BASE!V188</f>
        <v>-6.1126373626373659E-2</v>
      </c>
      <c r="K188" s="6">
        <f>_xlfn.XLOOKUP(CALC_GAMES_BASE!W188,
  CALC_GOALIES!B:B,
  CALC_GOALIES!K:K)</f>
        <v>2.1917994590268441E-2</v>
      </c>
      <c r="L188" s="6">
        <f>_xlfn.XLOOKUP(C188,CALC_TEAMS_SEASON!B:B,CALC_TEAMS_SEASON!L:L)</f>
        <v>0.14821988795518207</v>
      </c>
      <c r="M188">
        <f>IF(CALC_GAMES_BASE!Z188="RS",1,1.2)</f>
        <v>1</v>
      </c>
      <c r="N188">
        <f xml:space="preserve"> CALC_GAMES_BASE!Y188</f>
        <v>1</v>
      </c>
    </row>
    <row r="189" spans="1:14" x14ac:dyDescent="0.25">
      <c r="A189" t="str">
        <f>CALC_GAMES_BASE!A189</f>
        <v>25/26</v>
      </c>
      <c r="B189" s="3">
        <f>CALC_GAMES_BASE!B189</f>
        <v>45942</v>
      </c>
      <c r="C189" s="3" t="str">
        <f>CALC_GAMES_BASE!C189</f>
        <v>OLO</v>
      </c>
      <c r="D189" s="3" t="str">
        <f>CALC_GAMES_BASE!D189</f>
        <v>TRI</v>
      </c>
      <c r="E189" s="7">
        <f>CALC_GAMES_BASE!E189</f>
        <v>1</v>
      </c>
      <c r="F189" s="6">
        <f>CALC_GAMES_BASE!N189</f>
        <v>0.76000000000000023</v>
      </c>
      <c r="G189" s="7">
        <f>CALC_GAMES_BASE!K189</f>
        <v>5</v>
      </c>
      <c r="H189" s="7">
        <f t="shared" si="2"/>
        <v>1</v>
      </c>
      <c r="I189" s="6">
        <f>IF(H189=1,
  F189,
  G189*PARAMETRY!$B$11)</f>
        <v>0.76000000000000023</v>
      </c>
      <c r="J189" s="6">
        <f>CALC_GAMES_BASE!U189-CALC_GAMES_BASE!V189</f>
        <v>-2.4481074481074505E-2</v>
      </c>
      <c r="K189" s="6">
        <f>_xlfn.XLOOKUP(CALC_GAMES_BASE!W189,
  CALC_GOALIES!B:B,
  CALC_GOALIES!K:K)</f>
        <v>-2.0326878807700233E-2</v>
      </c>
      <c r="L189" s="6">
        <f>_xlfn.XLOOKUP(C189,CALC_TEAMS_SEASON!B:B,CALC_TEAMS_SEASON!L:L)</f>
        <v>-1.0613217787114846</v>
      </c>
      <c r="M189">
        <f>IF(CALC_GAMES_BASE!Z189="RS",1,1.2)</f>
        <v>1</v>
      </c>
      <c r="N189">
        <f xml:space="preserve"> CALC_GAMES_BASE!Y189</f>
        <v>0</v>
      </c>
    </row>
    <row r="190" spans="1:14" x14ac:dyDescent="0.25">
      <c r="A190" t="str">
        <f>CALC_GAMES_BASE!A190</f>
        <v>25/26</v>
      </c>
      <c r="B190" s="3">
        <f>CALC_GAMES_BASE!B190</f>
        <v>45942</v>
      </c>
      <c r="C190" s="3" t="str">
        <f>CALC_GAMES_BASE!C190</f>
        <v>PLZ</v>
      </c>
      <c r="D190" s="3" t="str">
        <f>CALC_GAMES_BASE!D190</f>
        <v>LIB</v>
      </c>
      <c r="E190" s="7">
        <f>CALC_GAMES_BASE!E190</f>
        <v>1</v>
      </c>
      <c r="F190" s="6" t="str">
        <f>CALC_GAMES_BASE!N190</f>
        <v/>
      </c>
      <c r="G190" s="7">
        <f>CALC_GAMES_BASE!K190</f>
        <v>14</v>
      </c>
      <c r="H190" s="7">
        <f t="shared" si="2"/>
        <v>0</v>
      </c>
      <c r="I190" s="6">
        <f>IF(H190=1,
  F190,
  G190*PARAMETRY!$B$11)</f>
        <v>0.70000000000000007</v>
      </c>
      <c r="J190" s="6">
        <f>CALC_GAMES_BASE!U190-CALC_GAMES_BASE!V190</f>
        <v>3.2638888888888828E-2</v>
      </c>
      <c r="K190" s="6">
        <f>_xlfn.XLOOKUP(CALC_GAMES_BASE!W190,
  CALC_GOALIES!B:B,
  CALC_GOALIES!K:K)</f>
        <v>1.7617039556646619E-2</v>
      </c>
      <c r="L190" s="6">
        <f>_xlfn.XLOOKUP(C190,CALC_TEAMS_SEASON!B:B,CALC_TEAMS_SEASON!L:L)</f>
        <v>7.3678221288515283E-2</v>
      </c>
      <c r="M190">
        <f>IF(CALC_GAMES_BASE!Z190="RS",1,1.2)</f>
        <v>1</v>
      </c>
      <c r="N190">
        <f xml:space="preserve"> CALC_GAMES_BASE!Y190</f>
        <v>0</v>
      </c>
    </row>
    <row r="191" spans="1:14" x14ac:dyDescent="0.25">
      <c r="A191" t="str">
        <f>CALC_GAMES_BASE!A191</f>
        <v>25/26</v>
      </c>
      <c r="B191" s="3">
        <f>CALC_GAMES_BASE!B191</f>
        <v>45942</v>
      </c>
      <c r="C191" s="3" t="str">
        <f>CALC_GAMES_BASE!C191</f>
        <v>VIT</v>
      </c>
      <c r="D191" s="3" t="str">
        <f>CALC_GAMES_BASE!D191</f>
        <v>KVA</v>
      </c>
      <c r="E191" s="7">
        <f>CALC_GAMES_BASE!E191</f>
        <v>1</v>
      </c>
      <c r="F191" s="6" t="str">
        <f>CALC_GAMES_BASE!N191</f>
        <v/>
      </c>
      <c r="G191" s="7">
        <f>CALC_GAMES_BASE!K191</f>
        <v>-5</v>
      </c>
      <c r="H191" s="7">
        <f t="shared" si="2"/>
        <v>0</v>
      </c>
      <c r="I191" s="6">
        <f>IF(H191=1,
  F191,
  G191*PARAMETRY!$B$11)</f>
        <v>-0.25</v>
      </c>
      <c r="J191" s="6">
        <f>CALC_GAMES_BASE!U191-CALC_GAMES_BASE!V191</f>
        <v>-4.0216727716727574E-3</v>
      </c>
      <c r="K191" s="6">
        <f>_xlfn.XLOOKUP(CALC_GAMES_BASE!W191,
  CALC_GOALIES!B:B,
  CALC_GOALIES!K:K)</f>
        <v>1.905487900993541E-3</v>
      </c>
      <c r="L191" s="6">
        <f>_xlfn.XLOOKUP(C191,CALC_TEAMS_SEASON!B:B,CALC_TEAMS_SEASON!L:L)</f>
        <v>-1.0281967787114845</v>
      </c>
      <c r="M191">
        <f>IF(CALC_GAMES_BASE!Z191="RS",1,1.2)</f>
        <v>1</v>
      </c>
      <c r="N191">
        <f xml:space="preserve"> CALC_GAMES_BASE!Y191</f>
        <v>1</v>
      </c>
    </row>
    <row r="192" spans="1:14" x14ac:dyDescent="0.25">
      <c r="A192" t="str">
        <f>CALC_GAMES_BASE!A192</f>
        <v>25/26</v>
      </c>
      <c r="B192" s="3">
        <f>CALC_GAMES_BASE!B192</f>
        <v>45945</v>
      </c>
      <c r="C192" s="3" t="str">
        <f>CALC_GAMES_BASE!C192</f>
        <v>LIT</v>
      </c>
      <c r="D192" s="3" t="str">
        <f>CALC_GAMES_BASE!D192</f>
        <v>VIT</v>
      </c>
      <c r="E192" s="7">
        <f>CALC_GAMES_BASE!E192</f>
        <v>0</v>
      </c>
      <c r="F192" s="6" t="str">
        <f>CALC_GAMES_BASE!N192</f>
        <v/>
      </c>
      <c r="G192" s="7">
        <f>CALC_GAMES_BASE!K192</f>
        <v>1</v>
      </c>
      <c r="H192" s="7">
        <f t="shared" si="2"/>
        <v>0</v>
      </c>
      <c r="I192" s="6">
        <f>IF(H192=1,
  F192,
  G192*PARAMETRY!$B$11)</f>
        <v>0.05</v>
      </c>
      <c r="J192" s="6">
        <f>CALC_GAMES_BASE!U192-CALC_GAMES_BASE!V192</f>
        <v>-6.8956043956044002E-2</v>
      </c>
      <c r="K192" s="6">
        <f>_xlfn.XLOOKUP(CALC_GAMES_BASE!W192,
  CALC_GOALIES!B:B,
  CALC_GOALIES!K:K)</f>
        <v>-8.1125178551773036E-3</v>
      </c>
      <c r="L192" s="6">
        <f>_xlfn.XLOOKUP(C192,CALC_TEAMS_SEASON!B:B,CALC_TEAMS_SEASON!L:L)</f>
        <v>-1.4784467787114848</v>
      </c>
      <c r="M192">
        <f>IF(CALC_GAMES_BASE!Z192="RS",1,1.2)</f>
        <v>1</v>
      </c>
      <c r="N192">
        <f xml:space="preserve"> CALC_GAMES_BASE!Y192</f>
        <v>0</v>
      </c>
    </row>
    <row r="193" spans="1:14" x14ac:dyDescent="0.25">
      <c r="A193" t="str">
        <f>CALC_GAMES_BASE!A193</f>
        <v>25/26</v>
      </c>
      <c r="B193" s="3">
        <f>CALC_GAMES_BASE!B193</f>
        <v>45945</v>
      </c>
      <c r="C193" s="3" t="str">
        <f>CALC_GAMES_BASE!C193</f>
        <v>VIT</v>
      </c>
      <c r="D193" s="3" t="str">
        <f>CALC_GAMES_BASE!D193</f>
        <v>LIT</v>
      </c>
      <c r="E193" s="7">
        <f>CALC_GAMES_BASE!E193</f>
        <v>1</v>
      </c>
      <c r="F193" s="6" t="str">
        <f>CALC_GAMES_BASE!N193</f>
        <v/>
      </c>
      <c r="G193" s="7">
        <f>CALC_GAMES_BASE!K193</f>
        <v>-1</v>
      </c>
      <c r="H193" s="7">
        <f t="shared" si="2"/>
        <v>0</v>
      </c>
      <c r="I193" s="6">
        <f>IF(H193=1,
  F193,
  G193*PARAMETRY!$B$11)</f>
        <v>-0.05</v>
      </c>
      <c r="J193" s="6">
        <f>CALC_GAMES_BASE!U193-CALC_GAMES_BASE!V193</f>
        <v>6.8956043956044002E-2</v>
      </c>
      <c r="K193" s="6">
        <f>_xlfn.XLOOKUP(CALC_GAMES_BASE!W193,
  CALC_GOALIES!B:B,
  CALC_GOALIES!K:K)</f>
        <v>1.905487900993541E-3</v>
      </c>
      <c r="L193" s="6">
        <f>_xlfn.XLOOKUP(C193,CALC_TEAMS_SEASON!B:B,CALC_TEAMS_SEASON!L:L)</f>
        <v>-1.0281967787114845</v>
      </c>
      <c r="M193">
        <f>IF(CALC_GAMES_BASE!Z193="RS",1,1.2)</f>
        <v>1</v>
      </c>
      <c r="N193">
        <f xml:space="preserve"> CALC_GAMES_BASE!Y193</f>
        <v>1</v>
      </c>
    </row>
    <row r="194" spans="1:14" x14ac:dyDescent="0.25">
      <c r="A194" t="str">
        <f>CALC_GAMES_BASE!A194</f>
        <v>25/26</v>
      </c>
      <c r="B194" s="3">
        <f>CALC_GAMES_BASE!B194</f>
        <v>45946</v>
      </c>
      <c r="C194" s="3" t="str">
        <f>CALC_GAMES_BASE!C194</f>
        <v>OLO</v>
      </c>
      <c r="D194" s="3" t="str">
        <f>CALC_GAMES_BASE!D194</f>
        <v>PLZ</v>
      </c>
      <c r="E194" s="7">
        <f>CALC_GAMES_BASE!E194</f>
        <v>0</v>
      </c>
      <c r="F194" s="6" t="str">
        <f>CALC_GAMES_BASE!N194</f>
        <v/>
      </c>
      <c r="G194" s="7">
        <f>CALC_GAMES_BASE!K194</f>
        <v>-8</v>
      </c>
      <c r="H194" s="7">
        <f t="shared" si="2"/>
        <v>0</v>
      </c>
      <c r="I194" s="6">
        <f>IF(H194=1,
  F194,
  G194*PARAMETRY!$B$11)</f>
        <v>-0.4</v>
      </c>
      <c r="J194" s="6">
        <f>CALC_GAMES_BASE!U194-CALC_GAMES_BASE!V194</f>
        <v>-2.6518620268620202E-2</v>
      </c>
      <c r="K194" s="6">
        <f>_xlfn.XLOOKUP(CALC_GAMES_BASE!W194,
  CALC_GOALIES!B:B,
  CALC_GOALIES!K:K)</f>
        <v>-2.0326878807700233E-2</v>
      </c>
      <c r="L194" s="6">
        <f>_xlfn.XLOOKUP(C194,CALC_TEAMS_SEASON!B:B,CALC_TEAMS_SEASON!L:L)</f>
        <v>-1.0613217787114846</v>
      </c>
      <c r="M194">
        <f>IF(CALC_GAMES_BASE!Z194="RS",1,1.2)</f>
        <v>1</v>
      </c>
      <c r="N194">
        <f xml:space="preserve"> CALC_GAMES_BASE!Y194</f>
        <v>1</v>
      </c>
    </row>
    <row r="195" spans="1:14" x14ac:dyDescent="0.25">
      <c r="A195" t="str">
        <f>CALC_GAMES_BASE!A195</f>
        <v>25/26</v>
      </c>
      <c r="B195" s="3">
        <f>CALC_GAMES_BASE!B195</f>
        <v>45946</v>
      </c>
      <c r="C195" s="3" t="str">
        <f>CALC_GAMES_BASE!C195</f>
        <v>PLZ</v>
      </c>
      <c r="D195" s="3" t="str">
        <f>CALC_GAMES_BASE!D195</f>
        <v>OLO</v>
      </c>
      <c r="E195" s="7">
        <f>CALC_GAMES_BASE!E195</f>
        <v>1</v>
      </c>
      <c r="F195" s="6" t="str">
        <f>CALC_GAMES_BASE!N195</f>
        <v/>
      </c>
      <c r="G195" s="7">
        <f>CALC_GAMES_BASE!K195</f>
        <v>8</v>
      </c>
      <c r="H195" s="7">
        <f t="shared" ref="H195:H258" si="3">IF(F195&lt;&gt;"",1,0)</f>
        <v>0</v>
      </c>
      <c r="I195" s="6">
        <f>IF(H195=1,
  F195,
  G195*PARAMETRY!$B$11)</f>
        <v>0.4</v>
      </c>
      <c r="J195" s="6">
        <f>CALC_GAMES_BASE!U195-CALC_GAMES_BASE!V195</f>
        <v>2.6518620268620202E-2</v>
      </c>
      <c r="K195" s="6">
        <f>_xlfn.XLOOKUP(CALC_GAMES_BASE!W195,
  CALC_GOALIES!B:B,
  CALC_GOALIES!K:K)</f>
        <v>1.7617039556646619E-2</v>
      </c>
      <c r="L195" s="6">
        <f>_xlfn.XLOOKUP(C195,CALC_TEAMS_SEASON!B:B,CALC_TEAMS_SEASON!L:L)</f>
        <v>7.3678221288515283E-2</v>
      </c>
      <c r="M195">
        <f>IF(CALC_GAMES_BASE!Z195="RS",1,1.2)</f>
        <v>1</v>
      </c>
      <c r="N195">
        <f xml:space="preserve"> CALC_GAMES_BASE!Y195</f>
        <v>0</v>
      </c>
    </row>
    <row r="196" spans="1:14" x14ac:dyDescent="0.25">
      <c r="A196" t="str">
        <f>CALC_GAMES_BASE!A196</f>
        <v>25/26</v>
      </c>
      <c r="B196" s="3">
        <f>CALC_GAMES_BASE!B196</f>
        <v>45947</v>
      </c>
      <c r="C196" s="3" t="str">
        <f>CALC_GAMES_BASE!C196</f>
        <v>PCE</v>
      </c>
      <c r="D196" s="3" t="str">
        <f>CALC_GAMES_BASE!D196</f>
        <v>LIB</v>
      </c>
      <c r="E196" s="7">
        <f>CALC_GAMES_BASE!E196</f>
        <v>1</v>
      </c>
      <c r="F196" s="6">
        <f>CALC_GAMES_BASE!N196</f>
        <v>-0.94</v>
      </c>
      <c r="G196" s="7">
        <f>CALC_GAMES_BASE!K196</f>
        <v>-10</v>
      </c>
      <c r="H196" s="7">
        <f t="shared" si="3"/>
        <v>1</v>
      </c>
      <c r="I196" s="6">
        <f>IF(H196=1,
  F196,
  G196*PARAMETRY!$B$11)</f>
        <v>-0.94</v>
      </c>
      <c r="J196" s="6">
        <f>CALC_GAMES_BASE!U196-CALC_GAMES_BASE!V196</f>
        <v>5.9203296703296743E-2</v>
      </c>
      <c r="K196" s="6">
        <f>_xlfn.XLOOKUP(CALC_GAMES_BASE!W196,
  CALC_GOALIES!B:B,
  CALC_GOALIES!K:K)</f>
        <v>-2.4829341344873024E-3</v>
      </c>
      <c r="L196" s="6">
        <f>_xlfn.XLOOKUP(C196,CALC_TEAMS_SEASON!B:B,CALC_TEAMS_SEASON!L:L)</f>
        <v>0.62437675070027965</v>
      </c>
      <c r="M196">
        <f>IF(CALC_GAMES_BASE!Z196="RS",1,1.2)</f>
        <v>1</v>
      </c>
      <c r="N196">
        <f xml:space="preserve"> CALC_GAMES_BASE!Y196</f>
        <v>0</v>
      </c>
    </row>
    <row r="197" spans="1:14" x14ac:dyDescent="0.25">
      <c r="A197" t="str">
        <f>CALC_GAMES_BASE!A197</f>
        <v>25/26</v>
      </c>
      <c r="B197" s="3">
        <f>CALC_GAMES_BASE!B197</f>
        <v>45947</v>
      </c>
      <c r="C197" s="3" t="str">
        <f>CALC_GAMES_BASE!C197</f>
        <v>KOM</v>
      </c>
      <c r="D197" s="3" t="str">
        <f>CALC_GAMES_BASE!D197</f>
        <v>MBL</v>
      </c>
      <c r="E197" s="7">
        <f>CALC_GAMES_BASE!E197</f>
        <v>1</v>
      </c>
      <c r="F197" s="6">
        <f>CALC_GAMES_BASE!N197</f>
        <v>-0.43000000000000016</v>
      </c>
      <c r="G197" s="7">
        <f>CALC_GAMES_BASE!K197</f>
        <v>3</v>
      </c>
      <c r="H197" s="7">
        <f t="shared" si="3"/>
        <v>1</v>
      </c>
      <c r="I197" s="6">
        <f>IF(H197=1,
  F197,
  G197*PARAMETRY!$B$11)</f>
        <v>-0.43000000000000016</v>
      </c>
      <c r="J197" s="6">
        <f>CALC_GAMES_BASE!U197-CALC_GAMES_BASE!V197</f>
        <v>2.53205128205128E-2</v>
      </c>
      <c r="K197" s="6">
        <f>_xlfn.XLOOKUP(CALC_GAMES_BASE!W197,
  CALC_GOALIES!B:B,
  CALC_GOALIES!K:K)</f>
        <v>-1.5147095063735572E-3</v>
      </c>
      <c r="L197" s="6">
        <f>_xlfn.XLOOKUP(C197,CALC_TEAMS_SEASON!B:B,CALC_TEAMS_SEASON!L:L)</f>
        <v>-0.37268207282913179</v>
      </c>
      <c r="M197">
        <f>IF(CALC_GAMES_BASE!Z197="RS",1,1.2)</f>
        <v>1</v>
      </c>
      <c r="N197">
        <f xml:space="preserve"> CALC_GAMES_BASE!Y197</f>
        <v>0</v>
      </c>
    </row>
    <row r="198" spans="1:14" x14ac:dyDescent="0.25">
      <c r="A198" t="str">
        <f>CALC_GAMES_BASE!A198</f>
        <v>25/26</v>
      </c>
      <c r="B198" s="3">
        <f>CALC_GAMES_BASE!B198</f>
        <v>45947</v>
      </c>
      <c r="C198" s="3" t="str">
        <f>CALC_GAMES_BASE!C198</f>
        <v>KLA</v>
      </c>
      <c r="D198" s="3" t="str">
        <f>CALC_GAMES_BASE!D198</f>
        <v>VIT</v>
      </c>
      <c r="E198" s="7">
        <f>CALC_GAMES_BASE!E198</f>
        <v>1</v>
      </c>
      <c r="F198" s="6" t="str">
        <f>CALC_GAMES_BASE!N198</f>
        <v/>
      </c>
      <c r="G198" s="7">
        <f>CALC_GAMES_BASE!K198</f>
        <v>12</v>
      </c>
      <c r="H198" s="7">
        <f t="shared" si="3"/>
        <v>0</v>
      </c>
      <c r="I198" s="6">
        <f>IF(H198=1,
  F198,
  G198*PARAMETRY!$B$11)</f>
        <v>0.60000000000000009</v>
      </c>
      <c r="J198" s="6">
        <f>CALC_GAMES_BASE!U198-CALC_GAMES_BASE!V198</f>
        <v>-3.8644688644688702E-2</v>
      </c>
      <c r="K198" s="6">
        <f>_xlfn.XLOOKUP(CALC_GAMES_BASE!W198,
  CALC_GOALIES!B:B,
  CALC_GOALIES!K:K)</f>
        <v>-1.9185137403854746E-2</v>
      </c>
      <c r="L198" s="6">
        <f>_xlfn.XLOOKUP(C198,CALC_TEAMS_SEASON!B:B,CALC_TEAMS_SEASON!L:L)</f>
        <v>-0.19819677871148478</v>
      </c>
      <c r="M198">
        <f>IF(CALC_GAMES_BASE!Z198="RS",1,1.2)</f>
        <v>1</v>
      </c>
      <c r="N198">
        <f xml:space="preserve"> CALC_GAMES_BASE!Y198</f>
        <v>1</v>
      </c>
    </row>
    <row r="199" spans="1:14" x14ac:dyDescent="0.25">
      <c r="A199" t="str">
        <f>CALC_GAMES_BASE!A199</f>
        <v>25/26</v>
      </c>
      <c r="B199" s="3">
        <f>CALC_GAMES_BASE!B199</f>
        <v>45947</v>
      </c>
      <c r="C199" s="3" t="str">
        <f>CALC_GAMES_BASE!C199</f>
        <v>KVA</v>
      </c>
      <c r="D199" s="3" t="str">
        <f>CALC_GAMES_BASE!D199</f>
        <v>LIT</v>
      </c>
      <c r="E199" s="7">
        <f>CALC_GAMES_BASE!E199</f>
        <v>1</v>
      </c>
      <c r="F199" s="6" t="str">
        <f>CALC_GAMES_BASE!N199</f>
        <v/>
      </c>
      <c r="G199" s="7">
        <f>CALC_GAMES_BASE!K199</f>
        <v>-1</v>
      </c>
      <c r="H199" s="7">
        <f t="shared" si="3"/>
        <v>0</v>
      </c>
      <c r="I199" s="6">
        <f>IF(H199=1,
  F199,
  G199*PARAMETRY!$B$11)</f>
        <v>-0.05</v>
      </c>
      <c r="J199" s="6">
        <f>CALC_GAMES_BASE!U199-CALC_GAMES_BASE!V199</f>
        <v>7.297771672771676E-2</v>
      </c>
      <c r="K199" s="6">
        <f>_xlfn.XLOOKUP(CALC_GAMES_BASE!W199,
  CALC_GOALIES!B:B,
  CALC_GOALIES!K:K)</f>
        <v>1.2242809776983998E-2</v>
      </c>
      <c r="L199" s="6">
        <f>_xlfn.XLOOKUP(C199,CALC_TEAMS_SEASON!B:B,CALC_TEAMS_SEASON!L:L)</f>
        <v>-0.28757177871148476</v>
      </c>
      <c r="M199">
        <f>IF(CALC_GAMES_BASE!Z199="RS",1,1.2)</f>
        <v>1</v>
      </c>
      <c r="N199">
        <f xml:space="preserve"> CALC_GAMES_BASE!Y199</f>
        <v>1</v>
      </c>
    </row>
    <row r="200" spans="1:14" x14ac:dyDescent="0.25">
      <c r="A200" t="str">
        <f>CALC_GAMES_BASE!A200</f>
        <v>25/26</v>
      </c>
      <c r="B200" s="3">
        <f>CALC_GAMES_BASE!B200</f>
        <v>45947</v>
      </c>
      <c r="C200" s="3" t="str">
        <f>CALC_GAMES_BASE!C200</f>
        <v>LIB</v>
      </c>
      <c r="D200" s="3" t="str">
        <f>CALC_GAMES_BASE!D200</f>
        <v>PCE</v>
      </c>
      <c r="E200" s="7">
        <f>CALC_GAMES_BASE!E200</f>
        <v>0</v>
      </c>
      <c r="F200" s="6">
        <f>CALC_GAMES_BASE!N200</f>
        <v>0.94</v>
      </c>
      <c r="G200" s="7">
        <f>CALC_GAMES_BASE!K200</f>
        <v>10</v>
      </c>
      <c r="H200" s="7">
        <f t="shared" si="3"/>
        <v>1</v>
      </c>
      <c r="I200" s="6">
        <f>IF(H200=1,
  F200,
  G200*PARAMETRY!$B$11)</f>
        <v>0.94</v>
      </c>
      <c r="J200" s="6">
        <f>CALC_GAMES_BASE!U200-CALC_GAMES_BASE!V200</f>
        <v>-5.9203296703296743E-2</v>
      </c>
      <c r="K200" s="6">
        <f>_xlfn.XLOOKUP(CALC_GAMES_BASE!W200,
  CALC_GOALIES!B:B,
  CALC_GOALIES!K:K)</f>
        <v>1.2275709048813366E-2</v>
      </c>
      <c r="L200" s="6">
        <f>_xlfn.XLOOKUP(C200,CALC_TEAMS_SEASON!B:B,CALC_TEAMS_SEASON!L:L)</f>
        <v>0.22367822128851536</v>
      </c>
      <c r="M200">
        <f>IF(CALC_GAMES_BASE!Z200="RS",1,1.2)</f>
        <v>1</v>
      </c>
      <c r="N200">
        <f xml:space="preserve"> CALC_GAMES_BASE!Y200</f>
        <v>1</v>
      </c>
    </row>
    <row r="201" spans="1:14" x14ac:dyDescent="0.25">
      <c r="A201" t="str">
        <f>CALC_GAMES_BASE!A201</f>
        <v>25/26</v>
      </c>
      <c r="B201" s="3">
        <f>CALC_GAMES_BASE!B201</f>
        <v>45947</v>
      </c>
      <c r="C201" s="3" t="str">
        <f>CALC_GAMES_BASE!C201</f>
        <v>LIT</v>
      </c>
      <c r="D201" s="3" t="str">
        <f>CALC_GAMES_BASE!D201</f>
        <v>KVA</v>
      </c>
      <c r="E201" s="7">
        <f>CALC_GAMES_BASE!E201</f>
        <v>0</v>
      </c>
      <c r="F201" s="6" t="str">
        <f>CALC_GAMES_BASE!N201</f>
        <v/>
      </c>
      <c r="G201" s="7">
        <f>CALC_GAMES_BASE!K201</f>
        <v>1</v>
      </c>
      <c r="H201" s="7">
        <f t="shared" si="3"/>
        <v>0</v>
      </c>
      <c r="I201" s="6">
        <f>IF(H201=1,
  F201,
  G201*PARAMETRY!$B$11)</f>
        <v>0.05</v>
      </c>
      <c r="J201" s="6">
        <f>CALC_GAMES_BASE!U201-CALC_GAMES_BASE!V201</f>
        <v>-7.297771672771676E-2</v>
      </c>
      <c r="K201" s="6">
        <f>_xlfn.XLOOKUP(CALC_GAMES_BASE!W201,
  CALC_GOALIES!B:B,
  CALC_GOALIES!K:K)</f>
        <v>-8.1125178551773036E-3</v>
      </c>
      <c r="L201" s="6">
        <f>_xlfn.XLOOKUP(C201,CALC_TEAMS_SEASON!B:B,CALC_TEAMS_SEASON!L:L)</f>
        <v>-1.4784467787114848</v>
      </c>
      <c r="M201">
        <f>IF(CALC_GAMES_BASE!Z201="RS",1,1.2)</f>
        <v>1</v>
      </c>
      <c r="N201">
        <f xml:space="preserve"> CALC_GAMES_BASE!Y201</f>
        <v>0</v>
      </c>
    </row>
    <row r="202" spans="1:14" x14ac:dyDescent="0.25">
      <c r="A202" t="str">
        <f>CALC_GAMES_BASE!A202</f>
        <v>25/26</v>
      </c>
      <c r="B202" s="3">
        <f>CALC_GAMES_BASE!B202</f>
        <v>45947</v>
      </c>
      <c r="C202" s="3" t="str">
        <f>CALC_GAMES_BASE!C202</f>
        <v>MBL</v>
      </c>
      <c r="D202" s="3" t="str">
        <f>CALC_GAMES_BASE!D202</f>
        <v>KOM</v>
      </c>
      <c r="E202" s="7">
        <f>CALC_GAMES_BASE!E202</f>
        <v>0</v>
      </c>
      <c r="F202" s="6">
        <f>CALC_GAMES_BASE!N202</f>
        <v>0.43000000000000016</v>
      </c>
      <c r="G202" s="7">
        <f>CALC_GAMES_BASE!K202</f>
        <v>-3</v>
      </c>
      <c r="H202" s="7">
        <f t="shared" si="3"/>
        <v>1</v>
      </c>
      <c r="I202" s="6">
        <f>IF(H202=1,
  F202,
  G202*PARAMETRY!$B$11)</f>
        <v>0.43000000000000016</v>
      </c>
      <c r="J202" s="6">
        <f>CALC_GAMES_BASE!U202-CALC_GAMES_BASE!V202</f>
        <v>-2.53205128205128E-2</v>
      </c>
      <c r="K202" s="6">
        <f>_xlfn.XLOOKUP(CALC_GAMES_BASE!W202,
  CALC_GOALIES!B:B,
  CALC_GOALIES!K:K)</f>
        <v>-4.4670611186142795E-3</v>
      </c>
      <c r="L202" s="6">
        <f>_xlfn.XLOOKUP(C202,CALC_TEAMS_SEASON!B:B,CALC_TEAMS_SEASON!L:L)</f>
        <v>-0.89069677871148467</v>
      </c>
      <c r="M202">
        <f>IF(CALC_GAMES_BASE!Z202="RS",1,1.2)</f>
        <v>1</v>
      </c>
      <c r="N202">
        <f xml:space="preserve"> CALC_GAMES_BASE!Y202</f>
        <v>1</v>
      </c>
    </row>
    <row r="203" spans="1:14" x14ac:dyDescent="0.25">
      <c r="A203" t="str">
        <f>CALC_GAMES_BASE!A203</f>
        <v>25/26</v>
      </c>
      <c r="B203" s="3">
        <f>CALC_GAMES_BASE!B203</f>
        <v>45947</v>
      </c>
      <c r="C203" s="3" t="str">
        <f>CALC_GAMES_BASE!C203</f>
        <v>VIT</v>
      </c>
      <c r="D203" s="3" t="str">
        <f>CALC_GAMES_BASE!D203</f>
        <v>KLA</v>
      </c>
      <c r="E203" s="7">
        <f>CALC_GAMES_BASE!E203</f>
        <v>0</v>
      </c>
      <c r="F203" s="6" t="str">
        <f>CALC_GAMES_BASE!N203</f>
        <v/>
      </c>
      <c r="G203" s="7">
        <f>CALC_GAMES_BASE!K203</f>
        <v>-12</v>
      </c>
      <c r="H203" s="7">
        <f t="shared" si="3"/>
        <v>0</v>
      </c>
      <c r="I203" s="6">
        <f>IF(H203=1,
  F203,
  G203*PARAMETRY!$B$11)</f>
        <v>-0.60000000000000009</v>
      </c>
      <c r="J203" s="6">
        <f>CALC_GAMES_BASE!U203-CALC_GAMES_BASE!V203</f>
        <v>3.8644688644688702E-2</v>
      </c>
      <c r="K203" s="6">
        <f>_xlfn.XLOOKUP(CALC_GAMES_BASE!W203,
  CALC_GOALIES!B:B,
  CALC_GOALIES!K:K)</f>
        <v>1.905487900993541E-3</v>
      </c>
      <c r="L203" s="6">
        <f>_xlfn.XLOOKUP(C203,CALC_TEAMS_SEASON!B:B,CALC_TEAMS_SEASON!L:L)</f>
        <v>-1.0281967787114845</v>
      </c>
      <c r="M203">
        <f>IF(CALC_GAMES_BASE!Z203="RS",1,1.2)</f>
        <v>1</v>
      </c>
      <c r="N203">
        <f xml:space="preserve"> CALC_GAMES_BASE!Y203</f>
        <v>0</v>
      </c>
    </row>
    <row r="204" spans="1:14" x14ac:dyDescent="0.25">
      <c r="A204" t="str">
        <f>CALC_GAMES_BASE!A204</f>
        <v>25/26</v>
      </c>
      <c r="B204" s="3">
        <f>CALC_GAMES_BASE!B204</f>
        <v>45949</v>
      </c>
      <c r="C204" s="3" t="str">
        <f>CALC_GAMES_BASE!C204</f>
        <v>PCE</v>
      </c>
      <c r="D204" s="3" t="str">
        <f>CALC_GAMES_BASE!D204</f>
        <v>MBL</v>
      </c>
      <c r="E204" s="7">
        <f>CALC_GAMES_BASE!E204</f>
        <v>0</v>
      </c>
      <c r="F204" s="6">
        <f>CALC_GAMES_BASE!N204</f>
        <v>1.8399999999999999</v>
      </c>
      <c r="G204" s="7">
        <f>CALC_GAMES_BASE!K204</f>
        <v>9</v>
      </c>
      <c r="H204" s="7">
        <f t="shared" si="3"/>
        <v>1</v>
      </c>
      <c r="I204" s="6">
        <f>IF(H204=1,
  F204,
  G204*PARAMETRY!$B$11)</f>
        <v>1.8399999999999999</v>
      </c>
      <c r="J204" s="6">
        <f>CALC_GAMES_BASE!U204-CALC_GAMES_BASE!V204</f>
        <v>8.4706959706959753E-2</v>
      </c>
      <c r="K204" s="6">
        <f>_xlfn.XLOOKUP(CALC_GAMES_BASE!W204,
  CALC_GOALIES!B:B,
  CALC_GOALIES!K:K)</f>
        <v>4.5881077393388203E-3</v>
      </c>
      <c r="L204" s="6">
        <f>_xlfn.XLOOKUP(C204,CALC_TEAMS_SEASON!B:B,CALC_TEAMS_SEASON!L:L)</f>
        <v>0.62437675070027965</v>
      </c>
      <c r="M204">
        <f>IF(CALC_GAMES_BASE!Z204="RS",1,1.2)</f>
        <v>1</v>
      </c>
      <c r="N204">
        <f xml:space="preserve"> CALC_GAMES_BASE!Y204</f>
        <v>1</v>
      </c>
    </row>
    <row r="205" spans="1:14" x14ac:dyDescent="0.25">
      <c r="A205" t="str">
        <f>CALC_GAMES_BASE!A205</f>
        <v>25/26</v>
      </c>
      <c r="B205" s="3">
        <f>CALC_GAMES_BASE!B205</f>
        <v>45949</v>
      </c>
      <c r="C205" s="3" t="str">
        <f>CALC_GAMES_BASE!C205</f>
        <v>TRI</v>
      </c>
      <c r="D205" s="3" t="str">
        <f>CALC_GAMES_BASE!D205</f>
        <v>LIB</v>
      </c>
      <c r="E205" s="7">
        <f>CALC_GAMES_BASE!E205</f>
        <v>0</v>
      </c>
      <c r="F205" s="6">
        <f>CALC_GAMES_BASE!N205</f>
        <v>-0.87000000000000011</v>
      </c>
      <c r="G205" s="7">
        <f>CALC_GAMES_BASE!K205</f>
        <v>-22</v>
      </c>
      <c r="H205" s="7">
        <f t="shared" si="3"/>
        <v>1</v>
      </c>
      <c r="I205" s="6">
        <f>IF(H205=1,
  F205,
  G205*PARAMETRY!$B$11)</f>
        <v>-0.87000000000000011</v>
      </c>
      <c r="J205" s="6">
        <f>CALC_GAMES_BASE!U205-CALC_GAMES_BASE!V205</f>
        <v>3.0601343101343131E-2</v>
      </c>
      <c r="K205" s="6">
        <f>_xlfn.XLOOKUP(CALC_GAMES_BASE!W205,
  CALC_GOALIES!B:B,
  CALC_GOALIES!K:K)</f>
        <v>1.3707542055988897E-2</v>
      </c>
      <c r="L205" s="6">
        <f>_xlfn.XLOOKUP(C205,CALC_TEAMS_SEASON!B:B,CALC_TEAMS_SEASON!L:L)</f>
        <v>0.10805322128851533</v>
      </c>
      <c r="M205">
        <f>IF(CALC_GAMES_BASE!Z205="RS",1,1.2)</f>
        <v>1</v>
      </c>
      <c r="N205">
        <f xml:space="preserve"> CALC_GAMES_BASE!Y205</f>
        <v>1</v>
      </c>
    </row>
    <row r="206" spans="1:14" x14ac:dyDescent="0.25">
      <c r="A206" t="str">
        <f>CALC_GAMES_BASE!A206</f>
        <v>25/26</v>
      </c>
      <c r="B206" s="3">
        <f>CALC_GAMES_BASE!B206</f>
        <v>45949</v>
      </c>
      <c r="C206" s="3" t="str">
        <f>CALC_GAMES_BASE!C206</f>
        <v>SPA</v>
      </c>
      <c r="D206" s="3" t="str">
        <f>CALC_GAMES_BASE!D206</f>
        <v>KOM</v>
      </c>
      <c r="E206" s="7">
        <f>CALC_GAMES_BASE!E206</f>
        <v>1</v>
      </c>
      <c r="F206" s="6">
        <f>CALC_GAMES_BASE!N206</f>
        <v>1.69</v>
      </c>
      <c r="G206" s="7">
        <f>CALC_GAMES_BASE!K206</f>
        <v>17</v>
      </c>
      <c r="H206" s="7">
        <f t="shared" si="3"/>
        <v>1</v>
      </c>
      <c r="I206" s="6">
        <f>IF(H206=1,
  F206,
  G206*PARAMETRY!$B$11)</f>
        <v>1.69</v>
      </c>
      <c r="J206" s="6">
        <f>CALC_GAMES_BASE!U206-CALC_GAMES_BASE!V206</f>
        <v>7.7014652014652074E-2</v>
      </c>
      <c r="K206" s="6">
        <f>_xlfn.XLOOKUP(CALC_GAMES_BASE!W206,
  CALC_GOALIES!B:B,
  CALC_GOALIES!K:K)</f>
        <v>3.5919237922225067E-3</v>
      </c>
      <c r="L206" s="6">
        <f>_xlfn.XLOOKUP(C206,CALC_TEAMS_SEASON!B:B,CALC_TEAMS_SEASON!L:L)</f>
        <v>6.4376750700279955E-2</v>
      </c>
      <c r="M206">
        <f>IF(CALC_GAMES_BASE!Z206="RS",1,1.2)</f>
        <v>1</v>
      </c>
      <c r="N206">
        <f xml:space="preserve"> CALC_GAMES_BASE!Y206</f>
        <v>1</v>
      </c>
    </row>
    <row r="207" spans="1:14" x14ac:dyDescent="0.25">
      <c r="A207" t="str">
        <f>CALC_GAMES_BASE!A207</f>
        <v>25/26</v>
      </c>
      <c r="B207" s="3">
        <f>CALC_GAMES_BASE!B207</f>
        <v>45949</v>
      </c>
      <c r="C207" s="3" t="str">
        <f>CALC_GAMES_BASE!C207</f>
        <v>KOM</v>
      </c>
      <c r="D207" s="3" t="str">
        <f>CALC_GAMES_BASE!D207</f>
        <v>SPA</v>
      </c>
      <c r="E207" s="7">
        <f>CALC_GAMES_BASE!E207</f>
        <v>0</v>
      </c>
      <c r="F207" s="6">
        <f>CALC_GAMES_BASE!N207</f>
        <v>-1.69</v>
      </c>
      <c r="G207" s="7">
        <f>CALC_GAMES_BASE!K207</f>
        <v>-17</v>
      </c>
      <c r="H207" s="7">
        <f t="shared" si="3"/>
        <v>1</v>
      </c>
      <c r="I207" s="6">
        <f>IF(H207=1,
  F207,
  G207*PARAMETRY!$B$11)</f>
        <v>-1.69</v>
      </c>
      <c r="J207" s="6">
        <f>CALC_GAMES_BASE!U207-CALC_GAMES_BASE!V207</f>
        <v>-7.7014652014652074E-2</v>
      </c>
      <c r="K207" s="6">
        <f>_xlfn.XLOOKUP(CALC_GAMES_BASE!W207,
  CALC_GOALIES!B:B,
  CALC_GOALIES!K:K)</f>
        <v>-1.7945945907462235E-2</v>
      </c>
      <c r="L207" s="6">
        <f>_xlfn.XLOOKUP(C207,CALC_TEAMS_SEASON!B:B,CALC_TEAMS_SEASON!L:L)</f>
        <v>-0.37268207282913179</v>
      </c>
      <c r="M207">
        <f>IF(CALC_GAMES_BASE!Z207="RS",1,1.2)</f>
        <v>1</v>
      </c>
      <c r="N207">
        <f xml:space="preserve"> CALC_GAMES_BASE!Y207</f>
        <v>0</v>
      </c>
    </row>
    <row r="208" spans="1:14" x14ac:dyDescent="0.25">
      <c r="A208" t="str">
        <f>CALC_GAMES_BASE!A208</f>
        <v>25/26</v>
      </c>
      <c r="B208" s="3">
        <f>CALC_GAMES_BASE!B208</f>
        <v>45949</v>
      </c>
      <c r="C208" s="3" t="str">
        <f>CALC_GAMES_BASE!C208</f>
        <v>CEB</v>
      </c>
      <c r="D208" s="3" t="str">
        <f>CALC_GAMES_BASE!D208</f>
        <v>PLZ</v>
      </c>
      <c r="E208" s="7">
        <f>CALC_GAMES_BASE!E208</f>
        <v>1</v>
      </c>
      <c r="F208" s="6" t="str">
        <f>CALC_GAMES_BASE!N208</f>
        <v/>
      </c>
      <c r="G208" s="7">
        <f>CALC_GAMES_BASE!K208</f>
        <v>-7</v>
      </c>
      <c r="H208" s="7">
        <f t="shared" si="3"/>
        <v>0</v>
      </c>
      <c r="I208" s="6">
        <f>IF(H208=1,
  F208,
  G208*PARAMETRY!$B$11)</f>
        <v>-0.35000000000000003</v>
      </c>
      <c r="J208" s="6">
        <f>CALC_GAMES_BASE!U208-CALC_GAMES_BASE!V208</f>
        <v>-4.619824619824614E-2</v>
      </c>
      <c r="K208" s="6">
        <f>_xlfn.XLOOKUP(CALC_GAMES_BASE!W208,
  CALC_GOALIES!B:B,
  CALC_GOALIES!K:K)</f>
        <v>-1.372632037787358E-2</v>
      </c>
      <c r="L208" s="6">
        <f>_xlfn.XLOOKUP(C208,CALC_TEAMS_SEASON!B:B,CALC_TEAMS_SEASON!L:L)</f>
        <v>-0.24978011204481798</v>
      </c>
      <c r="M208">
        <f>IF(CALC_GAMES_BASE!Z208="RS",1,1.2)</f>
        <v>1</v>
      </c>
      <c r="N208">
        <f xml:space="preserve"> CALC_GAMES_BASE!Y208</f>
        <v>0</v>
      </c>
    </row>
    <row r="209" spans="1:14" x14ac:dyDescent="0.25">
      <c r="A209" t="str">
        <f>CALC_GAMES_BASE!A209</f>
        <v>25/26</v>
      </c>
      <c r="B209" s="3">
        <f>CALC_GAMES_BASE!B209</f>
        <v>45949</v>
      </c>
      <c r="C209" s="3" t="str">
        <f>CALC_GAMES_BASE!C209</f>
        <v>KLA</v>
      </c>
      <c r="D209" s="3" t="str">
        <f>CALC_GAMES_BASE!D209</f>
        <v>MHK</v>
      </c>
      <c r="E209" s="7">
        <f>CALC_GAMES_BASE!E209</f>
        <v>0</v>
      </c>
      <c r="F209" s="6" t="str">
        <f>CALC_GAMES_BASE!N209</f>
        <v/>
      </c>
      <c r="G209" s="7">
        <f>CALC_GAMES_BASE!K209</f>
        <v>-11</v>
      </c>
      <c r="H209" s="7">
        <f t="shared" si="3"/>
        <v>0</v>
      </c>
      <c r="I209" s="6">
        <f>IF(H209=1,
  F209,
  G209*PARAMETRY!$B$11)</f>
        <v>-0.55000000000000004</v>
      </c>
      <c r="J209" s="6">
        <f>CALC_GAMES_BASE!U209-CALC_GAMES_BASE!V209</f>
        <v>-1.0645604395604441E-2</v>
      </c>
      <c r="K209" s="6">
        <f>_xlfn.XLOOKUP(CALC_GAMES_BASE!W209,
  CALC_GOALIES!B:B,
  CALC_GOALIES!K:K)</f>
        <v>1.2463190300688209E-2</v>
      </c>
      <c r="L209" s="6">
        <f>_xlfn.XLOOKUP(C209,CALC_TEAMS_SEASON!B:B,CALC_TEAMS_SEASON!L:L)</f>
        <v>-0.19819677871148478</v>
      </c>
      <c r="M209">
        <f>IF(CALC_GAMES_BASE!Z209="RS",1,1.2)</f>
        <v>1</v>
      </c>
      <c r="N209">
        <f xml:space="preserve"> CALC_GAMES_BASE!Y209</f>
        <v>0</v>
      </c>
    </row>
    <row r="210" spans="1:14" x14ac:dyDescent="0.25">
      <c r="A210" t="str">
        <f>CALC_GAMES_BASE!A210</f>
        <v>25/26</v>
      </c>
      <c r="B210" s="3">
        <f>CALC_GAMES_BASE!B210</f>
        <v>45949</v>
      </c>
      <c r="C210" s="3" t="str">
        <f>CALC_GAMES_BASE!C210</f>
        <v>KVA</v>
      </c>
      <c r="D210" s="3" t="str">
        <f>CALC_GAMES_BASE!D210</f>
        <v>OLO</v>
      </c>
      <c r="E210" s="7">
        <f>CALC_GAMES_BASE!E210</f>
        <v>0</v>
      </c>
      <c r="F210" s="6" t="str">
        <f>CALC_GAMES_BASE!N210</f>
        <v/>
      </c>
      <c r="G210" s="7">
        <f>CALC_GAMES_BASE!K210</f>
        <v>5</v>
      </c>
      <c r="H210" s="7">
        <f t="shared" si="3"/>
        <v>0</v>
      </c>
      <c r="I210" s="6">
        <f>IF(H210=1,
  F210,
  G210*PARAMETRY!$B$11)</f>
        <v>0.25</v>
      </c>
      <c r="J210" s="6">
        <f>CALC_GAMES_BASE!U210-CALC_GAMES_BASE!V210</f>
        <v>2.3977411477411475E-2</v>
      </c>
      <c r="K210" s="6">
        <f>_xlfn.XLOOKUP(CALC_GAMES_BASE!W210,
  CALC_GOALIES!B:B,
  CALC_GOALIES!K:K)</f>
        <v>-2.2629454281007488E-2</v>
      </c>
      <c r="L210" s="6">
        <f>_xlfn.XLOOKUP(C210,CALC_TEAMS_SEASON!B:B,CALC_TEAMS_SEASON!L:L)</f>
        <v>-0.28757177871148476</v>
      </c>
      <c r="M210">
        <f>IF(CALC_GAMES_BASE!Z210="RS",1,1.2)</f>
        <v>1</v>
      </c>
      <c r="N210">
        <f xml:space="preserve"> CALC_GAMES_BASE!Y210</f>
        <v>0</v>
      </c>
    </row>
    <row r="211" spans="1:14" x14ac:dyDescent="0.25">
      <c r="A211" t="str">
        <f>CALC_GAMES_BASE!A211</f>
        <v>25/26</v>
      </c>
      <c r="B211" s="3">
        <f>CALC_GAMES_BASE!B211</f>
        <v>45949</v>
      </c>
      <c r="C211" s="3" t="str">
        <f>CALC_GAMES_BASE!C211</f>
        <v>LIB</v>
      </c>
      <c r="D211" s="3" t="str">
        <f>CALC_GAMES_BASE!D211</f>
        <v>TRI</v>
      </c>
      <c r="E211" s="7">
        <f>CALC_GAMES_BASE!E211</f>
        <v>1</v>
      </c>
      <c r="F211" s="6">
        <f>CALC_GAMES_BASE!N211</f>
        <v>0.87000000000000011</v>
      </c>
      <c r="G211" s="7">
        <f>CALC_GAMES_BASE!K211</f>
        <v>22</v>
      </c>
      <c r="H211" s="7">
        <f t="shared" si="3"/>
        <v>1</v>
      </c>
      <c r="I211" s="6">
        <f>IF(H211=1,
  F211,
  G211*PARAMETRY!$B$11)</f>
        <v>0.87000000000000011</v>
      </c>
      <c r="J211" s="6">
        <f>CALC_GAMES_BASE!U211-CALC_GAMES_BASE!V211</f>
        <v>-3.0601343101343131E-2</v>
      </c>
      <c r="K211" s="6">
        <f>_xlfn.XLOOKUP(CALC_GAMES_BASE!W211,
  CALC_GOALIES!B:B,
  CALC_GOALIES!K:K)</f>
        <v>1.2275709048813366E-2</v>
      </c>
      <c r="L211" s="6">
        <f>_xlfn.XLOOKUP(C211,CALC_TEAMS_SEASON!B:B,CALC_TEAMS_SEASON!L:L)</f>
        <v>0.22367822128851536</v>
      </c>
      <c r="M211">
        <f>IF(CALC_GAMES_BASE!Z211="RS",1,1.2)</f>
        <v>1</v>
      </c>
      <c r="N211">
        <f xml:space="preserve"> CALC_GAMES_BASE!Y211</f>
        <v>0</v>
      </c>
    </row>
    <row r="212" spans="1:14" x14ac:dyDescent="0.25">
      <c r="A212" t="str">
        <f>CALC_GAMES_BASE!A212</f>
        <v>25/26</v>
      </c>
      <c r="B212" s="3">
        <f>CALC_GAMES_BASE!B212</f>
        <v>45949</v>
      </c>
      <c r="C212" s="3" t="str">
        <f>CALC_GAMES_BASE!C212</f>
        <v>MBL</v>
      </c>
      <c r="D212" s="3" t="str">
        <f>CALC_GAMES_BASE!D212</f>
        <v>PCE</v>
      </c>
      <c r="E212" s="7">
        <f>CALC_GAMES_BASE!E212</f>
        <v>1</v>
      </c>
      <c r="F212" s="6">
        <f>CALC_GAMES_BASE!N212</f>
        <v>-1.8399999999999999</v>
      </c>
      <c r="G212" s="7">
        <f>CALC_GAMES_BASE!K212</f>
        <v>-9</v>
      </c>
      <c r="H212" s="7">
        <f t="shared" si="3"/>
        <v>1</v>
      </c>
      <c r="I212" s="6">
        <f>IF(H212=1,
  F212,
  G212*PARAMETRY!$B$11)</f>
        <v>-1.8399999999999999</v>
      </c>
      <c r="J212" s="6">
        <f>CALC_GAMES_BASE!U212-CALC_GAMES_BASE!V212</f>
        <v>-8.4706959706959753E-2</v>
      </c>
      <c r="K212" s="6">
        <f>_xlfn.XLOOKUP(CALC_GAMES_BASE!W212,
  CALC_GOALIES!B:B,
  CALC_GOALIES!K:K)</f>
        <v>-4.4670611186142795E-3</v>
      </c>
      <c r="L212" s="6">
        <f>_xlfn.XLOOKUP(C212,CALC_TEAMS_SEASON!B:B,CALC_TEAMS_SEASON!L:L)</f>
        <v>-0.89069677871148467</v>
      </c>
      <c r="M212">
        <f>IF(CALC_GAMES_BASE!Z212="RS",1,1.2)</f>
        <v>1</v>
      </c>
      <c r="N212">
        <f xml:space="preserve"> CALC_GAMES_BASE!Y212</f>
        <v>0</v>
      </c>
    </row>
    <row r="213" spans="1:14" x14ac:dyDescent="0.25">
      <c r="A213" t="str">
        <f>CALC_GAMES_BASE!A213</f>
        <v>25/26</v>
      </c>
      <c r="B213" s="3">
        <f>CALC_GAMES_BASE!B213</f>
        <v>45949</v>
      </c>
      <c r="C213" s="3" t="str">
        <f>CALC_GAMES_BASE!C213</f>
        <v>MHK</v>
      </c>
      <c r="D213" s="3" t="str">
        <f>CALC_GAMES_BASE!D213</f>
        <v>KLA</v>
      </c>
      <c r="E213" s="7">
        <f>CALC_GAMES_BASE!E213</f>
        <v>1</v>
      </c>
      <c r="F213" s="6" t="str">
        <f>CALC_GAMES_BASE!N213</f>
        <v/>
      </c>
      <c r="G213" s="7">
        <f>CALC_GAMES_BASE!K213</f>
        <v>11</v>
      </c>
      <c r="H213" s="7">
        <f t="shared" si="3"/>
        <v>0</v>
      </c>
      <c r="I213" s="6">
        <f>IF(H213=1,
  F213,
  G213*PARAMETRY!$B$11)</f>
        <v>0.55000000000000004</v>
      </c>
      <c r="J213" s="6">
        <f>CALC_GAMES_BASE!U213-CALC_GAMES_BASE!V213</f>
        <v>1.0645604395604441E-2</v>
      </c>
      <c r="K213" s="6">
        <f>_xlfn.XLOOKUP(CALC_GAMES_BASE!W213,
  CALC_GOALIES!B:B,
  CALC_GOALIES!K:K)</f>
        <v>2.1917994590268441E-2</v>
      </c>
      <c r="L213" s="6">
        <f>_xlfn.XLOOKUP(C213,CALC_TEAMS_SEASON!B:B,CALC_TEAMS_SEASON!L:L)</f>
        <v>0.14821988795518207</v>
      </c>
      <c r="M213">
        <f>IF(CALC_GAMES_BASE!Z213="RS",1,1.2)</f>
        <v>1</v>
      </c>
      <c r="N213">
        <f xml:space="preserve"> CALC_GAMES_BASE!Y213</f>
        <v>1</v>
      </c>
    </row>
    <row r="214" spans="1:14" x14ac:dyDescent="0.25">
      <c r="A214" t="str">
        <f>CALC_GAMES_BASE!A214</f>
        <v>25/26</v>
      </c>
      <c r="B214" s="3">
        <f>CALC_GAMES_BASE!B214</f>
        <v>45949</v>
      </c>
      <c r="C214" s="3" t="str">
        <f>CALC_GAMES_BASE!C214</f>
        <v>OLO</v>
      </c>
      <c r="D214" s="3" t="str">
        <f>CALC_GAMES_BASE!D214</f>
        <v>KVA</v>
      </c>
      <c r="E214" s="7">
        <f>CALC_GAMES_BASE!E214</f>
        <v>1</v>
      </c>
      <c r="F214" s="6" t="str">
        <f>CALC_GAMES_BASE!N214</f>
        <v/>
      </c>
      <c r="G214" s="7">
        <f>CALC_GAMES_BASE!K214</f>
        <v>-5</v>
      </c>
      <c r="H214" s="7">
        <f t="shared" si="3"/>
        <v>0</v>
      </c>
      <c r="I214" s="6">
        <f>IF(H214=1,
  F214,
  G214*PARAMETRY!$B$11)</f>
        <v>-0.25</v>
      </c>
      <c r="J214" s="6">
        <f>CALC_GAMES_BASE!U214-CALC_GAMES_BASE!V214</f>
        <v>-2.3977411477411475E-2</v>
      </c>
      <c r="K214" s="6">
        <f>_xlfn.XLOOKUP(CALC_GAMES_BASE!W214,
  CALC_GOALIES!B:B,
  CALC_GOALIES!K:K)</f>
        <v>4.4713327207696052E-3</v>
      </c>
      <c r="L214" s="6">
        <f>_xlfn.XLOOKUP(C214,CALC_TEAMS_SEASON!B:B,CALC_TEAMS_SEASON!L:L)</f>
        <v>-1.0613217787114846</v>
      </c>
      <c r="M214">
        <f>IF(CALC_GAMES_BASE!Z214="RS",1,1.2)</f>
        <v>1</v>
      </c>
      <c r="N214">
        <f xml:space="preserve"> CALC_GAMES_BASE!Y214</f>
        <v>1</v>
      </c>
    </row>
    <row r="215" spans="1:14" x14ac:dyDescent="0.25">
      <c r="A215" t="str">
        <f>CALC_GAMES_BASE!A215</f>
        <v>25/26</v>
      </c>
      <c r="B215" s="3">
        <f>CALC_GAMES_BASE!B215</f>
        <v>45949</v>
      </c>
      <c r="C215" s="3" t="str">
        <f>CALC_GAMES_BASE!C215</f>
        <v>PLZ</v>
      </c>
      <c r="D215" s="3" t="str">
        <f>CALC_GAMES_BASE!D215</f>
        <v>CEB</v>
      </c>
      <c r="E215" s="7">
        <f>CALC_GAMES_BASE!E215</f>
        <v>0</v>
      </c>
      <c r="F215" s="6" t="str">
        <f>CALC_GAMES_BASE!N215</f>
        <v/>
      </c>
      <c r="G215" s="7">
        <f>CALC_GAMES_BASE!K215</f>
        <v>7</v>
      </c>
      <c r="H215" s="7">
        <f t="shared" si="3"/>
        <v>0</v>
      </c>
      <c r="I215" s="6">
        <f>IF(H215=1,
  F215,
  G215*PARAMETRY!$B$11)</f>
        <v>0.35000000000000003</v>
      </c>
      <c r="J215" s="6">
        <f>CALC_GAMES_BASE!U215-CALC_GAMES_BASE!V215</f>
        <v>4.619824619824614E-2</v>
      </c>
      <c r="K215" s="6">
        <f>_xlfn.XLOOKUP(CALC_GAMES_BASE!W215,
  CALC_GOALIES!B:B,
  CALC_GOALIES!K:K)</f>
        <v>-1.4856765927271365E-3</v>
      </c>
      <c r="L215" s="6">
        <f>_xlfn.XLOOKUP(C215,CALC_TEAMS_SEASON!B:B,CALC_TEAMS_SEASON!L:L)</f>
        <v>7.3678221288515283E-2</v>
      </c>
      <c r="M215">
        <f>IF(CALC_GAMES_BASE!Z215="RS",1,1.2)</f>
        <v>1</v>
      </c>
      <c r="N215">
        <f xml:space="preserve"> CALC_GAMES_BASE!Y215</f>
        <v>1</v>
      </c>
    </row>
    <row r="216" spans="1:14" x14ac:dyDescent="0.25">
      <c r="A216" t="str">
        <f>CALC_GAMES_BASE!A216</f>
        <v>25/26</v>
      </c>
      <c r="B216" s="3">
        <f>CALC_GAMES_BASE!B216</f>
        <v>45951</v>
      </c>
      <c r="C216" s="3" t="str">
        <f>CALC_GAMES_BASE!C216</f>
        <v>TRI</v>
      </c>
      <c r="D216" s="3" t="str">
        <f>CALC_GAMES_BASE!D216</f>
        <v>SPA</v>
      </c>
      <c r="E216" s="7">
        <f>CALC_GAMES_BASE!E216</f>
        <v>0</v>
      </c>
      <c r="F216" s="6">
        <f>CALC_GAMES_BASE!N216</f>
        <v>1.98</v>
      </c>
      <c r="G216" s="7">
        <f>CALC_GAMES_BASE!K216</f>
        <v>13</v>
      </c>
      <c r="H216" s="7">
        <f t="shared" si="3"/>
        <v>1</v>
      </c>
      <c r="I216" s="6">
        <f>IF(H216=1,
  F216,
  G216*PARAMETRY!$B$11)</f>
        <v>1.98</v>
      </c>
      <c r="J216" s="6">
        <f>CALC_GAMES_BASE!U216-CALC_GAMES_BASE!V216</f>
        <v>-4.6230158730158732E-2</v>
      </c>
      <c r="K216" s="6">
        <f>_xlfn.XLOOKUP(CALC_GAMES_BASE!W216,
  CALC_GOALIES!B:B,
  CALC_GOALIES!K:K)</f>
        <v>1.3707542055988897E-2</v>
      </c>
      <c r="L216" s="6">
        <f>_xlfn.XLOOKUP(C216,CALC_TEAMS_SEASON!B:B,CALC_TEAMS_SEASON!L:L)</f>
        <v>0.10805322128851533</v>
      </c>
      <c r="M216">
        <f>IF(CALC_GAMES_BASE!Z216="RS",1,1.2)</f>
        <v>1</v>
      </c>
      <c r="N216">
        <f xml:space="preserve"> CALC_GAMES_BASE!Y216</f>
        <v>1</v>
      </c>
    </row>
    <row r="217" spans="1:14" x14ac:dyDescent="0.25">
      <c r="A217" t="str">
        <f>CALC_GAMES_BASE!A217</f>
        <v>25/26</v>
      </c>
      <c r="B217" s="3">
        <f>CALC_GAMES_BASE!B217</f>
        <v>45951</v>
      </c>
      <c r="C217" s="3" t="str">
        <f>CALC_GAMES_BASE!C217</f>
        <v>SPA</v>
      </c>
      <c r="D217" s="3" t="str">
        <f>CALC_GAMES_BASE!D217</f>
        <v>TRI</v>
      </c>
      <c r="E217" s="7">
        <f>CALC_GAMES_BASE!E217</f>
        <v>1</v>
      </c>
      <c r="F217" s="6">
        <f>CALC_GAMES_BASE!N217</f>
        <v>-1.98</v>
      </c>
      <c r="G217" s="7">
        <f>CALC_GAMES_BASE!K217</f>
        <v>-13</v>
      </c>
      <c r="H217" s="7">
        <f t="shared" si="3"/>
        <v>1</v>
      </c>
      <c r="I217" s="6">
        <f>IF(H217=1,
  F217,
  G217*PARAMETRY!$B$11)</f>
        <v>-1.98</v>
      </c>
      <c r="J217" s="6">
        <f>CALC_GAMES_BASE!U217-CALC_GAMES_BASE!V217</f>
        <v>4.6230158730158732E-2</v>
      </c>
      <c r="K217" s="6">
        <f>_xlfn.XLOOKUP(CALC_GAMES_BASE!W217,
  CALC_GOALIES!B:B,
  CALC_GOALIES!K:K)</f>
        <v>3.5919237922225067E-3</v>
      </c>
      <c r="L217" s="6">
        <f>_xlfn.XLOOKUP(C217,CALC_TEAMS_SEASON!B:B,CALC_TEAMS_SEASON!L:L)</f>
        <v>6.4376750700279955E-2</v>
      </c>
      <c r="M217">
        <f>IF(CALC_GAMES_BASE!Z217="RS",1,1.2)</f>
        <v>1</v>
      </c>
      <c r="N217">
        <f xml:space="preserve"> CALC_GAMES_BASE!Y217</f>
        <v>0</v>
      </c>
    </row>
    <row r="218" spans="1:14" x14ac:dyDescent="0.25">
      <c r="A218" t="str">
        <f>CALC_GAMES_BASE!A218</f>
        <v>25/26</v>
      </c>
      <c r="B218" s="3">
        <f>CALC_GAMES_BASE!B218</f>
        <v>45951</v>
      </c>
      <c r="C218" s="3" t="str">
        <f>CALC_GAMES_BASE!C218</f>
        <v>CEB</v>
      </c>
      <c r="D218" s="3" t="str">
        <f>CALC_GAMES_BASE!D218</f>
        <v>MHK</v>
      </c>
      <c r="E218" s="7">
        <f>CALC_GAMES_BASE!E218</f>
        <v>1</v>
      </c>
      <c r="F218" s="6" t="str">
        <f>CALC_GAMES_BASE!N218</f>
        <v/>
      </c>
      <c r="G218" s="7">
        <f>CALC_GAMES_BASE!K218</f>
        <v>-4</v>
      </c>
      <c r="H218" s="7">
        <f t="shared" si="3"/>
        <v>0</v>
      </c>
      <c r="I218" s="6">
        <f>IF(H218=1,
  F218,
  G218*PARAMETRY!$B$11)</f>
        <v>-0.2</v>
      </c>
      <c r="J218" s="6">
        <f>CALC_GAMES_BASE!U218-CALC_GAMES_BASE!V218</f>
        <v>-1.1636280386280395E-2</v>
      </c>
      <c r="K218" s="6">
        <f>_xlfn.XLOOKUP(CALC_GAMES_BASE!W218,
  CALC_GOALIES!B:B,
  CALC_GOALIES!K:K)</f>
        <v>-1.372632037787358E-2</v>
      </c>
      <c r="L218" s="6">
        <f>_xlfn.XLOOKUP(C218,CALC_TEAMS_SEASON!B:B,CALC_TEAMS_SEASON!L:L)</f>
        <v>-0.24978011204481798</v>
      </c>
      <c r="M218">
        <f>IF(CALC_GAMES_BASE!Z218="RS",1,1.2)</f>
        <v>1</v>
      </c>
      <c r="N218">
        <f xml:space="preserve"> CALC_GAMES_BASE!Y218</f>
        <v>0</v>
      </c>
    </row>
    <row r="219" spans="1:14" x14ac:dyDescent="0.25">
      <c r="A219" t="str">
        <f>CALC_GAMES_BASE!A219</f>
        <v>25/26</v>
      </c>
      <c r="B219" s="3">
        <f>CALC_GAMES_BASE!B219</f>
        <v>45951</v>
      </c>
      <c r="C219" s="3" t="str">
        <f>CALC_GAMES_BASE!C219</f>
        <v>LIT</v>
      </c>
      <c r="D219" s="3" t="str">
        <f>CALC_GAMES_BASE!D219</f>
        <v>OLO</v>
      </c>
      <c r="E219" s="7">
        <f>CALC_GAMES_BASE!E219</f>
        <v>0</v>
      </c>
      <c r="F219" s="6" t="str">
        <f>CALC_GAMES_BASE!N219</f>
        <v/>
      </c>
      <c r="G219" s="7">
        <f>CALC_GAMES_BASE!K219</f>
        <v>-10</v>
      </c>
      <c r="H219" s="7">
        <f t="shared" si="3"/>
        <v>0</v>
      </c>
      <c r="I219" s="6">
        <f>IF(H219=1,
  F219,
  G219*PARAMETRY!$B$11)</f>
        <v>-0.5</v>
      </c>
      <c r="J219" s="6">
        <f>CALC_GAMES_BASE!U219-CALC_GAMES_BASE!V219</f>
        <v>-4.9000305250305284E-2</v>
      </c>
      <c r="K219" s="6">
        <f>_xlfn.XLOOKUP(CALC_GAMES_BASE!W219,
  CALC_GOALIES!B:B,
  CALC_GOALIES!K:K)</f>
        <v>-8.1125178551773036E-3</v>
      </c>
      <c r="L219" s="6">
        <f>_xlfn.XLOOKUP(C219,CALC_TEAMS_SEASON!B:B,CALC_TEAMS_SEASON!L:L)</f>
        <v>-1.4784467787114848</v>
      </c>
      <c r="M219">
        <f>IF(CALC_GAMES_BASE!Z219="RS",1,1.2)</f>
        <v>1</v>
      </c>
      <c r="N219">
        <f xml:space="preserve"> CALC_GAMES_BASE!Y219</f>
        <v>0</v>
      </c>
    </row>
    <row r="220" spans="1:14" x14ac:dyDescent="0.25">
      <c r="A220" t="str">
        <f>CALC_GAMES_BASE!A220</f>
        <v>25/26</v>
      </c>
      <c r="B220" s="3">
        <f>CALC_GAMES_BASE!B220</f>
        <v>45951</v>
      </c>
      <c r="C220" s="3" t="str">
        <f>CALC_GAMES_BASE!C220</f>
        <v>MHK</v>
      </c>
      <c r="D220" s="3" t="str">
        <f>CALC_GAMES_BASE!D220</f>
        <v>CEB</v>
      </c>
      <c r="E220" s="7">
        <f>CALC_GAMES_BASE!E220</f>
        <v>0</v>
      </c>
      <c r="F220" s="6" t="str">
        <f>CALC_GAMES_BASE!N220</f>
        <v/>
      </c>
      <c r="G220" s="7">
        <f>CALC_GAMES_BASE!K220</f>
        <v>4</v>
      </c>
      <c r="H220" s="7">
        <f t="shared" si="3"/>
        <v>0</v>
      </c>
      <c r="I220" s="6">
        <f>IF(H220=1,
  F220,
  G220*PARAMETRY!$B$11)</f>
        <v>0.2</v>
      </c>
      <c r="J220" s="6">
        <f>CALC_GAMES_BASE!U220-CALC_GAMES_BASE!V220</f>
        <v>1.1636280386280395E-2</v>
      </c>
      <c r="K220" s="6">
        <f>_xlfn.XLOOKUP(CALC_GAMES_BASE!W220,
  CALC_GOALIES!B:B,
  CALC_GOALIES!K:K)</f>
        <v>2.1917994590268441E-2</v>
      </c>
      <c r="L220" s="6">
        <f>_xlfn.XLOOKUP(C220,CALC_TEAMS_SEASON!B:B,CALC_TEAMS_SEASON!L:L)</f>
        <v>0.14821988795518207</v>
      </c>
      <c r="M220">
        <f>IF(CALC_GAMES_BASE!Z220="RS",1,1.2)</f>
        <v>1</v>
      </c>
      <c r="N220">
        <f xml:space="preserve"> CALC_GAMES_BASE!Y220</f>
        <v>1</v>
      </c>
    </row>
    <row r="221" spans="1:14" x14ac:dyDescent="0.25">
      <c r="A221" t="str">
        <f>CALC_GAMES_BASE!A221</f>
        <v>25/26</v>
      </c>
      <c r="B221" s="3">
        <f>CALC_GAMES_BASE!B221</f>
        <v>45951</v>
      </c>
      <c r="C221" s="3" t="str">
        <f>CALC_GAMES_BASE!C221</f>
        <v>OLO</v>
      </c>
      <c r="D221" s="3" t="str">
        <f>CALC_GAMES_BASE!D221</f>
        <v>LIT</v>
      </c>
      <c r="E221" s="7">
        <f>CALC_GAMES_BASE!E221</f>
        <v>1</v>
      </c>
      <c r="F221" s="6" t="str">
        <f>CALC_GAMES_BASE!N221</f>
        <v/>
      </c>
      <c r="G221" s="7">
        <f>CALC_GAMES_BASE!K221</f>
        <v>10</v>
      </c>
      <c r="H221" s="7">
        <f t="shared" si="3"/>
        <v>0</v>
      </c>
      <c r="I221" s="6">
        <f>IF(H221=1,
  F221,
  G221*PARAMETRY!$B$11)</f>
        <v>0.5</v>
      </c>
      <c r="J221" s="6">
        <f>CALC_GAMES_BASE!U221-CALC_GAMES_BASE!V221</f>
        <v>4.9000305250305284E-2</v>
      </c>
      <c r="K221" s="6">
        <f>_xlfn.XLOOKUP(CALC_GAMES_BASE!W221,
  CALC_GOALIES!B:B,
  CALC_GOALIES!K:K)</f>
        <v>4.4713327207696052E-3</v>
      </c>
      <c r="L221" s="6">
        <f>_xlfn.XLOOKUP(C221,CALC_TEAMS_SEASON!B:B,CALC_TEAMS_SEASON!L:L)</f>
        <v>-1.0613217787114846</v>
      </c>
      <c r="M221">
        <f>IF(CALC_GAMES_BASE!Z221="RS",1,1.2)</f>
        <v>1</v>
      </c>
      <c r="N221">
        <f xml:space="preserve"> CALC_GAMES_BASE!Y221</f>
        <v>1</v>
      </c>
    </row>
    <row r="222" spans="1:14" x14ac:dyDescent="0.25">
      <c r="A222" t="str">
        <f>CALC_GAMES_BASE!A222</f>
        <v>25/26</v>
      </c>
      <c r="B222" s="3">
        <f>CALC_GAMES_BASE!B222</f>
        <v>45952</v>
      </c>
      <c r="C222" s="3" t="str">
        <f>CALC_GAMES_BASE!C222</f>
        <v>SPA</v>
      </c>
      <c r="D222" s="3" t="str">
        <f>CALC_GAMES_BASE!D222</f>
        <v>VIT</v>
      </c>
      <c r="E222" s="7">
        <f>CALC_GAMES_BASE!E222</f>
        <v>1</v>
      </c>
      <c r="F222" s="6">
        <f>CALC_GAMES_BASE!N222</f>
        <v>-1.4</v>
      </c>
      <c r="G222" s="7">
        <f>CALC_GAMES_BASE!K222</f>
        <v>-10</v>
      </c>
      <c r="H222" s="7">
        <f t="shared" si="3"/>
        <v>1</v>
      </c>
      <c r="I222" s="6">
        <f>IF(H222=1,
  F222,
  G222*PARAMETRY!$B$11)</f>
        <v>-1.4</v>
      </c>
      <c r="J222" s="6">
        <f>CALC_GAMES_BASE!U222-CALC_GAMES_BASE!V222</f>
        <v>5.0755494505494519E-2</v>
      </c>
      <c r="K222" s="6">
        <f>_xlfn.XLOOKUP(CALC_GAMES_BASE!W222,
  CALC_GOALIES!B:B,
  CALC_GOALIES!K:K)</f>
        <v>3.5919237922225067E-3</v>
      </c>
      <c r="L222" s="6">
        <f>_xlfn.XLOOKUP(C222,CALC_TEAMS_SEASON!B:B,CALC_TEAMS_SEASON!L:L)</f>
        <v>6.4376750700279955E-2</v>
      </c>
      <c r="M222">
        <f>IF(CALC_GAMES_BASE!Z222="RS",1,1.2)</f>
        <v>1</v>
      </c>
      <c r="N222">
        <f xml:space="preserve"> CALC_GAMES_BASE!Y222</f>
        <v>1</v>
      </c>
    </row>
    <row r="223" spans="1:14" x14ac:dyDescent="0.25">
      <c r="A223" t="str">
        <f>CALC_GAMES_BASE!A223</f>
        <v>25/26</v>
      </c>
      <c r="B223" s="3">
        <f>CALC_GAMES_BASE!B223</f>
        <v>45952</v>
      </c>
      <c r="C223" s="3" t="str">
        <f>CALC_GAMES_BASE!C223</f>
        <v>VIT</v>
      </c>
      <c r="D223" s="3" t="str">
        <f>CALC_GAMES_BASE!D223</f>
        <v>SPA</v>
      </c>
      <c r="E223" s="7">
        <f>CALC_GAMES_BASE!E223</f>
        <v>0</v>
      </c>
      <c r="F223" s="6">
        <f>CALC_GAMES_BASE!N223</f>
        <v>1.4</v>
      </c>
      <c r="G223" s="7">
        <f>CALC_GAMES_BASE!K223</f>
        <v>10</v>
      </c>
      <c r="H223" s="7">
        <f t="shared" si="3"/>
        <v>1</v>
      </c>
      <c r="I223" s="6">
        <f>IF(H223=1,
  F223,
  G223*PARAMETRY!$B$11)</f>
        <v>1.4</v>
      </c>
      <c r="J223" s="6">
        <f>CALC_GAMES_BASE!U223-CALC_GAMES_BASE!V223</f>
        <v>-5.0755494505494519E-2</v>
      </c>
      <c r="K223" s="6">
        <f>_xlfn.XLOOKUP(CALC_GAMES_BASE!W223,
  CALC_GOALIES!B:B,
  CALC_GOALIES!K:K)</f>
        <v>1.905487900993541E-3</v>
      </c>
      <c r="L223" s="6">
        <f>_xlfn.XLOOKUP(C223,CALC_TEAMS_SEASON!B:B,CALC_TEAMS_SEASON!L:L)</f>
        <v>-1.0281967787114845</v>
      </c>
      <c r="M223">
        <f>IF(CALC_GAMES_BASE!Z223="RS",1,1.2)</f>
        <v>1</v>
      </c>
      <c r="N223">
        <f xml:space="preserve"> CALC_GAMES_BASE!Y223</f>
        <v>0</v>
      </c>
    </row>
    <row r="224" spans="1:14" x14ac:dyDescent="0.25">
      <c r="A224" t="str">
        <f>CALC_GAMES_BASE!A224</f>
        <v>25/26</v>
      </c>
      <c r="B224" s="3">
        <f>CALC_GAMES_BASE!B224</f>
        <v>45953</v>
      </c>
      <c r="C224" s="3" t="str">
        <f>CALC_GAMES_BASE!C224</f>
        <v>PCE</v>
      </c>
      <c r="D224" s="3" t="str">
        <f>CALC_GAMES_BASE!D224</f>
        <v>CEB</v>
      </c>
      <c r="E224" s="7">
        <f>CALC_GAMES_BASE!E224</f>
        <v>1</v>
      </c>
      <c r="F224" s="6">
        <f>CALC_GAMES_BASE!N224</f>
        <v>0.25999999999999979</v>
      </c>
      <c r="G224" s="7">
        <f>CALC_GAMES_BASE!K224</f>
        <v>0</v>
      </c>
      <c r="H224" s="7">
        <f t="shared" si="3"/>
        <v>1</v>
      </c>
      <c r="I224" s="6">
        <f>IF(H224=1,
  F224,
  G224*PARAMETRY!$B$11)</f>
        <v>0.25999999999999979</v>
      </c>
      <c r="J224" s="6">
        <f>CALC_GAMES_BASE!U224-CALC_GAMES_BASE!V224</f>
        <v>7.2762654012654054E-2</v>
      </c>
      <c r="K224" s="6">
        <f>_xlfn.XLOOKUP(CALC_GAMES_BASE!W224,
  CALC_GOALIES!B:B,
  CALC_GOALIES!K:K)</f>
        <v>4.5881077393388203E-3</v>
      </c>
      <c r="L224" s="6">
        <f>_xlfn.XLOOKUP(C224,CALC_TEAMS_SEASON!B:B,CALC_TEAMS_SEASON!L:L)</f>
        <v>0.62437675070027965</v>
      </c>
      <c r="M224">
        <f>IF(CALC_GAMES_BASE!Z224="RS",1,1.2)</f>
        <v>1</v>
      </c>
      <c r="N224">
        <f xml:space="preserve"> CALC_GAMES_BASE!Y224</f>
        <v>1</v>
      </c>
    </row>
    <row r="225" spans="1:14" x14ac:dyDescent="0.25">
      <c r="A225" t="str">
        <f>CALC_GAMES_BASE!A225</f>
        <v>25/26</v>
      </c>
      <c r="B225" s="3">
        <f>CALC_GAMES_BASE!B225</f>
        <v>45953</v>
      </c>
      <c r="C225" s="3" t="str">
        <f>CALC_GAMES_BASE!C225</f>
        <v>CEB</v>
      </c>
      <c r="D225" s="3" t="str">
        <f>CALC_GAMES_BASE!D225</f>
        <v>PCE</v>
      </c>
      <c r="E225" s="7">
        <f>CALC_GAMES_BASE!E225</f>
        <v>0</v>
      </c>
      <c r="F225" s="6">
        <f>CALC_GAMES_BASE!N225</f>
        <v>-0.25999999999999979</v>
      </c>
      <c r="G225" s="7">
        <f>CALC_GAMES_BASE!K225</f>
        <v>0</v>
      </c>
      <c r="H225" s="7">
        <f t="shared" si="3"/>
        <v>1</v>
      </c>
      <c r="I225" s="6">
        <f>IF(H225=1,
  F225,
  G225*PARAMETRY!$B$11)</f>
        <v>-0.25999999999999979</v>
      </c>
      <c r="J225" s="6">
        <f>CALC_GAMES_BASE!U225-CALC_GAMES_BASE!V225</f>
        <v>-7.2762654012654054E-2</v>
      </c>
      <c r="K225" s="6">
        <f>_xlfn.XLOOKUP(CALC_GAMES_BASE!W225,
  CALC_GOALIES!B:B,
  CALC_GOALIES!K:K)</f>
        <v>-1.372632037787358E-2</v>
      </c>
      <c r="L225" s="6">
        <f>_xlfn.XLOOKUP(C225,CALC_TEAMS_SEASON!B:B,CALC_TEAMS_SEASON!L:L)</f>
        <v>-0.24978011204481798</v>
      </c>
      <c r="M225">
        <f>IF(CALC_GAMES_BASE!Z225="RS",1,1.2)</f>
        <v>1</v>
      </c>
      <c r="N225">
        <f xml:space="preserve"> CALC_GAMES_BASE!Y225</f>
        <v>0</v>
      </c>
    </row>
    <row r="226" spans="1:14" x14ac:dyDescent="0.25">
      <c r="A226" t="str">
        <f>CALC_GAMES_BASE!A226</f>
        <v>25/26</v>
      </c>
      <c r="B226" s="3">
        <f>CALC_GAMES_BASE!B226</f>
        <v>45954</v>
      </c>
      <c r="C226" s="3" t="str">
        <f>CALC_GAMES_BASE!C226</f>
        <v>TRI</v>
      </c>
      <c r="D226" s="3" t="str">
        <f>CALC_GAMES_BASE!D226</f>
        <v>MBL</v>
      </c>
      <c r="E226" s="7">
        <f>CALC_GAMES_BASE!E226</f>
        <v>1</v>
      </c>
      <c r="F226" s="6">
        <f>CALC_GAMES_BASE!N226</f>
        <v>2.3099999999999996</v>
      </c>
      <c r="G226" s="7">
        <f>CALC_GAMES_BASE!K226</f>
        <v>21</v>
      </c>
      <c r="H226" s="7">
        <f t="shared" si="3"/>
        <v>1</v>
      </c>
      <c r="I226" s="6">
        <f>IF(H226=1,
  F226,
  G226*PARAMETRY!$B$11)</f>
        <v>2.3099999999999996</v>
      </c>
      <c r="J226" s="6">
        <f>CALC_GAMES_BASE!U226-CALC_GAMES_BASE!V226</f>
        <v>5.6105006105006142E-2</v>
      </c>
      <c r="K226" s="6">
        <f>_xlfn.XLOOKUP(CALC_GAMES_BASE!W226,
  CALC_GOALIES!B:B,
  CALC_GOALIES!K:K)</f>
        <v>1.3707542055988897E-2</v>
      </c>
      <c r="L226" s="6">
        <f>_xlfn.XLOOKUP(C226,CALC_TEAMS_SEASON!B:B,CALC_TEAMS_SEASON!L:L)</f>
        <v>0.10805322128851533</v>
      </c>
      <c r="M226">
        <f>IF(CALC_GAMES_BASE!Z226="RS",1,1.2)</f>
        <v>1</v>
      </c>
      <c r="N226">
        <f xml:space="preserve"> CALC_GAMES_BASE!Y226</f>
        <v>1</v>
      </c>
    </row>
    <row r="227" spans="1:14" x14ac:dyDescent="0.25">
      <c r="A227" t="str">
        <f>CALC_GAMES_BASE!A227</f>
        <v>25/26</v>
      </c>
      <c r="B227" s="3">
        <f>CALC_GAMES_BASE!B227</f>
        <v>45954</v>
      </c>
      <c r="C227" s="3" t="str">
        <f>CALC_GAMES_BASE!C227</f>
        <v>SPA</v>
      </c>
      <c r="D227" s="3" t="str">
        <f>CALC_GAMES_BASE!D227</f>
        <v>KVA</v>
      </c>
      <c r="E227" s="7">
        <f>CALC_GAMES_BASE!E227</f>
        <v>0</v>
      </c>
      <c r="F227" s="6">
        <f>CALC_GAMES_BASE!N227</f>
        <v>-0.71</v>
      </c>
      <c r="G227" s="7">
        <f>CALC_GAMES_BASE!K227</f>
        <v>-5</v>
      </c>
      <c r="H227" s="7">
        <f t="shared" si="3"/>
        <v>1</v>
      </c>
      <c r="I227" s="6">
        <f>IF(H227=1,
  F227,
  G227*PARAMETRY!$B$11)</f>
        <v>-0.71</v>
      </c>
      <c r="J227" s="6">
        <f>CALC_GAMES_BASE!U227-CALC_GAMES_BASE!V227</f>
        <v>4.6733821733821762E-2</v>
      </c>
      <c r="K227" s="6">
        <f>_xlfn.XLOOKUP(CALC_GAMES_BASE!W227,
  CALC_GOALIES!B:B,
  CALC_GOALIES!K:K)</f>
        <v>-1.0634669404866681E-2</v>
      </c>
      <c r="L227" s="6">
        <f>_xlfn.XLOOKUP(C227,CALC_TEAMS_SEASON!B:B,CALC_TEAMS_SEASON!L:L)</f>
        <v>6.4376750700279955E-2</v>
      </c>
      <c r="M227">
        <f>IF(CALC_GAMES_BASE!Z227="RS",1,1.2)</f>
        <v>1</v>
      </c>
      <c r="N227">
        <f xml:space="preserve"> CALC_GAMES_BASE!Y227</f>
        <v>0</v>
      </c>
    </row>
    <row r="228" spans="1:14" x14ac:dyDescent="0.25">
      <c r="A228" t="str">
        <f>CALC_GAMES_BASE!A228</f>
        <v>25/26</v>
      </c>
      <c r="B228" s="3">
        <f>CALC_GAMES_BASE!B228</f>
        <v>45954</v>
      </c>
      <c r="C228" s="3" t="str">
        <f>CALC_GAMES_BASE!C228</f>
        <v>KVA</v>
      </c>
      <c r="D228" s="3" t="str">
        <f>CALC_GAMES_BASE!D228</f>
        <v>SPA</v>
      </c>
      <c r="E228" s="7">
        <f>CALC_GAMES_BASE!E228</f>
        <v>1</v>
      </c>
      <c r="F228" s="6">
        <f>CALC_GAMES_BASE!N228</f>
        <v>0.71</v>
      </c>
      <c r="G228" s="7">
        <f>CALC_GAMES_BASE!K228</f>
        <v>5</v>
      </c>
      <c r="H228" s="7">
        <f t="shared" si="3"/>
        <v>1</v>
      </c>
      <c r="I228" s="6">
        <f>IF(H228=1,
  F228,
  G228*PARAMETRY!$B$11)</f>
        <v>0.71</v>
      </c>
      <c r="J228" s="6">
        <f>CALC_GAMES_BASE!U228-CALC_GAMES_BASE!V228</f>
        <v>-4.6733821733821762E-2</v>
      </c>
      <c r="K228" s="6">
        <f>_xlfn.XLOOKUP(CALC_GAMES_BASE!W228,
  CALC_GOALIES!B:B,
  CALC_GOALIES!K:K)</f>
        <v>1.2242809776983998E-2</v>
      </c>
      <c r="L228" s="6">
        <f>_xlfn.XLOOKUP(C228,CALC_TEAMS_SEASON!B:B,CALC_TEAMS_SEASON!L:L)</f>
        <v>-0.28757177871148476</v>
      </c>
      <c r="M228">
        <f>IF(CALC_GAMES_BASE!Z228="RS",1,1.2)</f>
        <v>1</v>
      </c>
      <c r="N228">
        <f xml:space="preserve"> CALC_GAMES_BASE!Y228</f>
        <v>1</v>
      </c>
    </row>
    <row r="229" spans="1:14" x14ac:dyDescent="0.25">
      <c r="A229" t="str">
        <f>CALC_GAMES_BASE!A229</f>
        <v>25/26</v>
      </c>
      <c r="B229" s="3">
        <f>CALC_GAMES_BASE!B229</f>
        <v>45954</v>
      </c>
      <c r="C229" s="3" t="str">
        <f>CALC_GAMES_BASE!C229</f>
        <v>KOM</v>
      </c>
      <c r="D229" s="3" t="str">
        <f>CALC_GAMES_BASE!D229</f>
        <v>VIT</v>
      </c>
      <c r="E229" s="7">
        <f>CALC_GAMES_BASE!E229</f>
        <v>1</v>
      </c>
      <c r="F229" s="6">
        <f>CALC_GAMES_BASE!N229</f>
        <v>0.89000000000000012</v>
      </c>
      <c r="G229" s="7">
        <f>CALC_GAMES_BASE!K229</f>
        <v>3</v>
      </c>
      <c r="H229" s="7">
        <f t="shared" si="3"/>
        <v>1</v>
      </c>
      <c r="I229" s="6">
        <f>IF(H229=1,
  F229,
  G229*PARAMETRY!$B$11)</f>
        <v>0.89000000000000012</v>
      </c>
      <c r="J229" s="6">
        <f>CALC_GAMES_BASE!U229-CALC_GAMES_BASE!V229</f>
        <v>-2.6259157509157555E-2</v>
      </c>
      <c r="K229" s="6">
        <f>_xlfn.XLOOKUP(CALC_GAMES_BASE!W229,
  CALC_GOALIES!B:B,
  CALC_GOALIES!K:K)</f>
        <v>-1.5147095063735572E-3</v>
      </c>
      <c r="L229" s="6">
        <f>_xlfn.XLOOKUP(C229,CALC_TEAMS_SEASON!B:B,CALC_TEAMS_SEASON!L:L)</f>
        <v>-0.37268207282913179</v>
      </c>
      <c r="M229">
        <f>IF(CALC_GAMES_BASE!Z229="RS",1,1.2)</f>
        <v>1</v>
      </c>
      <c r="N229">
        <f xml:space="preserve"> CALC_GAMES_BASE!Y229</f>
        <v>1</v>
      </c>
    </row>
    <row r="230" spans="1:14" x14ac:dyDescent="0.25">
      <c r="A230" t="str">
        <f>CALC_GAMES_BASE!A230</f>
        <v>25/26</v>
      </c>
      <c r="B230" s="3">
        <f>CALC_GAMES_BASE!B230</f>
        <v>45954</v>
      </c>
      <c r="C230" s="3" t="str">
        <f>CALC_GAMES_BASE!C230</f>
        <v>KLA</v>
      </c>
      <c r="D230" s="3" t="str">
        <f>CALC_GAMES_BASE!D230</f>
        <v>OLO</v>
      </c>
      <c r="E230" s="7">
        <f>CALC_GAMES_BASE!E230</f>
        <v>1</v>
      </c>
      <c r="F230" s="6" t="str">
        <f>CALC_GAMES_BASE!N230</f>
        <v/>
      </c>
      <c r="G230" s="7">
        <f>CALC_GAMES_BASE!K230</f>
        <v>9</v>
      </c>
      <c r="H230" s="7">
        <f t="shared" si="3"/>
        <v>0</v>
      </c>
      <c r="I230" s="6">
        <f>IF(H230=1,
  F230,
  G230*PARAMETRY!$B$11)</f>
        <v>0.45</v>
      </c>
      <c r="J230" s="6">
        <f>CALC_GAMES_BASE!U230-CALC_GAMES_BASE!V230</f>
        <v>-1.8688949938949984E-2</v>
      </c>
      <c r="K230" s="6">
        <f>_xlfn.XLOOKUP(CALC_GAMES_BASE!W230,
  CALC_GOALIES!B:B,
  CALC_GOALIES!K:K)</f>
        <v>-1.9185137403854746E-2</v>
      </c>
      <c r="L230" s="6">
        <f>_xlfn.XLOOKUP(C230,CALC_TEAMS_SEASON!B:B,CALC_TEAMS_SEASON!L:L)</f>
        <v>-0.19819677871148478</v>
      </c>
      <c r="M230">
        <f>IF(CALC_GAMES_BASE!Z230="RS",1,1.2)</f>
        <v>1</v>
      </c>
      <c r="N230">
        <f xml:space="preserve"> CALC_GAMES_BASE!Y230</f>
        <v>1</v>
      </c>
    </row>
    <row r="231" spans="1:14" x14ac:dyDescent="0.25">
      <c r="A231" t="str">
        <f>CALC_GAMES_BASE!A231</f>
        <v>25/26</v>
      </c>
      <c r="B231" s="3">
        <f>CALC_GAMES_BASE!B231</f>
        <v>45954</v>
      </c>
      <c r="C231" s="3" t="str">
        <f>CALC_GAMES_BASE!C231</f>
        <v>LIB</v>
      </c>
      <c r="D231" s="3" t="str">
        <f>CALC_GAMES_BASE!D231</f>
        <v>LIT</v>
      </c>
      <c r="E231" s="7">
        <f>CALC_GAMES_BASE!E231</f>
        <v>0</v>
      </c>
      <c r="F231" s="6" t="str">
        <f>CALC_GAMES_BASE!N231</f>
        <v/>
      </c>
      <c r="G231" s="7">
        <f>CALC_GAMES_BASE!K231</f>
        <v>-4</v>
      </c>
      <c r="H231" s="7">
        <f t="shared" si="3"/>
        <v>0</v>
      </c>
      <c r="I231" s="6">
        <f>IF(H231=1,
  F231,
  G231*PARAMETRY!$B$11)</f>
        <v>-0.2</v>
      </c>
      <c r="J231" s="6">
        <f>CALC_GAMES_BASE!U231-CALC_GAMES_BASE!V231</f>
        <v>4.2880036630036658E-2</v>
      </c>
      <c r="K231" s="6">
        <f>_xlfn.XLOOKUP(CALC_GAMES_BASE!W231,
  CALC_GOALIES!B:B,
  CALC_GOALIES!K:K)</f>
        <v>1.2275709048813366E-2</v>
      </c>
      <c r="L231" s="6">
        <f>_xlfn.XLOOKUP(C231,CALC_TEAMS_SEASON!B:B,CALC_TEAMS_SEASON!L:L)</f>
        <v>0.22367822128851536</v>
      </c>
      <c r="M231">
        <f>IF(CALC_GAMES_BASE!Z231="RS",1,1.2)</f>
        <v>1</v>
      </c>
      <c r="N231">
        <f xml:space="preserve"> CALC_GAMES_BASE!Y231</f>
        <v>0</v>
      </c>
    </row>
    <row r="232" spans="1:14" x14ac:dyDescent="0.25">
      <c r="A232" t="str">
        <f>CALC_GAMES_BASE!A232</f>
        <v>25/26</v>
      </c>
      <c r="B232" s="3">
        <f>CALC_GAMES_BASE!B232</f>
        <v>45954</v>
      </c>
      <c r="C232" s="3" t="str">
        <f>CALC_GAMES_BASE!C232</f>
        <v>LIT</v>
      </c>
      <c r="D232" s="3" t="str">
        <f>CALC_GAMES_BASE!D232</f>
        <v>LIB</v>
      </c>
      <c r="E232" s="7">
        <f>CALC_GAMES_BASE!E232</f>
        <v>1</v>
      </c>
      <c r="F232" s="6" t="str">
        <f>CALC_GAMES_BASE!N232</f>
        <v/>
      </c>
      <c r="G232" s="7">
        <f>CALC_GAMES_BASE!K232</f>
        <v>4</v>
      </c>
      <c r="H232" s="7">
        <f t="shared" si="3"/>
        <v>0</v>
      </c>
      <c r="I232" s="6">
        <f>IF(H232=1,
  F232,
  G232*PARAMETRY!$B$11)</f>
        <v>0.2</v>
      </c>
      <c r="J232" s="6">
        <f>CALC_GAMES_BASE!U232-CALC_GAMES_BASE!V232</f>
        <v>-4.2880036630036658E-2</v>
      </c>
      <c r="K232" s="6">
        <f>_xlfn.XLOOKUP(CALC_GAMES_BASE!W232,
  CALC_GOALIES!B:B,
  CALC_GOALIES!K:K)</f>
        <v>-4.9010888963920696E-3</v>
      </c>
      <c r="L232" s="6">
        <f>_xlfn.XLOOKUP(C232,CALC_TEAMS_SEASON!B:B,CALC_TEAMS_SEASON!L:L)</f>
        <v>-1.4784467787114848</v>
      </c>
      <c r="M232">
        <f>IF(CALC_GAMES_BASE!Z232="RS",1,1.2)</f>
        <v>1</v>
      </c>
      <c r="N232">
        <f xml:space="preserve"> CALC_GAMES_BASE!Y232</f>
        <v>1</v>
      </c>
    </row>
    <row r="233" spans="1:14" x14ac:dyDescent="0.25">
      <c r="A233" t="str">
        <f>CALC_GAMES_BASE!A233</f>
        <v>25/26</v>
      </c>
      <c r="B233" s="3">
        <f>CALC_GAMES_BASE!B233</f>
        <v>45954</v>
      </c>
      <c r="C233" s="3" t="str">
        <f>CALC_GAMES_BASE!C233</f>
        <v>MBL</v>
      </c>
      <c r="D233" s="3" t="str">
        <f>CALC_GAMES_BASE!D233</f>
        <v>TRI</v>
      </c>
      <c r="E233" s="7">
        <f>CALC_GAMES_BASE!E233</f>
        <v>0</v>
      </c>
      <c r="F233" s="6">
        <f>CALC_GAMES_BASE!N233</f>
        <v>-2.3099999999999996</v>
      </c>
      <c r="G233" s="7">
        <f>CALC_GAMES_BASE!K233</f>
        <v>-21</v>
      </c>
      <c r="H233" s="7">
        <f t="shared" si="3"/>
        <v>1</v>
      </c>
      <c r="I233" s="6">
        <f>IF(H233=1,
  F233,
  G233*PARAMETRY!$B$11)</f>
        <v>-2.3099999999999996</v>
      </c>
      <c r="J233" s="6">
        <f>CALC_GAMES_BASE!U233-CALC_GAMES_BASE!V233</f>
        <v>-5.6105006105006142E-2</v>
      </c>
      <c r="K233" s="6">
        <f>_xlfn.XLOOKUP(CALC_GAMES_BASE!W233,
  CALC_GOALIES!B:B,
  CALC_GOALIES!K:K)</f>
        <v>1.9185678814779616E-2</v>
      </c>
      <c r="L233" s="6">
        <f>_xlfn.XLOOKUP(C233,CALC_TEAMS_SEASON!B:B,CALC_TEAMS_SEASON!L:L)</f>
        <v>-0.89069677871148467</v>
      </c>
      <c r="M233">
        <f>IF(CALC_GAMES_BASE!Z233="RS",1,1.2)</f>
        <v>1</v>
      </c>
      <c r="N233">
        <f xml:space="preserve"> CALC_GAMES_BASE!Y233</f>
        <v>0</v>
      </c>
    </row>
    <row r="234" spans="1:14" x14ac:dyDescent="0.25">
      <c r="A234" t="str">
        <f>CALC_GAMES_BASE!A234</f>
        <v>25/26</v>
      </c>
      <c r="B234" s="3">
        <f>CALC_GAMES_BASE!B234</f>
        <v>45954</v>
      </c>
      <c r="C234" s="3" t="str">
        <f>CALC_GAMES_BASE!C234</f>
        <v>MHK</v>
      </c>
      <c r="D234" s="3" t="str">
        <f>CALC_GAMES_BASE!D234</f>
        <v>PLZ</v>
      </c>
      <c r="E234" s="7">
        <f>CALC_GAMES_BASE!E234</f>
        <v>0</v>
      </c>
      <c r="F234" s="6" t="str">
        <f>CALC_GAMES_BASE!N234</f>
        <v/>
      </c>
      <c r="G234" s="7">
        <f>CALC_GAMES_BASE!K234</f>
        <v>-14</v>
      </c>
      <c r="H234" s="7">
        <f t="shared" si="3"/>
        <v>0</v>
      </c>
      <c r="I234" s="6">
        <f>IF(H234=1,
  F234,
  G234*PARAMETRY!$B$11)</f>
        <v>-0.70000000000000007</v>
      </c>
      <c r="J234" s="6">
        <f>CALC_GAMES_BASE!U234-CALC_GAMES_BASE!V234</f>
        <v>-3.4561965811965745E-2</v>
      </c>
      <c r="K234" s="6">
        <f>_xlfn.XLOOKUP(CALC_GAMES_BASE!W234,
  CALC_GOALIES!B:B,
  CALC_GOALIES!K:K)</f>
        <v>2.1917994590268441E-2</v>
      </c>
      <c r="L234" s="6">
        <f>_xlfn.XLOOKUP(C234,CALC_TEAMS_SEASON!B:B,CALC_TEAMS_SEASON!L:L)</f>
        <v>0.14821988795518207</v>
      </c>
      <c r="M234">
        <f>IF(CALC_GAMES_BASE!Z234="RS",1,1.2)</f>
        <v>1</v>
      </c>
      <c r="N234">
        <f xml:space="preserve"> CALC_GAMES_BASE!Y234</f>
        <v>1</v>
      </c>
    </row>
    <row r="235" spans="1:14" x14ac:dyDescent="0.25">
      <c r="A235" t="str">
        <f>CALC_GAMES_BASE!A235</f>
        <v>25/26</v>
      </c>
      <c r="B235" s="3">
        <f>CALC_GAMES_BASE!B235</f>
        <v>45954</v>
      </c>
      <c r="C235" s="3" t="str">
        <f>CALC_GAMES_BASE!C235</f>
        <v>OLO</v>
      </c>
      <c r="D235" s="3" t="str">
        <f>CALC_GAMES_BASE!D235</f>
        <v>KLA</v>
      </c>
      <c r="E235" s="7">
        <f>CALC_GAMES_BASE!E235</f>
        <v>0</v>
      </c>
      <c r="F235" s="6" t="str">
        <f>CALC_GAMES_BASE!N235</f>
        <v/>
      </c>
      <c r="G235" s="7">
        <f>CALC_GAMES_BASE!K235</f>
        <v>-9</v>
      </c>
      <c r="H235" s="7">
        <f t="shared" si="3"/>
        <v>0</v>
      </c>
      <c r="I235" s="6">
        <f>IF(H235=1,
  F235,
  G235*PARAMETRY!$B$11)</f>
        <v>-0.45</v>
      </c>
      <c r="J235" s="6">
        <f>CALC_GAMES_BASE!U235-CALC_GAMES_BASE!V235</f>
        <v>1.8688949938949984E-2</v>
      </c>
      <c r="K235" s="6">
        <f>_xlfn.XLOOKUP(CALC_GAMES_BASE!W235,
  CALC_GOALIES!B:B,
  CALC_GOALIES!K:K)</f>
        <v>4.4713327207696052E-3</v>
      </c>
      <c r="L235" s="6">
        <f>_xlfn.XLOOKUP(C235,CALC_TEAMS_SEASON!B:B,CALC_TEAMS_SEASON!L:L)</f>
        <v>-1.0613217787114846</v>
      </c>
      <c r="M235">
        <f>IF(CALC_GAMES_BASE!Z235="RS",1,1.2)</f>
        <v>1</v>
      </c>
      <c r="N235">
        <f xml:space="preserve"> CALC_GAMES_BASE!Y235</f>
        <v>0</v>
      </c>
    </row>
    <row r="236" spans="1:14" x14ac:dyDescent="0.25">
      <c r="A236" t="str">
        <f>CALC_GAMES_BASE!A236</f>
        <v>25/26</v>
      </c>
      <c r="B236" s="3">
        <f>CALC_GAMES_BASE!B236</f>
        <v>45954</v>
      </c>
      <c r="C236" s="3" t="str">
        <f>CALC_GAMES_BASE!C236</f>
        <v>PLZ</v>
      </c>
      <c r="D236" s="3" t="str">
        <f>CALC_GAMES_BASE!D236</f>
        <v>MHK</v>
      </c>
      <c r="E236" s="7">
        <f>CALC_GAMES_BASE!E236</f>
        <v>1</v>
      </c>
      <c r="F236" s="6" t="str">
        <f>CALC_GAMES_BASE!N236</f>
        <v/>
      </c>
      <c r="G236" s="7">
        <f>CALC_GAMES_BASE!K236</f>
        <v>14</v>
      </c>
      <c r="H236" s="7">
        <f t="shared" si="3"/>
        <v>0</v>
      </c>
      <c r="I236" s="6">
        <f>IF(H236=1,
  F236,
  G236*PARAMETRY!$B$11)</f>
        <v>0.70000000000000007</v>
      </c>
      <c r="J236" s="6">
        <f>CALC_GAMES_BASE!U236-CALC_GAMES_BASE!V236</f>
        <v>3.4561965811965745E-2</v>
      </c>
      <c r="K236" s="6">
        <f>_xlfn.XLOOKUP(CALC_GAMES_BASE!W236,
  CALC_GOALIES!B:B,
  CALC_GOALIES!K:K)</f>
        <v>1.7617039556646619E-2</v>
      </c>
      <c r="L236" s="6">
        <f>_xlfn.XLOOKUP(C236,CALC_TEAMS_SEASON!B:B,CALC_TEAMS_SEASON!L:L)</f>
        <v>7.3678221288515283E-2</v>
      </c>
      <c r="M236">
        <f>IF(CALC_GAMES_BASE!Z236="RS",1,1.2)</f>
        <v>1</v>
      </c>
      <c r="N236">
        <f xml:space="preserve"> CALC_GAMES_BASE!Y236</f>
        <v>0</v>
      </c>
    </row>
    <row r="237" spans="1:14" x14ac:dyDescent="0.25">
      <c r="A237" t="str">
        <f>CALC_GAMES_BASE!A237</f>
        <v>25/26</v>
      </c>
      <c r="B237" s="3">
        <f>CALC_GAMES_BASE!B237</f>
        <v>45954</v>
      </c>
      <c r="C237" s="3" t="str">
        <f>CALC_GAMES_BASE!C237</f>
        <v>VIT</v>
      </c>
      <c r="D237" s="3" t="str">
        <f>CALC_GAMES_BASE!D237</f>
        <v>KOM</v>
      </c>
      <c r="E237" s="7">
        <f>CALC_GAMES_BASE!E237</f>
        <v>0</v>
      </c>
      <c r="F237" s="6">
        <f>CALC_GAMES_BASE!N237</f>
        <v>-0.89000000000000012</v>
      </c>
      <c r="G237" s="7">
        <f>CALC_GAMES_BASE!K237</f>
        <v>-3</v>
      </c>
      <c r="H237" s="7">
        <f t="shared" si="3"/>
        <v>1</v>
      </c>
      <c r="I237" s="6">
        <f>IF(H237=1,
  F237,
  G237*PARAMETRY!$B$11)</f>
        <v>-0.89000000000000012</v>
      </c>
      <c r="J237" s="6">
        <f>CALC_GAMES_BASE!U237-CALC_GAMES_BASE!V237</f>
        <v>2.6259157509157555E-2</v>
      </c>
      <c r="K237" s="6">
        <f>_xlfn.XLOOKUP(CALC_GAMES_BASE!W237,
  CALC_GOALIES!B:B,
  CALC_GOALIES!K:K)</f>
        <v>1.905487900993541E-3</v>
      </c>
      <c r="L237" s="6">
        <f>_xlfn.XLOOKUP(C237,CALC_TEAMS_SEASON!B:B,CALC_TEAMS_SEASON!L:L)</f>
        <v>-1.0281967787114845</v>
      </c>
      <c r="M237">
        <f>IF(CALC_GAMES_BASE!Z237="RS",1,1.2)</f>
        <v>1</v>
      </c>
      <c r="N237">
        <f xml:space="preserve"> CALC_GAMES_BASE!Y237</f>
        <v>0</v>
      </c>
    </row>
    <row r="238" spans="1:14" x14ac:dyDescent="0.25">
      <c r="A238" t="str">
        <f>CALC_GAMES_BASE!A238</f>
        <v>25/26</v>
      </c>
      <c r="B238" s="3">
        <f>CALC_GAMES_BASE!B238</f>
        <v>45956</v>
      </c>
      <c r="C238" s="3" t="str">
        <f>CALC_GAMES_BASE!C238</f>
        <v>PCE</v>
      </c>
      <c r="D238" s="3" t="str">
        <f>CALC_GAMES_BASE!D238</f>
        <v>OLO</v>
      </c>
      <c r="E238" s="7">
        <f>CALC_GAMES_BASE!E238</f>
        <v>0</v>
      </c>
      <c r="F238" s="6">
        <f>CALC_GAMES_BASE!N238</f>
        <v>1.91</v>
      </c>
      <c r="G238" s="7">
        <f>CALC_GAMES_BASE!K238</f>
        <v>27</v>
      </c>
      <c r="H238" s="7">
        <f t="shared" si="3"/>
        <v>1</v>
      </c>
      <c r="I238" s="6">
        <f>IF(H238=1,
  F238,
  G238*PARAMETRY!$B$11)</f>
        <v>1.91</v>
      </c>
      <c r="J238" s="6">
        <f>CALC_GAMES_BASE!U238-CALC_GAMES_BASE!V238</f>
        <v>5.3083028083028116E-2</v>
      </c>
      <c r="K238" s="6">
        <f>_xlfn.XLOOKUP(CALC_GAMES_BASE!W238,
  CALC_GOALIES!B:B,
  CALC_GOALIES!K:K)</f>
        <v>4.5881077393388203E-3</v>
      </c>
      <c r="L238" s="6">
        <f>_xlfn.XLOOKUP(C238,CALC_TEAMS_SEASON!B:B,CALC_TEAMS_SEASON!L:L)</f>
        <v>0.62437675070027965</v>
      </c>
      <c r="M238">
        <f>IF(CALC_GAMES_BASE!Z238="RS",1,1.2)</f>
        <v>1</v>
      </c>
      <c r="N238">
        <f xml:space="preserve"> CALC_GAMES_BASE!Y238</f>
        <v>0</v>
      </c>
    </row>
    <row r="239" spans="1:14" x14ac:dyDescent="0.25">
      <c r="A239" t="str">
        <f>CALC_GAMES_BASE!A239</f>
        <v>25/26</v>
      </c>
      <c r="B239" s="3">
        <f>CALC_GAMES_BASE!B239</f>
        <v>45956</v>
      </c>
      <c r="C239" s="3" t="str">
        <f>CALC_GAMES_BASE!C239</f>
        <v>TRI</v>
      </c>
      <c r="D239" s="3" t="str">
        <f>CALC_GAMES_BASE!D239</f>
        <v>PLZ</v>
      </c>
      <c r="E239" s="7">
        <f>CALC_GAMES_BASE!E239</f>
        <v>0</v>
      </c>
      <c r="F239" s="6">
        <f>CALC_GAMES_BASE!N239</f>
        <v>-1.5899999999999999</v>
      </c>
      <c r="G239" s="7">
        <f>CALC_GAMES_BASE!K239</f>
        <v>-6</v>
      </c>
      <c r="H239" s="7">
        <f t="shared" si="3"/>
        <v>1</v>
      </c>
      <c r="I239" s="6">
        <f>IF(H239=1,
  F239,
  G239*PARAMETRY!$B$11)</f>
        <v>-1.5899999999999999</v>
      </c>
      <c r="J239" s="6">
        <f>CALC_GAMES_BASE!U239-CALC_GAMES_BASE!V239</f>
        <v>-2.037545787545697E-3</v>
      </c>
      <c r="K239" s="6">
        <f>_xlfn.XLOOKUP(CALC_GAMES_BASE!W239,
  CALC_GOALIES!B:B,
  CALC_GOALIES!K:K)</f>
        <v>1.3707542055988897E-2</v>
      </c>
      <c r="L239" s="6">
        <f>_xlfn.XLOOKUP(C239,CALC_TEAMS_SEASON!B:B,CALC_TEAMS_SEASON!L:L)</f>
        <v>0.10805322128851533</v>
      </c>
      <c r="M239">
        <f>IF(CALC_GAMES_BASE!Z239="RS",1,1.2)</f>
        <v>1</v>
      </c>
      <c r="N239">
        <f xml:space="preserve"> CALC_GAMES_BASE!Y239</f>
        <v>1</v>
      </c>
    </row>
    <row r="240" spans="1:14" x14ac:dyDescent="0.25">
      <c r="A240" t="str">
        <f>CALC_GAMES_BASE!A240</f>
        <v>25/26</v>
      </c>
      <c r="B240" s="3">
        <f>CALC_GAMES_BASE!B240</f>
        <v>45956</v>
      </c>
      <c r="C240" s="3" t="str">
        <f>CALC_GAMES_BASE!C240</f>
        <v>SPA</v>
      </c>
      <c r="D240" s="3" t="str">
        <f>CALC_GAMES_BASE!D240</f>
        <v>LIT</v>
      </c>
      <c r="E240" s="7">
        <f>CALC_GAMES_BASE!E240</f>
        <v>1</v>
      </c>
      <c r="F240" s="6">
        <f>CALC_GAMES_BASE!N240</f>
        <v>-0.2799999999999998</v>
      </c>
      <c r="G240" s="7">
        <f>CALC_GAMES_BASE!K240</f>
        <v>-7</v>
      </c>
      <c r="H240" s="7">
        <f t="shared" si="3"/>
        <v>1</v>
      </c>
      <c r="I240" s="6">
        <f>IF(H240=1,
  F240,
  G240*PARAMETRY!$B$11)</f>
        <v>-0.2799999999999998</v>
      </c>
      <c r="J240" s="6">
        <f>CALC_GAMES_BASE!U240-CALC_GAMES_BASE!V240</f>
        <v>0.11971153846153852</v>
      </c>
      <c r="K240" s="6">
        <f>_xlfn.XLOOKUP(CALC_GAMES_BASE!W240,
  CALC_GOALIES!B:B,
  CALC_GOALIES!K:K)</f>
        <v>3.5919237922225067E-3</v>
      </c>
      <c r="L240" s="6">
        <f>_xlfn.XLOOKUP(C240,CALC_TEAMS_SEASON!B:B,CALC_TEAMS_SEASON!L:L)</f>
        <v>6.4376750700279955E-2</v>
      </c>
      <c r="M240">
        <f>IF(CALC_GAMES_BASE!Z240="RS",1,1.2)</f>
        <v>1</v>
      </c>
      <c r="N240">
        <f xml:space="preserve"> CALC_GAMES_BASE!Y240</f>
        <v>1</v>
      </c>
    </row>
    <row r="241" spans="1:14" x14ac:dyDescent="0.25">
      <c r="A241" t="str">
        <f>CALC_GAMES_BASE!A241</f>
        <v>25/26</v>
      </c>
      <c r="B241" s="3">
        <f>CALC_GAMES_BASE!B241</f>
        <v>45956</v>
      </c>
      <c r="C241" s="3" t="str">
        <f>CALC_GAMES_BASE!C241</f>
        <v>KOM</v>
      </c>
      <c r="D241" s="3" t="str">
        <f>CALC_GAMES_BASE!D241</f>
        <v>LIB</v>
      </c>
      <c r="E241" s="7">
        <f>CALC_GAMES_BASE!E241</f>
        <v>0</v>
      </c>
      <c r="F241" s="6">
        <f>CALC_GAMES_BASE!N241</f>
        <v>-1.77</v>
      </c>
      <c r="G241" s="7">
        <f>CALC_GAMES_BASE!K241</f>
        <v>-14</v>
      </c>
      <c r="H241" s="7">
        <f t="shared" si="3"/>
        <v>1</v>
      </c>
      <c r="I241" s="6">
        <f>IF(H241=1,
  F241,
  G241*PARAMETRY!$B$11)</f>
        <v>-1.77</v>
      </c>
      <c r="J241" s="6">
        <f>CALC_GAMES_BASE!U241-CALC_GAMES_BASE!V241</f>
        <v>-1.8315018315021026E-4</v>
      </c>
      <c r="K241" s="6">
        <f>_xlfn.XLOOKUP(CALC_GAMES_BASE!W241,
  CALC_GOALIES!B:B,
  CALC_GOALIES!K:K)</f>
        <v>-1.5147095063735572E-3</v>
      </c>
      <c r="L241" s="6">
        <f>_xlfn.XLOOKUP(C241,CALC_TEAMS_SEASON!B:B,CALC_TEAMS_SEASON!L:L)</f>
        <v>-0.37268207282913179</v>
      </c>
      <c r="M241">
        <f>IF(CALC_GAMES_BASE!Z241="RS",1,1.2)</f>
        <v>1</v>
      </c>
      <c r="N241">
        <f xml:space="preserve"> CALC_GAMES_BASE!Y241</f>
        <v>0</v>
      </c>
    </row>
    <row r="242" spans="1:14" x14ac:dyDescent="0.25">
      <c r="A242" t="str">
        <f>CALC_GAMES_BASE!A242</f>
        <v>25/26</v>
      </c>
      <c r="B242" s="3">
        <f>CALC_GAMES_BASE!B242</f>
        <v>45956</v>
      </c>
      <c r="C242" s="3" t="str">
        <f>CALC_GAMES_BASE!C242</f>
        <v>CEB</v>
      </c>
      <c r="D242" s="3" t="str">
        <f>CALC_GAMES_BASE!D242</f>
        <v>KLA</v>
      </c>
      <c r="E242" s="7">
        <f>CALC_GAMES_BASE!E242</f>
        <v>1</v>
      </c>
      <c r="F242" s="6" t="str">
        <f>CALC_GAMES_BASE!N242</f>
        <v/>
      </c>
      <c r="G242" s="7">
        <f>CALC_GAMES_BASE!K242</f>
        <v>18</v>
      </c>
      <c r="H242" s="7">
        <f t="shared" si="3"/>
        <v>0</v>
      </c>
      <c r="I242" s="6">
        <f>IF(H242=1,
  F242,
  G242*PARAMETRY!$B$11)</f>
        <v>0.9</v>
      </c>
      <c r="J242" s="6">
        <f>CALC_GAMES_BASE!U242-CALC_GAMES_BASE!V242</f>
        <v>-9.9067599067595435E-4</v>
      </c>
      <c r="K242" s="6">
        <f>_xlfn.XLOOKUP(CALC_GAMES_BASE!W242,
  CALC_GOALIES!B:B,
  CALC_GOALIES!K:K)</f>
        <v>-4.3244838896392079E-2</v>
      </c>
      <c r="L242" s="6">
        <f>_xlfn.XLOOKUP(C242,CALC_TEAMS_SEASON!B:B,CALC_TEAMS_SEASON!L:L)</f>
        <v>-0.24978011204481798</v>
      </c>
      <c r="M242">
        <f>IF(CALC_GAMES_BASE!Z242="RS",1,1.2)</f>
        <v>1</v>
      </c>
      <c r="N242">
        <f xml:space="preserve"> CALC_GAMES_BASE!Y242</f>
        <v>1</v>
      </c>
    </row>
    <row r="243" spans="1:14" x14ac:dyDescent="0.25">
      <c r="A243" t="str">
        <f>CALC_GAMES_BASE!A243</f>
        <v>25/26</v>
      </c>
      <c r="B243" s="3">
        <f>CALC_GAMES_BASE!B243</f>
        <v>45956</v>
      </c>
      <c r="C243" s="3" t="str">
        <f>CALC_GAMES_BASE!C243</f>
        <v>KLA</v>
      </c>
      <c r="D243" s="3" t="str">
        <f>CALC_GAMES_BASE!D243</f>
        <v>CEB</v>
      </c>
      <c r="E243" s="7">
        <f>CALC_GAMES_BASE!E243</f>
        <v>0</v>
      </c>
      <c r="F243" s="6" t="str">
        <f>CALC_GAMES_BASE!N243</f>
        <v/>
      </c>
      <c r="G243" s="7">
        <f>CALC_GAMES_BASE!K243</f>
        <v>-18</v>
      </c>
      <c r="H243" s="7">
        <f t="shared" si="3"/>
        <v>0</v>
      </c>
      <c r="I243" s="6">
        <f>IF(H243=1,
  F243,
  G243*PARAMETRY!$B$11)</f>
        <v>-0.9</v>
      </c>
      <c r="J243" s="6">
        <f>CALC_GAMES_BASE!U243-CALC_GAMES_BASE!V243</f>
        <v>9.9067599067595435E-4</v>
      </c>
      <c r="K243" s="6">
        <f>_xlfn.XLOOKUP(CALC_GAMES_BASE!W243,
  CALC_GOALIES!B:B,
  CALC_GOALIES!K:K)</f>
        <v>-1.9185137403854746E-2</v>
      </c>
      <c r="L243" s="6">
        <f>_xlfn.XLOOKUP(C243,CALC_TEAMS_SEASON!B:B,CALC_TEAMS_SEASON!L:L)</f>
        <v>-0.19819677871148478</v>
      </c>
      <c r="M243">
        <f>IF(CALC_GAMES_BASE!Z243="RS",1,1.2)</f>
        <v>1</v>
      </c>
      <c r="N243">
        <f xml:space="preserve"> CALC_GAMES_BASE!Y243</f>
        <v>0</v>
      </c>
    </row>
    <row r="244" spans="1:14" x14ac:dyDescent="0.25">
      <c r="A244" t="str">
        <f>CALC_GAMES_BASE!A244</f>
        <v>25/26</v>
      </c>
      <c r="B244" s="3">
        <f>CALC_GAMES_BASE!B244</f>
        <v>45956</v>
      </c>
      <c r="C244" s="3" t="str">
        <f>CALC_GAMES_BASE!C244</f>
        <v>KVA</v>
      </c>
      <c r="D244" s="3" t="str">
        <f>CALC_GAMES_BASE!D244</f>
        <v>MHK</v>
      </c>
      <c r="E244" s="7">
        <f>CALC_GAMES_BASE!E244</f>
        <v>0</v>
      </c>
      <c r="F244" s="6" t="str">
        <f>CALC_GAMES_BASE!N244</f>
        <v/>
      </c>
      <c r="G244" s="7">
        <f>CALC_GAMES_BASE!K244</f>
        <v>-4</v>
      </c>
      <c r="H244" s="7">
        <f t="shared" si="3"/>
        <v>0</v>
      </c>
      <c r="I244" s="6">
        <f>IF(H244=1,
  F244,
  G244*PARAMETRY!$B$11)</f>
        <v>-0.2</v>
      </c>
      <c r="J244" s="6">
        <f>CALC_GAMES_BASE!U244-CALC_GAMES_BASE!V244</f>
        <v>3.2020757020757018E-2</v>
      </c>
      <c r="K244" s="6">
        <f>_xlfn.XLOOKUP(CALC_GAMES_BASE!W244,
  CALC_GOALIES!B:B,
  CALC_GOALIES!K:K)</f>
        <v>1.2242809776983998E-2</v>
      </c>
      <c r="L244" s="6">
        <f>_xlfn.XLOOKUP(C244,CALC_TEAMS_SEASON!B:B,CALC_TEAMS_SEASON!L:L)</f>
        <v>-0.28757177871148476</v>
      </c>
      <c r="M244">
        <f>IF(CALC_GAMES_BASE!Z244="RS",1,1.2)</f>
        <v>1</v>
      </c>
      <c r="N244">
        <f xml:space="preserve"> CALC_GAMES_BASE!Y244</f>
        <v>1</v>
      </c>
    </row>
    <row r="245" spans="1:14" x14ac:dyDescent="0.25">
      <c r="A245" t="str">
        <f>CALC_GAMES_BASE!A245</f>
        <v>25/26</v>
      </c>
      <c r="B245" s="3">
        <f>CALC_GAMES_BASE!B245</f>
        <v>45956</v>
      </c>
      <c r="C245" s="3" t="str">
        <f>CALC_GAMES_BASE!C245</f>
        <v>LIB</v>
      </c>
      <c r="D245" s="3" t="str">
        <f>CALC_GAMES_BASE!D245</f>
        <v>KOM</v>
      </c>
      <c r="E245" s="7">
        <f>CALC_GAMES_BASE!E245</f>
        <v>1</v>
      </c>
      <c r="F245" s="6">
        <f>CALC_GAMES_BASE!N245</f>
        <v>1.77</v>
      </c>
      <c r="G245" s="7">
        <f>CALC_GAMES_BASE!K245</f>
        <v>14</v>
      </c>
      <c r="H245" s="7">
        <f t="shared" si="3"/>
        <v>1</v>
      </c>
      <c r="I245" s="6">
        <f>IF(H245=1,
  F245,
  G245*PARAMETRY!$B$11)</f>
        <v>1.77</v>
      </c>
      <c r="J245" s="6">
        <f>CALC_GAMES_BASE!U245-CALC_GAMES_BASE!V245</f>
        <v>1.8315018315021026E-4</v>
      </c>
      <c r="K245" s="6">
        <f>_xlfn.XLOOKUP(CALC_GAMES_BASE!W245,
  CALC_GOALIES!B:B,
  CALC_GOALIES!K:K)</f>
        <v>1.2275709048813366E-2</v>
      </c>
      <c r="L245" s="6">
        <f>_xlfn.XLOOKUP(C245,CALC_TEAMS_SEASON!B:B,CALC_TEAMS_SEASON!L:L)</f>
        <v>0.22367822128851536</v>
      </c>
      <c r="M245">
        <f>IF(CALC_GAMES_BASE!Z245="RS",1,1.2)</f>
        <v>1</v>
      </c>
      <c r="N245">
        <f xml:space="preserve"> CALC_GAMES_BASE!Y245</f>
        <v>1</v>
      </c>
    </row>
    <row r="246" spans="1:14" x14ac:dyDescent="0.25">
      <c r="A246" t="str">
        <f>CALC_GAMES_BASE!A246</f>
        <v>25/26</v>
      </c>
      <c r="B246" s="3">
        <f>CALC_GAMES_BASE!B246</f>
        <v>45956</v>
      </c>
      <c r="C246" s="3" t="str">
        <f>CALC_GAMES_BASE!C246</f>
        <v>LIT</v>
      </c>
      <c r="D246" s="3" t="str">
        <f>CALC_GAMES_BASE!D246</f>
        <v>SPA</v>
      </c>
      <c r="E246" s="7">
        <f>CALC_GAMES_BASE!E246</f>
        <v>0</v>
      </c>
      <c r="F246" s="6">
        <f>CALC_GAMES_BASE!N246</f>
        <v>0.2799999999999998</v>
      </c>
      <c r="G246" s="7">
        <f>CALC_GAMES_BASE!K246</f>
        <v>7</v>
      </c>
      <c r="H246" s="7">
        <f t="shared" si="3"/>
        <v>1</v>
      </c>
      <c r="I246" s="6">
        <f>IF(H246=1,
  F246,
  G246*PARAMETRY!$B$11)</f>
        <v>0.2799999999999998</v>
      </c>
      <c r="J246" s="6">
        <f>CALC_GAMES_BASE!U246-CALC_GAMES_BASE!V246</f>
        <v>-0.11971153846153852</v>
      </c>
      <c r="K246" s="6">
        <f>_xlfn.XLOOKUP(CALC_GAMES_BASE!W246,
  CALC_GOALIES!B:B,
  CALC_GOALIES!K:K)</f>
        <v>-4.9010888963920696E-3</v>
      </c>
      <c r="L246" s="6">
        <f>_xlfn.XLOOKUP(C246,CALC_TEAMS_SEASON!B:B,CALC_TEAMS_SEASON!L:L)</f>
        <v>-1.4784467787114848</v>
      </c>
      <c r="M246">
        <f>IF(CALC_GAMES_BASE!Z246="RS",1,1.2)</f>
        <v>1</v>
      </c>
      <c r="N246">
        <f xml:space="preserve"> CALC_GAMES_BASE!Y246</f>
        <v>0</v>
      </c>
    </row>
    <row r="247" spans="1:14" x14ac:dyDescent="0.25">
      <c r="A247" t="str">
        <f>CALC_GAMES_BASE!A247</f>
        <v>25/26</v>
      </c>
      <c r="B247" s="3">
        <f>CALC_GAMES_BASE!B247</f>
        <v>45956</v>
      </c>
      <c r="C247" s="3" t="str">
        <f>CALC_GAMES_BASE!C247</f>
        <v>MBL</v>
      </c>
      <c r="D247" s="3" t="str">
        <f>CALC_GAMES_BASE!D247</f>
        <v>VIT</v>
      </c>
      <c r="E247" s="7">
        <f>CALC_GAMES_BASE!E247</f>
        <v>1</v>
      </c>
      <c r="F247" s="6" t="str">
        <f>CALC_GAMES_BASE!N247</f>
        <v/>
      </c>
      <c r="G247" s="7">
        <f>CALC_GAMES_BASE!K247</f>
        <v>10</v>
      </c>
      <c r="H247" s="7">
        <f t="shared" si="3"/>
        <v>0</v>
      </c>
      <c r="I247" s="6">
        <f>IF(H247=1,
  F247,
  G247*PARAMETRY!$B$11)</f>
        <v>0.5</v>
      </c>
      <c r="J247" s="6">
        <f>CALC_GAMES_BASE!U247-CALC_GAMES_BASE!V247</f>
        <v>-5.1579670329670355E-2</v>
      </c>
      <c r="K247" s="6">
        <f>_xlfn.XLOOKUP(CALC_GAMES_BASE!W247,
  CALC_GOALIES!B:B,
  CALC_GOALIES!K:K)</f>
        <v>-4.4670611186142795E-3</v>
      </c>
      <c r="L247" s="6">
        <f>_xlfn.XLOOKUP(C247,CALC_TEAMS_SEASON!B:B,CALC_TEAMS_SEASON!L:L)</f>
        <v>-0.89069677871148467</v>
      </c>
      <c r="M247">
        <f>IF(CALC_GAMES_BASE!Z247="RS",1,1.2)</f>
        <v>1</v>
      </c>
      <c r="N247">
        <f xml:space="preserve"> CALC_GAMES_BASE!Y247</f>
        <v>0</v>
      </c>
    </row>
    <row r="248" spans="1:14" x14ac:dyDescent="0.25">
      <c r="A248" t="str">
        <f>CALC_GAMES_BASE!A248</f>
        <v>25/26</v>
      </c>
      <c r="B248" s="3">
        <f>CALC_GAMES_BASE!B248</f>
        <v>45956</v>
      </c>
      <c r="C248" s="3" t="str">
        <f>CALC_GAMES_BASE!C248</f>
        <v>MHK</v>
      </c>
      <c r="D248" s="3" t="str">
        <f>CALC_GAMES_BASE!D248</f>
        <v>KVA</v>
      </c>
      <c r="E248" s="7">
        <f>CALC_GAMES_BASE!E248</f>
        <v>1</v>
      </c>
      <c r="F248" s="6" t="str">
        <f>CALC_GAMES_BASE!N248</f>
        <v/>
      </c>
      <c r="G248" s="7">
        <f>CALC_GAMES_BASE!K248</f>
        <v>4</v>
      </c>
      <c r="H248" s="7">
        <f t="shared" si="3"/>
        <v>0</v>
      </c>
      <c r="I248" s="6">
        <f>IF(H248=1,
  F248,
  G248*PARAMETRY!$B$11)</f>
        <v>0.2</v>
      </c>
      <c r="J248" s="6">
        <f>CALC_GAMES_BASE!U248-CALC_GAMES_BASE!V248</f>
        <v>-3.2020757020757018E-2</v>
      </c>
      <c r="K248" s="6">
        <f>_xlfn.XLOOKUP(CALC_GAMES_BASE!W248,
  CALC_GOALIES!B:B,
  CALC_GOALIES!K:K)</f>
        <v>-6.4024499913341248E-2</v>
      </c>
      <c r="L248" s="6">
        <f>_xlfn.XLOOKUP(C248,CALC_TEAMS_SEASON!B:B,CALC_TEAMS_SEASON!L:L)</f>
        <v>0.14821988795518207</v>
      </c>
      <c r="M248">
        <f>IF(CALC_GAMES_BASE!Z248="RS",1,1.2)</f>
        <v>1</v>
      </c>
      <c r="N248">
        <f xml:space="preserve"> CALC_GAMES_BASE!Y248</f>
        <v>0</v>
      </c>
    </row>
    <row r="249" spans="1:14" x14ac:dyDescent="0.25">
      <c r="A249" t="str">
        <f>CALC_GAMES_BASE!A249</f>
        <v>25/26</v>
      </c>
      <c r="B249" s="3">
        <f>CALC_GAMES_BASE!B249</f>
        <v>45956</v>
      </c>
      <c r="C249" s="3" t="str">
        <f>CALC_GAMES_BASE!C249</f>
        <v>OLO</v>
      </c>
      <c r="D249" s="3" t="str">
        <f>CALC_GAMES_BASE!D249</f>
        <v>PCE</v>
      </c>
      <c r="E249" s="7">
        <f>CALC_GAMES_BASE!E249</f>
        <v>1</v>
      </c>
      <c r="F249" s="6">
        <f>CALC_GAMES_BASE!N249</f>
        <v>-1.91</v>
      </c>
      <c r="G249" s="7">
        <f>CALC_GAMES_BASE!K249</f>
        <v>-27</v>
      </c>
      <c r="H249" s="7">
        <f t="shared" si="3"/>
        <v>1</v>
      </c>
      <c r="I249" s="6">
        <f>IF(H249=1,
  F249,
  G249*PARAMETRY!$B$11)</f>
        <v>-1.91</v>
      </c>
      <c r="J249" s="6">
        <f>CALC_GAMES_BASE!U249-CALC_GAMES_BASE!V249</f>
        <v>-5.3083028083028116E-2</v>
      </c>
      <c r="K249" s="6">
        <f>_xlfn.XLOOKUP(CALC_GAMES_BASE!W249,
  CALC_GOALIES!B:B,
  CALC_GOALIES!K:K)</f>
        <v>-2.0326878807700233E-2</v>
      </c>
      <c r="L249" s="6">
        <f>_xlfn.XLOOKUP(C249,CALC_TEAMS_SEASON!B:B,CALC_TEAMS_SEASON!L:L)</f>
        <v>-1.0613217787114846</v>
      </c>
      <c r="M249">
        <f>IF(CALC_GAMES_BASE!Z249="RS",1,1.2)</f>
        <v>1</v>
      </c>
      <c r="N249">
        <f xml:space="preserve"> CALC_GAMES_BASE!Y249</f>
        <v>1</v>
      </c>
    </row>
    <row r="250" spans="1:14" x14ac:dyDescent="0.25">
      <c r="A250" t="str">
        <f>CALC_GAMES_BASE!A250</f>
        <v>25/26</v>
      </c>
      <c r="B250" s="3">
        <f>CALC_GAMES_BASE!B250</f>
        <v>45956</v>
      </c>
      <c r="C250" s="3" t="str">
        <f>CALC_GAMES_BASE!C250</f>
        <v>PLZ</v>
      </c>
      <c r="D250" s="3" t="str">
        <f>CALC_GAMES_BASE!D250</f>
        <v>TRI</v>
      </c>
      <c r="E250" s="7">
        <f>CALC_GAMES_BASE!E250</f>
        <v>1</v>
      </c>
      <c r="F250" s="6">
        <f>CALC_GAMES_BASE!N250</f>
        <v>1.5899999999999999</v>
      </c>
      <c r="G250" s="7">
        <f>CALC_GAMES_BASE!K250</f>
        <v>6</v>
      </c>
      <c r="H250" s="7">
        <f t="shared" si="3"/>
        <v>1</v>
      </c>
      <c r="I250" s="6">
        <f>IF(H250=1,
  F250,
  G250*PARAMETRY!$B$11)</f>
        <v>1.5899999999999999</v>
      </c>
      <c r="J250" s="6">
        <f>CALC_GAMES_BASE!U250-CALC_GAMES_BASE!V250</f>
        <v>2.037545787545697E-3</v>
      </c>
      <c r="K250" s="6">
        <f>_xlfn.XLOOKUP(CALC_GAMES_BASE!W250,
  CALC_GOALIES!B:B,
  CALC_GOALIES!K:K)</f>
        <v>1.7617039556646619E-2</v>
      </c>
      <c r="L250" s="6">
        <f>_xlfn.XLOOKUP(C250,CALC_TEAMS_SEASON!B:B,CALC_TEAMS_SEASON!L:L)</f>
        <v>7.3678221288515283E-2</v>
      </c>
      <c r="M250">
        <f>IF(CALC_GAMES_BASE!Z250="RS",1,1.2)</f>
        <v>1</v>
      </c>
      <c r="N250">
        <f xml:space="preserve"> CALC_GAMES_BASE!Y250</f>
        <v>0</v>
      </c>
    </row>
    <row r="251" spans="1:14" x14ac:dyDescent="0.25">
      <c r="A251" t="str">
        <f>CALC_GAMES_BASE!A251</f>
        <v>25/26</v>
      </c>
      <c r="B251" s="3">
        <f>CALC_GAMES_BASE!B251</f>
        <v>45956</v>
      </c>
      <c r="C251" s="3" t="str">
        <f>CALC_GAMES_BASE!C251</f>
        <v>VIT</v>
      </c>
      <c r="D251" s="3" t="str">
        <f>CALC_GAMES_BASE!D251</f>
        <v>MBL</v>
      </c>
      <c r="E251" s="7">
        <f>CALC_GAMES_BASE!E251</f>
        <v>0</v>
      </c>
      <c r="F251" s="6" t="str">
        <f>CALC_GAMES_BASE!N251</f>
        <v/>
      </c>
      <c r="G251" s="7">
        <f>CALC_GAMES_BASE!K251</f>
        <v>-10</v>
      </c>
      <c r="H251" s="7">
        <f t="shared" si="3"/>
        <v>0</v>
      </c>
      <c r="I251" s="6">
        <f>IF(H251=1,
  F251,
  G251*PARAMETRY!$B$11)</f>
        <v>-0.5</v>
      </c>
      <c r="J251" s="6">
        <f>CALC_GAMES_BASE!U251-CALC_GAMES_BASE!V251</f>
        <v>5.1579670329670355E-2</v>
      </c>
      <c r="K251" s="6">
        <f>_xlfn.XLOOKUP(CALC_GAMES_BASE!W251,
  CALC_GOALIES!B:B,
  CALC_GOALIES!K:K)</f>
        <v>1.905487900993541E-3</v>
      </c>
      <c r="L251" s="6">
        <f>_xlfn.XLOOKUP(C251,CALC_TEAMS_SEASON!B:B,CALC_TEAMS_SEASON!L:L)</f>
        <v>-1.0281967787114845</v>
      </c>
      <c r="M251">
        <f>IF(CALC_GAMES_BASE!Z251="RS",1,1.2)</f>
        <v>1</v>
      </c>
      <c r="N251">
        <f xml:space="preserve"> CALC_GAMES_BASE!Y251</f>
        <v>1</v>
      </c>
    </row>
    <row r="252" spans="1:14" x14ac:dyDescent="0.25">
      <c r="A252" t="str">
        <f>CALC_GAMES_BASE!A252</f>
        <v>25/26</v>
      </c>
      <c r="B252" s="3">
        <f>CALC_GAMES_BASE!B252</f>
        <v>45958</v>
      </c>
      <c r="C252" s="3" t="str">
        <f>CALC_GAMES_BASE!C252</f>
        <v>PCE</v>
      </c>
      <c r="D252" s="3" t="str">
        <f>CALC_GAMES_BASE!D252</f>
        <v>PLZ</v>
      </c>
      <c r="E252" s="7">
        <f>CALC_GAMES_BASE!E252</f>
        <v>1</v>
      </c>
      <c r="F252" s="6">
        <f>CALC_GAMES_BASE!N252</f>
        <v>0.16999999999999993</v>
      </c>
      <c r="G252" s="7">
        <f>CALC_GAMES_BASE!K252</f>
        <v>4</v>
      </c>
      <c r="H252" s="7">
        <f t="shared" si="3"/>
        <v>1</v>
      </c>
      <c r="I252" s="6">
        <f>IF(H252=1,
  F252,
  G252*PARAMETRY!$B$11)</f>
        <v>0.16999999999999993</v>
      </c>
      <c r="J252" s="6">
        <f>CALC_GAMES_BASE!U252-CALC_GAMES_BASE!V252</f>
        <v>2.6564407814407914E-2</v>
      </c>
      <c r="K252" s="6">
        <f>_xlfn.XLOOKUP(CALC_GAMES_BASE!W252,
  CALC_GOALIES!B:B,
  CALC_GOALIES!K:K)</f>
        <v>4.5881077393388203E-3</v>
      </c>
      <c r="L252" s="6">
        <f>_xlfn.XLOOKUP(C252,CALC_TEAMS_SEASON!B:B,CALC_TEAMS_SEASON!L:L)</f>
        <v>0.62437675070027965</v>
      </c>
      <c r="M252">
        <f>IF(CALC_GAMES_BASE!Z252="RS",1,1.2)</f>
        <v>1</v>
      </c>
      <c r="N252">
        <f xml:space="preserve"> CALC_GAMES_BASE!Y252</f>
        <v>0</v>
      </c>
    </row>
    <row r="253" spans="1:14" x14ac:dyDescent="0.25">
      <c r="A253" t="str">
        <f>CALC_GAMES_BASE!A253</f>
        <v>25/26</v>
      </c>
      <c r="B253" s="3">
        <f>CALC_GAMES_BASE!B253</f>
        <v>45958</v>
      </c>
      <c r="C253" s="3" t="str">
        <f>CALC_GAMES_BASE!C253</f>
        <v>TRI</v>
      </c>
      <c r="D253" s="3" t="str">
        <f>CALC_GAMES_BASE!D253</f>
        <v>CEB</v>
      </c>
      <c r="E253" s="7">
        <f>CALC_GAMES_BASE!E253</f>
        <v>1</v>
      </c>
      <c r="F253" s="6">
        <f>CALC_GAMES_BASE!N253</f>
        <v>0.98</v>
      </c>
      <c r="G253" s="7">
        <f>CALC_GAMES_BASE!K253</f>
        <v>-2</v>
      </c>
      <c r="H253" s="7">
        <f t="shared" si="3"/>
        <v>1</v>
      </c>
      <c r="I253" s="6">
        <f>IF(H253=1,
  F253,
  G253*PARAMETRY!$B$11)</f>
        <v>0.98</v>
      </c>
      <c r="J253" s="6">
        <f>CALC_GAMES_BASE!U253-CALC_GAMES_BASE!V253</f>
        <v>4.4160700410700443E-2</v>
      </c>
      <c r="K253" s="6">
        <f>_xlfn.XLOOKUP(CALC_GAMES_BASE!W253,
  CALC_GOALIES!B:B,
  CALC_GOALIES!K:K)</f>
        <v>1.3707542055988897E-2</v>
      </c>
      <c r="L253" s="6">
        <f>_xlfn.XLOOKUP(C253,CALC_TEAMS_SEASON!B:B,CALC_TEAMS_SEASON!L:L)</f>
        <v>0.10805322128851533</v>
      </c>
      <c r="M253">
        <f>IF(CALC_GAMES_BASE!Z253="RS",1,1.2)</f>
        <v>1</v>
      </c>
      <c r="N253">
        <f xml:space="preserve"> CALC_GAMES_BASE!Y253</f>
        <v>1</v>
      </c>
    </row>
    <row r="254" spans="1:14" x14ac:dyDescent="0.25">
      <c r="A254" t="str">
        <f>CALC_GAMES_BASE!A254</f>
        <v>25/26</v>
      </c>
      <c r="B254" s="3">
        <f>CALC_GAMES_BASE!B254</f>
        <v>45958</v>
      </c>
      <c r="C254" s="3" t="str">
        <f>CALC_GAMES_BASE!C254</f>
        <v>KOM</v>
      </c>
      <c r="D254" s="3" t="str">
        <f>CALC_GAMES_BASE!D254</f>
        <v>MHK</v>
      </c>
      <c r="E254" s="7">
        <f>CALC_GAMES_BASE!E254</f>
        <v>1</v>
      </c>
      <c r="F254" s="6">
        <f>CALC_GAMES_BASE!N254</f>
        <v>-1.51</v>
      </c>
      <c r="G254" s="7">
        <f>CALC_GAMES_BASE!K254</f>
        <v>-4</v>
      </c>
      <c r="H254" s="7">
        <f t="shared" si="3"/>
        <v>1</v>
      </c>
      <c r="I254" s="6">
        <f>IF(H254=1,
  F254,
  G254*PARAMETRY!$B$11)</f>
        <v>-1.51</v>
      </c>
      <c r="J254" s="6">
        <f>CALC_GAMES_BASE!U254-CALC_GAMES_BASE!V254</f>
        <v>1.739926739926706E-3</v>
      </c>
      <c r="K254" s="6">
        <f>_xlfn.XLOOKUP(CALC_GAMES_BASE!W254,
  CALC_GOALIES!B:B,
  CALC_GOALIES!K:K)</f>
        <v>-1.7945945907462235E-2</v>
      </c>
      <c r="L254" s="6">
        <f>_xlfn.XLOOKUP(C254,CALC_TEAMS_SEASON!B:B,CALC_TEAMS_SEASON!L:L)</f>
        <v>-0.37268207282913179</v>
      </c>
      <c r="M254">
        <f>IF(CALC_GAMES_BASE!Z254="RS",1,1.2)</f>
        <v>1</v>
      </c>
      <c r="N254">
        <f xml:space="preserve"> CALC_GAMES_BASE!Y254</f>
        <v>0</v>
      </c>
    </row>
    <row r="255" spans="1:14" x14ac:dyDescent="0.25">
      <c r="A255" t="str">
        <f>CALC_GAMES_BASE!A255</f>
        <v>25/26</v>
      </c>
      <c r="B255" s="3">
        <f>CALC_GAMES_BASE!B255</f>
        <v>45958</v>
      </c>
      <c r="C255" s="3" t="str">
        <f>CALC_GAMES_BASE!C255</f>
        <v>CEB</v>
      </c>
      <c r="D255" s="3" t="str">
        <f>CALC_GAMES_BASE!D255</f>
        <v>TRI</v>
      </c>
      <c r="E255" s="7">
        <f>CALC_GAMES_BASE!E255</f>
        <v>0</v>
      </c>
      <c r="F255" s="6">
        <f>CALC_GAMES_BASE!N255</f>
        <v>-0.98</v>
      </c>
      <c r="G255" s="7">
        <f>CALC_GAMES_BASE!K255</f>
        <v>2</v>
      </c>
      <c r="H255" s="7">
        <f t="shared" si="3"/>
        <v>1</v>
      </c>
      <c r="I255" s="6">
        <f>IF(H255=1,
  F255,
  G255*PARAMETRY!$B$11)</f>
        <v>-0.98</v>
      </c>
      <c r="J255" s="6">
        <f>CALC_GAMES_BASE!U255-CALC_GAMES_BASE!V255</f>
        <v>-4.4160700410700443E-2</v>
      </c>
      <c r="K255" s="6">
        <f>_xlfn.XLOOKUP(CALC_GAMES_BASE!W255,
  CALC_GOALIES!B:B,
  CALC_GOALIES!K:K)</f>
        <v>-4.3244838896392079E-2</v>
      </c>
      <c r="L255" s="6">
        <f>_xlfn.XLOOKUP(C255,CALC_TEAMS_SEASON!B:B,CALC_TEAMS_SEASON!L:L)</f>
        <v>-0.24978011204481798</v>
      </c>
      <c r="M255">
        <f>IF(CALC_GAMES_BASE!Z255="RS",1,1.2)</f>
        <v>1</v>
      </c>
      <c r="N255">
        <f xml:space="preserve"> CALC_GAMES_BASE!Y255</f>
        <v>0</v>
      </c>
    </row>
    <row r="256" spans="1:14" x14ac:dyDescent="0.25">
      <c r="A256" t="str">
        <f>CALC_GAMES_BASE!A256</f>
        <v>25/26</v>
      </c>
      <c r="B256" s="3">
        <f>CALC_GAMES_BASE!B256</f>
        <v>45958</v>
      </c>
      <c r="C256" s="3" t="str">
        <f>CALC_GAMES_BASE!C256</f>
        <v>KLA</v>
      </c>
      <c r="D256" s="3" t="str">
        <f>CALC_GAMES_BASE!D256</f>
        <v>LIB</v>
      </c>
      <c r="E256" s="7">
        <f>CALC_GAMES_BASE!E256</f>
        <v>1</v>
      </c>
      <c r="F256" s="6" t="str">
        <f>CALC_GAMES_BASE!N256</f>
        <v/>
      </c>
      <c r="G256" s="7">
        <f>CALC_GAMES_BASE!K256</f>
        <v>-22</v>
      </c>
      <c r="H256" s="7">
        <f t="shared" si="3"/>
        <v>0</v>
      </c>
      <c r="I256" s="6">
        <f>IF(H256=1,
  F256,
  G256*PARAMETRY!$B$11)</f>
        <v>-1.1000000000000001</v>
      </c>
      <c r="J256" s="6">
        <f>CALC_GAMES_BASE!U256-CALC_GAMES_BASE!V256</f>
        <v>-1.2568681318681357E-2</v>
      </c>
      <c r="K256" s="6">
        <f>_xlfn.XLOOKUP(CALC_GAMES_BASE!W256,
  CALC_GOALIES!B:B,
  CALC_GOALIES!K:K)</f>
        <v>1.2463190300688209E-2</v>
      </c>
      <c r="L256" s="6">
        <f>_xlfn.XLOOKUP(C256,CALC_TEAMS_SEASON!B:B,CALC_TEAMS_SEASON!L:L)</f>
        <v>-0.19819677871148478</v>
      </c>
      <c r="M256">
        <f>IF(CALC_GAMES_BASE!Z256="RS",1,1.2)</f>
        <v>1</v>
      </c>
      <c r="N256">
        <f xml:space="preserve"> CALC_GAMES_BASE!Y256</f>
        <v>1</v>
      </c>
    </row>
    <row r="257" spans="1:14" x14ac:dyDescent="0.25">
      <c r="A257" t="str">
        <f>CALC_GAMES_BASE!A257</f>
        <v>25/26</v>
      </c>
      <c r="B257" s="3">
        <f>CALC_GAMES_BASE!B257</f>
        <v>45958</v>
      </c>
      <c r="C257" s="3" t="str">
        <f>CALC_GAMES_BASE!C257</f>
        <v>KVA</v>
      </c>
      <c r="D257" s="3" t="str">
        <f>CALC_GAMES_BASE!D257</f>
        <v>MBL</v>
      </c>
      <c r="E257" s="7">
        <f>CALC_GAMES_BASE!E257</f>
        <v>1</v>
      </c>
      <c r="F257" s="6" t="str">
        <f>CALC_GAMES_BASE!N257</f>
        <v/>
      </c>
      <c r="G257" s="7">
        <f>CALC_GAMES_BASE!K257</f>
        <v>11</v>
      </c>
      <c r="H257" s="7">
        <f t="shared" si="3"/>
        <v>0</v>
      </c>
      <c r="I257" s="6">
        <f>IF(H257=1,
  F257,
  G257*PARAMETRY!$B$11)</f>
        <v>0.55000000000000004</v>
      </c>
      <c r="J257" s="6">
        <f>CALC_GAMES_BASE!U257-CALC_GAMES_BASE!V257</f>
        <v>5.5601343101343112E-2</v>
      </c>
      <c r="K257" s="6">
        <f>_xlfn.XLOOKUP(CALC_GAMES_BASE!W257,
  CALC_GOALIES!B:B,
  CALC_GOALIES!K:K)</f>
        <v>1.2242809776983998E-2</v>
      </c>
      <c r="L257" s="6">
        <f>_xlfn.XLOOKUP(C257,CALC_TEAMS_SEASON!B:B,CALC_TEAMS_SEASON!L:L)</f>
        <v>-0.28757177871148476</v>
      </c>
      <c r="M257">
        <f>IF(CALC_GAMES_BASE!Z257="RS",1,1.2)</f>
        <v>1</v>
      </c>
      <c r="N257">
        <f xml:space="preserve"> CALC_GAMES_BASE!Y257</f>
        <v>0</v>
      </c>
    </row>
    <row r="258" spans="1:14" x14ac:dyDescent="0.25">
      <c r="A258" t="str">
        <f>CALC_GAMES_BASE!A258</f>
        <v>25/26</v>
      </c>
      <c r="B258" s="3">
        <f>CALC_GAMES_BASE!B258</f>
        <v>45958</v>
      </c>
      <c r="C258" s="3" t="str">
        <f>CALC_GAMES_BASE!C258</f>
        <v>LIB</v>
      </c>
      <c r="D258" s="3" t="str">
        <f>CALC_GAMES_BASE!D258</f>
        <v>KLA</v>
      </c>
      <c r="E258" s="7">
        <f>CALC_GAMES_BASE!E258</f>
        <v>0</v>
      </c>
      <c r="F258" s="6" t="str">
        <f>CALC_GAMES_BASE!N258</f>
        <v/>
      </c>
      <c r="G258" s="7">
        <f>CALC_GAMES_BASE!K258</f>
        <v>22</v>
      </c>
      <c r="H258" s="7">
        <f t="shared" si="3"/>
        <v>0</v>
      </c>
      <c r="I258" s="6">
        <f>IF(H258=1,
  F258,
  G258*PARAMETRY!$B$11)</f>
        <v>1.1000000000000001</v>
      </c>
      <c r="J258" s="6">
        <f>CALC_GAMES_BASE!U258-CALC_GAMES_BASE!V258</f>
        <v>1.2568681318681357E-2</v>
      </c>
      <c r="K258" s="6">
        <f>_xlfn.XLOOKUP(CALC_GAMES_BASE!W258,
  CALC_GOALIES!B:B,
  CALC_GOALIES!K:K)</f>
        <v>1.2275709048813366E-2</v>
      </c>
      <c r="L258" s="6">
        <f>_xlfn.XLOOKUP(C258,CALC_TEAMS_SEASON!B:B,CALC_TEAMS_SEASON!L:L)</f>
        <v>0.22367822128851536</v>
      </c>
      <c r="M258">
        <f>IF(CALC_GAMES_BASE!Z258="RS",1,1.2)</f>
        <v>1</v>
      </c>
      <c r="N258">
        <f xml:space="preserve"> CALC_GAMES_BASE!Y258</f>
        <v>0</v>
      </c>
    </row>
    <row r="259" spans="1:14" x14ac:dyDescent="0.25">
      <c r="A259" t="str">
        <f>CALC_GAMES_BASE!A259</f>
        <v>25/26</v>
      </c>
      <c r="B259" s="3">
        <f>CALC_GAMES_BASE!B259</f>
        <v>45958</v>
      </c>
      <c r="C259" s="3" t="str">
        <f>CALC_GAMES_BASE!C259</f>
        <v>LIT</v>
      </c>
      <c r="D259" s="3" t="str">
        <f>CALC_GAMES_BASE!D259</f>
        <v>OLO</v>
      </c>
      <c r="E259" s="7">
        <f>CALC_GAMES_BASE!E259</f>
        <v>1</v>
      </c>
      <c r="F259" s="6" t="str">
        <f>CALC_GAMES_BASE!N259</f>
        <v/>
      </c>
      <c r="G259" s="7">
        <f>CALC_GAMES_BASE!K259</f>
        <v>6</v>
      </c>
      <c r="H259" s="7">
        <f t="shared" ref="H259:H322" si="4">IF(F259&lt;&gt;"",1,0)</f>
        <v>0</v>
      </c>
      <c r="I259" s="6">
        <f>IF(H259=1,
  F259,
  G259*PARAMETRY!$B$11)</f>
        <v>0.30000000000000004</v>
      </c>
      <c r="J259" s="6">
        <f>CALC_GAMES_BASE!U259-CALC_GAMES_BASE!V259</f>
        <v>-4.9000305250305284E-2</v>
      </c>
      <c r="K259" s="6">
        <f>_xlfn.XLOOKUP(CALC_GAMES_BASE!W259,
  CALC_GOALIES!B:B,
  CALC_GOALIES!K:K)</f>
        <v>-8.1125178551773036E-3</v>
      </c>
      <c r="L259" s="6">
        <f>_xlfn.XLOOKUP(C259,CALC_TEAMS_SEASON!B:B,CALC_TEAMS_SEASON!L:L)</f>
        <v>-1.4784467787114848</v>
      </c>
      <c r="M259">
        <f>IF(CALC_GAMES_BASE!Z259="RS",1,1.2)</f>
        <v>1</v>
      </c>
      <c r="N259">
        <f xml:space="preserve"> CALC_GAMES_BASE!Y259</f>
        <v>1</v>
      </c>
    </row>
    <row r="260" spans="1:14" x14ac:dyDescent="0.25">
      <c r="A260" t="str">
        <f>CALC_GAMES_BASE!A260</f>
        <v>25/26</v>
      </c>
      <c r="B260" s="3">
        <f>CALC_GAMES_BASE!B260</f>
        <v>45958</v>
      </c>
      <c r="C260" s="3" t="str">
        <f>CALC_GAMES_BASE!C260</f>
        <v>MBL</v>
      </c>
      <c r="D260" s="3" t="str">
        <f>CALC_GAMES_BASE!D260</f>
        <v>KVA</v>
      </c>
      <c r="E260" s="7">
        <f>CALC_GAMES_BASE!E260</f>
        <v>0</v>
      </c>
      <c r="F260" s="6" t="str">
        <f>CALC_GAMES_BASE!N260</f>
        <v/>
      </c>
      <c r="G260" s="7">
        <f>CALC_GAMES_BASE!K260</f>
        <v>-11</v>
      </c>
      <c r="H260" s="7">
        <f t="shared" si="4"/>
        <v>0</v>
      </c>
      <c r="I260" s="6">
        <f>IF(H260=1,
  F260,
  G260*PARAMETRY!$B$11)</f>
        <v>-0.55000000000000004</v>
      </c>
      <c r="J260" s="6">
        <f>CALC_GAMES_BASE!U260-CALC_GAMES_BASE!V260</f>
        <v>-5.5601343101343112E-2</v>
      </c>
      <c r="K260" s="6">
        <f>_xlfn.XLOOKUP(CALC_GAMES_BASE!W260,
  CALC_GOALIES!B:B,
  CALC_GOALIES!K:K)</f>
        <v>-4.4670611186142795E-3</v>
      </c>
      <c r="L260" s="6">
        <f>_xlfn.XLOOKUP(C260,CALC_TEAMS_SEASON!B:B,CALC_TEAMS_SEASON!L:L)</f>
        <v>-0.89069677871148467</v>
      </c>
      <c r="M260">
        <f>IF(CALC_GAMES_BASE!Z260="RS",1,1.2)</f>
        <v>1</v>
      </c>
      <c r="N260">
        <f xml:space="preserve"> CALC_GAMES_BASE!Y260</f>
        <v>1</v>
      </c>
    </row>
    <row r="261" spans="1:14" x14ac:dyDescent="0.25">
      <c r="A261" t="str">
        <f>CALC_GAMES_BASE!A261</f>
        <v>25/26</v>
      </c>
      <c r="B261" s="3">
        <f>CALC_GAMES_BASE!B261</f>
        <v>45958</v>
      </c>
      <c r="C261" s="3" t="str">
        <f>CALC_GAMES_BASE!C261</f>
        <v>MHK</v>
      </c>
      <c r="D261" s="3" t="str">
        <f>CALC_GAMES_BASE!D261</f>
        <v>KOM</v>
      </c>
      <c r="E261" s="7">
        <f>CALC_GAMES_BASE!E261</f>
        <v>0</v>
      </c>
      <c r="F261" s="6">
        <f>CALC_GAMES_BASE!N261</f>
        <v>1.51</v>
      </c>
      <c r="G261" s="7">
        <f>CALC_GAMES_BASE!K261</f>
        <v>-4</v>
      </c>
      <c r="H261" s="7">
        <f t="shared" si="4"/>
        <v>1</v>
      </c>
      <c r="I261" s="6">
        <f>IF(H261=1,
  F261,
  G261*PARAMETRY!$B$11)</f>
        <v>1.51</v>
      </c>
      <c r="J261" s="6">
        <f>CALC_GAMES_BASE!U261-CALC_GAMES_BASE!V261</f>
        <v>-1.739926739926706E-3</v>
      </c>
      <c r="K261" s="6">
        <f>_xlfn.XLOOKUP(CALC_GAMES_BASE!W261,
  CALC_GOALIES!B:B,
  CALC_GOALIES!K:K)</f>
        <v>2.1917994590268441E-2</v>
      </c>
      <c r="L261" s="6">
        <f>_xlfn.XLOOKUP(C261,CALC_TEAMS_SEASON!B:B,CALC_TEAMS_SEASON!L:L)</f>
        <v>0.14821988795518207</v>
      </c>
      <c r="M261">
        <f>IF(CALC_GAMES_BASE!Z261="RS",1,1.2)</f>
        <v>1</v>
      </c>
      <c r="N261">
        <f xml:space="preserve"> CALC_GAMES_BASE!Y261</f>
        <v>1</v>
      </c>
    </row>
    <row r="262" spans="1:14" x14ac:dyDescent="0.25">
      <c r="A262" t="str">
        <f>CALC_GAMES_BASE!A262</f>
        <v>25/26</v>
      </c>
      <c r="B262" s="3">
        <f>CALC_GAMES_BASE!B262</f>
        <v>45958</v>
      </c>
      <c r="C262" s="3" t="str">
        <f>CALC_GAMES_BASE!C262</f>
        <v>OLO</v>
      </c>
      <c r="D262" s="3" t="str">
        <f>CALC_GAMES_BASE!D262</f>
        <v>LIT</v>
      </c>
      <c r="E262" s="7">
        <f>CALC_GAMES_BASE!E262</f>
        <v>0</v>
      </c>
      <c r="F262" s="6" t="str">
        <f>CALC_GAMES_BASE!N262</f>
        <v/>
      </c>
      <c r="G262" s="7">
        <f>CALC_GAMES_BASE!K262</f>
        <v>-6</v>
      </c>
      <c r="H262" s="7">
        <f t="shared" si="4"/>
        <v>0</v>
      </c>
      <c r="I262" s="6">
        <f>IF(H262=1,
  F262,
  G262*PARAMETRY!$B$11)</f>
        <v>-0.30000000000000004</v>
      </c>
      <c r="J262" s="6">
        <f>CALC_GAMES_BASE!U262-CALC_GAMES_BASE!V262</f>
        <v>4.9000305250305284E-2</v>
      </c>
      <c r="K262" s="6">
        <f>_xlfn.XLOOKUP(CALC_GAMES_BASE!W262,
  CALC_GOALIES!B:B,
  CALC_GOALIES!K:K)</f>
        <v>-2.0326878807700233E-2</v>
      </c>
      <c r="L262" s="6">
        <f>_xlfn.XLOOKUP(C262,CALC_TEAMS_SEASON!B:B,CALC_TEAMS_SEASON!L:L)</f>
        <v>-1.0613217787114846</v>
      </c>
      <c r="M262">
        <f>IF(CALC_GAMES_BASE!Z262="RS",1,1.2)</f>
        <v>1</v>
      </c>
      <c r="N262">
        <f xml:space="preserve"> CALC_GAMES_BASE!Y262</f>
        <v>0</v>
      </c>
    </row>
    <row r="263" spans="1:14" x14ac:dyDescent="0.25">
      <c r="A263" t="str">
        <f>CALC_GAMES_BASE!A263</f>
        <v>25/26</v>
      </c>
      <c r="B263" s="3">
        <f>CALC_GAMES_BASE!B263</f>
        <v>45958</v>
      </c>
      <c r="C263" s="3" t="str">
        <f>CALC_GAMES_BASE!C263</f>
        <v>PLZ</v>
      </c>
      <c r="D263" s="3" t="str">
        <f>CALC_GAMES_BASE!D263</f>
        <v>PCE</v>
      </c>
      <c r="E263" s="7">
        <f>CALC_GAMES_BASE!E263</f>
        <v>0</v>
      </c>
      <c r="F263" s="6">
        <f>CALC_GAMES_BASE!N263</f>
        <v>-0.16999999999999993</v>
      </c>
      <c r="G263" s="7">
        <f>CALC_GAMES_BASE!K263</f>
        <v>-4</v>
      </c>
      <c r="H263" s="7">
        <f t="shared" si="4"/>
        <v>1</v>
      </c>
      <c r="I263" s="6">
        <f>IF(H263=1,
  F263,
  G263*PARAMETRY!$B$11)</f>
        <v>-0.16999999999999993</v>
      </c>
      <c r="J263" s="6">
        <f>CALC_GAMES_BASE!U263-CALC_GAMES_BASE!V263</f>
        <v>-2.6564407814407914E-2</v>
      </c>
      <c r="K263" s="6">
        <f>_xlfn.XLOOKUP(CALC_GAMES_BASE!W263,
  CALC_GOALIES!B:B,
  CALC_GOALIES!K:K)</f>
        <v>1.7617039556646619E-2</v>
      </c>
      <c r="L263" s="6">
        <f>_xlfn.XLOOKUP(C263,CALC_TEAMS_SEASON!B:B,CALC_TEAMS_SEASON!L:L)</f>
        <v>7.3678221288515283E-2</v>
      </c>
      <c r="M263">
        <f>IF(CALC_GAMES_BASE!Z263="RS",1,1.2)</f>
        <v>1</v>
      </c>
      <c r="N263">
        <f xml:space="preserve"> CALC_GAMES_BASE!Y263</f>
        <v>1</v>
      </c>
    </row>
    <row r="264" spans="1:14" x14ac:dyDescent="0.25">
      <c r="A264" t="str">
        <f>CALC_GAMES_BASE!A264</f>
        <v>25/26</v>
      </c>
      <c r="B264" s="3">
        <f>CALC_GAMES_BASE!B264</f>
        <v>45959</v>
      </c>
      <c r="C264" s="3" t="str">
        <f>CALC_GAMES_BASE!C264</f>
        <v>SPA</v>
      </c>
      <c r="D264" s="3" t="str">
        <f>CALC_GAMES_BASE!D264</f>
        <v>VIT</v>
      </c>
      <c r="E264" s="7">
        <f>CALC_GAMES_BASE!E264</f>
        <v>0</v>
      </c>
      <c r="F264" s="6">
        <f>CALC_GAMES_BASE!N264</f>
        <v>1.3099999999999998</v>
      </c>
      <c r="G264" s="7">
        <f>CALC_GAMES_BASE!K264</f>
        <v>13</v>
      </c>
      <c r="H264" s="7">
        <f t="shared" si="4"/>
        <v>1</v>
      </c>
      <c r="I264" s="6">
        <f>IF(H264=1,
  F264,
  G264*PARAMETRY!$B$11)</f>
        <v>1.3099999999999998</v>
      </c>
      <c r="J264" s="6">
        <f>CALC_GAMES_BASE!U264-CALC_GAMES_BASE!V264</f>
        <v>5.0755494505494519E-2</v>
      </c>
      <c r="K264" s="6">
        <f>_xlfn.XLOOKUP(CALC_GAMES_BASE!W264,
  CALC_GOALIES!B:B,
  CALC_GOALIES!K:K)</f>
        <v>3.5919237922225067E-3</v>
      </c>
      <c r="L264" s="6">
        <f>_xlfn.XLOOKUP(C264,CALC_TEAMS_SEASON!B:B,CALC_TEAMS_SEASON!L:L)</f>
        <v>6.4376750700279955E-2</v>
      </c>
      <c r="M264">
        <f>IF(CALC_GAMES_BASE!Z264="RS",1,1.2)</f>
        <v>1</v>
      </c>
      <c r="N264">
        <f xml:space="preserve"> CALC_GAMES_BASE!Y264</f>
        <v>1</v>
      </c>
    </row>
    <row r="265" spans="1:14" x14ac:dyDescent="0.25">
      <c r="A265" t="str">
        <f>CALC_GAMES_BASE!A265</f>
        <v>25/26</v>
      </c>
      <c r="B265" s="3">
        <f>CALC_GAMES_BASE!B265</f>
        <v>45959</v>
      </c>
      <c r="C265" s="3" t="str">
        <f>CALC_GAMES_BASE!C265</f>
        <v>VIT</v>
      </c>
      <c r="D265" s="3" t="str">
        <f>CALC_GAMES_BASE!D265</f>
        <v>SPA</v>
      </c>
      <c r="E265" s="7">
        <f>CALC_GAMES_BASE!E265</f>
        <v>1</v>
      </c>
      <c r="F265" s="6">
        <f>CALC_GAMES_BASE!N265</f>
        <v>-1.3099999999999998</v>
      </c>
      <c r="G265" s="7">
        <f>CALC_GAMES_BASE!K265</f>
        <v>-13</v>
      </c>
      <c r="H265" s="7">
        <f t="shared" si="4"/>
        <v>1</v>
      </c>
      <c r="I265" s="6">
        <f>IF(H265=1,
  F265,
  G265*PARAMETRY!$B$11)</f>
        <v>-1.3099999999999998</v>
      </c>
      <c r="J265" s="6">
        <f>CALC_GAMES_BASE!U265-CALC_GAMES_BASE!V265</f>
        <v>-5.0755494505494519E-2</v>
      </c>
      <c r="K265" s="6">
        <f>_xlfn.XLOOKUP(CALC_GAMES_BASE!W265,
  CALC_GOALIES!B:B,
  CALC_GOALIES!K:K)</f>
        <v>1.905487900993541E-3</v>
      </c>
      <c r="L265" s="6">
        <f>_xlfn.XLOOKUP(C265,CALC_TEAMS_SEASON!B:B,CALC_TEAMS_SEASON!L:L)</f>
        <v>-1.0281967787114845</v>
      </c>
      <c r="M265">
        <f>IF(CALC_GAMES_BASE!Z265="RS",1,1.2)</f>
        <v>1</v>
      </c>
      <c r="N265">
        <f xml:space="preserve"> CALC_GAMES_BASE!Y265</f>
        <v>0</v>
      </c>
    </row>
    <row r="266" spans="1:14" x14ac:dyDescent="0.25">
      <c r="A266" t="str">
        <f>CALC_GAMES_BASE!A266</f>
        <v>25/26</v>
      </c>
      <c r="B266" s="3">
        <f>CALC_GAMES_BASE!B266</f>
        <v>45961</v>
      </c>
      <c r="C266" s="3" t="str">
        <f>CALC_GAMES_BASE!C266</f>
        <v>CEB</v>
      </c>
      <c r="D266" s="3" t="str">
        <f>CALC_GAMES_BASE!D266</f>
        <v>KVA</v>
      </c>
      <c r="E266" s="7">
        <f>CALC_GAMES_BASE!E266</f>
        <v>1</v>
      </c>
      <c r="F266" s="6" t="str">
        <f>CALC_GAMES_BASE!N266</f>
        <v/>
      </c>
      <c r="G266" s="7">
        <f>CALC_GAMES_BASE!K266</f>
        <v>4</v>
      </c>
      <c r="H266" s="7">
        <f t="shared" si="4"/>
        <v>0</v>
      </c>
      <c r="I266" s="6">
        <f>IF(H266=1,
  F266,
  G266*PARAMETRY!$B$11)</f>
        <v>0.2</v>
      </c>
      <c r="J266" s="6">
        <f>CALC_GAMES_BASE!U266-CALC_GAMES_BASE!V266</f>
        <v>-4.3657037407037413E-2</v>
      </c>
      <c r="K266" s="6">
        <f>_xlfn.XLOOKUP(CALC_GAMES_BASE!W266,
  CALC_GOALIES!B:B,
  CALC_GOALIES!K:K)</f>
        <v>-4.3244838896392079E-2</v>
      </c>
      <c r="L266" s="6">
        <f>_xlfn.XLOOKUP(C266,CALC_TEAMS_SEASON!B:B,CALC_TEAMS_SEASON!L:L)</f>
        <v>-0.24978011204481798</v>
      </c>
      <c r="M266">
        <f>IF(CALC_GAMES_BASE!Z266="RS",1,1.2)</f>
        <v>1</v>
      </c>
      <c r="N266">
        <f xml:space="preserve"> CALC_GAMES_BASE!Y266</f>
        <v>1</v>
      </c>
    </row>
    <row r="267" spans="1:14" x14ac:dyDescent="0.25">
      <c r="A267" t="str">
        <f>CALC_GAMES_BASE!A267</f>
        <v>25/26</v>
      </c>
      <c r="B267" s="3">
        <f>CALC_GAMES_BASE!B267</f>
        <v>45961</v>
      </c>
      <c r="C267" s="3" t="str">
        <f>CALC_GAMES_BASE!C267</f>
        <v>LIB</v>
      </c>
      <c r="D267" s="3" t="str">
        <f>CALC_GAMES_BASE!D267</f>
        <v>VIT</v>
      </c>
      <c r="E267" s="7">
        <f>CALC_GAMES_BASE!E267</f>
        <v>1</v>
      </c>
      <c r="F267" s="6" t="str">
        <f>CALC_GAMES_BASE!N267</f>
        <v/>
      </c>
      <c r="G267" s="7">
        <f>CALC_GAMES_BASE!K267</f>
        <v>19</v>
      </c>
      <c r="H267" s="7">
        <f t="shared" si="4"/>
        <v>0</v>
      </c>
      <c r="I267" s="6">
        <f>IF(H267=1,
  F267,
  G267*PARAMETRY!$B$11)</f>
        <v>0.95000000000000007</v>
      </c>
      <c r="J267" s="6">
        <f>CALC_GAMES_BASE!U267-CALC_GAMES_BASE!V267</f>
        <v>-2.6076007326007344E-2</v>
      </c>
      <c r="K267" s="6">
        <f>_xlfn.XLOOKUP(CALC_GAMES_BASE!W267,
  CALC_GOALIES!B:B,
  CALC_GOALIES!K:K)</f>
        <v>1.2275709048813366E-2</v>
      </c>
      <c r="L267" s="6">
        <f>_xlfn.XLOOKUP(C267,CALC_TEAMS_SEASON!B:B,CALC_TEAMS_SEASON!L:L)</f>
        <v>0.22367822128851536</v>
      </c>
      <c r="M267">
        <f>IF(CALC_GAMES_BASE!Z267="RS",1,1.2)</f>
        <v>1</v>
      </c>
      <c r="N267">
        <f xml:space="preserve"> CALC_GAMES_BASE!Y267</f>
        <v>0</v>
      </c>
    </row>
    <row r="268" spans="1:14" x14ac:dyDescent="0.25">
      <c r="A268" t="str">
        <f>CALC_GAMES_BASE!A268</f>
        <v>25/26</v>
      </c>
      <c r="B268" s="3">
        <f>CALC_GAMES_BASE!B268</f>
        <v>45961</v>
      </c>
      <c r="C268" s="3" t="str">
        <f>CALC_GAMES_BASE!C268</f>
        <v>MBL</v>
      </c>
      <c r="D268" s="3" t="str">
        <f>CALC_GAMES_BASE!D268</f>
        <v>LIT</v>
      </c>
      <c r="E268" s="7">
        <f>CALC_GAMES_BASE!E268</f>
        <v>1</v>
      </c>
      <c r="F268" s="6" t="str">
        <f>CALC_GAMES_BASE!N268</f>
        <v/>
      </c>
      <c r="G268" s="7">
        <f>CALC_GAMES_BASE!K268</f>
        <v>-3</v>
      </c>
      <c r="H268" s="7">
        <f t="shared" si="4"/>
        <v>0</v>
      </c>
      <c r="I268" s="6">
        <f>IF(H268=1,
  F268,
  G268*PARAMETRY!$B$11)</f>
        <v>-0.15000000000000002</v>
      </c>
      <c r="J268" s="6">
        <f>CALC_GAMES_BASE!U268-CALC_GAMES_BASE!V268</f>
        <v>1.7376373626373648E-2</v>
      </c>
      <c r="K268" s="6">
        <f>_xlfn.XLOOKUP(CALC_GAMES_BASE!W268,
  CALC_GOALIES!B:B,
  CALC_GOALIES!K:K)</f>
        <v>-4.4670611186142795E-3</v>
      </c>
      <c r="L268" s="6">
        <f>_xlfn.XLOOKUP(C268,CALC_TEAMS_SEASON!B:B,CALC_TEAMS_SEASON!L:L)</f>
        <v>-0.89069677871148467</v>
      </c>
      <c r="M268">
        <f>IF(CALC_GAMES_BASE!Z268="RS",1,1.2)</f>
        <v>1</v>
      </c>
      <c r="N268">
        <f xml:space="preserve"> CALC_GAMES_BASE!Y268</f>
        <v>1</v>
      </c>
    </row>
    <row r="269" spans="1:14" x14ac:dyDescent="0.25">
      <c r="A269" t="str">
        <f>CALC_GAMES_BASE!A269</f>
        <v>25/26</v>
      </c>
      <c r="B269" s="3">
        <f>CALC_GAMES_BASE!B269</f>
        <v>45961</v>
      </c>
      <c r="C269" s="3" t="str">
        <f>CALC_GAMES_BASE!C269</f>
        <v>MHK</v>
      </c>
      <c r="D269" s="3" t="str">
        <f>CALC_GAMES_BASE!D269</f>
        <v>TRI</v>
      </c>
      <c r="E269" s="7">
        <f>CALC_GAMES_BASE!E269</f>
        <v>1</v>
      </c>
      <c r="F269" s="6">
        <f>CALC_GAMES_BASE!N269</f>
        <v>1.88</v>
      </c>
      <c r="G269" s="7">
        <f>CALC_GAMES_BASE!K269</f>
        <v>13</v>
      </c>
      <c r="H269" s="7">
        <f t="shared" si="4"/>
        <v>1</v>
      </c>
      <c r="I269" s="6">
        <f>IF(H269=1,
  F269,
  G269*PARAMETRY!$B$11)</f>
        <v>1.88</v>
      </c>
      <c r="J269" s="6">
        <f>CALC_GAMES_BASE!U269-CALC_GAMES_BASE!V269</f>
        <v>-3.2524420024420048E-2</v>
      </c>
      <c r="K269" s="6">
        <f>_xlfn.XLOOKUP(CALC_GAMES_BASE!W269,
  CALC_GOALIES!B:B,
  CALC_GOALIES!K:K)</f>
        <v>2.1917994590268441E-2</v>
      </c>
      <c r="L269" s="6">
        <f>_xlfn.XLOOKUP(C269,CALC_TEAMS_SEASON!B:B,CALC_TEAMS_SEASON!L:L)</f>
        <v>0.14821988795518207</v>
      </c>
      <c r="M269">
        <f>IF(CALC_GAMES_BASE!Z269="RS",1,1.2)</f>
        <v>1</v>
      </c>
      <c r="N269">
        <f xml:space="preserve"> CALC_GAMES_BASE!Y269</f>
        <v>1</v>
      </c>
    </row>
    <row r="270" spans="1:14" x14ac:dyDescent="0.25">
      <c r="A270" t="str">
        <f>CALC_GAMES_BASE!A270</f>
        <v>25/26</v>
      </c>
      <c r="B270" s="3">
        <f>CALC_GAMES_BASE!B270</f>
        <v>45961</v>
      </c>
      <c r="C270" s="3" t="str">
        <f>CALC_GAMES_BASE!C270</f>
        <v>OLO</v>
      </c>
      <c r="D270" s="3" t="str">
        <f>CALC_GAMES_BASE!D270</f>
        <v>SPA</v>
      </c>
      <c r="E270" s="7">
        <f>CALC_GAMES_BASE!E270</f>
        <v>1</v>
      </c>
      <c r="F270" s="6">
        <f>CALC_GAMES_BASE!N270</f>
        <v>-1.0199999999999998</v>
      </c>
      <c r="G270" s="7">
        <f>CALC_GAMES_BASE!K270</f>
        <v>-27</v>
      </c>
      <c r="H270" s="7">
        <f t="shared" si="4"/>
        <v>1</v>
      </c>
      <c r="I270" s="6">
        <f>IF(H270=1,
  F270,
  G270*PARAMETRY!$B$11)</f>
        <v>-1.0199999999999998</v>
      </c>
      <c r="J270" s="6">
        <f>CALC_GAMES_BASE!U270-CALC_GAMES_BASE!V270</f>
        <v>-7.0711233211233238E-2</v>
      </c>
      <c r="K270" s="6">
        <f>_xlfn.XLOOKUP(CALC_GAMES_BASE!W270,
  CALC_GOALIES!B:B,
  CALC_GOALIES!K:K)</f>
        <v>4.4713327207696052E-3</v>
      </c>
      <c r="L270" s="6">
        <f>_xlfn.XLOOKUP(C270,CALC_TEAMS_SEASON!B:B,CALC_TEAMS_SEASON!L:L)</f>
        <v>-1.0613217787114846</v>
      </c>
      <c r="M270">
        <f>IF(CALC_GAMES_BASE!Z270="RS",1,1.2)</f>
        <v>1</v>
      </c>
      <c r="N270">
        <f xml:space="preserve"> CALC_GAMES_BASE!Y270</f>
        <v>0</v>
      </c>
    </row>
    <row r="271" spans="1:14" x14ac:dyDescent="0.25">
      <c r="A271" t="str">
        <f>CALC_GAMES_BASE!A271</f>
        <v>25/26</v>
      </c>
      <c r="B271" s="3">
        <f>CALC_GAMES_BASE!B271</f>
        <v>45961</v>
      </c>
      <c r="C271" s="3" t="str">
        <f>CALC_GAMES_BASE!C271</f>
        <v>PCE</v>
      </c>
      <c r="D271" s="3" t="str">
        <f>CALC_GAMES_BASE!D271</f>
        <v>KLA</v>
      </c>
      <c r="E271" s="7">
        <f>CALC_GAMES_BASE!E271</f>
        <v>1</v>
      </c>
      <c r="F271" s="6">
        <f>CALC_GAMES_BASE!N271</f>
        <v>2.5300000000000002</v>
      </c>
      <c r="G271" s="7">
        <f>CALC_GAMES_BASE!K271</f>
        <v>16</v>
      </c>
      <c r="H271" s="7">
        <f t="shared" si="4"/>
        <v>1</v>
      </c>
      <c r="I271" s="6">
        <f>IF(H271=1,
  F271,
  G271*PARAMETRY!$B$11)</f>
        <v>2.5300000000000002</v>
      </c>
      <c r="J271" s="6">
        <f>CALC_GAMES_BASE!U271-CALC_GAMES_BASE!V271</f>
        <v>7.17719780219781E-2</v>
      </c>
      <c r="K271" s="6">
        <f>_xlfn.XLOOKUP(CALC_GAMES_BASE!W271,
  CALC_GOALIES!B:B,
  CALC_GOALIES!K:K)</f>
        <v>4.5881077393388203E-3</v>
      </c>
      <c r="L271" s="6">
        <f>_xlfn.XLOOKUP(C271,CALC_TEAMS_SEASON!B:B,CALC_TEAMS_SEASON!L:L)</f>
        <v>0.62437675070027965</v>
      </c>
      <c r="M271">
        <f>IF(CALC_GAMES_BASE!Z271="RS",1,1.2)</f>
        <v>1</v>
      </c>
      <c r="N271">
        <f xml:space="preserve"> CALC_GAMES_BASE!Y271</f>
        <v>1</v>
      </c>
    </row>
    <row r="272" spans="1:14" x14ac:dyDescent="0.25">
      <c r="A272" t="str">
        <f>CALC_GAMES_BASE!A272</f>
        <v>25/26</v>
      </c>
      <c r="B272" s="3">
        <f>CALC_GAMES_BASE!B272</f>
        <v>45961</v>
      </c>
      <c r="C272" s="3" t="str">
        <f>CALC_GAMES_BASE!C272</f>
        <v>PLZ</v>
      </c>
      <c r="D272" s="3" t="str">
        <f>CALC_GAMES_BASE!D272</f>
        <v>KOM</v>
      </c>
      <c r="E272" s="7">
        <f>CALC_GAMES_BASE!E272</f>
        <v>1</v>
      </c>
      <c r="F272" s="6">
        <f>CALC_GAMES_BASE!N272</f>
        <v>1.5899999999999999</v>
      </c>
      <c r="G272" s="7">
        <f>CALC_GAMES_BASE!K272</f>
        <v>15</v>
      </c>
      <c r="H272" s="7">
        <f t="shared" si="4"/>
        <v>1</v>
      </c>
      <c r="I272" s="6">
        <f>IF(H272=1,
  F272,
  G272*PARAMETRY!$B$11)</f>
        <v>1.5899999999999999</v>
      </c>
      <c r="J272" s="6">
        <f>CALC_GAMES_BASE!U272-CALC_GAMES_BASE!V272</f>
        <v>3.2822039072039039E-2</v>
      </c>
      <c r="K272" s="6">
        <f>_xlfn.XLOOKUP(CALC_GAMES_BASE!W272,
  CALC_GOALIES!B:B,
  CALC_GOALIES!K:K)</f>
        <v>1.7617039556646619E-2</v>
      </c>
      <c r="L272" s="6">
        <f>_xlfn.XLOOKUP(C272,CALC_TEAMS_SEASON!B:B,CALC_TEAMS_SEASON!L:L)</f>
        <v>7.3678221288515283E-2</v>
      </c>
      <c r="M272">
        <f>IF(CALC_GAMES_BASE!Z272="RS",1,1.2)</f>
        <v>1</v>
      </c>
      <c r="N272">
        <f xml:space="preserve"> CALC_GAMES_BASE!Y272</f>
        <v>1</v>
      </c>
    </row>
    <row r="273" spans="1:14" x14ac:dyDescent="0.25">
      <c r="A273" t="str">
        <f>CALC_GAMES_BASE!A273</f>
        <v>25/26</v>
      </c>
      <c r="B273" s="3">
        <f>CALC_GAMES_BASE!B273</f>
        <v>45961</v>
      </c>
      <c r="C273" s="3" t="str">
        <f>CALC_GAMES_BASE!C273</f>
        <v>KLA</v>
      </c>
      <c r="D273" s="3" t="str">
        <f>CALC_GAMES_BASE!D273</f>
        <v>PCE</v>
      </c>
      <c r="E273" s="7">
        <f>CALC_GAMES_BASE!E273</f>
        <v>0</v>
      </c>
      <c r="F273" s="6">
        <f>CALC_GAMES_BASE!N273</f>
        <v>-2.5300000000000002</v>
      </c>
      <c r="G273" s="7">
        <f>CALC_GAMES_BASE!K273</f>
        <v>-16</v>
      </c>
      <c r="H273" s="7">
        <f t="shared" si="4"/>
        <v>1</v>
      </c>
      <c r="I273" s="6">
        <f>IF(H273=1,
  F273,
  G273*PARAMETRY!$B$11)</f>
        <v>-2.5300000000000002</v>
      </c>
      <c r="J273" s="6">
        <f>CALC_GAMES_BASE!U273-CALC_GAMES_BASE!V273</f>
        <v>-7.17719780219781E-2</v>
      </c>
      <c r="K273" s="6">
        <f>_xlfn.XLOOKUP(CALC_GAMES_BASE!W273,
  CALC_GOALIES!B:B,
  CALC_GOALIES!K:K)</f>
        <v>-1.9185137403854746E-2</v>
      </c>
      <c r="L273" s="6">
        <f>_xlfn.XLOOKUP(C273,CALC_TEAMS_SEASON!B:B,CALC_TEAMS_SEASON!L:L)</f>
        <v>-0.19819677871148478</v>
      </c>
      <c r="M273">
        <f>IF(CALC_GAMES_BASE!Z273="RS",1,1.2)</f>
        <v>1</v>
      </c>
      <c r="N273">
        <f xml:space="preserve"> CALC_GAMES_BASE!Y273</f>
        <v>0</v>
      </c>
    </row>
    <row r="274" spans="1:14" x14ac:dyDescent="0.25">
      <c r="A274" t="str">
        <f>CALC_GAMES_BASE!A274</f>
        <v>25/26</v>
      </c>
      <c r="B274" s="3">
        <f>CALC_GAMES_BASE!B274</f>
        <v>45961</v>
      </c>
      <c r="C274" s="3" t="str">
        <f>CALC_GAMES_BASE!C274</f>
        <v>KOM</v>
      </c>
      <c r="D274" s="3" t="str">
        <f>CALC_GAMES_BASE!D274</f>
        <v>PLZ</v>
      </c>
      <c r="E274" s="7">
        <f>CALC_GAMES_BASE!E274</f>
        <v>0</v>
      </c>
      <c r="F274" s="6">
        <f>CALC_GAMES_BASE!N274</f>
        <v>-1.5899999999999999</v>
      </c>
      <c r="G274" s="7">
        <f>CALC_GAMES_BASE!K274</f>
        <v>15</v>
      </c>
      <c r="H274" s="7">
        <f t="shared" si="4"/>
        <v>1</v>
      </c>
      <c r="I274" s="6">
        <f>IF(H274=1,
  F274,
  G274*PARAMETRY!$B$11)</f>
        <v>-1.5899999999999999</v>
      </c>
      <c r="J274" s="6">
        <f>CALC_GAMES_BASE!U274-CALC_GAMES_BASE!V274</f>
        <v>-3.2822039072039039E-2</v>
      </c>
      <c r="K274" s="6">
        <f>_xlfn.XLOOKUP(CALC_GAMES_BASE!W274,
  CALC_GOALIES!B:B,
  CALC_GOALIES!K:K)</f>
        <v>-1.5147095063735572E-3</v>
      </c>
      <c r="L274" s="6">
        <f>_xlfn.XLOOKUP(C274,CALC_TEAMS_SEASON!B:B,CALC_TEAMS_SEASON!L:L)</f>
        <v>-0.37268207282913179</v>
      </c>
      <c r="M274">
        <f>IF(CALC_GAMES_BASE!Z274="RS",1,1.2)</f>
        <v>1</v>
      </c>
      <c r="N274">
        <f xml:space="preserve"> CALC_GAMES_BASE!Y274</f>
        <v>0</v>
      </c>
    </row>
    <row r="275" spans="1:14" x14ac:dyDescent="0.25">
      <c r="A275" t="str">
        <f>CALC_GAMES_BASE!A275</f>
        <v>25/26</v>
      </c>
      <c r="B275" s="3">
        <f>CALC_GAMES_BASE!B275</f>
        <v>45961</v>
      </c>
      <c r="C275" s="3" t="str">
        <f>CALC_GAMES_BASE!C275</f>
        <v>KVA</v>
      </c>
      <c r="D275" s="3" t="str">
        <f>CALC_GAMES_BASE!D275</f>
        <v>CEB</v>
      </c>
      <c r="E275" s="7">
        <f>CALC_GAMES_BASE!E275</f>
        <v>0</v>
      </c>
      <c r="F275" s="6" t="str">
        <f>CALC_GAMES_BASE!N275</f>
        <v/>
      </c>
      <c r="G275" s="7">
        <f>CALC_GAMES_BASE!K275</f>
        <v>-4</v>
      </c>
      <c r="H275" s="7">
        <f t="shared" si="4"/>
        <v>0</v>
      </c>
      <c r="I275" s="6">
        <f>IF(H275=1,
  F275,
  G275*PARAMETRY!$B$11)</f>
        <v>-0.2</v>
      </c>
      <c r="J275" s="6">
        <f>CALC_GAMES_BASE!U275-CALC_GAMES_BASE!V275</f>
        <v>4.3657037407037413E-2</v>
      </c>
      <c r="K275" s="6">
        <f>_xlfn.XLOOKUP(CALC_GAMES_BASE!W275,
  CALC_GOALIES!B:B,
  CALC_GOALIES!K:K)</f>
        <v>1.2242809776983998E-2</v>
      </c>
      <c r="L275" s="6">
        <f>_xlfn.XLOOKUP(C275,CALC_TEAMS_SEASON!B:B,CALC_TEAMS_SEASON!L:L)</f>
        <v>-0.28757177871148476</v>
      </c>
      <c r="M275">
        <f>IF(CALC_GAMES_BASE!Z275="RS",1,1.2)</f>
        <v>1</v>
      </c>
      <c r="N275">
        <f xml:space="preserve"> CALC_GAMES_BASE!Y275</f>
        <v>0</v>
      </c>
    </row>
    <row r="276" spans="1:14" x14ac:dyDescent="0.25">
      <c r="A276" t="str">
        <f>CALC_GAMES_BASE!A276</f>
        <v>25/26</v>
      </c>
      <c r="B276" s="3">
        <f>CALC_GAMES_BASE!B276</f>
        <v>45961</v>
      </c>
      <c r="C276" s="3" t="str">
        <f>CALC_GAMES_BASE!C276</f>
        <v>LIT</v>
      </c>
      <c r="D276" s="3" t="str">
        <f>CALC_GAMES_BASE!D276</f>
        <v>MBL</v>
      </c>
      <c r="E276" s="7">
        <f>CALC_GAMES_BASE!E276</f>
        <v>0</v>
      </c>
      <c r="F276" s="6" t="str">
        <f>CALC_GAMES_BASE!N276</f>
        <v/>
      </c>
      <c r="G276" s="7">
        <f>CALC_GAMES_BASE!K276</f>
        <v>3</v>
      </c>
      <c r="H276" s="7">
        <f t="shared" si="4"/>
        <v>0</v>
      </c>
      <c r="I276" s="6">
        <f>IF(H276=1,
  F276,
  G276*PARAMETRY!$B$11)</f>
        <v>0.15000000000000002</v>
      </c>
      <c r="J276" s="6">
        <f>CALC_GAMES_BASE!U276-CALC_GAMES_BASE!V276</f>
        <v>-1.7376373626373648E-2</v>
      </c>
      <c r="K276" s="6">
        <f>_xlfn.XLOOKUP(CALC_GAMES_BASE!W276,
  CALC_GOALIES!B:B,
  CALC_GOALIES!K:K)</f>
        <v>-8.1125178551773036E-3</v>
      </c>
      <c r="L276" s="6">
        <f>_xlfn.XLOOKUP(C276,CALC_TEAMS_SEASON!B:B,CALC_TEAMS_SEASON!L:L)</f>
        <v>-1.4784467787114848</v>
      </c>
      <c r="M276">
        <f>IF(CALC_GAMES_BASE!Z276="RS",1,1.2)</f>
        <v>1</v>
      </c>
      <c r="N276">
        <f xml:space="preserve"> CALC_GAMES_BASE!Y276</f>
        <v>0</v>
      </c>
    </row>
    <row r="277" spans="1:14" x14ac:dyDescent="0.25">
      <c r="A277" t="str">
        <f>CALC_GAMES_BASE!A277</f>
        <v>25/26</v>
      </c>
      <c r="B277" s="3">
        <f>CALC_GAMES_BASE!B277</f>
        <v>45961</v>
      </c>
      <c r="C277" s="3" t="str">
        <f>CALC_GAMES_BASE!C277</f>
        <v>SPA</v>
      </c>
      <c r="D277" s="3" t="str">
        <f>CALC_GAMES_BASE!D277</f>
        <v>OLO</v>
      </c>
      <c r="E277" s="7">
        <f>CALC_GAMES_BASE!E277</f>
        <v>0</v>
      </c>
      <c r="F277" s="6">
        <f>CALC_GAMES_BASE!N277</f>
        <v>1.05</v>
      </c>
      <c r="G277" s="7">
        <f>CALC_GAMES_BASE!K277</f>
        <v>27</v>
      </c>
      <c r="H277" s="7">
        <f t="shared" si="4"/>
        <v>1</v>
      </c>
      <c r="I277" s="6">
        <f>IF(H277=1,
  F277,
  G277*PARAMETRY!$B$11)</f>
        <v>1.05</v>
      </c>
      <c r="J277" s="6">
        <f>CALC_GAMES_BASE!U277-CALC_GAMES_BASE!V277</f>
        <v>7.0711233211233238E-2</v>
      </c>
      <c r="K277" s="6">
        <f>_xlfn.XLOOKUP(CALC_GAMES_BASE!W277,
  CALC_GOALIES!B:B,
  CALC_GOALIES!K:K)</f>
        <v>-1.0634669404866681E-2</v>
      </c>
      <c r="L277" s="6">
        <f>_xlfn.XLOOKUP(C277,CALC_TEAMS_SEASON!B:B,CALC_TEAMS_SEASON!L:L)</f>
        <v>6.4376750700279955E-2</v>
      </c>
      <c r="M277">
        <f>IF(CALC_GAMES_BASE!Z277="RS",1,1.2)</f>
        <v>1</v>
      </c>
      <c r="N277">
        <f xml:space="preserve"> CALC_GAMES_BASE!Y277</f>
        <v>1</v>
      </c>
    </row>
    <row r="278" spans="1:14" x14ac:dyDescent="0.25">
      <c r="A278" t="str">
        <f>CALC_GAMES_BASE!A278</f>
        <v>25/26</v>
      </c>
      <c r="B278" s="3">
        <f>CALC_GAMES_BASE!B278</f>
        <v>45961</v>
      </c>
      <c r="C278" s="3" t="str">
        <f>CALC_GAMES_BASE!C278</f>
        <v>TRI</v>
      </c>
      <c r="D278" s="3" t="str">
        <f>CALC_GAMES_BASE!D278</f>
        <v>MHK</v>
      </c>
      <c r="E278" s="7">
        <f>CALC_GAMES_BASE!E278</f>
        <v>0</v>
      </c>
      <c r="F278" s="6">
        <f>CALC_GAMES_BASE!N278</f>
        <v>-1.88</v>
      </c>
      <c r="G278" s="7">
        <f>CALC_GAMES_BASE!K278</f>
        <v>-13</v>
      </c>
      <c r="H278" s="7">
        <f t="shared" si="4"/>
        <v>1</v>
      </c>
      <c r="I278" s="6">
        <f>IF(H278=1,
  F278,
  G278*PARAMETRY!$B$11)</f>
        <v>-1.88</v>
      </c>
      <c r="J278" s="6">
        <f>CALC_GAMES_BASE!U278-CALC_GAMES_BASE!V278</f>
        <v>3.2524420024420048E-2</v>
      </c>
      <c r="K278" s="6">
        <f>_xlfn.XLOOKUP(CALC_GAMES_BASE!W278,
  CALC_GOALIES!B:B,
  CALC_GOALIES!K:K)</f>
        <v>1.3707542055988897E-2</v>
      </c>
      <c r="L278" s="6">
        <f>_xlfn.XLOOKUP(C278,CALC_TEAMS_SEASON!B:B,CALC_TEAMS_SEASON!L:L)</f>
        <v>0.10805322128851533</v>
      </c>
      <c r="M278">
        <f>IF(CALC_GAMES_BASE!Z278="RS",1,1.2)</f>
        <v>1</v>
      </c>
      <c r="N278">
        <f xml:space="preserve"> CALC_GAMES_BASE!Y278</f>
        <v>0</v>
      </c>
    </row>
    <row r="279" spans="1:14" x14ac:dyDescent="0.25">
      <c r="A279" t="str">
        <f>CALC_GAMES_BASE!A279</f>
        <v>25/26</v>
      </c>
      <c r="B279" s="3">
        <f>CALC_GAMES_BASE!B279</f>
        <v>45961</v>
      </c>
      <c r="C279" s="3" t="str">
        <f>CALC_GAMES_BASE!C279</f>
        <v>VIT</v>
      </c>
      <c r="D279" s="3" t="str">
        <f>CALC_GAMES_BASE!D279</f>
        <v>LIB</v>
      </c>
      <c r="E279" s="7">
        <f>CALC_GAMES_BASE!E279</f>
        <v>0</v>
      </c>
      <c r="F279" s="6" t="str">
        <f>CALC_GAMES_BASE!N279</f>
        <v/>
      </c>
      <c r="G279" s="7">
        <f>CALC_GAMES_BASE!K279</f>
        <v>-19</v>
      </c>
      <c r="H279" s="7">
        <f t="shared" si="4"/>
        <v>0</v>
      </c>
      <c r="I279" s="6">
        <f>IF(H279=1,
  F279,
  G279*PARAMETRY!$B$11)</f>
        <v>-0.95000000000000007</v>
      </c>
      <c r="J279" s="6">
        <f>CALC_GAMES_BASE!U279-CALC_GAMES_BASE!V279</f>
        <v>2.6076007326007344E-2</v>
      </c>
      <c r="K279" s="6">
        <f>_xlfn.XLOOKUP(CALC_GAMES_BASE!W279,
  CALC_GOALIES!B:B,
  CALC_GOALIES!K:K)</f>
        <v>1.905487900993541E-3</v>
      </c>
      <c r="L279" s="6">
        <f>_xlfn.XLOOKUP(C279,CALC_TEAMS_SEASON!B:B,CALC_TEAMS_SEASON!L:L)</f>
        <v>-1.0281967787114845</v>
      </c>
      <c r="M279">
        <f>IF(CALC_GAMES_BASE!Z279="RS",1,1.2)</f>
        <v>1</v>
      </c>
      <c r="N279">
        <f xml:space="preserve"> CALC_GAMES_BASE!Y279</f>
        <v>1</v>
      </c>
    </row>
    <row r="280" spans="1:14" x14ac:dyDescent="0.25">
      <c r="A280" t="str">
        <f>CALC_GAMES_BASE!A280</f>
        <v>25/26</v>
      </c>
      <c r="B280" s="3">
        <f>CALC_GAMES_BASE!B280</f>
        <v>45963</v>
      </c>
      <c r="C280" s="3" t="str">
        <f>CALC_GAMES_BASE!C280</f>
        <v>TRI</v>
      </c>
      <c r="D280" s="3" t="str">
        <f>CALC_GAMES_BASE!D280</f>
        <v>PCE</v>
      </c>
      <c r="E280" s="7">
        <f>CALC_GAMES_BASE!E280</f>
        <v>1</v>
      </c>
      <c r="F280" s="6">
        <f>CALC_GAMES_BASE!N280</f>
        <v>-0.35000000000000009</v>
      </c>
      <c r="G280" s="7">
        <f>CALC_GAMES_BASE!K280</f>
        <v>4</v>
      </c>
      <c r="H280" s="7">
        <f t="shared" si="4"/>
        <v>1</v>
      </c>
      <c r="I280" s="6">
        <f>IF(H280=1,
  F280,
  G280*PARAMETRY!$B$11)</f>
        <v>-0.35000000000000009</v>
      </c>
      <c r="J280" s="6">
        <f>CALC_GAMES_BASE!U280-CALC_GAMES_BASE!V280</f>
        <v>-2.8601953601953611E-2</v>
      </c>
      <c r="K280" s="6">
        <f>_xlfn.XLOOKUP(CALC_GAMES_BASE!W280,
  CALC_GOALIES!B:B,
  CALC_GOALIES!K:K)</f>
        <v>-1.9657016882340561E-2</v>
      </c>
      <c r="L280" s="6">
        <f>_xlfn.XLOOKUP(C280,CALC_TEAMS_SEASON!B:B,CALC_TEAMS_SEASON!L:L)</f>
        <v>0.10805322128851533</v>
      </c>
      <c r="M280">
        <f>IF(CALC_GAMES_BASE!Z280="RS",1,1.2)</f>
        <v>1</v>
      </c>
      <c r="N280">
        <f xml:space="preserve"> CALC_GAMES_BASE!Y280</f>
        <v>0</v>
      </c>
    </row>
    <row r="281" spans="1:14" x14ac:dyDescent="0.25">
      <c r="A281" t="str">
        <f>CALC_GAMES_BASE!A281</f>
        <v>25/26</v>
      </c>
      <c r="B281" s="3">
        <f>CALC_GAMES_BASE!B281</f>
        <v>45963</v>
      </c>
      <c r="C281" s="3" t="str">
        <f>CALC_GAMES_BASE!C281</f>
        <v>SPA</v>
      </c>
      <c r="D281" s="3" t="str">
        <f>CALC_GAMES_BASE!D281</f>
        <v>MBL</v>
      </c>
      <c r="E281" s="7">
        <f>CALC_GAMES_BASE!E281</f>
        <v>1</v>
      </c>
      <c r="F281" s="6">
        <f>CALC_GAMES_BASE!N281</f>
        <v>2.5700000000000003</v>
      </c>
      <c r="G281" s="7">
        <f>CALC_GAMES_BASE!K281</f>
        <v>11</v>
      </c>
      <c r="H281" s="7">
        <f t="shared" si="4"/>
        <v>1</v>
      </c>
      <c r="I281" s="6">
        <f>IF(H281=1,
  F281,
  G281*PARAMETRY!$B$11)</f>
        <v>2.5700000000000003</v>
      </c>
      <c r="J281" s="6">
        <f>CALC_GAMES_BASE!U281-CALC_GAMES_BASE!V281</f>
        <v>0.10233516483516487</v>
      </c>
      <c r="K281" s="6">
        <f>_xlfn.XLOOKUP(CALC_GAMES_BASE!W281,
  CALC_GOALIES!B:B,
  CALC_GOALIES!K:K)</f>
        <v>3.5919237922225067E-3</v>
      </c>
      <c r="L281" s="6">
        <f>_xlfn.XLOOKUP(C281,CALC_TEAMS_SEASON!B:B,CALC_TEAMS_SEASON!L:L)</f>
        <v>6.4376750700279955E-2</v>
      </c>
      <c r="M281">
        <f>IF(CALC_GAMES_BASE!Z281="RS",1,1.2)</f>
        <v>1</v>
      </c>
      <c r="N281">
        <f xml:space="preserve"> CALC_GAMES_BASE!Y281</f>
        <v>1</v>
      </c>
    </row>
    <row r="282" spans="1:14" x14ac:dyDescent="0.25">
      <c r="A282" t="str">
        <f>CALC_GAMES_BASE!A282</f>
        <v>25/26</v>
      </c>
      <c r="B282" s="3">
        <f>CALC_GAMES_BASE!B282</f>
        <v>45963</v>
      </c>
      <c r="C282" s="3" t="str">
        <f>CALC_GAMES_BASE!C282</f>
        <v>KOM</v>
      </c>
      <c r="D282" s="3" t="str">
        <f>CALC_GAMES_BASE!D282</f>
        <v>CEB</v>
      </c>
      <c r="E282" s="7">
        <f>CALC_GAMES_BASE!E282</f>
        <v>1</v>
      </c>
      <c r="F282" s="6">
        <f>CALC_GAMES_BASE!N282</f>
        <v>2.2400000000000002</v>
      </c>
      <c r="G282" s="7">
        <f>CALC_GAMES_BASE!K282</f>
        <v>21</v>
      </c>
      <c r="H282" s="7">
        <f t="shared" si="4"/>
        <v>1</v>
      </c>
      <c r="I282" s="6">
        <f>IF(H282=1,
  F282,
  G282*PARAMETRY!$B$11)</f>
        <v>2.2400000000000002</v>
      </c>
      <c r="J282" s="6">
        <f>CALC_GAMES_BASE!U282-CALC_GAMES_BASE!V282</f>
        <v>1.3376207126207101E-2</v>
      </c>
      <c r="K282" s="6">
        <f>_xlfn.XLOOKUP(CALC_GAMES_BASE!W282,
  CALC_GOALIES!B:B,
  CALC_GOALIES!K:K)</f>
        <v>-1.5147095063735572E-3</v>
      </c>
      <c r="L282" s="6">
        <f>_xlfn.XLOOKUP(C282,CALC_TEAMS_SEASON!B:B,CALC_TEAMS_SEASON!L:L)</f>
        <v>-0.37268207282913179</v>
      </c>
      <c r="M282">
        <f>IF(CALC_GAMES_BASE!Z282="RS",1,1.2)</f>
        <v>1</v>
      </c>
      <c r="N282">
        <f xml:space="preserve"> CALC_GAMES_BASE!Y282</f>
        <v>1</v>
      </c>
    </row>
    <row r="283" spans="1:14" x14ac:dyDescent="0.25">
      <c r="A283" t="str">
        <f>CALC_GAMES_BASE!A283</f>
        <v>25/26</v>
      </c>
      <c r="B283" s="3">
        <f>CALC_GAMES_BASE!B283</f>
        <v>45963</v>
      </c>
      <c r="C283" s="3" t="str">
        <f>CALC_GAMES_BASE!C283</f>
        <v>KLA</v>
      </c>
      <c r="D283" s="3" t="str">
        <f>CALC_GAMES_BASE!D283</f>
        <v>PLZ</v>
      </c>
      <c r="E283" s="7">
        <f>CALC_GAMES_BASE!E283</f>
        <v>1</v>
      </c>
      <c r="F283" s="6" t="str">
        <f>CALC_GAMES_BASE!N283</f>
        <v/>
      </c>
      <c r="G283" s="7">
        <f>CALC_GAMES_BASE!K283</f>
        <v>10</v>
      </c>
      <c r="H283" s="7">
        <f t="shared" si="4"/>
        <v>0</v>
      </c>
      <c r="I283" s="6">
        <f>IF(H283=1,
  F283,
  G283*PARAMETRY!$B$11)</f>
        <v>0.5</v>
      </c>
      <c r="J283" s="6">
        <f>CALC_GAMES_BASE!U283-CALC_GAMES_BASE!V283</f>
        <v>-4.5207570207570186E-2</v>
      </c>
      <c r="K283" s="6">
        <f>_xlfn.XLOOKUP(CALC_GAMES_BASE!W283,
  CALC_GOALIES!B:B,
  CALC_GOALIES!K:K)</f>
        <v>-1.9185137403854746E-2</v>
      </c>
      <c r="L283" s="6">
        <f>_xlfn.XLOOKUP(C283,CALC_TEAMS_SEASON!B:B,CALC_TEAMS_SEASON!L:L)</f>
        <v>-0.19819677871148478</v>
      </c>
      <c r="M283">
        <f>IF(CALC_GAMES_BASE!Z283="RS",1,1.2)</f>
        <v>1</v>
      </c>
      <c r="N283">
        <f xml:space="preserve"> CALC_GAMES_BASE!Y283</f>
        <v>0</v>
      </c>
    </row>
    <row r="284" spans="1:14" x14ac:dyDescent="0.25">
      <c r="A284" t="str">
        <f>CALC_GAMES_BASE!A284</f>
        <v>25/26</v>
      </c>
      <c r="B284" s="3">
        <f>CALC_GAMES_BASE!B284</f>
        <v>45963</v>
      </c>
      <c r="C284" s="3" t="str">
        <f>CALC_GAMES_BASE!C284</f>
        <v>LIT</v>
      </c>
      <c r="D284" s="3" t="str">
        <f>CALC_GAMES_BASE!D284</f>
        <v>MHK</v>
      </c>
      <c r="E284" s="7">
        <f>CALC_GAMES_BASE!E284</f>
        <v>1</v>
      </c>
      <c r="F284" s="6" t="str">
        <f>CALC_GAMES_BASE!N284</f>
        <v/>
      </c>
      <c r="G284" s="7">
        <f>CALC_GAMES_BASE!K284</f>
        <v>-11</v>
      </c>
      <c r="H284" s="7">
        <f t="shared" si="4"/>
        <v>0</v>
      </c>
      <c r="I284" s="6">
        <f>IF(H284=1,
  F284,
  G284*PARAMETRY!$B$11)</f>
        <v>-0.55000000000000004</v>
      </c>
      <c r="J284" s="6">
        <f>CALC_GAMES_BASE!U284-CALC_GAMES_BASE!V284</f>
        <v>-4.0956959706959742E-2</v>
      </c>
      <c r="K284" s="6">
        <f>_xlfn.XLOOKUP(CALC_GAMES_BASE!W284,
  CALC_GOALIES!B:B,
  CALC_GOALIES!K:K)</f>
        <v>-4.9010888963920696E-3</v>
      </c>
      <c r="L284" s="6">
        <f>_xlfn.XLOOKUP(C284,CALC_TEAMS_SEASON!B:B,CALC_TEAMS_SEASON!L:L)</f>
        <v>-1.4784467787114848</v>
      </c>
      <c r="M284">
        <f>IF(CALC_GAMES_BASE!Z284="RS",1,1.2)</f>
        <v>1</v>
      </c>
      <c r="N284">
        <f xml:space="preserve"> CALC_GAMES_BASE!Y284</f>
        <v>0</v>
      </c>
    </row>
    <row r="285" spans="1:14" x14ac:dyDescent="0.25">
      <c r="A285" t="str">
        <f>CALC_GAMES_BASE!A285</f>
        <v>25/26</v>
      </c>
      <c r="B285" s="3">
        <f>CALC_GAMES_BASE!B285</f>
        <v>45963</v>
      </c>
      <c r="C285" s="3" t="str">
        <f>CALC_GAMES_BASE!C285</f>
        <v>VIT</v>
      </c>
      <c r="D285" s="3" t="str">
        <f>CALC_GAMES_BASE!D285</f>
        <v>OLO</v>
      </c>
      <c r="E285" s="7">
        <f>CALC_GAMES_BASE!E285</f>
        <v>1</v>
      </c>
      <c r="F285" s="6" t="str">
        <f>CALC_GAMES_BASE!N285</f>
        <v/>
      </c>
      <c r="G285" s="7">
        <f>CALC_GAMES_BASE!K285</f>
        <v>1</v>
      </c>
      <c r="H285" s="7">
        <f t="shared" si="4"/>
        <v>0</v>
      </c>
      <c r="I285" s="6">
        <f>IF(H285=1,
  F285,
  G285*PARAMETRY!$B$11)</f>
        <v>0.05</v>
      </c>
      <c r="J285" s="6">
        <f>CALC_GAMES_BASE!U285-CALC_GAMES_BASE!V285</f>
        <v>1.9955738705738718E-2</v>
      </c>
      <c r="K285" s="6">
        <f>_xlfn.XLOOKUP(CALC_GAMES_BASE!W285,
  CALC_GOALIES!B:B,
  CALC_GOALIES!K:K)</f>
        <v>1.905487900993541E-3</v>
      </c>
      <c r="L285" s="6">
        <f>_xlfn.XLOOKUP(C285,CALC_TEAMS_SEASON!B:B,CALC_TEAMS_SEASON!L:L)</f>
        <v>-1.0281967787114845</v>
      </c>
      <c r="M285">
        <f>IF(CALC_GAMES_BASE!Z285="RS",1,1.2)</f>
        <v>1</v>
      </c>
      <c r="N285">
        <f xml:space="preserve"> CALC_GAMES_BASE!Y285</f>
        <v>0</v>
      </c>
    </row>
    <row r="286" spans="1:14" x14ac:dyDescent="0.25">
      <c r="A286" t="str">
        <f>CALC_GAMES_BASE!A286</f>
        <v>25/26</v>
      </c>
      <c r="B286" s="3">
        <f>CALC_GAMES_BASE!B286</f>
        <v>45963</v>
      </c>
      <c r="C286" s="3" t="str">
        <f>CALC_GAMES_BASE!C286</f>
        <v>PCE</v>
      </c>
      <c r="D286" s="3" t="str">
        <f>CALC_GAMES_BASE!D286</f>
        <v>TRI</v>
      </c>
      <c r="E286" s="7">
        <f>CALC_GAMES_BASE!E286</f>
        <v>0</v>
      </c>
      <c r="F286" s="6">
        <f>CALC_GAMES_BASE!N286</f>
        <v>0.35000000000000009</v>
      </c>
      <c r="G286" s="7">
        <f>CALC_GAMES_BASE!K286</f>
        <v>-4</v>
      </c>
      <c r="H286" s="7">
        <f t="shared" si="4"/>
        <v>1</v>
      </c>
      <c r="I286" s="6">
        <f>IF(H286=1,
  F286,
  G286*PARAMETRY!$B$11)</f>
        <v>0.35000000000000009</v>
      </c>
      <c r="J286" s="6">
        <f>CALC_GAMES_BASE!U286-CALC_GAMES_BASE!V286</f>
        <v>2.8601953601953611E-2</v>
      </c>
      <c r="K286" s="6">
        <f>_xlfn.XLOOKUP(CALC_GAMES_BASE!W286,
  CALC_GOALIES!B:B,
  CALC_GOALIES!K:K)</f>
        <v>4.5881077393388203E-3</v>
      </c>
      <c r="L286" s="6">
        <f>_xlfn.XLOOKUP(C286,CALC_TEAMS_SEASON!B:B,CALC_TEAMS_SEASON!L:L)</f>
        <v>0.62437675070027965</v>
      </c>
      <c r="M286">
        <f>IF(CALC_GAMES_BASE!Z286="RS",1,1.2)</f>
        <v>1</v>
      </c>
      <c r="N286">
        <f xml:space="preserve"> CALC_GAMES_BASE!Y286</f>
        <v>1</v>
      </c>
    </row>
    <row r="287" spans="1:14" x14ac:dyDescent="0.25">
      <c r="A287" t="str">
        <f>CALC_GAMES_BASE!A287</f>
        <v>25/26</v>
      </c>
      <c r="B287" s="3">
        <f>CALC_GAMES_BASE!B287</f>
        <v>45963</v>
      </c>
      <c r="C287" s="3" t="str">
        <f>CALC_GAMES_BASE!C287</f>
        <v>CEB</v>
      </c>
      <c r="D287" s="3" t="str">
        <f>CALC_GAMES_BASE!D287</f>
        <v>KOM</v>
      </c>
      <c r="E287" s="7">
        <f>CALC_GAMES_BASE!E287</f>
        <v>0</v>
      </c>
      <c r="F287" s="6">
        <f>CALC_GAMES_BASE!N287</f>
        <v>-2.2400000000000002</v>
      </c>
      <c r="G287" s="7">
        <f>CALC_GAMES_BASE!K287</f>
        <v>-21</v>
      </c>
      <c r="H287" s="7">
        <f t="shared" si="4"/>
        <v>1</v>
      </c>
      <c r="I287" s="6">
        <f>IF(H287=1,
  F287,
  G287*PARAMETRY!$B$11)</f>
        <v>-2.2400000000000002</v>
      </c>
      <c r="J287" s="6">
        <f>CALC_GAMES_BASE!U287-CALC_GAMES_BASE!V287</f>
        <v>-1.3376207126207101E-2</v>
      </c>
      <c r="K287" s="6">
        <f>_xlfn.XLOOKUP(CALC_GAMES_BASE!W287,
  CALC_GOALIES!B:B,
  CALC_GOALIES!K:K)</f>
        <v>-2.6902958554511747E-2</v>
      </c>
      <c r="L287" s="6">
        <f>_xlfn.XLOOKUP(C287,CALC_TEAMS_SEASON!B:B,CALC_TEAMS_SEASON!L:L)</f>
        <v>-0.24978011204481798</v>
      </c>
      <c r="M287">
        <f>IF(CALC_GAMES_BASE!Z287="RS",1,1.2)</f>
        <v>1</v>
      </c>
      <c r="N287">
        <f xml:space="preserve"> CALC_GAMES_BASE!Y287</f>
        <v>0</v>
      </c>
    </row>
    <row r="288" spans="1:14" x14ac:dyDescent="0.25">
      <c r="A288" t="str">
        <f>CALC_GAMES_BASE!A288</f>
        <v>25/26</v>
      </c>
      <c r="B288" s="3">
        <f>CALC_GAMES_BASE!B288</f>
        <v>45963</v>
      </c>
      <c r="C288" s="3" t="str">
        <f>CALC_GAMES_BASE!C288</f>
        <v>MBL</v>
      </c>
      <c r="D288" s="3" t="str">
        <f>CALC_GAMES_BASE!D288</f>
        <v>SPA</v>
      </c>
      <c r="E288" s="7">
        <f>CALC_GAMES_BASE!E288</f>
        <v>0</v>
      </c>
      <c r="F288" s="6">
        <f>CALC_GAMES_BASE!N288</f>
        <v>-2.5700000000000003</v>
      </c>
      <c r="G288" s="7">
        <f>CALC_GAMES_BASE!K288</f>
        <v>-11</v>
      </c>
      <c r="H288" s="7">
        <f t="shared" si="4"/>
        <v>1</v>
      </c>
      <c r="I288" s="6">
        <f>IF(H288=1,
  F288,
  G288*PARAMETRY!$B$11)</f>
        <v>-2.5700000000000003</v>
      </c>
      <c r="J288" s="6">
        <f>CALC_GAMES_BASE!U288-CALC_GAMES_BASE!V288</f>
        <v>-0.10233516483516487</v>
      </c>
      <c r="K288" s="6">
        <f>_xlfn.XLOOKUP(CALC_GAMES_BASE!W288,
  CALC_GOALIES!B:B,
  CALC_GOALIES!K:K)</f>
        <v>1.9185678814779616E-2</v>
      </c>
      <c r="L288" s="6">
        <f>_xlfn.XLOOKUP(C288,CALC_TEAMS_SEASON!B:B,CALC_TEAMS_SEASON!L:L)</f>
        <v>-0.89069677871148467</v>
      </c>
      <c r="M288">
        <f>IF(CALC_GAMES_BASE!Z288="RS",1,1.2)</f>
        <v>1</v>
      </c>
      <c r="N288">
        <f xml:space="preserve"> CALC_GAMES_BASE!Y288</f>
        <v>0</v>
      </c>
    </row>
    <row r="289" spans="1:14" x14ac:dyDescent="0.25">
      <c r="A289" t="str">
        <f>CALC_GAMES_BASE!A289</f>
        <v>25/26</v>
      </c>
      <c r="B289" s="3">
        <f>CALC_GAMES_BASE!B289</f>
        <v>45963</v>
      </c>
      <c r="C289" s="3" t="str">
        <f>CALC_GAMES_BASE!C289</f>
        <v>MHK</v>
      </c>
      <c r="D289" s="3" t="str">
        <f>CALC_GAMES_BASE!D289</f>
        <v>LIT</v>
      </c>
      <c r="E289" s="7">
        <f>CALC_GAMES_BASE!E289</f>
        <v>0</v>
      </c>
      <c r="F289" s="6" t="str">
        <f>CALC_GAMES_BASE!N289</f>
        <v/>
      </c>
      <c r="G289" s="7">
        <f>CALC_GAMES_BASE!K289</f>
        <v>11</v>
      </c>
      <c r="H289" s="7">
        <f t="shared" si="4"/>
        <v>0</v>
      </c>
      <c r="I289" s="6">
        <f>IF(H289=1,
  F289,
  G289*PARAMETRY!$B$11)</f>
        <v>0.55000000000000004</v>
      </c>
      <c r="J289" s="6">
        <f>CALC_GAMES_BASE!U289-CALC_GAMES_BASE!V289</f>
        <v>4.0956959706959742E-2</v>
      </c>
      <c r="K289" s="6">
        <f>_xlfn.XLOOKUP(CALC_GAMES_BASE!W289,
  CALC_GOALIES!B:B,
  CALC_GOALIES!K:K)</f>
        <v>2.1917994590268441E-2</v>
      </c>
      <c r="L289" s="6">
        <f>_xlfn.XLOOKUP(C289,CALC_TEAMS_SEASON!B:B,CALC_TEAMS_SEASON!L:L)</f>
        <v>0.14821988795518207</v>
      </c>
      <c r="M289">
        <f>IF(CALC_GAMES_BASE!Z289="RS",1,1.2)</f>
        <v>1</v>
      </c>
      <c r="N289">
        <f xml:space="preserve"> CALC_GAMES_BASE!Y289</f>
        <v>1</v>
      </c>
    </row>
    <row r="290" spans="1:14" x14ac:dyDescent="0.25">
      <c r="A290" t="str">
        <f>CALC_GAMES_BASE!A290</f>
        <v>25/26</v>
      </c>
      <c r="B290" s="3">
        <f>CALC_GAMES_BASE!B290</f>
        <v>45963</v>
      </c>
      <c r="C290" s="3" t="str">
        <f>CALC_GAMES_BASE!C290</f>
        <v>OLO</v>
      </c>
      <c r="D290" s="3" t="str">
        <f>CALC_GAMES_BASE!D290</f>
        <v>VIT</v>
      </c>
      <c r="E290" s="7">
        <f>CALC_GAMES_BASE!E290</f>
        <v>0</v>
      </c>
      <c r="F290" s="6" t="str">
        <f>CALC_GAMES_BASE!N290</f>
        <v/>
      </c>
      <c r="G290" s="7">
        <f>CALC_GAMES_BASE!K290</f>
        <v>-1</v>
      </c>
      <c r="H290" s="7">
        <f t="shared" si="4"/>
        <v>0</v>
      </c>
      <c r="I290" s="6">
        <f>IF(H290=1,
  F290,
  G290*PARAMETRY!$B$11)</f>
        <v>-0.05</v>
      </c>
      <c r="J290" s="6">
        <f>CALC_GAMES_BASE!U290-CALC_GAMES_BASE!V290</f>
        <v>-1.9955738705738718E-2</v>
      </c>
      <c r="K290" s="6">
        <f>_xlfn.XLOOKUP(CALC_GAMES_BASE!W290,
  CALC_GOALIES!B:B,
  CALC_GOALIES!K:K)</f>
        <v>4.4713327207696052E-3</v>
      </c>
      <c r="L290" s="6">
        <f>_xlfn.XLOOKUP(C290,CALC_TEAMS_SEASON!B:B,CALC_TEAMS_SEASON!L:L)</f>
        <v>-1.0613217787114846</v>
      </c>
      <c r="M290">
        <f>IF(CALC_GAMES_BASE!Z290="RS",1,1.2)</f>
        <v>1</v>
      </c>
      <c r="N290">
        <f xml:space="preserve"> CALC_GAMES_BASE!Y290</f>
        <v>1</v>
      </c>
    </row>
    <row r="291" spans="1:14" x14ac:dyDescent="0.25">
      <c r="A291" t="str">
        <f>CALC_GAMES_BASE!A291</f>
        <v>25/26</v>
      </c>
      <c r="B291" s="3">
        <f>CALC_GAMES_BASE!B291</f>
        <v>45963</v>
      </c>
      <c r="C291" s="3" t="str">
        <f>CALC_GAMES_BASE!C291</f>
        <v>PLZ</v>
      </c>
      <c r="D291" s="3" t="str">
        <f>CALC_GAMES_BASE!D291</f>
        <v>KLA</v>
      </c>
      <c r="E291" s="7">
        <f>CALC_GAMES_BASE!E291</f>
        <v>0</v>
      </c>
      <c r="F291" s="6" t="str">
        <f>CALC_GAMES_BASE!N291</f>
        <v/>
      </c>
      <c r="G291" s="7">
        <f>CALC_GAMES_BASE!K291</f>
        <v>-10</v>
      </c>
      <c r="H291" s="7">
        <f t="shared" si="4"/>
        <v>0</v>
      </c>
      <c r="I291" s="6">
        <f>IF(H291=1,
  F291,
  G291*PARAMETRY!$B$11)</f>
        <v>-0.5</v>
      </c>
      <c r="J291" s="6">
        <f>CALC_GAMES_BASE!U291-CALC_GAMES_BASE!V291</f>
        <v>4.5207570207570186E-2</v>
      </c>
      <c r="K291" s="6">
        <f>_xlfn.XLOOKUP(CALC_GAMES_BASE!W291,
  CALC_GOALIES!B:B,
  CALC_GOALIES!K:K)</f>
        <v>1.7617039556646619E-2</v>
      </c>
      <c r="L291" s="6">
        <f>_xlfn.XLOOKUP(C291,CALC_TEAMS_SEASON!B:B,CALC_TEAMS_SEASON!L:L)</f>
        <v>7.3678221288515283E-2</v>
      </c>
      <c r="M291">
        <f>IF(CALC_GAMES_BASE!Z291="RS",1,1.2)</f>
        <v>1</v>
      </c>
      <c r="N291">
        <f xml:space="preserve"> CALC_GAMES_BASE!Y291</f>
        <v>1</v>
      </c>
    </row>
    <row r="292" spans="1:14" x14ac:dyDescent="0.25">
      <c r="A292" t="str">
        <f>CALC_GAMES_BASE!A292</f>
        <v>25/26</v>
      </c>
      <c r="B292" s="3">
        <f>CALC_GAMES_BASE!B292</f>
        <v>45970</v>
      </c>
      <c r="C292" s="3" t="str">
        <f>CALC_GAMES_BASE!C292</f>
        <v>SPA</v>
      </c>
      <c r="D292" s="3" t="str">
        <f>CALC_GAMES_BASE!D292</f>
        <v>LIB</v>
      </c>
      <c r="E292" s="7">
        <f>CALC_GAMES_BASE!E292</f>
        <v>1</v>
      </c>
      <c r="F292" s="6">
        <f>CALC_GAMES_BASE!N292</f>
        <v>-1.9900000000000002</v>
      </c>
      <c r="G292" s="7">
        <f>CALC_GAMES_BASE!K292</f>
        <v>-9</v>
      </c>
      <c r="H292" s="7">
        <f t="shared" si="4"/>
        <v>1</v>
      </c>
      <c r="I292" s="6">
        <f>IF(H292=1,
  F292,
  G292*PARAMETRY!$B$11)</f>
        <v>-1.9900000000000002</v>
      </c>
      <c r="J292" s="6">
        <f>CALC_GAMES_BASE!U292-CALC_GAMES_BASE!V292</f>
        <v>7.6831501831501864E-2</v>
      </c>
      <c r="K292" s="6">
        <f>_xlfn.XLOOKUP(CALC_GAMES_BASE!W292,
  CALC_GOALIES!B:B,
  CALC_GOALIES!K:K)</f>
        <v>3.5919237922225067E-3</v>
      </c>
      <c r="L292" s="6">
        <f>_xlfn.XLOOKUP(C292,CALC_TEAMS_SEASON!B:B,CALC_TEAMS_SEASON!L:L)</f>
        <v>6.4376750700279955E-2</v>
      </c>
      <c r="M292">
        <f>IF(CALC_GAMES_BASE!Z292="RS",1,1.2)</f>
        <v>1</v>
      </c>
      <c r="N292">
        <f xml:space="preserve"> CALC_GAMES_BASE!Y292</f>
        <v>1</v>
      </c>
    </row>
    <row r="293" spans="1:14" x14ac:dyDescent="0.25">
      <c r="A293" t="str">
        <f>CALC_GAMES_BASE!A293</f>
        <v>25/26</v>
      </c>
      <c r="B293" s="3">
        <f>CALC_GAMES_BASE!B293</f>
        <v>45970</v>
      </c>
      <c r="C293" s="3" t="str">
        <f>CALC_GAMES_BASE!C293</f>
        <v>LIB</v>
      </c>
      <c r="D293" s="3" t="str">
        <f>CALC_GAMES_BASE!D293</f>
        <v>SPA</v>
      </c>
      <c r="E293" s="7">
        <f>CALC_GAMES_BASE!E293</f>
        <v>0</v>
      </c>
      <c r="F293" s="6">
        <f>CALC_GAMES_BASE!N293</f>
        <v>1.9900000000000002</v>
      </c>
      <c r="G293" s="7">
        <f>CALC_GAMES_BASE!K293</f>
        <v>9</v>
      </c>
      <c r="H293" s="7">
        <f t="shared" si="4"/>
        <v>1</v>
      </c>
      <c r="I293" s="6">
        <f>IF(H293=1,
  F293,
  G293*PARAMETRY!$B$11)</f>
        <v>1.9900000000000002</v>
      </c>
      <c r="J293" s="6">
        <f>CALC_GAMES_BASE!U293-CALC_GAMES_BASE!V293</f>
        <v>-7.6831501831501864E-2</v>
      </c>
      <c r="K293" s="6">
        <f>_xlfn.XLOOKUP(CALC_GAMES_BASE!W293,
  CALC_GOALIES!B:B,
  CALC_GOALIES!K:K)</f>
        <v>-2.7663687063931297E-2</v>
      </c>
      <c r="L293" s="6">
        <f>_xlfn.XLOOKUP(C293,CALC_TEAMS_SEASON!B:B,CALC_TEAMS_SEASON!L:L)</f>
        <v>0.22367822128851536</v>
      </c>
      <c r="M293">
        <f>IF(CALC_GAMES_BASE!Z293="RS",1,1.2)</f>
        <v>1</v>
      </c>
      <c r="N293">
        <f xml:space="preserve"> CALC_GAMES_BASE!Y293</f>
        <v>0</v>
      </c>
    </row>
    <row r="294" spans="1:14" x14ac:dyDescent="0.25">
      <c r="A294" t="str">
        <f>CALC_GAMES_BASE!A294</f>
        <v>25/26</v>
      </c>
      <c r="B294" s="3">
        <f>CALC_GAMES_BASE!B294</f>
        <v>45973</v>
      </c>
      <c r="C294" s="3" t="str">
        <f>CALC_GAMES_BASE!C294</f>
        <v>CEB</v>
      </c>
      <c r="D294" s="3" t="str">
        <f>CALC_GAMES_BASE!D294</f>
        <v>VIT</v>
      </c>
      <c r="E294" s="7">
        <f>CALC_GAMES_BASE!E294</f>
        <v>0</v>
      </c>
      <c r="F294" s="6" t="str">
        <f>CALC_GAMES_BASE!N294</f>
        <v/>
      </c>
      <c r="G294" s="7">
        <f>CALC_GAMES_BASE!K294</f>
        <v>1</v>
      </c>
      <c r="H294" s="7">
        <f t="shared" si="4"/>
        <v>0</v>
      </c>
      <c r="I294" s="6">
        <f>IF(H294=1,
  F294,
  G294*PARAMETRY!$B$11)</f>
        <v>0.05</v>
      </c>
      <c r="J294" s="6">
        <f>CALC_GAMES_BASE!U294-CALC_GAMES_BASE!V294</f>
        <v>-3.9635364635364656E-2</v>
      </c>
      <c r="K294" s="6">
        <f>_xlfn.XLOOKUP(CALC_GAMES_BASE!W294,
  CALC_GOALIES!B:B,
  CALC_GOALIES!K:K)</f>
        <v>-2.6902958554511747E-2</v>
      </c>
      <c r="L294" s="6">
        <f>_xlfn.XLOOKUP(C294,CALC_TEAMS_SEASON!B:B,CALC_TEAMS_SEASON!L:L)</f>
        <v>-0.24978011204481798</v>
      </c>
      <c r="M294">
        <f>IF(CALC_GAMES_BASE!Z294="RS",1,1.2)</f>
        <v>1</v>
      </c>
      <c r="N294">
        <f xml:space="preserve"> CALC_GAMES_BASE!Y294</f>
        <v>0</v>
      </c>
    </row>
    <row r="295" spans="1:14" x14ac:dyDescent="0.25">
      <c r="A295" t="str">
        <f>CALC_GAMES_BASE!A295</f>
        <v>25/26</v>
      </c>
      <c r="B295" s="3">
        <f>CALC_GAMES_BASE!B295</f>
        <v>45973</v>
      </c>
      <c r="C295" s="3" t="str">
        <f>CALC_GAMES_BASE!C295</f>
        <v>LIB</v>
      </c>
      <c r="D295" s="3" t="str">
        <f>CALC_GAMES_BASE!D295</f>
        <v>OLO</v>
      </c>
      <c r="E295" s="7">
        <f>CALC_GAMES_BASE!E295</f>
        <v>1</v>
      </c>
      <c r="F295" s="6" t="str">
        <f>CALC_GAMES_BASE!N295</f>
        <v/>
      </c>
      <c r="G295" s="7">
        <f>CALC_GAMES_BASE!K295</f>
        <v>28</v>
      </c>
      <c r="H295" s="7">
        <f t="shared" si="4"/>
        <v>0</v>
      </c>
      <c r="I295" s="6">
        <f>IF(H295=1,
  F295,
  G295*PARAMETRY!$B$11)</f>
        <v>1.4000000000000001</v>
      </c>
      <c r="J295" s="6">
        <f>CALC_GAMES_BASE!U295-CALC_GAMES_BASE!V295</f>
        <v>-6.1202686202686263E-3</v>
      </c>
      <c r="K295" s="6">
        <f>_xlfn.XLOOKUP(CALC_GAMES_BASE!W295,
  CALC_GOALIES!B:B,
  CALC_GOALIES!K:K)</f>
        <v>1.2275709048813366E-2</v>
      </c>
      <c r="L295" s="6">
        <f>_xlfn.XLOOKUP(C295,CALC_TEAMS_SEASON!B:B,CALC_TEAMS_SEASON!L:L)</f>
        <v>0.22367822128851536</v>
      </c>
      <c r="M295">
        <f>IF(CALC_GAMES_BASE!Z295="RS",1,1.2)</f>
        <v>1</v>
      </c>
      <c r="N295">
        <f xml:space="preserve"> CALC_GAMES_BASE!Y295</f>
        <v>1</v>
      </c>
    </row>
    <row r="296" spans="1:14" x14ac:dyDescent="0.25">
      <c r="A296" t="str">
        <f>CALC_GAMES_BASE!A296</f>
        <v>25/26</v>
      </c>
      <c r="B296" s="3">
        <f>CALC_GAMES_BASE!B296</f>
        <v>45973</v>
      </c>
      <c r="C296" s="3" t="str">
        <f>CALC_GAMES_BASE!C296</f>
        <v>OLO</v>
      </c>
      <c r="D296" s="3" t="str">
        <f>CALC_GAMES_BASE!D296</f>
        <v>LIB</v>
      </c>
      <c r="E296" s="7">
        <f>CALC_GAMES_BASE!E296</f>
        <v>0</v>
      </c>
      <c r="F296" s="6" t="str">
        <f>CALC_GAMES_BASE!N296</f>
        <v/>
      </c>
      <c r="G296" s="7">
        <f>CALC_GAMES_BASE!K296</f>
        <v>-28</v>
      </c>
      <c r="H296" s="7">
        <f t="shared" si="4"/>
        <v>0</v>
      </c>
      <c r="I296" s="6">
        <f>IF(H296=1,
  F296,
  G296*PARAMETRY!$B$11)</f>
        <v>-1.4000000000000001</v>
      </c>
      <c r="J296" s="6">
        <f>CALC_GAMES_BASE!U296-CALC_GAMES_BASE!V296</f>
        <v>6.1202686202686263E-3</v>
      </c>
      <c r="K296" s="6">
        <f>_xlfn.XLOOKUP(CALC_GAMES_BASE!W296,
  CALC_GOALIES!B:B,
  CALC_GOALIES!K:K)</f>
        <v>4.4713327207696052E-3</v>
      </c>
      <c r="L296" s="6">
        <f>_xlfn.XLOOKUP(C296,CALC_TEAMS_SEASON!B:B,CALC_TEAMS_SEASON!L:L)</f>
        <v>-1.0613217787114846</v>
      </c>
      <c r="M296">
        <f>IF(CALC_GAMES_BASE!Z296="RS",1,1.2)</f>
        <v>1</v>
      </c>
      <c r="N296">
        <f xml:space="preserve"> CALC_GAMES_BASE!Y296</f>
        <v>0</v>
      </c>
    </row>
    <row r="297" spans="1:14" x14ac:dyDescent="0.25">
      <c r="A297" t="str">
        <f>CALC_GAMES_BASE!A297</f>
        <v>25/26</v>
      </c>
      <c r="B297" s="3">
        <f>CALC_GAMES_BASE!B297</f>
        <v>45973</v>
      </c>
      <c r="C297" s="3" t="str">
        <f>CALC_GAMES_BASE!C297</f>
        <v>VIT</v>
      </c>
      <c r="D297" s="3" t="str">
        <f>CALC_GAMES_BASE!D297</f>
        <v>CEB</v>
      </c>
      <c r="E297" s="7">
        <f>CALC_GAMES_BASE!E297</f>
        <v>1</v>
      </c>
      <c r="F297" s="6" t="str">
        <f>CALC_GAMES_BASE!N297</f>
        <v/>
      </c>
      <c r="G297" s="7">
        <f>CALC_GAMES_BASE!K297</f>
        <v>-1</v>
      </c>
      <c r="H297" s="7">
        <f t="shared" si="4"/>
        <v>0</v>
      </c>
      <c r="I297" s="6">
        <f>IF(H297=1,
  F297,
  G297*PARAMETRY!$B$11)</f>
        <v>-0.05</v>
      </c>
      <c r="J297" s="6">
        <f>CALC_GAMES_BASE!U297-CALC_GAMES_BASE!V297</f>
        <v>3.9635364635364656E-2</v>
      </c>
      <c r="K297" s="6">
        <f>_xlfn.XLOOKUP(CALC_GAMES_BASE!W297,
  CALC_GOALIES!B:B,
  CALC_GOALIES!K:K)</f>
        <v>1.905487900993541E-3</v>
      </c>
      <c r="L297" s="6">
        <f>_xlfn.XLOOKUP(C297,CALC_TEAMS_SEASON!B:B,CALC_TEAMS_SEASON!L:L)</f>
        <v>-1.0281967787114845</v>
      </c>
      <c r="M297">
        <f>IF(CALC_GAMES_BASE!Z297="RS",1,1.2)</f>
        <v>1</v>
      </c>
      <c r="N297">
        <f xml:space="preserve"> CALC_GAMES_BASE!Y297</f>
        <v>1</v>
      </c>
    </row>
    <row r="298" spans="1:14" x14ac:dyDescent="0.25">
      <c r="A298" t="str">
        <f>CALC_GAMES_BASE!A298</f>
        <v>25/26</v>
      </c>
      <c r="B298" s="3">
        <f>CALC_GAMES_BASE!B298</f>
        <v>45975</v>
      </c>
      <c r="C298" s="3" t="str">
        <f>CALC_GAMES_BASE!C298</f>
        <v>TRI</v>
      </c>
      <c r="D298" s="3" t="str">
        <f>CALC_GAMES_BASE!D298</f>
        <v>KLA</v>
      </c>
      <c r="E298" s="7">
        <f>CALC_GAMES_BASE!E298</f>
        <v>0</v>
      </c>
      <c r="F298" s="6">
        <f>CALC_GAMES_BASE!N298</f>
        <v>-2.5500000000000003</v>
      </c>
      <c r="G298" s="7">
        <f>CALC_GAMES_BASE!K298</f>
        <v>-15</v>
      </c>
      <c r="H298" s="7">
        <f t="shared" si="4"/>
        <v>1</v>
      </c>
      <c r="I298" s="6">
        <f>IF(H298=1,
  F298,
  G298*PARAMETRY!$B$11)</f>
        <v>-2.5500000000000003</v>
      </c>
      <c r="J298" s="6">
        <f>CALC_GAMES_BASE!U298-CALC_GAMES_BASE!V298</f>
        <v>4.3170024420024489E-2</v>
      </c>
      <c r="K298" s="6">
        <f>_xlfn.XLOOKUP(CALC_GAMES_BASE!W298,
  CALC_GOALIES!B:B,
  CALC_GOALIES!K:K)</f>
        <v>1.3707542055988897E-2</v>
      </c>
      <c r="L298" s="6">
        <f>_xlfn.XLOOKUP(C298,CALC_TEAMS_SEASON!B:B,CALC_TEAMS_SEASON!L:L)</f>
        <v>0.10805322128851533</v>
      </c>
      <c r="M298">
        <f>IF(CALC_GAMES_BASE!Z298="RS",1,1.2)</f>
        <v>1</v>
      </c>
      <c r="N298">
        <f xml:space="preserve"> CALC_GAMES_BASE!Y298</f>
        <v>0</v>
      </c>
    </row>
    <row r="299" spans="1:14" x14ac:dyDescent="0.25">
      <c r="A299" t="str">
        <f>CALC_GAMES_BASE!A299</f>
        <v>25/26</v>
      </c>
      <c r="B299" s="3">
        <f>CALC_GAMES_BASE!B299</f>
        <v>45975</v>
      </c>
      <c r="C299" s="3" t="str">
        <f>CALC_GAMES_BASE!C299</f>
        <v>SPA</v>
      </c>
      <c r="D299" s="3" t="str">
        <f>CALC_GAMES_BASE!D299</f>
        <v>LIB</v>
      </c>
      <c r="E299" s="7">
        <f>CALC_GAMES_BASE!E299</f>
        <v>0</v>
      </c>
      <c r="F299" s="6">
        <f>CALC_GAMES_BASE!N299</f>
        <v>-1.6199999999999999</v>
      </c>
      <c r="G299" s="7">
        <f>CALC_GAMES_BASE!K299</f>
        <v>-14</v>
      </c>
      <c r="H299" s="7">
        <f t="shared" si="4"/>
        <v>1</v>
      </c>
      <c r="I299" s="6">
        <f>IF(H299=1,
  F299,
  G299*PARAMETRY!$B$11)</f>
        <v>-1.6199999999999999</v>
      </c>
      <c r="J299" s="6">
        <f>CALC_GAMES_BASE!U299-CALC_GAMES_BASE!V299</f>
        <v>7.6831501831501864E-2</v>
      </c>
      <c r="K299" s="6">
        <f>_xlfn.XLOOKUP(CALC_GAMES_BASE!W299,
  CALC_GOALIES!B:B,
  CALC_GOALIES!K:K)</f>
        <v>3.5919237922225067E-3</v>
      </c>
      <c r="L299" s="6">
        <f>_xlfn.XLOOKUP(C299,CALC_TEAMS_SEASON!B:B,CALC_TEAMS_SEASON!L:L)</f>
        <v>6.4376750700279955E-2</v>
      </c>
      <c r="M299">
        <f>IF(CALC_GAMES_BASE!Z299="RS",1,1.2)</f>
        <v>1</v>
      </c>
      <c r="N299">
        <f xml:space="preserve"> CALC_GAMES_BASE!Y299</f>
        <v>0</v>
      </c>
    </row>
    <row r="300" spans="1:14" x14ac:dyDescent="0.25">
      <c r="A300" t="str">
        <f>CALC_GAMES_BASE!A300</f>
        <v>25/26</v>
      </c>
      <c r="B300" s="3">
        <f>CALC_GAMES_BASE!B300</f>
        <v>45975</v>
      </c>
      <c r="C300" s="3" t="str">
        <f>CALC_GAMES_BASE!C300</f>
        <v>CEB</v>
      </c>
      <c r="D300" s="3" t="str">
        <f>CALC_GAMES_BASE!D300</f>
        <v>LIT</v>
      </c>
      <c r="E300" s="7">
        <f>CALC_GAMES_BASE!E300</f>
        <v>1</v>
      </c>
      <c r="F300" s="6" t="str">
        <f>CALC_GAMES_BASE!N300</f>
        <v/>
      </c>
      <c r="G300" s="7">
        <f>CALC_GAMES_BASE!K300</f>
        <v>9</v>
      </c>
      <c r="H300" s="7">
        <f t="shared" si="4"/>
        <v>0</v>
      </c>
      <c r="I300" s="6">
        <f>IF(H300=1,
  F300,
  G300*PARAMETRY!$B$11)</f>
        <v>0.45</v>
      </c>
      <c r="J300" s="6">
        <f>CALC_GAMES_BASE!U300-CALC_GAMES_BASE!V300</f>
        <v>2.9320679320679346E-2</v>
      </c>
      <c r="K300" s="6">
        <f>_xlfn.XLOOKUP(CALC_GAMES_BASE!W300,
  CALC_GOALIES!B:B,
  CALC_GOALIES!K:K)</f>
        <v>-4.3244838896392079E-2</v>
      </c>
      <c r="L300" s="6">
        <f>_xlfn.XLOOKUP(C300,CALC_TEAMS_SEASON!B:B,CALC_TEAMS_SEASON!L:L)</f>
        <v>-0.24978011204481798</v>
      </c>
      <c r="M300">
        <f>IF(CALC_GAMES_BASE!Z300="RS",1,1.2)</f>
        <v>1</v>
      </c>
      <c r="N300">
        <f xml:space="preserve"> CALC_GAMES_BASE!Y300</f>
        <v>0</v>
      </c>
    </row>
    <row r="301" spans="1:14" x14ac:dyDescent="0.25">
      <c r="A301" t="str">
        <f>CALC_GAMES_BASE!A301</f>
        <v>25/26</v>
      </c>
      <c r="B301" s="3">
        <f>CALC_GAMES_BASE!B301</f>
        <v>45975</v>
      </c>
      <c r="C301" s="3" t="str">
        <f>CALC_GAMES_BASE!C301</f>
        <v>KLA</v>
      </c>
      <c r="D301" s="3" t="str">
        <f>CALC_GAMES_BASE!D301</f>
        <v>TRI</v>
      </c>
      <c r="E301" s="7">
        <f>CALC_GAMES_BASE!E301</f>
        <v>1</v>
      </c>
      <c r="F301" s="6">
        <f>CALC_GAMES_BASE!N301</f>
        <v>2.5500000000000003</v>
      </c>
      <c r="G301" s="7">
        <f>CALC_GAMES_BASE!K301</f>
        <v>15</v>
      </c>
      <c r="H301" s="7">
        <f t="shared" si="4"/>
        <v>1</v>
      </c>
      <c r="I301" s="6">
        <f>IF(H301=1,
  F301,
  G301*PARAMETRY!$B$11)</f>
        <v>2.5500000000000003</v>
      </c>
      <c r="J301" s="6">
        <f>CALC_GAMES_BASE!U301-CALC_GAMES_BASE!V301</f>
        <v>-4.3170024420024489E-2</v>
      </c>
      <c r="K301" s="6">
        <f>_xlfn.XLOOKUP(CALC_GAMES_BASE!W301,
  CALC_GOALIES!B:B,
  CALC_GOALIES!K:K)</f>
        <v>1.2463190300688209E-2</v>
      </c>
      <c r="L301" s="6">
        <f>_xlfn.XLOOKUP(C301,CALC_TEAMS_SEASON!B:B,CALC_TEAMS_SEASON!L:L)</f>
        <v>-0.19819677871148478</v>
      </c>
      <c r="M301">
        <f>IF(CALC_GAMES_BASE!Z301="RS",1,1.2)</f>
        <v>1</v>
      </c>
      <c r="N301">
        <f xml:space="preserve"> CALC_GAMES_BASE!Y301</f>
        <v>1</v>
      </c>
    </row>
    <row r="302" spans="1:14" x14ac:dyDescent="0.25">
      <c r="A302" t="str">
        <f>CALC_GAMES_BASE!A302</f>
        <v>25/26</v>
      </c>
      <c r="B302" s="3">
        <f>CALC_GAMES_BASE!B302</f>
        <v>45975</v>
      </c>
      <c r="C302" s="3" t="str">
        <f>CALC_GAMES_BASE!C302</f>
        <v>KVA</v>
      </c>
      <c r="D302" s="3" t="str">
        <f>CALC_GAMES_BASE!D302</f>
        <v>PLZ</v>
      </c>
      <c r="E302" s="7">
        <f>CALC_GAMES_BASE!E302</f>
        <v>1</v>
      </c>
      <c r="F302" s="6" t="str">
        <f>CALC_GAMES_BASE!N302</f>
        <v/>
      </c>
      <c r="G302" s="7">
        <f>CALC_GAMES_BASE!K302</f>
        <v>-20</v>
      </c>
      <c r="H302" s="7">
        <f t="shared" si="4"/>
        <v>0</v>
      </c>
      <c r="I302" s="6">
        <f>IF(H302=1,
  F302,
  G302*PARAMETRY!$B$11)</f>
        <v>-1</v>
      </c>
      <c r="J302" s="6">
        <f>CALC_GAMES_BASE!U302-CALC_GAMES_BASE!V302</f>
        <v>-2.5412087912087267E-3</v>
      </c>
      <c r="K302" s="6">
        <f>_xlfn.XLOOKUP(CALC_GAMES_BASE!W302,
  CALC_GOALIES!B:B,
  CALC_GOALIES!K:K)</f>
        <v>1.2242809776983998E-2</v>
      </c>
      <c r="L302" s="6">
        <f>_xlfn.XLOOKUP(C302,CALC_TEAMS_SEASON!B:B,CALC_TEAMS_SEASON!L:L)</f>
        <v>-0.28757177871148476</v>
      </c>
      <c r="M302">
        <f>IF(CALC_GAMES_BASE!Z302="RS",1,1.2)</f>
        <v>1</v>
      </c>
      <c r="N302">
        <f xml:space="preserve"> CALC_GAMES_BASE!Y302</f>
        <v>1</v>
      </c>
    </row>
    <row r="303" spans="1:14" x14ac:dyDescent="0.25">
      <c r="A303" t="str">
        <f>CALC_GAMES_BASE!A303</f>
        <v>25/26</v>
      </c>
      <c r="B303" s="3">
        <f>CALC_GAMES_BASE!B303</f>
        <v>45975</v>
      </c>
      <c r="C303" s="3" t="str">
        <f>CALC_GAMES_BASE!C303</f>
        <v>LIB</v>
      </c>
      <c r="D303" s="3" t="str">
        <f>CALC_GAMES_BASE!D303</f>
        <v>SPA</v>
      </c>
      <c r="E303" s="7">
        <f>CALC_GAMES_BASE!E303</f>
        <v>1</v>
      </c>
      <c r="F303" s="6">
        <f>CALC_GAMES_BASE!N303</f>
        <v>1.6199999999999999</v>
      </c>
      <c r="G303" s="7">
        <f>CALC_GAMES_BASE!K303</f>
        <v>14</v>
      </c>
      <c r="H303" s="7">
        <f t="shared" si="4"/>
        <v>1</v>
      </c>
      <c r="I303" s="6">
        <f>IF(H303=1,
  F303,
  G303*PARAMETRY!$B$11)</f>
        <v>1.6199999999999999</v>
      </c>
      <c r="J303" s="6">
        <f>CALC_GAMES_BASE!U303-CALC_GAMES_BASE!V303</f>
        <v>-7.6831501831501864E-2</v>
      </c>
      <c r="K303" s="6">
        <f>_xlfn.XLOOKUP(CALC_GAMES_BASE!W303,
  CALC_GOALIES!B:B,
  CALC_GOALIES!K:K)</f>
        <v>1.2275709048813366E-2</v>
      </c>
      <c r="L303" s="6">
        <f>_xlfn.XLOOKUP(C303,CALC_TEAMS_SEASON!B:B,CALC_TEAMS_SEASON!L:L)</f>
        <v>0.22367822128851536</v>
      </c>
      <c r="M303">
        <f>IF(CALC_GAMES_BASE!Z303="RS",1,1.2)</f>
        <v>1</v>
      </c>
      <c r="N303">
        <f xml:space="preserve"> CALC_GAMES_BASE!Y303</f>
        <v>1</v>
      </c>
    </row>
    <row r="304" spans="1:14" x14ac:dyDescent="0.25">
      <c r="A304" t="str">
        <f>CALC_GAMES_BASE!A304</f>
        <v>25/26</v>
      </c>
      <c r="B304" s="3">
        <f>CALC_GAMES_BASE!B304</f>
        <v>45975</v>
      </c>
      <c r="C304" s="3" t="str">
        <f>CALC_GAMES_BASE!C304</f>
        <v>LIT</v>
      </c>
      <c r="D304" s="3" t="str">
        <f>CALC_GAMES_BASE!D304</f>
        <v>CEB</v>
      </c>
      <c r="E304" s="7">
        <f>CALC_GAMES_BASE!E304</f>
        <v>0</v>
      </c>
      <c r="F304" s="6" t="str">
        <f>CALC_GAMES_BASE!N304</f>
        <v/>
      </c>
      <c r="G304" s="7">
        <f>CALC_GAMES_BASE!K304</f>
        <v>-9</v>
      </c>
      <c r="H304" s="7">
        <f t="shared" si="4"/>
        <v>0</v>
      </c>
      <c r="I304" s="6">
        <f>IF(H304=1,
  F304,
  G304*PARAMETRY!$B$11)</f>
        <v>-0.45</v>
      </c>
      <c r="J304" s="6">
        <f>CALC_GAMES_BASE!U304-CALC_GAMES_BASE!V304</f>
        <v>-2.9320679320679346E-2</v>
      </c>
      <c r="K304" s="6">
        <f>_xlfn.XLOOKUP(CALC_GAMES_BASE!W304,
  CALC_GOALIES!B:B,
  CALC_GOALIES!K:K)</f>
        <v>-4.9010888963920696E-3</v>
      </c>
      <c r="L304" s="6">
        <f>_xlfn.XLOOKUP(C304,CALC_TEAMS_SEASON!B:B,CALC_TEAMS_SEASON!L:L)</f>
        <v>-1.4784467787114848</v>
      </c>
      <c r="M304">
        <f>IF(CALC_GAMES_BASE!Z304="RS",1,1.2)</f>
        <v>1</v>
      </c>
      <c r="N304">
        <f xml:space="preserve"> CALC_GAMES_BASE!Y304</f>
        <v>1</v>
      </c>
    </row>
    <row r="305" spans="1:14" x14ac:dyDescent="0.25">
      <c r="A305" t="str">
        <f>CALC_GAMES_BASE!A305</f>
        <v>25/26</v>
      </c>
      <c r="B305" s="3">
        <f>CALC_GAMES_BASE!B305</f>
        <v>45975</v>
      </c>
      <c r="C305" s="3" t="str">
        <f>CALC_GAMES_BASE!C305</f>
        <v>MBL</v>
      </c>
      <c r="D305" s="3" t="str">
        <f>CALC_GAMES_BASE!D305</f>
        <v>OLO</v>
      </c>
      <c r="E305" s="7">
        <f>CALC_GAMES_BASE!E305</f>
        <v>1</v>
      </c>
      <c r="F305" s="6" t="str">
        <f>CALC_GAMES_BASE!N305</f>
        <v/>
      </c>
      <c r="G305" s="7">
        <f>CALC_GAMES_BASE!K305</f>
        <v>12</v>
      </c>
      <c r="H305" s="7">
        <f t="shared" si="4"/>
        <v>0</v>
      </c>
      <c r="I305" s="6">
        <f>IF(H305=1,
  F305,
  G305*PARAMETRY!$B$11)</f>
        <v>0.60000000000000009</v>
      </c>
      <c r="J305" s="6">
        <f>CALC_GAMES_BASE!U305-CALC_GAMES_BASE!V305</f>
        <v>-3.1623931623931636E-2</v>
      </c>
      <c r="K305" s="6">
        <f>_xlfn.XLOOKUP(CALC_GAMES_BASE!W305,
  CALC_GOALIES!B:B,
  CALC_GOALIES!K:K)</f>
        <v>-4.4670611186142795E-3</v>
      </c>
      <c r="L305" s="6">
        <f>_xlfn.XLOOKUP(C305,CALC_TEAMS_SEASON!B:B,CALC_TEAMS_SEASON!L:L)</f>
        <v>-0.89069677871148467</v>
      </c>
      <c r="M305">
        <f>IF(CALC_GAMES_BASE!Z305="RS",1,1.2)</f>
        <v>1</v>
      </c>
      <c r="N305">
        <f xml:space="preserve"> CALC_GAMES_BASE!Y305</f>
        <v>1</v>
      </c>
    </row>
    <row r="306" spans="1:14" x14ac:dyDescent="0.25">
      <c r="A306" t="str">
        <f>CALC_GAMES_BASE!A306</f>
        <v>25/26</v>
      </c>
      <c r="B306" s="3">
        <f>CALC_GAMES_BASE!B306</f>
        <v>45975</v>
      </c>
      <c r="C306" s="3" t="str">
        <f>CALC_GAMES_BASE!C306</f>
        <v>MHK</v>
      </c>
      <c r="D306" s="3" t="str">
        <f>CALC_GAMES_BASE!D306</f>
        <v>VIT</v>
      </c>
      <c r="E306" s="7">
        <f>CALC_GAMES_BASE!E306</f>
        <v>1</v>
      </c>
      <c r="F306" s="6" t="str">
        <f>CALC_GAMES_BASE!N306</f>
        <v/>
      </c>
      <c r="G306" s="7">
        <f>CALC_GAMES_BASE!K306</f>
        <v>23</v>
      </c>
      <c r="H306" s="7">
        <f t="shared" si="4"/>
        <v>0</v>
      </c>
      <c r="I306" s="6">
        <f>IF(H306=1,
  F306,
  G306*PARAMETRY!$B$11)</f>
        <v>1.1500000000000001</v>
      </c>
      <c r="J306" s="6">
        <f>CALC_GAMES_BASE!U306-CALC_GAMES_BASE!V306</f>
        <v>-2.7999084249084261E-2</v>
      </c>
      <c r="K306" s="6">
        <f>_xlfn.XLOOKUP(CALC_GAMES_BASE!W306,
  CALC_GOALIES!B:B,
  CALC_GOALIES!K:K)</f>
        <v>2.1917994590268441E-2</v>
      </c>
      <c r="L306" s="6">
        <f>_xlfn.XLOOKUP(C306,CALC_TEAMS_SEASON!B:B,CALC_TEAMS_SEASON!L:L)</f>
        <v>0.14821988795518207</v>
      </c>
      <c r="M306">
        <f>IF(CALC_GAMES_BASE!Z306="RS",1,1.2)</f>
        <v>1</v>
      </c>
      <c r="N306">
        <f xml:space="preserve"> CALC_GAMES_BASE!Y306</f>
        <v>1</v>
      </c>
    </row>
    <row r="307" spans="1:14" x14ac:dyDescent="0.25">
      <c r="A307" t="str">
        <f>CALC_GAMES_BASE!A307</f>
        <v>25/26</v>
      </c>
      <c r="B307" s="3">
        <f>CALC_GAMES_BASE!B307</f>
        <v>45975</v>
      </c>
      <c r="C307" s="3" t="str">
        <f>CALC_GAMES_BASE!C307</f>
        <v>OLO</v>
      </c>
      <c r="D307" s="3" t="str">
        <f>CALC_GAMES_BASE!D307</f>
        <v>MBL</v>
      </c>
      <c r="E307" s="7">
        <f>CALC_GAMES_BASE!E307</f>
        <v>0</v>
      </c>
      <c r="F307" s="6" t="str">
        <f>CALC_GAMES_BASE!N307</f>
        <v/>
      </c>
      <c r="G307" s="7">
        <f>CALC_GAMES_BASE!K307</f>
        <v>-12</v>
      </c>
      <c r="H307" s="7">
        <f t="shared" si="4"/>
        <v>0</v>
      </c>
      <c r="I307" s="6">
        <f>IF(H307=1,
  F307,
  G307*PARAMETRY!$B$11)</f>
        <v>-0.60000000000000009</v>
      </c>
      <c r="J307" s="6">
        <f>CALC_GAMES_BASE!U307-CALC_GAMES_BASE!V307</f>
        <v>3.1623931623931636E-2</v>
      </c>
      <c r="K307" s="6">
        <f>_xlfn.XLOOKUP(CALC_GAMES_BASE!W307,
  CALC_GOALIES!B:B,
  CALC_GOALIES!K:K)</f>
        <v>4.4713327207696052E-3</v>
      </c>
      <c r="L307" s="6">
        <f>_xlfn.XLOOKUP(C307,CALC_TEAMS_SEASON!B:B,CALC_TEAMS_SEASON!L:L)</f>
        <v>-1.0613217787114846</v>
      </c>
      <c r="M307">
        <f>IF(CALC_GAMES_BASE!Z307="RS",1,1.2)</f>
        <v>1</v>
      </c>
      <c r="N307">
        <f xml:space="preserve"> CALC_GAMES_BASE!Y307</f>
        <v>0</v>
      </c>
    </row>
    <row r="308" spans="1:14" x14ac:dyDescent="0.25">
      <c r="A308" t="str">
        <f>CALC_GAMES_BASE!A308</f>
        <v>25/26</v>
      </c>
      <c r="B308" s="3">
        <f>CALC_GAMES_BASE!B308</f>
        <v>45975</v>
      </c>
      <c r="C308" s="3" t="str">
        <f>CALC_GAMES_BASE!C308</f>
        <v>PLZ</v>
      </c>
      <c r="D308" s="3" t="str">
        <f>CALC_GAMES_BASE!D308</f>
        <v>KVA</v>
      </c>
      <c r="E308" s="7">
        <f>CALC_GAMES_BASE!E308</f>
        <v>0</v>
      </c>
      <c r="F308" s="6" t="str">
        <f>CALC_GAMES_BASE!N308</f>
        <v/>
      </c>
      <c r="G308" s="7">
        <f>CALC_GAMES_BASE!K308</f>
        <v>20</v>
      </c>
      <c r="H308" s="7">
        <f t="shared" si="4"/>
        <v>0</v>
      </c>
      <c r="I308" s="6">
        <f>IF(H308=1,
  F308,
  G308*PARAMETRY!$B$11)</f>
        <v>1</v>
      </c>
      <c r="J308" s="6">
        <f>CALC_GAMES_BASE!U308-CALC_GAMES_BASE!V308</f>
        <v>2.5412087912087267E-3</v>
      </c>
      <c r="K308" s="6">
        <f>_xlfn.XLOOKUP(CALC_GAMES_BASE!W308,
  CALC_GOALIES!B:B,
  CALC_GOALIES!K:K)</f>
        <v>1.7617039556646619E-2</v>
      </c>
      <c r="L308" s="6">
        <f>_xlfn.XLOOKUP(C308,CALC_TEAMS_SEASON!B:B,CALC_TEAMS_SEASON!L:L)</f>
        <v>7.3678221288515283E-2</v>
      </c>
      <c r="M308">
        <f>IF(CALC_GAMES_BASE!Z308="RS",1,1.2)</f>
        <v>1</v>
      </c>
      <c r="N308">
        <f xml:space="preserve"> CALC_GAMES_BASE!Y308</f>
        <v>0</v>
      </c>
    </row>
    <row r="309" spans="1:14" x14ac:dyDescent="0.25">
      <c r="A309" t="str">
        <f>CALC_GAMES_BASE!A309</f>
        <v>25/26</v>
      </c>
      <c r="B309" s="3">
        <f>CALC_GAMES_BASE!B309</f>
        <v>45975</v>
      </c>
      <c r="C309" s="3" t="str">
        <f>CALC_GAMES_BASE!C309</f>
        <v>VIT</v>
      </c>
      <c r="D309" s="3" t="str">
        <f>CALC_GAMES_BASE!D309</f>
        <v>MHK</v>
      </c>
      <c r="E309" s="7">
        <f>CALC_GAMES_BASE!E309</f>
        <v>0</v>
      </c>
      <c r="F309" s="6" t="str">
        <f>CALC_GAMES_BASE!N309</f>
        <v/>
      </c>
      <c r="G309" s="7">
        <f>CALC_GAMES_BASE!K309</f>
        <v>-23</v>
      </c>
      <c r="H309" s="7">
        <f t="shared" si="4"/>
        <v>0</v>
      </c>
      <c r="I309" s="6">
        <f>IF(H309=1,
  F309,
  G309*PARAMETRY!$B$11)</f>
        <v>-1.1500000000000001</v>
      </c>
      <c r="J309" s="6">
        <f>CALC_GAMES_BASE!U309-CALC_GAMES_BASE!V309</f>
        <v>2.7999084249084261E-2</v>
      </c>
      <c r="K309" s="6">
        <f>_xlfn.XLOOKUP(CALC_GAMES_BASE!W309,
  CALC_GOALIES!B:B,
  CALC_GOALIES!K:K)</f>
        <v>1.905487900993541E-3</v>
      </c>
      <c r="L309" s="6">
        <f>_xlfn.XLOOKUP(C309,CALC_TEAMS_SEASON!B:B,CALC_TEAMS_SEASON!L:L)</f>
        <v>-1.0281967787114845</v>
      </c>
      <c r="M309">
        <f>IF(CALC_GAMES_BASE!Z309="RS",1,1.2)</f>
        <v>1</v>
      </c>
      <c r="N309">
        <f xml:space="preserve"> CALC_GAMES_BASE!Y309</f>
        <v>0</v>
      </c>
    </row>
    <row r="310" spans="1:14" x14ac:dyDescent="0.25">
      <c r="A310" t="str">
        <f>CALC_GAMES_BASE!A310</f>
        <v>25/26</v>
      </c>
      <c r="B310" s="3">
        <f>CALC_GAMES_BASE!B310</f>
        <v>45977</v>
      </c>
      <c r="C310" s="3" t="str">
        <f>CALC_GAMES_BASE!C310</f>
        <v>PCE</v>
      </c>
      <c r="D310" s="3" t="str">
        <f>CALC_GAMES_BASE!D310</f>
        <v>LIT</v>
      </c>
      <c r="E310" s="7">
        <f>CALC_GAMES_BASE!E310</f>
        <v>0</v>
      </c>
      <c r="F310" s="6">
        <f>CALC_GAMES_BASE!N310</f>
        <v>2.17</v>
      </c>
      <c r="G310" s="7">
        <f>CALC_GAMES_BASE!K310</f>
        <v>15</v>
      </c>
      <c r="H310" s="7">
        <f t="shared" si="4"/>
        <v>1</v>
      </c>
      <c r="I310" s="6">
        <f>IF(H310=1,
  F310,
  G310*PARAMETRY!$B$11)</f>
        <v>2.17</v>
      </c>
      <c r="J310" s="6">
        <f>CALC_GAMES_BASE!U310-CALC_GAMES_BASE!V310</f>
        <v>0.1020833333333334</v>
      </c>
      <c r="K310" s="6">
        <f>_xlfn.XLOOKUP(CALC_GAMES_BASE!W310,
  CALC_GOALIES!B:B,
  CALC_GOALIES!K:K)</f>
        <v>4.5881077393388203E-3</v>
      </c>
      <c r="L310" s="6">
        <f>_xlfn.XLOOKUP(C310,CALC_TEAMS_SEASON!B:B,CALC_TEAMS_SEASON!L:L)</f>
        <v>0.62437675070027965</v>
      </c>
      <c r="M310">
        <f>IF(CALC_GAMES_BASE!Z310="RS",1,1.2)</f>
        <v>1</v>
      </c>
      <c r="N310">
        <f xml:space="preserve"> CALC_GAMES_BASE!Y310</f>
        <v>1</v>
      </c>
    </row>
    <row r="311" spans="1:14" x14ac:dyDescent="0.25">
      <c r="A311" t="str">
        <f>CALC_GAMES_BASE!A311</f>
        <v>25/26</v>
      </c>
      <c r="B311" s="3">
        <f>CALC_GAMES_BASE!B311</f>
        <v>45977</v>
      </c>
      <c r="C311" s="3" t="str">
        <f>CALC_GAMES_BASE!C311</f>
        <v>TRI</v>
      </c>
      <c r="D311" s="3" t="str">
        <f>CALC_GAMES_BASE!D311</f>
        <v>KOM</v>
      </c>
      <c r="E311" s="7">
        <f>CALC_GAMES_BASE!E311</f>
        <v>0</v>
      </c>
      <c r="F311" s="6">
        <f>CALC_GAMES_BASE!N311</f>
        <v>-0.35999999999999988</v>
      </c>
      <c r="G311" s="7">
        <f>CALC_GAMES_BASE!K311</f>
        <v>-9</v>
      </c>
      <c r="H311" s="7">
        <f t="shared" si="4"/>
        <v>1</v>
      </c>
      <c r="I311" s="6">
        <f>IF(H311=1,
  F311,
  G311*PARAMETRY!$B$11)</f>
        <v>-0.35999999999999988</v>
      </c>
      <c r="J311" s="6">
        <f>CALC_GAMES_BASE!U311-CALC_GAMES_BASE!V311</f>
        <v>3.0784493284493342E-2</v>
      </c>
      <c r="K311" s="6">
        <f>_xlfn.XLOOKUP(CALC_GAMES_BASE!W311,
  CALC_GOALIES!B:B,
  CALC_GOALIES!K:K)</f>
        <v>-1.9657016882340561E-2</v>
      </c>
      <c r="L311" s="6">
        <f>_xlfn.XLOOKUP(C311,CALC_TEAMS_SEASON!B:B,CALC_TEAMS_SEASON!L:L)</f>
        <v>0.10805322128851533</v>
      </c>
      <c r="M311">
        <f>IF(CALC_GAMES_BASE!Z311="RS",1,1.2)</f>
        <v>1</v>
      </c>
      <c r="N311">
        <f xml:space="preserve"> CALC_GAMES_BASE!Y311</f>
        <v>0</v>
      </c>
    </row>
    <row r="312" spans="1:14" x14ac:dyDescent="0.25">
      <c r="A312" t="str">
        <f>CALC_GAMES_BASE!A312</f>
        <v>25/26</v>
      </c>
      <c r="B312" s="3">
        <f>CALC_GAMES_BASE!B312</f>
        <v>45977</v>
      </c>
      <c r="C312" s="3" t="str">
        <f>CALC_GAMES_BASE!C312</f>
        <v>SPA</v>
      </c>
      <c r="D312" s="3" t="str">
        <f>CALC_GAMES_BASE!D312</f>
        <v>PLZ</v>
      </c>
      <c r="E312" s="7">
        <f>CALC_GAMES_BASE!E312</f>
        <v>0</v>
      </c>
      <c r="F312" s="6">
        <f>CALC_GAMES_BASE!N312</f>
        <v>-0.93000000000000016</v>
      </c>
      <c r="G312" s="7">
        <f>CALC_GAMES_BASE!K312</f>
        <v>-4</v>
      </c>
      <c r="H312" s="7">
        <f t="shared" si="4"/>
        <v>1</v>
      </c>
      <c r="I312" s="6">
        <f>IF(H312=1,
  F312,
  G312*PARAMETRY!$B$11)</f>
        <v>-0.93000000000000016</v>
      </c>
      <c r="J312" s="6">
        <f>CALC_GAMES_BASE!U312-CALC_GAMES_BASE!V312</f>
        <v>4.4192612942613035E-2</v>
      </c>
      <c r="K312" s="6">
        <f>_xlfn.XLOOKUP(CALC_GAMES_BASE!W312,
  CALC_GOALIES!B:B,
  CALC_GOALIES!K:K)</f>
        <v>-1.0634669404866681E-2</v>
      </c>
      <c r="L312" s="6">
        <f>_xlfn.XLOOKUP(C312,CALC_TEAMS_SEASON!B:B,CALC_TEAMS_SEASON!L:L)</f>
        <v>6.4376750700279955E-2</v>
      </c>
      <c r="M312">
        <f>IF(CALC_GAMES_BASE!Z312="RS",1,1.2)</f>
        <v>1</v>
      </c>
      <c r="N312">
        <f xml:space="preserve"> CALC_GAMES_BASE!Y312</f>
        <v>1</v>
      </c>
    </row>
    <row r="313" spans="1:14" x14ac:dyDescent="0.25">
      <c r="A313" t="str">
        <f>CALC_GAMES_BASE!A313</f>
        <v>25/26</v>
      </c>
      <c r="B313" s="3">
        <f>CALC_GAMES_BASE!B313</f>
        <v>45977</v>
      </c>
      <c r="C313" s="3" t="str">
        <f>CALC_GAMES_BASE!C313</f>
        <v>KOM</v>
      </c>
      <c r="D313" s="3" t="str">
        <f>CALC_GAMES_BASE!D313</f>
        <v>TRI</v>
      </c>
      <c r="E313" s="7">
        <f>CALC_GAMES_BASE!E313</f>
        <v>1</v>
      </c>
      <c r="F313" s="6">
        <f>CALC_GAMES_BASE!N313</f>
        <v>0.35999999999999988</v>
      </c>
      <c r="G313" s="7">
        <f>CALC_GAMES_BASE!K313</f>
        <v>9</v>
      </c>
      <c r="H313" s="7">
        <f t="shared" si="4"/>
        <v>1</v>
      </c>
      <c r="I313" s="6">
        <f>IF(H313=1,
  F313,
  G313*PARAMETRY!$B$11)</f>
        <v>0.35999999999999988</v>
      </c>
      <c r="J313" s="6">
        <f>CALC_GAMES_BASE!U313-CALC_GAMES_BASE!V313</f>
        <v>-3.0784493284493342E-2</v>
      </c>
      <c r="K313" s="6">
        <f>_xlfn.XLOOKUP(CALC_GAMES_BASE!W313,
  CALC_GOALIES!B:B,
  CALC_GOALIES!K:K)</f>
        <v>-1.5147095063735572E-3</v>
      </c>
      <c r="L313" s="6">
        <f>_xlfn.XLOOKUP(C313,CALC_TEAMS_SEASON!B:B,CALC_TEAMS_SEASON!L:L)</f>
        <v>-0.37268207282913179</v>
      </c>
      <c r="M313">
        <f>IF(CALC_GAMES_BASE!Z313="RS",1,1.2)</f>
        <v>1</v>
      </c>
      <c r="N313">
        <f xml:space="preserve"> CALC_GAMES_BASE!Y313</f>
        <v>1</v>
      </c>
    </row>
    <row r="314" spans="1:14" x14ac:dyDescent="0.25">
      <c r="A314" t="str">
        <f>CALC_GAMES_BASE!A314</f>
        <v>25/26</v>
      </c>
      <c r="B314" s="3">
        <f>CALC_GAMES_BASE!B314</f>
        <v>45977</v>
      </c>
      <c r="C314" s="3" t="str">
        <f>CALC_GAMES_BASE!C314</f>
        <v>KLA</v>
      </c>
      <c r="D314" s="3" t="str">
        <f>CALC_GAMES_BASE!D314</f>
        <v>KVA</v>
      </c>
      <c r="E314" s="7">
        <f>CALC_GAMES_BASE!E314</f>
        <v>0</v>
      </c>
      <c r="F314" s="6" t="str">
        <f>CALC_GAMES_BASE!N314</f>
        <v/>
      </c>
      <c r="G314" s="7">
        <f>CALC_GAMES_BASE!K314</f>
        <v>-19</v>
      </c>
      <c r="H314" s="7">
        <f t="shared" si="4"/>
        <v>0</v>
      </c>
      <c r="I314" s="6">
        <f>IF(H314=1,
  F314,
  G314*PARAMETRY!$B$11)</f>
        <v>-0.95000000000000007</v>
      </c>
      <c r="J314" s="6">
        <f>CALC_GAMES_BASE!U314-CALC_GAMES_BASE!V314</f>
        <v>-4.2666361416361459E-2</v>
      </c>
      <c r="K314" s="6">
        <f>_xlfn.XLOOKUP(CALC_GAMES_BASE!W314,
  CALC_GOALIES!B:B,
  CALC_GOALIES!K:K)</f>
        <v>-1.9185137403854746E-2</v>
      </c>
      <c r="L314" s="6">
        <f>_xlfn.XLOOKUP(C314,CALC_TEAMS_SEASON!B:B,CALC_TEAMS_SEASON!L:L)</f>
        <v>-0.19819677871148478</v>
      </c>
      <c r="M314">
        <f>IF(CALC_GAMES_BASE!Z314="RS",1,1.2)</f>
        <v>1</v>
      </c>
      <c r="N314">
        <f xml:space="preserve"> CALC_GAMES_BASE!Y314</f>
        <v>1</v>
      </c>
    </row>
    <row r="315" spans="1:14" x14ac:dyDescent="0.25">
      <c r="A315" t="str">
        <f>CALC_GAMES_BASE!A315</f>
        <v>25/26</v>
      </c>
      <c r="B315" s="3">
        <f>CALC_GAMES_BASE!B315</f>
        <v>45977</v>
      </c>
      <c r="C315" s="3" t="str">
        <f>CALC_GAMES_BASE!C315</f>
        <v>KVA</v>
      </c>
      <c r="D315" s="3" t="str">
        <f>CALC_GAMES_BASE!D315</f>
        <v>KLA</v>
      </c>
      <c r="E315" s="7">
        <f>CALC_GAMES_BASE!E315</f>
        <v>1</v>
      </c>
      <c r="F315" s="6" t="str">
        <f>CALC_GAMES_BASE!N315</f>
        <v/>
      </c>
      <c r="G315" s="7">
        <f>CALC_GAMES_BASE!K315</f>
        <v>19</v>
      </c>
      <c r="H315" s="7">
        <f t="shared" si="4"/>
        <v>0</v>
      </c>
      <c r="I315" s="6">
        <f>IF(H315=1,
  F315,
  G315*PARAMETRY!$B$11)</f>
        <v>0.95000000000000007</v>
      </c>
      <c r="J315" s="6">
        <f>CALC_GAMES_BASE!U315-CALC_GAMES_BASE!V315</f>
        <v>4.2666361416361459E-2</v>
      </c>
      <c r="K315" s="6">
        <f>_xlfn.XLOOKUP(CALC_GAMES_BASE!W315,
  CALC_GOALIES!B:B,
  CALC_GOALIES!K:K)</f>
        <v>1.2242809776983998E-2</v>
      </c>
      <c r="L315" s="6">
        <f>_xlfn.XLOOKUP(C315,CALC_TEAMS_SEASON!B:B,CALC_TEAMS_SEASON!L:L)</f>
        <v>-0.28757177871148476</v>
      </c>
      <c r="M315">
        <f>IF(CALC_GAMES_BASE!Z315="RS",1,1.2)</f>
        <v>1</v>
      </c>
      <c r="N315">
        <f xml:space="preserve"> CALC_GAMES_BASE!Y315</f>
        <v>0</v>
      </c>
    </row>
    <row r="316" spans="1:14" x14ac:dyDescent="0.25">
      <c r="A316" t="str">
        <f>CALC_GAMES_BASE!A316</f>
        <v>25/26</v>
      </c>
      <c r="B316" s="3">
        <f>CALC_GAMES_BASE!B316</f>
        <v>45977</v>
      </c>
      <c r="C316" s="3" t="str">
        <f>CALC_GAMES_BASE!C316</f>
        <v>LIB</v>
      </c>
      <c r="D316" s="3" t="str">
        <f>CALC_GAMES_BASE!D316</f>
        <v>MBL</v>
      </c>
      <c r="E316" s="7">
        <f>CALC_GAMES_BASE!E316</f>
        <v>0</v>
      </c>
      <c r="F316" s="6" t="str">
        <f>CALC_GAMES_BASE!N316</f>
        <v/>
      </c>
      <c r="G316" s="7">
        <f>CALC_GAMES_BASE!K316</f>
        <v>0</v>
      </c>
      <c r="H316" s="7">
        <f t="shared" si="4"/>
        <v>0</v>
      </c>
      <c r="I316" s="6">
        <f>IF(H316=1,
  F316,
  G316*PARAMETRY!$B$11)</f>
        <v>0</v>
      </c>
      <c r="J316" s="6">
        <f>CALC_GAMES_BASE!U316-CALC_GAMES_BASE!V316</f>
        <v>2.550366300366301E-2</v>
      </c>
      <c r="K316" s="6">
        <f>_xlfn.XLOOKUP(CALC_GAMES_BASE!W316,
  CALC_GOALIES!B:B,
  CALC_GOALIES!K:K)</f>
        <v>1.2275709048813366E-2</v>
      </c>
      <c r="L316" s="6">
        <f>_xlfn.XLOOKUP(C316,CALC_TEAMS_SEASON!B:B,CALC_TEAMS_SEASON!L:L)</f>
        <v>0.22367822128851536</v>
      </c>
      <c r="M316">
        <f>IF(CALC_GAMES_BASE!Z316="RS",1,1.2)</f>
        <v>1</v>
      </c>
      <c r="N316">
        <f xml:space="preserve"> CALC_GAMES_BASE!Y316</f>
        <v>0</v>
      </c>
    </row>
    <row r="317" spans="1:14" x14ac:dyDescent="0.25">
      <c r="A317" t="str">
        <f>CALC_GAMES_BASE!A317</f>
        <v>25/26</v>
      </c>
      <c r="B317" s="3">
        <f>CALC_GAMES_BASE!B317</f>
        <v>45977</v>
      </c>
      <c r="C317" s="3" t="str">
        <f>CALC_GAMES_BASE!C317</f>
        <v>LIT</v>
      </c>
      <c r="D317" s="3" t="str">
        <f>CALC_GAMES_BASE!D317</f>
        <v>PCE</v>
      </c>
      <c r="E317" s="7">
        <f>CALC_GAMES_BASE!E317</f>
        <v>1</v>
      </c>
      <c r="F317" s="6">
        <f>CALC_GAMES_BASE!N317</f>
        <v>-2.17</v>
      </c>
      <c r="G317" s="7">
        <f>CALC_GAMES_BASE!K317</f>
        <v>-15</v>
      </c>
      <c r="H317" s="7">
        <f t="shared" si="4"/>
        <v>1</v>
      </c>
      <c r="I317" s="6">
        <f>IF(H317=1,
  F317,
  G317*PARAMETRY!$B$11)</f>
        <v>-2.17</v>
      </c>
      <c r="J317" s="6">
        <f>CALC_GAMES_BASE!U317-CALC_GAMES_BASE!V317</f>
        <v>-0.1020833333333334</v>
      </c>
      <c r="K317" s="6">
        <f>_xlfn.XLOOKUP(CALC_GAMES_BASE!W317,
  CALC_GOALIES!B:B,
  CALC_GOALIES!K:K)</f>
        <v>-8.1125178551773036E-3</v>
      </c>
      <c r="L317" s="6">
        <f>_xlfn.XLOOKUP(C317,CALC_TEAMS_SEASON!B:B,CALC_TEAMS_SEASON!L:L)</f>
        <v>-1.4784467787114848</v>
      </c>
      <c r="M317">
        <f>IF(CALC_GAMES_BASE!Z317="RS",1,1.2)</f>
        <v>1</v>
      </c>
      <c r="N317">
        <f xml:space="preserve"> CALC_GAMES_BASE!Y317</f>
        <v>0</v>
      </c>
    </row>
    <row r="318" spans="1:14" x14ac:dyDescent="0.25">
      <c r="A318" t="str">
        <f>CALC_GAMES_BASE!A318</f>
        <v>25/26</v>
      </c>
      <c r="B318" s="3">
        <f>CALC_GAMES_BASE!B318</f>
        <v>45977</v>
      </c>
      <c r="C318" s="3" t="str">
        <f>CALC_GAMES_BASE!C318</f>
        <v>MBL</v>
      </c>
      <c r="D318" s="3" t="str">
        <f>CALC_GAMES_BASE!D318</f>
        <v>LIB</v>
      </c>
      <c r="E318" s="7">
        <f>CALC_GAMES_BASE!E318</f>
        <v>1</v>
      </c>
      <c r="F318" s="6" t="str">
        <f>CALC_GAMES_BASE!N318</f>
        <v/>
      </c>
      <c r="G318" s="7">
        <f>CALC_GAMES_BASE!K318</f>
        <v>0</v>
      </c>
      <c r="H318" s="7">
        <f t="shared" si="4"/>
        <v>0</v>
      </c>
      <c r="I318" s="6">
        <f>IF(H318=1,
  F318,
  G318*PARAMETRY!$B$11)</f>
        <v>0</v>
      </c>
      <c r="J318" s="6">
        <f>CALC_GAMES_BASE!U318-CALC_GAMES_BASE!V318</f>
        <v>-2.550366300366301E-2</v>
      </c>
      <c r="K318" s="6">
        <f>_xlfn.XLOOKUP(CALC_GAMES_BASE!W318,
  CALC_GOALIES!B:B,
  CALC_GOALIES!K:K)</f>
        <v>-4.4670611186142795E-3</v>
      </c>
      <c r="L318" s="6">
        <f>_xlfn.XLOOKUP(C318,CALC_TEAMS_SEASON!B:B,CALC_TEAMS_SEASON!L:L)</f>
        <v>-0.89069677871148467</v>
      </c>
      <c r="M318">
        <f>IF(CALC_GAMES_BASE!Z318="RS",1,1.2)</f>
        <v>1</v>
      </c>
      <c r="N318">
        <f xml:space="preserve"> CALC_GAMES_BASE!Y318</f>
        <v>1</v>
      </c>
    </row>
    <row r="319" spans="1:14" x14ac:dyDescent="0.25">
      <c r="A319" t="str">
        <f>CALC_GAMES_BASE!A319</f>
        <v>25/26</v>
      </c>
      <c r="B319" s="3">
        <f>CALC_GAMES_BASE!B319</f>
        <v>45977</v>
      </c>
      <c r="C319" s="3" t="str">
        <f>CALC_GAMES_BASE!C319</f>
        <v>PLZ</v>
      </c>
      <c r="D319" s="3" t="str">
        <f>CALC_GAMES_BASE!D319</f>
        <v>SPA</v>
      </c>
      <c r="E319" s="7">
        <f>CALC_GAMES_BASE!E319</f>
        <v>1</v>
      </c>
      <c r="F319" s="6">
        <f>CALC_GAMES_BASE!N319</f>
        <v>0.93000000000000016</v>
      </c>
      <c r="G319" s="7">
        <f>CALC_GAMES_BASE!K319</f>
        <v>4</v>
      </c>
      <c r="H319" s="7">
        <f t="shared" si="4"/>
        <v>1</v>
      </c>
      <c r="I319" s="6">
        <f>IF(H319=1,
  F319,
  G319*PARAMETRY!$B$11)</f>
        <v>0.93000000000000016</v>
      </c>
      <c r="J319" s="6">
        <f>CALC_GAMES_BASE!U319-CALC_GAMES_BASE!V319</f>
        <v>-4.4192612942613035E-2</v>
      </c>
      <c r="K319" s="6">
        <f>_xlfn.XLOOKUP(CALC_GAMES_BASE!W319,
  CALC_GOALIES!B:B,
  CALC_GOALIES!K:K)</f>
        <v>-1.4856765927271365E-3</v>
      </c>
      <c r="L319" s="6">
        <f>_xlfn.XLOOKUP(C319,CALC_TEAMS_SEASON!B:B,CALC_TEAMS_SEASON!L:L)</f>
        <v>7.3678221288515283E-2</v>
      </c>
      <c r="M319">
        <f>IF(CALC_GAMES_BASE!Z319="RS",1,1.2)</f>
        <v>1</v>
      </c>
      <c r="N319">
        <f xml:space="preserve"> CALC_GAMES_BASE!Y319</f>
        <v>0</v>
      </c>
    </row>
    <row r="320" spans="1:14" x14ac:dyDescent="0.25">
      <c r="A320" t="str">
        <f>CALC_GAMES_BASE!A320</f>
        <v>25/26</v>
      </c>
      <c r="B320" s="3">
        <f>CALC_GAMES_BASE!B320</f>
        <v>45978</v>
      </c>
      <c r="C320" s="3" t="str">
        <f>CALC_GAMES_BASE!C320</f>
        <v>MHK</v>
      </c>
      <c r="D320" s="3" t="str">
        <f>CALC_GAMES_BASE!D320</f>
        <v>OLO</v>
      </c>
      <c r="E320" s="7">
        <f>CALC_GAMES_BASE!E320</f>
        <v>0</v>
      </c>
      <c r="F320" s="6" t="str">
        <f>CALC_GAMES_BASE!N320</f>
        <v/>
      </c>
      <c r="G320" s="7">
        <f>CALC_GAMES_BASE!K320</f>
        <v>4</v>
      </c>
      <c r="H320" s="7">
        <f t="shared" si="4"/>
        <v>0</v>
      </c>
      <c r="I320" s="6">
        <f>IF(H320=1,
  F320,
  G320*PARAMETRY!$B$11)</f>
        <v>0.2</v>
      </c>
      <c r="J320" s="6">
        <f>CALC_GAMES_BASE!U320-CALC_GAMES_BASE!V320</f>
        <v>-8.0433455433455425E-3</v>
      </c>
      <c r="K320" s="6">
        <f>_xlfn.XLOOKUP(CALC_GAMES_BASE!W320,
  CALC_GOALIES!B:B,
  CALC_GOALIES!K:K)</f>
        <v>2.1917994590268441E-2</v>
      </c>
      <c r="L320" s="6">
        <f>_xlfn.XLOOKUP(C320,CALC_TEAMS_SEASON!B:B,CALC_TEAMS_SEASON!L:L)</f>
        <v>0.14821988795518207</v>
      </c>
      <c r="M320">
        <f>IF(CALC_GAMES_BASE!Z320="RS",1,1.2)</f>
        <v>1</v>
      </c>
      <c r="N320">
        <f xml:space="preserve"> CALC_GAMES_BASE!Y320</f>
        <v>1</v>
      </c>
    </row>
    <row r="321" spans="1:14" x14ac:dyDescent="0.25">
      <c r="A321" t="str">
        <f>CALC_GAMES_BASE!A321</f>
        <v>25/26</v>
      </c>
      <c r="B321" s="3">
        <f>CALC_GAMES_BASE!B321</f>
        <v>45978</v>
      </c>
      <c r="C321" s="3" t="str">
        <f>CALC_GAMES_BASE!C321</f>
        <v>OLO</v>
      </c>
      <c r="D321" s="3" t="str">
        <f>CALC_GAMES_BASE!D321</f>
        <v>MHK</v>
      </c>
      <c r="E321" s="7">
        <f>CALC_GAMES_BASE!E321</f>
        <v>1</v>
      </c>
      <c r="F321" s="6" t="str">
        <f>CALC_GAMES_BASE!N321</f>
        <v/>
      </c>
      <c r="G321" s="7">
        <f>CALC_GAMES_BASE!K321</f>
        <v>-4</v>
      </c>
      <c r="H321" s="7">
        <f t="shared" si="4"/>
        <v>0</v>
      </c>
      <c r="I321" s="6">
        <f>IF(H321=1,
  F321,
  G321*PARAMETRY!$B$11)</f>
        <v>-0.2</v>
      </c>
      <c r="J321" s="6">
        <f>CALC_GAMES_BASE!U321-CALC_GAMES_BASE!V321</f>
        <v>8.0433455433455425E-3</v>
      </c>
      <c r="K321" s="6">
        <f>_xlfn.XLOOKUP(CALC_GAMES_BASE!W321,
  CALC_GOALIES!B:B,
  CALC_GOALIES!K:K)</f>
        <v>-2.0326878807700233E-2</v>
      </c>
      <c r="L321" s="6">
        <f>_xlfn.XLOOKUP(C321,CALC_TEAMS_SEASON!B:B,CALC_TEAMS_SEASON!L:L)</f>
        <v>-1.0613217787114846</v>
      </c>
      <c r="M321">
        <f>IF(CALC_GAMES_BASE!Z321="RS",1,1.2)</f>
        <v>1</v>
      </c>
      <c r="N321">
        <f xml:space="preserve"> CALC_GAMES_BASE!Y321</f>
        <v>0</v>
      </c>
    </row>
    <row r="322" spans="1:14" x14ac:dyDescent="0.25">
      <c r="A322" t="str">
        <f>CALC_GAMES_BASE!A322</f>
        <v>25/26</v>
      </c>
      <c r="B322" s="3">
        <f>CALC_GAMES_BASE!B322</f>
        <v>45981</v>
      </c>
      <c r="C322" s="3" t="str">
        <f>CALC_GAMES_BASE!C322</f>
        <v>PCE</v>
      </c>
      <c r="D322" s="3" t="str">
        <f>CALC_GAMES_BASE!D322</f>
        <v>KVA</v>
      </c>
      <c r="E322" s="7">
        <f>CALC_GAMES_BASE!E322</f>
        <v>1</v>
      </c>
      <c r="F322" s="6">
        <f>CALC_GAMES_BASE!N322</f>
        <v>1.0500000000000003</v>
      </c>
      <c r="G322" s="7">
        <f>CALC_GAMES_BASE!K322</f>
        <v>4</v>
      </c>
      <c r="H322" s="7">
        <f t="shared" si="4"/>
        <v>1</v>
      </c>
      <c r="I322" s="6">
        <f>IF(H322=1,
  F322,
  G322*PARAMETRY!$B$11)</f>
        <v>1.0500000000000003</v>
      </c>
      <c r="J322" s="6">
        <f>CALC_GAMES_BASE!U322-CALC_GAMES_BASE!V322</f>
        <v>2.9105616605616641E-2</v>
      </c>
      <c r="K322" s="6">
        <f>_xlfn.XLOOKUP(CALC_GAMES_BASE!W322,
  CALC_GOALIES!B:B,
  CALC_GOALIES!K:K)</f>
        <v>-6.7923502086092435E-3</v>
      </c>
      <c r="L322" s="6">
        <f>_xlfn.XLOOKUP(C322,CALC_TEAMS_SEASON!B:B,CALC_TEAMS_SEASON!L:L)</f>
        <v>0.62437675070027965</v>
      </c>
      <c r="M322">
        <f>IF(CALC_GAMES_BASE!Z322="RS",1,1.2)</f>
        <v>1</v>
      </c>
      <c r="N322">
        <f xml:space="preserve"> CALC_GAMES_BASE!Y322</f>
        <v>1</v>
      </c>
    </row>
    <row r="323" spans="1:14" x14ac:dyDescent="0.25">
      <c r="A323" t="str">
        <f>CALC_GAMES_BASE!A323</f>
        <v>25/26</v>
      </c>
      <c r="B323" s="3">
        <f>CALC_GAMES_BASE!B323</f>
        <v>45981</v>
      </c>
      <c r="C323" s="3" t="str">
        <f>CALC_GAMES_BASE!C323</f>
        <v>TRI</v>
      </c>
      <c r="D323" s="3" t="str">
        <f>CALC_GAMES_BASE!D323</f>
        <v>VIT</v>
      </c>
      <c r="E323" s="7">
        <f>CALC_GAMES_BASE!E323</f>
        <v>0</v>
      </c>
      <c r="F323" s="6">
        <f>CALC_GAMES_BASE!N323</f>
        <v>0.20999999999999996</v>
      </c>
      <c r="G323" s="7">
        <f>CALC_GAMES_BASE!K323</f>
        <v>10</v>
      </c>
      <c r="H323" s="7">
        <f t="shared" ref="H323:H386" si="5">IF(F323&lt;&gt;"",1,0)</f>
        <v>1</v>
      </c>
      <c r="I323" s="6">
        <f>IF(H323=1,
  F323,
  G323*PARAMETRY!$B$11)</f>
        <v>0.20999999999999996</v>
      </c>
      <c r="J323" s="6">
        <f>CALC_GAMES_BASE!U323-CALC_GAMES_BASE!V323</f>
        <v>4.525335775335787E-3</v>
      </c>
      <c r="K323" s="6">
        <f>_xlfn.XLOOKUP(CALC_GAMES_BASE!W323,
  CALC_GOALIES!B:B,
  CALC_GOALIES!K:K)</f>
        <v>1.3707542055988897E-2</v>
      </c>
      <c r="L323" s="6">
        <f>_xlfn.XLOOKUP(C323,CALC_TEAMS_SEASON!B:B,CALC_TEAMS_SEASON!L:L)</f>
        <v>0.10805322128851533</v>
      </c>
      <c r="M323">
        <f>IF(CALC_GAMES_BASE!Z323="RS",1,1.2)</f>
        <v>1</v>
      </c>
      <c r="N323">
        <f xml:space="preserve"> CALC_GAMES_BASE!Y323</f>
        <v>0</v>
      </c>
    </row>
    <row r="324" spans="1:14" x14ac:dyDescent="0.25">
      <c r="A324" t="str">
        <f>CALC_GAMES_BASE!A324</f>
        <v>25/26</v>
      </c>
      <c r="B324" s="3">
        <f>CALC_GAMES_BASE!B324</f>
        <v>45981</v>
      </c>
      <c r="C324" s="3" t="str">
        <f>CALC_GAMES_BASE!C324</f>
        <v>KVA</v>
      </c>
      <c r="D324" s="3" t="str">
        <f>CALC_GAMES_BASE!D324</f>
        <v>PCE</v>
      </c>
      <c r="E324" s="7">
        <f>CALC_GAMES_BASE!E324</f>
        <v>0</v>
      </c>
      <c r="F324" s="6">
        <f>CALC_GAMES_BASE!N324</f>
        <v>-1.0500000000000003</v>
      </c>
      <c r="G324" s="7">
        <f>CALC_GAMES_BASE!K324</f>
        <v>-4</v>
      </c>
      <c r="H324" s="7">
        <f t="shared" si="5"/>
        <v>1</v>
      </c>
      <c r="I324" s="6">
        <f>IF(H324=1,
  F324,
  G324*PARAMETRY!$B$11)</f>
        <v>-1.0500000000000003</v>
      </c>
      <c r="J324" s="6">
        <f>CALC_GAMES_BASE!U324-CALC_GAMES_BASE!V324</f>
        <v>-2.9105616605616641E-2</v>
      </c>
      <c r="K324" s="6">
        <f>_xlfn.XLOOKUP(CALC_GAMES_BASE!W324,
  CALC_GOALIES!B:B,
  CALC_GOALIES!K:K)</f>
        <v>-2.2629454281007488E-2</v>
      </c>
      <c r="L324" s="6">
        <f>_xlfn.XLOOKUP(C324,CALC_TEAMS_SEASON!B:B,CALC_TEAMS_SEASON!L:L)</f>
        <v>-0.28757177871148476</v>
      </c>
      <c r="M324">
        <f>IF(CALC_GAMES_BASE!Z324="RS",1,1.2)</f>
        <v>1</v>
      </c>
      <c r="N324">
        <f xml:space="preserve"> CALC_GAMES_BASE!Y324</f>
        <v>0</v>
      </c>
    </row>
    <row r="325" spans="1:14" x14ac:dyDescent="0.25">
      <c r="A325" t="str">
        <f>CALC_GAMES_BASE!A325</f>
        <v>25/26</v>
      </c>
      <c r="B325" s="3">
        <f>CALC_GAMES_BASE!B325</f>
        <v>45981</v>
      </c>
      <c r="C325" s="3" t="str">
        <f>CALC_GAMES_BASE!C325</f>
        <v>LIT</v>
      </c>
      <c r="D325" s="3" t="str">
        <f>CALC_GAMES_BASE!D325</f>
        <v>PLZ</v>
      </c>
      <c r="E325" s="7">
        <f>CALC_GAMES_BASE!E325</f>
        <v>0</v>
      </c>
      <c r="F325" s="6" t="str">
        <f>CALC_GAMES_BASE!N325</f>
        <v/>
      </c>
      <c r="G325" s="7">
        <f>CALC_GAMES_BASE!K325</f>
        <v>-17</v>
      </c>
      <c r="H325" s="7">
        <f t="shared" si="5"/>
        <v>0</v>
      </c>
      <c r="I325" s="6">
        <f>IF(H325=1,
  F325,
  G325*PARAMETRY!$B$11)</f>
        <v>-0.85000000000000009</v>
      </c>
      <c r="J325" s="6">
        <f>CALC_GAMES_BASE!U325-CALC_GAMES_BASE!V325</f>
        <v>-7.5518925518925487E-2</v>
      </c>
      <c r="K325" s="6">
        <f>_xlfn.XLOOKUP(CALC_GAMES_BASE!W325,
  CALC_GOALIES!B:B,
  CALC_GOALIES!K:K)</f>
        <v>-8.1125178551773036E-3</v>
      </c>
      <c r="L325" s="6">
        <f>_xlfn.XLOOKUP(C325,CALC_TEAMS_SEASON!B:B,CALC_TEAMS_SEASON!L:L)</f>
        <v>-1.4784467787114848</v>
      </c>
      <c r="M325">
        <f>IF(CALC_GAMES_BASE!Z325="RS",1,1.2)</f>
        <v>1</v>
      </c>
      <c r="N325">
        <f xml:space="preserve"> CALC_GAMES_BASE!Y325</f>
        <v>0</v>
      </c>
    </row>
    <row r="326" spans="1:14" x14ac:dyDescent="0.25">
      <c r="A326" t="str">
        <f>CALC_GAMES_BASE!A326</f>
        <v>25/26</v>
      </c>
      <c r="B326" s="3">
        <f>CALC_GAMES_BASE!B326</f>
        <v>45981</v>
      </c>
      <c r="C326" s="3" t="str">
        <f>CALC_GAMES_BASE!C326</f>
        <v>PLZ</v>
      </c>
      <c r="D326" s="3" t="str">
        <f>CALC_GAMES_BASE!D326</f>
        <v>LIT</v>
      </c>
      <c r="E326" s="7">
        <f>CALC_GAMES_BASE!E326</f>
        <v>1</v>
      </c>
      <c r="F326" s="6" t="str">
        <f>CALC_GAMES_BASE!N326</f>
        <v/>
      </c>
      <c r="G326" s="7">
        <f>CALC_GAMES_BASE!K326</f>
        <v>17</v>
      </c>
      <c r="H326" s="7">
        <f t="shared" si="5"/>
        <v>0</v>
      </c>
      <c r="I326" s="6">
        <f>IF(H326=1,
  F326,
  G326*PARAMETRY!$B$11)</f>
        <v>0.85000000000000009</v>
      </c>
      <c r="J326" s="6">
        <f>CALC_GAMES_BASE!U326-CALC_GAMES_BASE!V326</f>
        <v>7.5518925518925487E-2</v>
      </c>
      <c r="K326" s="6">
        <f>_xlfn.XLOOKUP(CALC_GAMES_BASE!W326,
  CALC_GOALIES!B:B,
  CALC_GOALIES!K:K)</f>
        <v>1.7617039556646619E-2</v>
      </c>
      <c r="L326" s="6">
        <f>_xlfn.XLOOKUP(C326,CALC_TEAMS_SEASON!B:B,CALC_TEAMS_SEASON!L:L)</f>
        <v>7.3678221288515283E-2</v>
      </c>
      <c r="M326">
        <f>IF(CALC_GAMES_BASE!Z326="RS",1,1.2)</f>
        <v>1</v>
      </c>
      <c r="N326">
        <f xml:space="preserve"> CALC_GAMES_BASE!Y326</f>
        <v>1</v>
      </c>
    </row>
    <row r="327" spans="1:14" x14ac:dyDescent="0.25">
      <c r="A327" t="str">
        <f>CALC_GAMES_BASE!A327</f>
        <v>25/26</v>
      </c>
      <c r="B327" s="3">
        <f>CALC_GAMES_BASE!B327</f>
        <v>45981</v>
      </c>
      <c r="C327" s="3" t="str">
        <f>CALC_GAMES_BASE!C327</f>
        <v>VIT</v>
      </c>
      <c r="D327" s="3" t="str">
        <f>CALC_GAMES_BASE!D327</f>
        <v>TRI</v>
      </c>
      <c r="E327" s="7">
        <f>CALC_GAMES_BASE!E327</f>
        <v>1</v>
      </c>
      <c r="F327" s="6">
        <f>CALC_GAMES_BASE!N327</f>
        <v>-0.20999999999999996</v>
      </c>
      <c r="G327" s="7">
        <f>CALC_GAMES_BASE!K327</f>
        <v>-10</v>
      </c>
      <c r="H327" s="7">
        <f t="shared" si="5"/>
        <v>1</v>
      </c>
      <c r="I327" s="6">
        <f>IF(H327=1,
  F327,
  G327*PARAMETRY!$B$11)</f>
        <v>-0.20999999999999996</v>
      </c>
      <c r="J327" s="6">
        <f>CALC_GAMES_BASE!U327-CALC_GAMES_BASE!V327</f>
        <v>-4.525335775335787E-3</v>
      </c>
      <c r="K327" s="6">
        <f>_xlfn.XLOOKUP(CALC_GAMES_BASE!W327,
  CALC_GOALIES!B:B,
  CALC_GOALIES!K:K)</f>
        <v>1.905487900993541E-3</v>
      </c>
      <c r="L327" s="6">
        <f>_xlfn.XLOOKUP(C327,CALC_TEAMS_SEASON!B:B,CALC_TEAMS_SEASON!L:L)</f>
        <v>-1.0281967787114845</v>
      </c>
      <c r="M327">
        <f>IF(CALC_GAMES_BASE!Z327="RS",1,1.2)</f>
        <v>1</v>
      </c>
      <c r="N327">
        <f xml:space="preserve"> CALC_GAMES_BASE!Y327</f>
        <v>1</v>
      </c>
    </row>
    <row r="328" spans="1:14" x14ac:dyDescent="0.25">
      <c r="A328" t="str">
        <f>CALC_GAMES_BASE!A328</f>
        <v>25/26</v>
      </c>
      <c r="B328" s="3">
        <f>CALC_GAMES_BASE!B328</f>
        <v>45982</v>
      </c>
      <c r="C328" s="3" t="str">
        <f>CALC_GAMES_BASE!C328</f>
        <v>SPA</v>
      </c>
      <c r="D328" s="3" t="str">
        <f>CALC_GAMES_BASE!D328</f>
        <v>MHK</v>
      </c>
      <c r="E328" s="7">
        <f>CALC_GAMES_BASE!E328</f>
        <v>0</v>
      </c>
      <c r="F328" s="6">
        <f>CALC_GAMES_BASE!N328</f>
        <v>-0.23999999999999977</v>
      </c>
      <c r="G328" s="7">
        <f>CALC_GAMES_BASE!K328</f>
        <v>-6</v>
      </c>
      <c r="H328" s="7">
        <f t="shared" si="5"/>
        <v>1</v>
      </c>
      <c r="I328" s="6">
        <f>IF(H328=1,
  F328,
  G328*PARAMETRY!$B$11)</f>
        <v>-0.23999999999999977</v>
      </c>
      <c r="J328" s="6">
        <f>CALC_GAMES_BASE!U328-CALC_GAMES_BASE!V328</f>
        <v>7.875457875457878E-2</v>
      </c>
      <c r="K328" s="6">
        <f>_xlfn.XLOOKUP(CALC_GAMES_BASE!W328,
  CALC_GOALIES!B:B,
  CALC_GOALIES!K:K)</f>
        <v>3.5919237922225067E-3</v>
      </c>
      <c r="L328" s="6">
        <f>_xlfn.XLOOKUP(C328,CALC_TEAMS_SEASON!B:B,CALC_TEAMS_SEASON!L:L)</f>
        <v>6.4376750700279955E-2</v>
      </c>
      <c r="M328">
        <f>IF(CALC_GAMES_BASE!Z328="RS",1,1.2)</f>
        <v>1</v>
      </c>
      <c r="N328">
        <f xml:space="preserve"> CALC_GAMES_BASE!Y328</f>
        <v>1</v>
      </c>
    </row>
    <row r="329" spans="1:14" x14ac:dyDescent="0.25">
      <c r="A329" t="str">
        <f>CALC_GAMES_BASE!A329</f>
        <v>25/26</v>
      </c>
      <c r="B329" s="3">
        <f>CALC_GAMES_BASE!B329</f>
        <v>45982</v>
      </c>
      <c r="C329" s="3" t="str">
        <f>CALC_GAMES_BASE!C329</f>
        <v>KOM</v>
      </c>
      <c r="D329" s="3" t="str">
        <f>CALC_GAMES_BASE!D329</f>
        <v>KLA</v>
      </c>
      <c r="E329" s="7">
        <f>CALC_GAMES_BASE!E329</f>
        <v>0</v>
      </c>
      <c r="F329" s="6">
        <f>CALC_GAMES_BASE!N329</f>
        <v>0.91999999999999993</v>
      </c>
      <c r="G329" s="7">
        <f>CALC_GAMES_BASE!K329</f>
        <v>20</v>
      </c>
      <c r="H329" s="7">
        <f t="shared" si="5"/>
        <v>1</v>
      </c>
      <c r="I329" s="6">
        <f>IF(H329=1,
  F329,
  G329*PARAMETRY!$B$11)</f>
        <v>0.91999999999999993</v>
      </c>
      <c r="J329" s="6">
        <f>CALC_GAMES_BASE!U329-CALC_GAMES_BASE!V329</f>
        <v>1.2385531135531147E-2</v>
      </c>
      <c r="K329" s="6">
        <f>_xlfn.XLOOKUP(CALC_GAMES_BASE!W329,
  CALC_GOALIES!B:B,
  CALC_GOALIES!K:K)</f>
        <v>-1.5147095063735572E-3</v>
      </c>
      <c r="L329" s="6">
        <f>_xlfn.XLOOKUP(C329,CALC_TEAMS_SEASON!B:B,CALC_TEAMS_SEASON!L:L)</f>
        <v>-0.37268207282913179</v>
      </c>
      <c r="M329">
        <f>IF(CALC_GAMES_BASE!Z329="RS",1,1.2)</f>
        <v>1</v>
      </c>
      <c r="N329">
        <f xml:space="preserve"> CALC_GAMES_BASE!Y329</f>
        <v>1</v>
      </c>
    </row>
    <row r="330" spans="1:14" x14ac:dyDescent="0.25">
      <c r="A330" t="str">
        <f>CALC_GAMES_BASE!A330</f>
        <v>25/26</v>
      </c>
      <c r="B330" s="3">
        <f>CALC_GAMES_BASE!B330</f>
        <v>45982</v>
      </c>
      <c r="C330" s="3" t="str">
        <f>CALC_GAMES_BASE!C330</f>
        <v>CEB</v>
      </c>
      <c r="D330" s="3" t="str">
        <f>CALC_GAMES_BASE!D330</f>
        <v>MBL</v>
      </c>
      <c r="E330" s="7">
        <f>CALC_GAMES_BASE!E330</f>
        <v>1</v>
      </c>
      <c r="F330" s="6" t="str">
        <f>CALC_GAMES_BASE!N330</f>
        <v/>
      </c>
      <c r="G330" s="7">
        <f>CALC_GAMES_BASE!K330</f>
        <v>2</v>
      </c>
      <c r="H330" s="7">
        <f t="shared" si="5"/>
        <v>0</v>
      </c>
      <c r="I330" s="6">
        <f>IF(H330=1,
  F330,
  G330*PARAMETRY!$B$11)</f>
        <v>0.1</v>
      </c>
      <c r="J330" s="6">
        <f>CALC_GAMES_BASE!U330-CALC_GAMES_BASE!V330</f>
        <v>1.1944305694305699E-2</v>
      </c>
      <c r="K330" s="6">
        <f>_xlfn.XLOOKUP(CALC_GAMES_BASE!W330,
  CALC_GOALIES!B:B,
  CALC_GOALIES!K:K)</f>
        <v>-4.3244838896392079E-2</v>
      </c>
      <c r="L330" s="6">
        <f>_xlfn.XLOOKUP(C330,CALC_TEAMS_SEASON!B:B,CALC_TEAMS_SEASON!L:L)</f>
        <v>-0.24978011204481798</v>
      </c>
      <c r="M330">
        <f>IF(CALC_GAMES_BASE!Z330="RS",1,1.2)</f>
        <v>1</v>
      </c>
      <c r="N330">
        <f xml:space="preserve"> CALC_GAMES_BASE!Y330</f>
        <v>1</v>
      </c>
    </row>
    <row r="331" spans="1:14" x14ac:dyDescent="0.25">
      <c r="A331" t="str">
        <f>CALC_GAMES_BASE!A331</f>
        <v>25/26</v>
      </c>
      <c r="B331" s="3">
        <f>CALC_GAMES_BASE!B331</f>
        <v>45982</v>
      </c>
      <c r="C331" s="3" t="str">
        <f>CALC_GAMES_BASE!C331</f>
        <v>KLA</v>
      </c>
      <c r="D331" s="3" t="str">
        <f>CALC_GAMES_BASE!D331</f>
        <v>KOM</v>
      </c>
      <c r="E331" s="7">
        <f>CALC_GAMES_BASE!E331</f>
        <v>1</v>
      </c>
      <c r="F331" s="6">
        <f>CALC_GAMES_BASE!N331</f>
        <v>-0.91999999999999993</v>
      </c>
      <c r="G331" s="7">
        <f>CALC_GAMES_BASE!K331</f>
        <v>-20</v>
      </c>
      <c r="H331" s="7">
        <f t="shared" si="5"/>
        <v>1</v>
      </c>
      <c r="I331" s="6">
        <f>IF(H331=1,
  F331,
  G331*PARAMETRY!$B$11)</f>
        <v>-0.91999999999999993</v>
      </c>
      <c r="J331" s="6">
        <f>CALC_GAMES_BASE!U331-CALC_GAMES_BASE!V331</f>
        <v>-1.2385531135531147E-2</v>
      </c>
      <c r="K331" s="6">
        <f>_xlfn.XLOOKUP(CALC_GAMES_BASE!W331,
  CALC_GOALIES!B:B,
  CALC_GOALIES!K:K)</f>
        <v>1.2463190300688209E-2</v>
      </c>
      <c r="L331" s="6">
        <f>_xlfn.XLOOKUP(C331,CALC_TEAMS_SEASON!B:B,CALC_TEAMS_SEASON!L:L)</f>
        <v>-0.19819677871148478</v>
      </c>
      <c r="M331">
        <f>IF(CALC_GAMES_BASE!Z331="RS",1,1.2)</f>
        <v>1</v>
      </c>
      <c r="N331">
        <f xml:space="preserve"> CALC_GAMES_BASE!Y331</f>
        <v>0</v>
      </c>
    </row>
    <row r="332" spans="1:14" x14ac:dyDescent="0.25">
      <c r="A332" t="str">
        <f>CALC_GAMES_BASE!A332</f>
        <v>25/26</v>
      </c>
      <c r="B332" s="3">
        <f>CALC_GAMES_BASE!B332</f>
        <v>45982</v>
      </c>
      <c r="C332" s="3" t="str">
        <f>CALC_GAMES_BASE!C332</f>
        <v>MBL</v>
      </c>
      <c r="D332" s="3" t="str">
        <f>CALC_GAMES_BASE!D332</f>
        <v>CEB</v>
      </c>
      <c r="E332" s="7">
        <f>CALC_GAMES_BASE!E332</f>
        <v>0</v>
      </c>
      <c r="F332" s="6" t="str">
        <f>CALC_GAMES_BASE!N332</f>
        <v/>
      </c>
      <c r="G332" s="7">
        <f>CALC_GAMES_BASE!K332</f>
        <v>-2</v>
      </c>
      <c r="H332" s="7">
        <f t="shared" si="5"/>
        <v>0</v>
      </c>
      <c r="I332" s="6">
        <f>IF(H332=1,
  F332,
  G332*PARAMETRY!$B$11)</f>
        <v>-0.1</v>
      </c>
      <c r="J332" s="6">
        <f>CALC_GAMES_BASE!U332-CALC_GAMES_BASE!V332</f>
        <v>-1.1944305694305699E-2</v>
      </c>
      <c r="K332" s="6">
        <f>_xlfn.XLOOKUP(CALC_GAMES_BASE!W332,
  CALC_GOALIES!B:B,
  CALC_GOALIES!K:K)</f>
        <v>-4.4670611186142795E-3</v>
      </c>
      <c r="L332" s="6">
        <f>_xlfn.XLOOKUP(C332,CALC_TEAMS_SEASON!B:B,CALC_TEAMS_SEASON!L:L)</f>
        <v>-0.89069677871148467</v>
      </c>
      <c r="M332">
        <f>IF(CALC_GAMES_BASE!Z332="RS",1,1.2)</f>
        <v>1</v>
      </c>
      <c r="N332">
        <f xml:space="preserve"> CALC_GAMES_BASE!Y332</f>
        <v>0</v>
      </c>
    </row>
    <row r="333" spans="1:14" x14ac:dyDescent="0.25">
      <c r="A333" t="str">
        <f>CALC_GAMES_BASE!A333</f>
        <v>25/26</v>
      </c>
      <c r="B333" s="3">
        <f>CALC_GAMES_BASE!B333</f>
        <v>45982</v>
      </c>
      <c r="C333" s="3" t="str">
        <f>CALC_GAMES_BASE!C333</f>
        <v>MHK</v>
      </c>
      <c r="D333" s="3" t="str">
        <f>CALC_GAMES_BASE!D333</f>
        <v>SPA</v>
      </c>
      <c r="E333" s="7">
        <f>CALC_GAMES_BASE!E333</f>
        <v>1</v>
      </c>
      <c r="F333" s="6">
        <f>CALC_GAMES_BASE!N333</f>
        <v>0.23999999999999977</v>
      </c>
      <c r="G333" s="7">
        <f>CALC_GAMES_BASE!K333</f>
        <v>6</v>
      </c>
      <c r="H333" s="7">
        <f t="shared" si="5"/>
        <v>1</v>
      </c>
      <c r="I333" s="6">
        <f>IF(H333=1,
  F333,
  G333*PARAMETRY!$B$11)</f>
        <v>0.23999999999999977</v>
      </c>
      <c r="J333" s="6">
        <f>CALC_GAMES_BASE!U333-CALC_GAMES_BASE!V333</f>
        <v>-7.875457875457878E-2</v>
      </c>
      <c r="K333" s="6">
        <f>_xlfn.XLOOKUP(CALC_GAMES_BASE!W333,
  CALC_GOALIES!B:B,
  CALC_GOALIES!K:K)</f>
        <v>2.1917994590268441E-2</v>
      </c>
      <c r="L333" s="6">
        <f>_xlfn.XLOOKUP(C333,CALC_TEAMS_SEASON!B:B,CALC_TEAMS_SEASON!L:L)</f>
        <v>0.14821988795518207</v>
      </c>
      <c r="M333">
        <f>IF(CALC_GAMES_BASE!Z333="RS",1,1.2)</f>
        <v>1</v>
      </c>
      <c r="N333">
        <f xml:space="preserve"> CALC_GAMES_BASE!Y333</f>
        <v>0</v>
      </c>
    </row>
    <row r="334" spans="1:14" x14ac:dyDescent="0.25">
      <c r="A334" t="str">
        <f>CALC_GAMES_BASE!A334</f>
        <v>25/26</v>
      </c>
      <c r="B334" s="3">
        <f>CALC_GAMES_BASE!B334</f>
        <v>45984</v>
      </c>
      <c r="C334" s="3" t="str">
        <f>CALC_GAMES_BASE!C334</f>
        <v>PCE</v>
      </c>
      <c r="D334" s="3" t="str">
        <f>CALC_GAMES_BASE!D334</f>
        <v>VIT</v>
      </c>
      <c r="E334" s="7">
        <f>CALC_GAMES_BASE!E334</f>
        <v>0</v>
      </c>
      <c r="F334" s="6">
        <f>CALC_GAMES_BASE!N334</f>
        <v>1.02</v>
      </c>
      <c r="G334" s="7">
        <f>CALC_GAMES_BASE!K334</f>
        <v>22</v>
      </c>
      <c r="H334" s="7">
        <f t="shared" si="5"/>
        <v>1</v>
      </c>
      <c r="I334" s="6">
        <f>IF(H334=1,
  F334,
  G334*PARAMETRY!$B$11)</f>
        <v>1.02</v>
      </c>
      <c r="J334" s="6">
        <f>CALC_GAMES_BASE!U334-CALC_GAMES_BASE!V334</f>
        <v>3.3127289377289398E-2</v>
      </c>
      <c r="K334" s="6">
        <f>_xlfn.XLOOKUP(CALC_GAMES_BASE!W334,
  CALC_GOALIES!B:B,
  CALC_GOALIES!K:K)</f>
        <v>-6.7923502086092435E-3</v>
      </c>
      <c r="L334" s="6">
        <f>_xlfn.XLOOKUP(C334,CALC_TEAMS_SEASON!B:B,CALC_TEAMS_SEASON!L:L)</f>
        <v>0.62437675070027965</v>
      </c>
      <c r="M334">
        <f>IF(CALC_GAMES_BASE!Z334="RS",1,1.2)</f>
        <v>1</v>
      </c>
      <c r="N334">
        <f xml:space="preserve"> CALC_GAMES_BASE!Y334</f>
        <v>0</v>
      </c>
    </row>
    <row r="335" spans="1:14" x14ac:dyDescent="0.25">
      <c r="A335" t="str">
        <f>CALC_GAMES_BASE!A335</f>
        <v>25/26</v>
      </c>
      <c r="B335" s="3">
        <f>CALC_GAMES_BASE!B335</f>
        <v>45984</v>
      </c>
      <c r="C335" s="3" t="str">
        <f>CALC_GAMES_BASE!C335</f>
        <v>TRI</v>
      </c>
      <c r="D335" s="3" t="str">
        <f>CALC_GAMES_BASE!D335</f>
        <v>LIT</v>
      </c>
      <c r="E335" s="7">
        <f>CALC_GAMES_BASE!E335</f>
        <v>0</v>
      </c>
      <c r="F335" s="6">
        <f>CALC_GAMES_BASE!N335</f>
        <v>1.9600000000000002</v>
      </c>
      <c r="G335" s="7">
        <f>CALC_GAMES_BASE!K335</f>
        <v>22</v>
      </c>
      <c r="H335" s="7">
        <f t="shared" si="5"/>
        <v>1</v>
      </c>
      <c r="I335" s="6">
        <f>IF(H335=1,
  F335,
  G335*PARAMETRY!$B$11)</f>
        <v>1.9600000000000002</v>
      </c>
      <c r="J335" s="6">
        <f>CALC_GAMES_BASE!U335-CALC_GAMES_BASE!V335</f>
        <v>7.348137973137979E-2</v>
      </c>
      <c r="K335" s="6">
        <f>_xlfn.XLOOKUP(CALC_GAMES_BASE!W335,
  CALC_GOALIES!B:B,
  CALC_GOALIES!K:K)</f>
        <v>1.3707542055988897E-2</v>
      </c>
      <c r="L335" s="6">
        <f>_xlfn.XLOOKUP(C335,CALC_TEAMS_SEASON!B:B,CALC_TEAMS_SEASON!L:L)</f>
        <v>0.10805322128851533</v>
      </c>
      <c r="M335">
        <f>IF(CALC_GAMES_BASE!Z335="RS",1,1.2)</f>
        <v>1</v>
      </c>
      <c r="N335">
        <f xml:space="preserve"> CALC_GAMES_BASE!Y335</f>
        <v>0</v>
      </c>
    </row>
    <row r="336" spans="1:14" x14ac:dyDescent="0.25">
      <c r="A336" t="str">
        <f>CALC_GAMES_BASE!A336</f>
        <v>25/26</v>
      </c>
      <c r="B336" s="3">
        <f>CALC_GAMES_BASE!B336</f>
        <v>45984</v>
      </c>
      <c r="C336" s="3" t="str">
        <f>CALC_GAMES_BASE!C336</f>
        <v>SPA</v>
      </c>
      <c r="D336" s="3" t="str">
        <f>CALC_GAMES_BASE!D336</f>
        <v>KLA</v>
      </c>
      <c r="E336" s="7">
        <f>CALC_GAMES_BASE!E336</f>
        <v>0</v>
      </c>
      <c r="F336" s="6">
        <f>CALC_GAMES_BASE!N336</f>
        <v>-0.21999999999999975</v>
      </c>
      <c r="G336" s="7">
        <f>CALC_GAMES_BASE!K336</f>
        <v>5</v>
      </c>
      <c r="H336" s="7">
        <f t="shared" si="5"/>
        <v>1</v>
      </c>
      <c r="I336" s="6">
        <f>IF(H336=1,
  F336,
  G336*PARAMETRY!$B$11)</f>
        <v>-0.21999999999999975</v>
      </c>
      <c r="J336" s="6">
        <f>CALC_GAMES_BASE!U336-CALC_GAMES_BASE!V336</f>
        <v>8.9400183150183221E-2</v>
      </c>
      <c r="K336" s="6">
        <f>_xlfn.XLOOKUP(CALC_GAMES_BASE!W336,
  CALC_GOALIES!B:B,
  CALC_GOALIES!K:K)</f>
        <v>3.5919237922225067E-3</v>
      </c>
      <c r="L336" s="6">
        <f>_xlfn.XLOOKUP(C336,CALC_TEAMS_SEASON!B:B,CALC_TEAMS_SEASON!L:L)</f>
        <v>6.4376750700279955E-2</v>
      </c>
      <c r="M336">
        <f>IF(CALC_GAMES_BASE!Z336="RS",1,1.2)</f>
        <v>1</v>
      </c>
      <c r="N336">
        <f xml:space="preserve"> CALC_GAMES_BASE!Y336</f>
        <v>1</v>
      </c>
    </row>
    <row r="337" spans="1:14" x14ac:dyDescent="0.25">
      <c r="A337" t="str">
        <f>CALC_GAMES_BASE!A337</f>
        <v>25/26</v>
      </c>
      <c r="B337" s="3">
        <f>CALC_GAMES_BASE!B337</f>
        <v>45984</v>
      </c>
      <c r="C337" s="3" t="str">
        <f>CALC_GAMES_BASE!C337</f>
        <v>KOM</v>
      </c>
      <c r="D337" s="3" t="str">
        <f>CALC_GAMES_BASE!D337</f>
        <v>KVA</v>
      </c>
      <c r="E337" s="7">
        <f>CALC_GAMES_BASE!E337</f>
        <v>0</v>
      </c>
      <c r="F337" s="6">
        <f>CALC_GAMES_BASE!N337</f>
        <v>-0.9800000000000002</v>
      </c>
      <c r="G337" s="7">
        <f>CALC_GAMES_BASE!K337</f>
        <v>-22</v>
      </c>
      <c r="H337" s="7">
        <f t="shared" si="5"/>
        <v>1</v>
      </c>
      <c r="I337" s="6">
        <f>IF(H337=1,
  F337,
  G337*PARAMETRY!$B$11)</f>
        <v>-0.9800000000000002</v>
      </c>
      <c r="J337" s="6">
        <f>CALC_GAMES_BASE!U337-CALC_GAMES_BASE!V337</f>
        <v>-3.0280830280830312E-2</v>
      </c>
      <c r="K337" s="6">
        <f>_xlfn.XLOOKUP(CALC_GAMES_BASE!W337,
  CALC_GOALIES!B:B,
  CALC_GOALIES!K:K)</f>
        <v>-1.5147095063735572E-3</v>
      </c>
      <c r="L337" s="6">
        <f>_xlfn.XLOOKUP(C337,CALC_TEAMS_SEASON!B:B,CALC_TEAMS_SEASON!L:L)</f>
        <v>-0.37268207282913179</v>
      </c>
      <c r="M337">
        <f>IF(CALC_GAMES_BASE!Z337="RS",1,1.2)</f>
        <v>1</v>
      </c>
      <c r="N337">
        <f xml:space="preserve"> CALC_GAMES_BASE!Y337</f>
        <v>0</v>
      </c>
    </row>
    <row r="338" spans="1:14" x14ac:dyDescent="0.25">
      <c r="A338" t="str">
        <f>CALC_GAMES_BASE!A338</f>
        <v>25/26</v>
      </c>
      <c r="B338" s="3">
        <f>CALC_GAMES_BASE!B338</f>
        <v>45984</v>
      </c>
      <c r="C338" s="3" t="str">
        <f>CALC_GAMES_BASE!C338</f>
        <v>CEB</v>
      </c>
      <c r="D338" s="3" t="str">
        <f>CALC_GAMES_BASE!D338</f>
        <v>OLO</v>
      </c>
      <c r="E338" s="7">
        <f>CALC_GAMES_BASE!E338</f>
        <v>0</v>
      </c>
      <c r="F338" s="6" t="str">
        <f>CALC_GAMES_BASE!N338</f>
        <v/>
      </c>
      <c r="G338" s="7">
        <f>CALC_GAMES_BASE!K338</f>
        <v>8</v>
      </c>
      <c r="H338" s="7">
        <f t="shared" si="5"/>
        <v>0</v>
      </c>
      <c r="I338" s="6">
        <f>IF(H338=1,
  F338,
  G338*PARAMETRY!$B$11)</f>
        <v>0.4</v>
      </c>
      <c r="J338" s="6">
        <f>CALC_GAMES_BASE!U338-CALC_GAMES_BASE!V338</f>
        <v>-1.9679625929625938E-2</v>
      </c>
      <c r="K338" s="6">
        <f>_xlfn.XLOOKUP(CALC_GAMES_BASE!W338,
  CALC_GOALIES!B:B,
  CALC_GOALIES!K:K)</f>
        <v>-2.6902958554511747E-2</v>
      </c>
      <c r="L338" s="6">
        <f>_xlfn.XLOOKUP(C338,CALC_TEAMS_SEASON!B:B,CALC_TEAMS_SEASON!L:L)</f>
        <v>-0.24978011204481798</v>
      </c>
      <c r="M338">
        <f>IF(CALC_GAMES_BASE!Z338="RS",1,1.2)</f>
        <v>1</v>
      </c>
      <c r="N338">
        <f xml:space="preserve"> CALC_GAMES_BASE!Y338</f>
        <v>1</v>
      </c>
    </row>
    <row r="339" spans="1:14" x14ac:dyDescent="0.25">
      <c r="A339" t="str">
        <f>CALC_GAMES_BASE!A339</f>
        <v>25/26</v>
      </c>
      <c r="B339" s="3">
        <f>CALC_GAMES_BASE!B339</f>
        <v>45984</v>
      </c>
      <c r="C339" s="3" t="str">
        <f>CALC_GAMES_BASE!C339</f>
        <v>KLA</v>
      </c>
      <c r="D339" s="3" t="str">
        <f>CALC_GAMES_BASE!D339</f>
        <v>SPA</v>
      </c>
      <c r="E339" s="7">
        <f>CALC_GAMES_BASE!E339</f>
        <v>1</v>
      </c>
      <c r="F339" s="6">
        <f>CALC_GAMES_BASE!N339</f>
        <v>0.21999999999999975</v>
      </c>
      <c r="G339" s="7">
        <f>CALC_GAMES_BASE!K339</f>
        <v>-5</v>
      </c>
      <c r="H339" s="7">
        <f t="shared" si="5"/>
        <v>1</v>
      </c>
      <c r="I339" s="6">
        <f>IF(H339=1,
  F339,
  G339*PARAMETRY!$B$11)</f>
        <v>0.21999999999999975</v>
      </c>
      <c r="J339" s="6">
        <f>CALC_GAMES_BASE!U339-CALC_GAMES_BASE!V339</f>
        <v>-8.9400183150183221E-2</v>
      </c>
      <c r="K339" s="6">
        <f>_xlfn.XLOOKUP(CALC_GAMES_BASE!W339,
  CALC_GOALIES!B:B,
  CALC_GOALIES!K:K)</f>
        <v>-1.9185137403854746E-2</v>
      </c>
      <c r="L339" s="6">
        <f>_xlfn.XLOOKUP(C339,CALC_TEAMS_SEASON!B:B,CALC_TEAMS_SEASON!L:L)</f>
        <v>-0.19819677871148478</v>
      </c>
      <c r="M339">
        <f>IF(CALC_GAMES_BASE!Z339="RS",1,1.2)</f>
        <v>1</v>
      </c>
      <c r="N339">
        <f xml:space="preserve"> CALC_GAMES_BASE!Y339</f>
        <v>0</v>
      </c>
    </row>
    <row r="340" spans="1:14" x14ac:dyDescent="0.25">
      <c r="A340" t="str">
        <f>CALC_GAMES_BASE!A340</f>
        <v>25/26</v>
      </c>
      <c r="B340" s="3">
        <f>CALC_GAMES_BASE!B340</f>
        <v>45984</v>
      </c>
      <c r="C340" s="3" t="str">
        <f>CALC_GAMES_BASE!C340</f>
        <v>KVA</v>
      </c>
      <c r="D340" s="3" t="str">
        <f>CALC_GAMES_BASE!D340</f>
        <v>KOM</v>
      </c>
      <c r="E340" s="7">
        <f>CALC_GAMES_BASE!E340</f>
        <v>1</v>
      </c>
      <c r="F340" s="6">
        <f>CALC_GAMES_BASE!N340</f>
        <v>0.9800000000000002</v>
      </c>
      <c r="G340" s="7">
        <f>CALC_GAMES_BASE!K340</f>
        <v>22</v>
      </c>
      <c r="H340" s="7">
        <f t="shared" si="5"/>
        <v>1</v>
      </c>
      <c r="I340" s="6">
        <f>IF(H340=1,
  F340,
  G340*PARAMETRY!$B$11)</f>
        <v>0.9800000000000002</v>
      </c>
      <c r="J340" s="6">
        <f>CALC_GAMES_BASE!U340-CALC_GAMES_BASE!V340</f>
        <v>3.0280830280830312E-2</v>
      </c>
      <c r="K340" s="6">
        <f>_xlfn.XLOOKUP(CALC_GAMES_BASE!W340,
  CALC_GOALIES!B:B,
  CALC_GOALIES!K:K)</f>
        <v>1.2242809776983998E-2</v>
      </c>
      <c r="L340" s="6">
        <f>_xlfn.XLOOKUP(C340,CALC_TEAMS_SEASON!B:B,CALC_TEAMS_SEASON!L:L)</f>
        <v>-0.28757177871148476</v>
      </c>
      <c r="M340">
        <f>IF(CALC_GAMES_BASE!Z340="RS",1,1.2)</f>
        <v>1</v>
      </c>
      <c r="N340">
        <f xml:space="preserve"> CALC_GAMES_BASE!Y340</f>
        <v>1</v>
      </c>
    </row>
    <row r="341" spans="1:14" x14ac:dyDescent="0.25">
      <c r="A341" t="str">
        <f>CALC_GAMES_BASE!A341</f>
        <v>25/26</v>
      </c>
      <c r="B341" s="3">
        <f>CALC_GAMES_BASE!B341</f>
        <v>45984</v>
      </c>
      <c r="C341" s="3" t="str">
        <f>CALC_GAMES_BASE!C341</f>
        <v>LIB</v>
      </c>
      <c r="D341" s="3" t="str">
        <f>CALC_GAMES_BASE!D341</f>
        <v>MHK</v>
      </c>
      <c r="E341" s="7">
        <f>CALC_GAMES_BASE!E341</f>
        <v>1</v>
      </c>
      <c r="F341" s="6" t="str">
        <f>CALC_GAMES_BASE!N341</f>
        <v/>
      </c>
      <c r="G341" s="7">
        <f>CALC_GAMES_BASE!K341</f>
        <v>8</v>
      </c>
      <c r="H341" s="7">
        <f t="shared" si="5"/>
        <v>0</v>
      </c>
      <c r="I341" s="6">
        <f>IF(H341=1,
  F341,
  G341*PARAMETRY!$B$11)</f>
        <v>0.4</v>
      </c>
      <c r="J341" s="6">
        <f>CALC_GAMES_BASE!U341-CALC_GAMES_BASE!V341</f>
        <v>1.9230769230769162E-3</v>
      </c>
      <c r="K341" s="6">
        <f>_xlfn.XLOOKUP(CALC_GAMES_BASE!W341,
  CALC_GOALIES!B:B,
  CALC_GOALIES!K:K)</f>
        <v>1.2275709048813366E-2</v>
      </c>
      <c r="L341" s="6">
        <f>_xlfn.XLOOKUP(C341,CALC_TEAMS_SEASON!B:B,CALC_TEAMS_SEASON!L:L)</f>
        <v>0.22367822128851536</v>
      </c>
      <c r="M341">
        <f>IF(CALC_GAMES_BASE!Z341="RS",1,1.2)</f>
        <v>1</v>
      </c>
      <c r="N341">
        <f xml:space="preserve"> CALC_GAMES_BASE!Y341</f>
        <v>1</v>
      </c>
    </row>
    <row r="342" spans="1:14" x14ac:dyDescent="0.25">
      <c r="A342" t="str">
        <f>CALC_GAMES_BASE!A342</f>
        <v>25/26</v>
      </c>
      <c r="B342" s="3">
        <f>CALC_GAMES_BASE!B342</f>
        <v>45984</v>
      </c>
      <c r="C342" s="3" t="str">
        <f>CALC_GAMES_BASE!C342</f>
        <v>LIT</v>
      </c>
      <c r="D342" s="3" t="str">
        <f>CALC_GAMES_BASE!D342</f>
        <v>TRI</v>
      </c>
      <c r="E342" s="7">
        <f>CALC_GAMES_BASE!E342</f>
        <v>1</v>
      </c>
      <c r="F342" s="6">
        <f>CALC_GAMES_BASE!N342</f>
        <v>-1.9600000000000002</v>
      </c>
      <c r="G342" s="7">
        <f>CALC_GAMES_BASE!K342</f>
        <v>-22</v>
      </c>
      <c r="H342" s="7">
        <f t="shared" si="5"/>
        <v>1</v>
      </c>
      <c r="I342" s="6">
        <f>IF(H342=1,
  F342,
  G342*PARAMETRY!$B$11)</f>
        <v>-1.9600000000000002</v>
      </c>
      <c r="J342" s="6">
        <f>CALC_GAMES_BASE!U342-CALC_GAMES_BASE!V342</f>
        <v>-7.348137973137979E-2</v>
      </c>
      <c r="K342" s="6">
        <f>_xlfn.XLOOKUP(CALC_GAMES_BASE!W342,
  CALC_GOALIES!B:B,
  CALC_GOALIES!K:K)</f>
        <v>-4.9010888963920696E-3</v>
      </c>
      <c r="L342" s="6">
        <f>_xlfn.XLOOKUP(C342,CALC_TEAMS_SEASON!B:B,CALC_TEAMS_SEASON!L:L)</f>
        <v>-1.4784467787114848</v>
      </c>
      <c r="M342">
        <f>IF(CALC_GAMES_BASE!Z342="RS",1,1.2)</f>
        <v>1</v>
      </c>
      <c r="N342">
        <f xml:space="preserve"> CALC_GAMES_BASE!Y342</f>
        <v>1</v>
      </c>
    </row>
    <row r="343" spans="1:14" x14ac:dyDescent="0.25">
      <c r="A343" t="str">
        <f>CALC_GAMES_BASE!A343</f>
        <v>25/26</v>
      </c>
      <c r="B343" s="3">
        <f>CALC_GAMES_BASE!B343</f>
        <v>45984</v>
      </c>
      <c r="C343" s="3" t="str">
        <f>CALC_GAMES_BASE!C343</f>
        <v>MBL</v>
      </c>
      <c r="D343" s="3" t="str">
        <f>CALC_GAMES_BASE!D343</f>
        <v>PLZ</v>
      </c>
      <c r="E343" s="7">
        <f>CALC_GAMES_BASE!E343</f>
        <v>1</v>
      </c>
      <c r="F343" s="6" t="str">
        <f>CALC_GAMES_BASE!N343</f>
        <v/>
      </c>
      <c r="G343" s="7">
        <f>CALC_GAMES_BASE!K343</f>
        <v>-6</v>
      </c>
      <c r="H343" s="7">
        <f t="shared" si="5"/>
        <v>0</v>
      </c>
      <c r="I343" s="6">
        <f>IF(H343=1,
  F343,
  G343*PARAMETRY!$B$11)</f>
        <v>-0.30000000000000004</v>
      </c>
      <c r="J343" s="6">
        <f>CALC_GAMES_BASE!U343-CALC_GAMES_BASE!V343</f>
        <v>-5.8142551892551839E-2</v>
      </c>
      <c r="K343" s="6">
        <f>_xlfn.XLOOKUP(CALC_GAMES_BASE!W343,
  CALC_GOALIES!B:B,
  CALC_GOALIES!K:K)</f>
        <v>1.9185678814779616E-2</v>
      </c>
      <c r="L343" s="6">
        <f>_xlfn.XLOOKUP(C343,CALC_TEAMS_SEASON!B:B,CALC_TEAMS_SEASON!L:L)</f>
        <v>-0.89069677871148467</v>
      </c>
      <c r="M343">
        <f>IF(CALC_GAMES_BASE!Z343="RS",1,1.2)</f>
        <v>1</v>
      </c>
      <c r="N343">
        <f xml:space="preserve"> CALC_GAMES_BASE!Y343</f>
        <v>1</v>
      </c>
    </row>
    <row r="344" spans="1:14" x14ac:dyDescent="0.25">
      <c r="A344" t="str">
        <f>CALC_GAMES_BASE!A344</f>
        <v>25/26</v>
      </c>
      <c r="B344" s="3">
        <f>CALC_GAMES_BASE!B344</f>
        <v>45984</v>
      </c>
      <c r="C344" s="3" t="str">
        <f>CALC_GAMES_BASE!C344</f>
        <v>MHK</v>
      </c>
      <c r="D344" s="3" t="str">
        <f>CALC_GAMES_BASE!D344</f>
        <v>LIB</v>
      </c>
      <c r="E344" s="7">
        <f>CALC_GAMES_BASE!E344</f>
        <v>0</v>
      </c>
      <c r="F344" s="6" t="str">
        <f>CALC_GAMES_BASE!N344</f>
        <v/>
      </c>
      <c r="G344" s="7">
        <f>CALC_GAMES_BASE!K344</f>
        <v>-8</v>
      </c>
      <c r="H344" s="7">
        <f t="shared" si="5"/>
        <v>0</v>
      </c>
      <c r="I344" s="6">
        <f>IF(H344=1,
  F344,
  G344*PARAMETRY!$B$11)</f>
        <v>-0.4</v>
      </c>
      <c r="J344" s="6">
        <f>CALC_GAMES_BASE!U344-CALC_GAMES_BASE!V344</f>
        <v>-1.9230769230769162E-3</v>
      </c>
      <c r="K344" s="6">
        <f>_xlfn.XLOOKUP(CALC_GAMES_BASE!W344,
  CALC_GOALIES!B:B,
  CALC_GOALIES!K:K)</f>
        <v>2.1917994590268441E-2</v>
      </c>
      <c r="L344" s="6">
        <f>_xlfn.XLOOKUP(C344,CALC_TEAMS_SEASON!B:B,CALC_TEAMS_SEASON!L:L)</f>
        <v>0.14821988795518207</v>
      </c>
      <c r="M344">
        <f>IF(CALC_GAMES_BASE!Z344="RS",1,1.2)</f>
        <v>1</v>
      </c>
      <c r="N344">
        <f xml:space="preserve"> CALC_GAMES_BASE!Y344</f>
        <v>0</v>
      </c>
    </row>
    <row r="345" spans="1:14" x14ac:dyDescent="0.25">
      <c r="A345" t="str">
        <f>CALC_GAMES_BASE!A345</f>
        <v>25/26</v>
      </c>
      <c r="B345" s="3">
        <f>CALC_GAMES_BASE!B345</f>
        <v>45984</v>
      </c>
      <c r="C345" s="3" t="str">
        <f>CALC_GAMES_BASE!C345</f>
        <v>OLO</v>
      </c>
      <c r="D345" s="3" t="str">
        <f>CALC_GAMES_BASE!D345</f>
        <v>CEB</v>
      </c>
      <c r="E345" s="7">
        <f>CALC_GAMES_BASE!E345</f>
        <v>1</v>
      </c>
      <c r="F345" s="6" t="str">
        <f>CALC_GAMES_BASE!N345</f>
        <v/>
      </c>
      <c r="G345" s="7">
        <f>CALC_GAMES_BASE!K345</f>
        <v>-8</v>
      </c>
      <c r="H345" s="7">
        <f t="shared" si="5"/>
        <v>0</v>
      </c>
      <c r="I345" s="6">
        <f>IF(H345=1,
  F345,
  G345*PARAMETRY!$B$11)</f>
        <v>-0.4</v>
      </c>
      <c r="J345" s="6">
        <f>CALC_GAMES_BASE!U345-CALC_GAMES_BASE!V345</f>
        <v>1.9679625929625938E-2</v>
      </c>
      <c r="K345" s="6">
        <f>_xlfn.XLOOKUP(CALC_GAMES_BASE!W345,
  CALC_GOALIES!B:B,
  CALC_GOALIES!K:K)</f>
        <v>4.4713327207696052E-3</v>
      </c>
      <c r="L345" s="6">
        <f>_xlfn.XLOOKUP(C345,CALC_TEAMS_SEASON!B:B,CALC_TEAMS_SEASON!L:L)</f>
        <v>-1.0613217787114846</v>
      </c>
      <c r="M345">
        <f>IF(CALC_GAMES_BASE!Z345="RS",1,1.2)</f>
        <v>1</v>
      </c>
      <c r="N345">
        <f xml:space="preserve"> CALC_GAMES_BASE!Y345</f>
        <v>0</v>
      </c>
    </row>
    <row r="346" spans="1:14" x14ac:dyDescent="0.25">
      <c r="A346" t="str">
        <f>CALC_GAMES_BASE!A346</f>
        <v>25/26</v>
      </c>
      <c r="B346" s="3">
        <f>CALC_GAMES_BASE!B346</f>
        <v>45984</v>
      </c>
      <c r="C346" s="3" t="str">
        <f>CALC_GAMES_BASE!C346</f>
        <v>PLZ</v>
      </c>
      <c r="D346" s="3" t="str">
        <f>CALC_GAMES_BASE!D346</f>
        <v>MBL</v>
      </c>
      <c r="E346" s="7">
        <f>CALC_GAMES_BASE!E346</f>
        <v>0</v>
      </c>
      <c r="F346" s="6" t="str">
        <f>CALC_GAMES_BASE!N346</f>
        <v/>
      </c>
      <c r="G346" s="7">
        <f>CALC_GAMES_BASE!K346</f>
        <v>6</v>
      </c>
      <c r="H346" s="7">
        <f t="shared" si="5"/>
        <v>0</v>
      </c>
      <c r="I346" s="6">
        <f>IF(H346=1,
  F346,
  G346*PARAMETRY!$B$11)</f>
        <v>0.30000000000000004</v>
      </c>
      <c r="J346" s="6">
        <f>CALC_GAMES_BASE!U346-CALC_GAMES_BASE!V346</f>
        <v>5.8142551892551839E-2</v>
      </c>
      <c r="K346" s="6">
        <f>_xlfn.XLOOKUP(CALC_GAMES_BASE!W346,
  CALC_GOALIES!B:B,
  CALC_GOALIES!K:K)</f>
        <v>-1.4856765927271365E-3</v>
      </c>
      <c r="L346" s="6">
        <f>_xlfn.XLOOKUP(C346,CALC_TEAMS_SEASON!B:B,CALC_TEAMS_SEASON!L:L)</f>
        <v>7.3678221288515283E-2</v>
      </c>
      <c r="M346">
        <f>IF(CALC_GAMES_BASE!Z346="RS",1,1.2)</f>
        <v>1</v>
      </c>
      <c r="N346">
        <f xml:space="preserve"> CALC_GAMES_BASE!Y346</f>
        <v>0</v>
      </c>
    </row>
    <row r="347" spans="1:14" x14ac:dyDescent="0.25">
      <c r="A347" t="str">
        <f>CALC_GAMES_BASE!A347</f>
        <v>25/26</v>
      </c>
      <c r="B347" s="3">
        <f>CALC_GAMES_BASE!B347</f>
        <v>45984</v>
      </c>
      <c r="C347" s="3" t="str">
        <f>CALC_GAMES_BASE!C347</f>
        <v>VIT</v>
      </c>
      <c r="D347" s="3" t="str">
        <f>CALC_GAMES_BASE!D347</f>
        <v>PCE</v>
      </c>
      <c r="E347" s="7">
        <f>CALC_GAMES_BASE!E347</f>
        <v>1</v>
      </c>
      <c r="F347" s="6">
        <f>CALC_GAMES_BASE!N347</f>
        <v>-1.02</v>
      </c>
      <c r="G347" s="7">
        <f>CALC_GAMES_BASE!K347</f>
        <v>-22</v>
      </c>
      <c r="H347" s="7">
        <f t="shared" si="5"/>
        <v>1</v>
      </c>
      <c r="I347" s="6">
        <f>IF(H347=1,
  F347,
  G347*PARAMETRY!$B$11)</f>
        <v>-1.02</v>
      </c>
      <c r="J347" s="6">
        <f>CALC_GAMES_BASE!U347-CALC_GAMES_BASE!V347</f>
        <v>-3.3127289377289398E-2</v>
      </c>
      <c r="K347" s="6">
        <f>_xlfn.XLOOKUP(CALC_GAMES_BASE!W347,
  CALC_GOALIES!B:B,
  CALC_GOALIES!K:K)</f>
        <v>1.905487900993541E-3</v>
      </c>
      <c r="L347" s="6">
        <f>_xlfn.XLOOKUP(C347,CALC_TEAMS_SEASON!B:B,CALC_TEAMS_SEASON!L:L)</f>
        <v>-1.0281967787114845</v>
      </c>
      <c r="M347">
        <f>IF(CALC_GAMES_BASE!Z347="RS",1,1.2)</f>
        <v>1</v>
      </c>
      <c r="N347">
        <f xml:space="preserve"> CALC_GAMES_BASE!Y347</f>
        <v>1</v>
      </c>
    </row>
    <row r="348" spans="1:14" x14ac:dyDescent="0.25">
      <c r="A348" t="str">
        <f>CALC_GAMES_BASE!A348</f>
        <v>25/26</v>
      </c>
      <c r="B348" s="3">
        <f>CALC_GAMES_BASE!B348</f>
        <v>45986</v>
      </c>
      <c r="C348" s="3" t="str">
        <f>CALC_GAMES_BASE!C348</f>
        <v>PCE</v>
      </c>
      <c r="D348" s="3" t="str">
        <f>CALC_GAMES_BASE!D348</f>
        <v>SPA</v>
      </c>
      <c r="E348" s="7">
        <f>CALC_GAMES_BASE!E348</f>
        <v>1</v>
      </c>
      <c r="F348" s="6">
        <f>CALC_GAMES_BASE!N348</f>
        <v>1.54</v>
      </c>
      <c r="G348" s="7">
        <f>CALC_GAMES_BASE!K348</f>
        <v>18</v>
      </c>
      <c r="H348" s="7">
        <f t="shared" si="5"/>
        <v>1</v>
      </c>
      <c r="I348" s="6">
        <f>IF(H348=1,
  F348,
  G348*PARAMETRY!$B$11)</f>
        <v>1.54</v>
      </c>
      <c r="J348" s="6">
        <f>CALC_GAMES_BASE!U348-CALC_GAMES_BASE!V348</f>
        <v>-1.7628205128205121E-2</v>
      </c>
      <c r="K348" s="6">
        <f>_xlfn.XLOOKUP(CALC_GAMES_BASE!W348,
  CALC_GOALIES!B:B,
  CALC_GOALIES!K:K)</f>
        <v>4.5881077393388203E-3</v>
      </c>
      <c r="L348" s="6">
        <f>_xlfn.XLOOKUP(C348,CALC_TEAMS_SEASON!B:B,CALC_TEAMS_SEASON!L:L)</f>
        <v>0.62437675070027965</v>
      </c>
      <c r="M348">
        <f>IF(CALC_GAMES_BASE!Z348="RS",1,1.2)</f>
        <v>1</v>
      </c>
      <c r="N348">
        <f xml:space="preserve"> CALC_GAMES_BASE!Y348</f>
        <v>0</v>
      </c>
    </row>
    <row r="349" spans="1:14" x14ac:dyDescent="0.25">
      <c r="A349" t="str">
        <f>CALC_GAMES_BASE!A349</f>
        <v>25/26</v>
      </c>
      <c r="B349" s="3">
        <f>CALC_GAMES_BASE!B349</f>
        <v>45986</v>
      </c>
      <c r="C349" s="3" t="str">
        <f>CALC_GAMES_BASE!C349</f>
        <v>TRI</v>
      </c>
      <c r="D349" s="3" t="str">
        <f>CALC_GAMES_BASE!D349</f>
        <v>KVA</v>
      </c>
      <c r="E349" s="7">
        <f>CALC_GAMES_BASE!E349</f>
        <v>0</v>
      </c>
      <c r="F349" s="6">
        <f>CALC_GAMES_BASE!N349</f>
        <v>-0.27</v>
      </c>
      <c r="G349" s="7">
        <f>CALC_GAMES_BASE!K349</f>
        <v>2</v>
      </c>
      <c r="H349" s="7">
        <f t="shared" si="5"/>
        <v>1</v>
      </c>
      <c r="I349" s="6">
        <f>IF(H349=1,
  F349,
  G349*PARAMETRY!$B$11)</f>
        <v>-0.27</v>
      </c>
      <c r="J349" s="6">
        <f>CALC_GAMES_BASE!U349-CALC_GAMES_BASE!V349</f>
        <v>5.0366300366302963E-4</v>
      </c>
      <c r="K349" s="6">
        <f>_xlfn.XLOOKUP(CALC_GAMES_BASE!W349,
  CALC_GOALIES!B:B,
  CALC_GOALIES!K:K)</f>
        <v>1.3707542055988897E-2</v>
      </c>
      <c r="L349" s="6">
        <f>_xlfn.XLOOKUP(C349,CALC_TEAMS_SEASON!B:B,CALC_TEAMS_SEASON!L:L)</f>
        <v>0.10805322128851533</v>
      </c>
      <c r="M349">
        <f>IF(CALC_GAMES_BASE!Z349="RS",1,1.2)</f>
        <v>1</v>
      </c>
      <c r="N349">
        <f xml:space="preserve"> CALC_GAMES_BASE!Y349</f>
        <v>0</v>
      </c>
    </row>
    <row r="350" spans="1:14" x14ac:dyDescent="0.25">
      <c r="A350" t="str">
        <f>CALC_GAMES_BASE!A350</f>
        <v>25/26</v>
      </c>
      <c r="B350" s="3">
        <f>CALC_GAMES_BASE!B350</f>
        <v>45986</v>
      </c>
      <c r="C350" s="3" t="str">
        <f>CALC_GAMES_BASE!C350</f>
        <v>SPA</v>
      </c>
      <c r="D350" s="3" t="str">
        <f>CALC_GAMES_BASE!D350</f>
        <v>PCE</v>
      </c>
      <c r="E350" s="7">
        <f>CALC_GAMES_BASE!E350</f>
        <v>0</v>
      </c>
      <c r="F350" s="6">
        <f>CALC_GAMES_BASE!N350</f>
        <v>-1.54</v>
      </c>
      <c r="G350" s="7">
        <f>CALC_GAMES_BASE!K350</f>
        <v>18</v>
      </c>
      <c r="H350" s="7">
        <f t="shared" si="5"/>
        <v>1</v>
      </c>
      <c r="I350" s="6">
        <f>IF(H350=1,
  F350,
  G350*PARAMETRY!$B$11)</f>
        <v>-1.54</v>
      </c>
      <c r="J350" s="6">
        <f>CALC_GAMES_BASE!U350-CALC_GAMES_BASE!V350</f>
        <v>1.7628205128205121E-2</v>
      </c>
      <c r="K350" s="6">
        <f>_xlfn.XLOOKUP(CALC_GAMES_BASE!W350,
  CALC_GOALIES!B:B,
  CALC_GOALIES!K:K)</f>
        <v>-1.0634669404866681E-2</v>
      </c>
      <c r="L350" s="6">
        <f>_xlfn.XLOOKUP(C350,CALC_TEAMS_SEASON!B:B,CALC_TEAMS_SEASON!L:L)</f>
        <v>6.4376750700279955E-2</v>
      </c>
      <c r="M350">
        <f>IF(CALC_GAMES_BASE!Z350="RS",1,1.2)</f>
        <v>1</v>
      </c>
      <c r="N350">
        <f xml:space="preserve"> CALC_GAMES_BASE!Y350</f>
        <v>1</v>
      </c>
    </row>
    <row r="351" spans="1:14" x14ac:dyDescent="0.25">
      <c r="A351" t="str">
        <f>CALC_GAMES_BASE!A351</f>
        <v>25/26</v>
      </c>
      <c r="B351" s="3">
        <f>CALC_GAMES_BASE!B351</f>
        <v>45986</v>
      </c>
      <c r="C351" s="3" t="str">
        <f>CALC_GAMES_BASE!C351</f>
        <v>KOM</v>
      </c>
      <c r="D351" s="3" t="str">
        <f>CALC_GAMES_BASE!D351</f>
        <v>OLO</v>
      </c>
      <c r="E351" s="7">
        <f>CALC_GAMES_BASE!E351</f>
        <v>1</v>
      </c>
      <c r="F351" s="6">
        <f>CALC_GAMES_BASE!N351</f>
        <v>3.28</v>
      </c>
      <c r="G351" s="7">
        <f>CALC_GAMES_BASE!K351</f>
        <v>21</v>
      </c>
      <c r="H351" s="7">
        <f t="shared" si="5"/>
        <v>1</v>
      </c>
      <c r="I351" s="6">
        <f>IF(H351=1,
  F351,
  G351*PARAMETRY!$B$11)</f>
        <v>3.28</v>
      </c>
      <c r="J351" s="6">
        <f>CALC_GAMES_BASE!U351-CALC_GAMES_BASE!V351</f>
        <v>-6.3034188034188365E-3</v>
      </c>
      <c r="K351" s="6">
        <f>_xlfn.XLOOKUP(CALC_GAMES_BASE!W351,
  CALC_GOALIES!B:B,
  CALC_GOALIES!K:K)</f>
        <v>-1.7945945907462235E-2</v>
      </c>
      <c r="L351" s="6">
        <f>_xlfn.XLOOKUP(C351,CALC_TEAMS_SEASON!B:B,CALC_TEAMS_SEASON!L:L)</f>
        <v>-0.37268207282913179</v>
      </c>
      <c r="M351">
        <f>IF(CALC_GAMES_BASE!Z351="RS",1,1.2)</f>
        <v>1</v>
      </c>
      <c r="N351">
        <f xml:space="preserve"> CALC_GAMES_BASE!Y351</f>
        <v>0</v>
      </c>
    </row>
    <row r="352" spans="1:14" x14ac:dyDescent="0.25">
      <c r="A352" t="str">
        <f>CALC_GAMES_BASE!A352</f>
        <v>25/26</v>
      </c>
      <c r="B352" s="3">
        <f>CALC_GAMES_BASE!B352</f>
        <v>45986</v>
      </c>
      <c r="C352" s="3" t="str">
        <f>CALC_GAMES_BASE!C352</f>
        <v>CEB</v>
      </c>
      <c r="D352" s="3" t="str">
        <f>CALC_GAMES_BASE!D352</f>
        <v>LIB</v>
      </c>
      <c r="E352" s="7">
        <f>CALC_GAMES_BASE!E352</f>
        <v>0</v>
      </c>
      <c r="F352" s="6" t="str">
        <f>CALC_GAMES_BASE!N352</f>
        <v/>
      </c>
      <c r="G352" s="7">
        <f>CALC_GAMES_BASE!K352</f>
        <v>-4</v>
      </c>
      <c r="H352" s="7">
        <f t="shared" si="5"/>
        <v>0</v>
      </c>
      <c r="I352" s="6">
        <f>IF(H352=1,
  F352,
  G352*PARAMETRY!$B$11)</f>
        <v>-0.2</v>
      </c>
      <c r="J352" s="6">
        <f>CALC_GAMES_BASE!U352-CALC_GAMES_BASE!V352</f>
        <v>-1.3559357309357312E-2</v>
      </c>
      <c r="K352" s="6">
        <f>_xlfn.XLOOKUP(CALC_GAMES_BASE!W352,
  CALC_GOALIES!B:B,
  CALC_GOALIES!K:K)</f>
        <v>-2.6902958554511747E-2</v>
      </c>
      <c r="L352" s="6">
        <f>_xlfn.XLOOKUP(C352,CALC_TEAMS_SEASON!B:B,CALC_TEAMS_SEASON!L:L)</f>
        <v>-0.24978011204481798</v>
      </c>
      <c r="M352">
        <f>IF(CALC_GAMES_BASE!Z352="RS",1,1.2)</f>
        <v>1</v>
      </c>
      <c r="N352">
        <f xml:space="preserve"> CALC_GAMES_BASE!Y352</f>
        <v>0</v>
      </c>
    </row>
    <row r="353" spans="1:14" x14ac:dyDescent="0.25">
      <c r="A353" t="str">
        <f>CALC_GAMES_BASE!A353</f>
        <v>25/26</v>
      </c>
      <c r="B353" s="3">
        <f>CALC_GAMES_BASE!B353</f>
        <v>45986</v>
      </c>
      <c r="C353" s="3" t="str">
        <f>CALC_GAMES_BASE!C353</f>
        <v>KLA</v>
      </c>
      <c r="D353" s="3" t="str">
        <f>CALC_GAMES_BASE!D353</f>
        <v>LIT</v>
      </c>
      <c r="E353" s="7">
        <f>CALC_GAMES_BASE!E353</f>
        <v>1</v>
      </c>
      <c r="F353" s="6" t="str">
        <f>CALC_GAMES_BASE!N353</f>
        <v/>
      </c>
      <c r="G353" s="7">
        <f>CALC_GAMES_BASE!K353</f>
        <v>-6</v>
      </c>
      <c r="H353" s="7">
        <f t="shared" si="5"/>
        <v>0</v>
      </c>
      <c r="I353" s="6">
        <f>IF(H353=1,
  F353,
  G353*PARAMETRY!$B$11)</f>
        <v>-0.30000000000000004</v>
      </c>
      <c r="J353" s="6">
        <f>CALC_GAMES_BASE!U353-CALC_GAMES_BASE!V353</f>
        <v>3.0311355311355301E-2</v>
      </c>
      <c r="K353" s="6">
        <f>_xlfn.XLOOKUP(CALC_GAMES_BASE!W353,
  CALC_GOALIES!B:B,
  CALC_GOALIES!K:K)</f>
        <v>1.2463190300688209E-2</v>
      </c>
      <c r="L353" s="6">
        <f>_xlfn.XLOOKUP(C353,CALC_TEAMS_SEASON!B:B,CALC_TEAMS_SEASON!L:L)</f>
        <v>-0.19819677871148478</v>
      </c>
      <c r="M353">
        <f>IF(CALC_GAMES_BASE!Z353="RS",1,1.2)</f>
        <v>1</v>
      </c>
      <c r="N353">
        <f xml:space="preserve"> CALC_GAMES_BASE!Y353</f>
        <v>1</v>
      </c>
    </row>
    <row r="354" spans="1:14" x14ac:dyDescent="0.25">
      <c r="A354" t="str">
        <f>CALC_GAMES_BASE!A354</f>
        <v>25/26</v>
      </c>
      <c r="B354" s="3">
        <f>CALC_GAMES_BASE!B354</f>
        <v>45986</v>
      </c>
      <c r="C354" s="3" t="str">
        <f>CALC_GAMES_BASE!C354</f>
        <v>KVA</v>
      </c>
      <c r="D354" s="3" t="str">
        <f>CALC_GAMES_BASE!D354</f>
        <v>TRI</v>
      </c>
      <c r="E354" s="7">
        <f>CALC_GAMES_BASE!E354</f>
        <v>1</v>
      </c>
      <c r="F354" s="6">
        <f>CALC_GAMES_BASE!N354</f>
        <v>0.27</v>
      </c>
      <c r="G354" s="7">
        <f>CALC_GAMES_BASE!K354</f>
        <v>-2</v>
      </c>
      <c r="H354" s="7">
        <f t="shared" si="5"/>
        <v>1</v>
      </c>
      <c r="I354" s="6">
        <f>IF(H354=1,
  F354,
  G354*PARAMETRY!$B$11)</f>
        <v>0.27</v>
      </c>
      <c r="J354" s="6">
        <f>CALC_GAMES_BASE!U354-CALC_GAMES_BASE!V354</f>
        <v>-5.0366300366302963E-4</v>
      </c>
      <c r="K354" s="6">
        <f>_xlfn.XLOOKUP(CALC_GAMES_BASE!W354,
  CALC_GOALIES!B:B,
  CALC_GOALIES!K:K)</f>
        <v>1.2242809776983998E-2</v>
      </c>
      <c r="L354" s="6">
        <f>_xlfn.XLOOKUP(C354,CALC_TEAMS_SEASON!B:B,CALC_TEAMS_SEASON!L:L)</f>
        <v>-0.28757177871148476</v>
      </c>
      <c r="M354">
        <f>IF(CALC_GAMES_BASE!Z354="RS",1,1.2)</f>
        <v>1</v>
      </c>
      <c r="N354">
        <f xml:space="preserve"> CALC_GAMES_BASE!Y354</f>
        <v>1</v>
      </c>
    </row>
    <row r="355" spans="1:14" x14ac:dyDescent="0.25">
      <c r="A355" t="str">
        <f>CALC_GAMES_BASE!A355</f>
        <v>25/26</v>
      </c>
      <c r="B355" s="3">
        <f>CALC_GAMES_BASE!B355</f>
        <v>45986</v>
      </c>
      <c r="C355" s="3" t="str">
        <f>CALC_GAMES_BASE!C355</f>
        <v>LIB</v>
      </c>
      <c r="D355" s="3" t="str">
        <f>CALC_GAMES_BASE!D355</f>
        <v>CEB</v>
      </c>
      <c r="E355" s="7">
        <f>CALC_GAMES_BASE!E355</f>
        <v>1</v>
      </c>
      <c r="F355" s="6" t="str">
        <f>CALC_GAMES_BASE!N355</f>
        <v/>
      </c>
      <c r="G355" s="7">
        <f>CALC_GAMES_BASE!K355</f>
        <v>4</v>
      </c>
      <c r="H355" s="7">
        <f t="shared" si="5"/>
        <v>0</v>
      </c>
      <c r="I355" s="6">
        <f>IF(H355=1,
  F355,
  G355*PARAMETRY!$B$11)</f>
        <v>0.2</v>
      </c>
      <c r="J355" s="6">
        <f>CALC_GAMES_BASE!U355-CALC_GAMES_BASE!V355</f>
        <v>1.3559357309357312E-2</v>
      </c>
      <c r="K355" s="6">
        <f>_xlfn.XLOOKUP(CALC_GAMES_BASE!W355,
  CALC_GOALIES!B:B,
  CALC_GOALIES!K:K)</f>
        <v>1.2275709048813366E-2</v>
      </c>
      <c r="L355" s="6">
        <f>_xlfn.XLOOKUP(C355,CALC_TEAMS_SEASON!B:B,CALC_TEAMS_SEASON!L:L)</f>
        <v>0.22367822128851536</v>
      </c>
      <c r="M355">
        <f>IF(CALC_GAMES_BASE!Z355="RS",1,1.2)</f>
        <v>1</v>
      </c>
      <c r="N355">
        <f xml:space="preserve"> CALC_GAMES_BASE!Y355</f>
        <v>1</v>
      </c>
    </row>
    <row r="356" spans="1:14" x14ac:dyDescent="0.25">
      <c r="A356" t="str">
        <f>CALC_GAMES_BASE!A356</f>
        <v>25/26</v>
      </c>
      <c r="B356" s="3">
        <f>CALC_GAMES_BASE!B356</f>
        <v>45986</v>
      </c>
      <c r="C356" s="3" t="str">
        <f>CALC_GAMES_BASE!C356</f>
        <v>LIT</v>
      </c>
      <c r="D356" s="3" t="str">
        <f>CALC_GAMES_BASE!D356</f>
        <v>KLA</v>
      </c>
      <c r="E356" s="7">
        <f>CALC_GAMES_BASE!E356</f>
        <v>0</v>
      </c>
      <c r="F356" s="6" t="str">
        <f>CALC_GAMES_BASE!N356</f>
        <v/>
      </c>
      <c r="G356" s="7">
        <f>CALC_GAMES_BASE!K356</f>
        <v>6</v>
      </c>
      <c r="H356" s="7">
        <f t="shared" si="5"/>
        <v>0</v>
      </c>
      <c r="I356" s="6">
        <f>IF(H356=1,
  F356,
  G356*PARAMETRY!$B$11)</f>
        <v>0.30000000000000004</v>
      </c>
      <c r="J356" s="6">
        <f>CALC_GAMES_BASE!U356-CALC_GAMES_BASE!V356</f>
        <v>-3.0311355311355301E-2</v>
      </c>
      <c r="K356" s="6">
        <f>_xlfn.XLOOKUP(CALC_GAMES_BASE!W356,
  CALC_GOALIES!B:B,
  CALC_GOALIES!K:K)</f>
        <v>-4.9010888963920696E-3</v>
      </c>
      <c r="L356" s="6">
        <f>_xlfn.XLOOKUP(C356,CALC_TEAMS_SEASON!B:B,CALC_TEAMS_SEASON!L:L)</f>
        <v>-1.4784467787114848</v>
      </c>
      <c r="M356">
        <f>IF(CALC_GAMES_BASE!Z356="RS",1,1.2)</f>
        <v>1</v>
      </c>
      <c r="N356">
        <f xml:space="preserve"> CALC_GAMES_BASE!Y356</f>
        <v>0</v>
      </c>
    </row>
    <row r="357" spans="1:14" x14ac:dyDescent="0.25">
      <c r="A357" t="str">
        <f>CALC_GAMES_BASE!A357</f>
        <v>25/26</v>
      </c>
      <c r="B357" s="3">
        <f>CALC_GAMES_BASE!B357</f>
        <v>45986</v>
      </c>
      <c r="C357" s="3" t="str">
        <f>CALC_GAMES_BASE!C357</f>
        <v>MBL</v>
      </c>
      <c r="D357" s="3" t="str">
        <f>CALC_GAMES_BASE!D357</f>
        <v>MHK</v>
      </c>
      <c r="E357" s="7">
        <f>CALC_GAMES_BASE!E357</f>
        <v>0</v>
      </c>
      <c r="F357" s="6" t="str">
        <f>CALC_GAMES_BASE!N357</f>
        <v/>
      </c>
      <c r="G357" s="7">
        <f>CALC_GAMES_BASE!K357</f>
        <v>-10</v>
      </c>
      <c r="H357" s="7">
        <f t="shared" si="5"/>
        <v>0</v>
      </c>
      <c r="I357" s="6">
        <f>IF(H357=1,
  F357,
  G357*PARAMETRY!$B$11)</f>
        <v>-0.5</v>
      </c>
      <c r="J357" s="6">
        <f>CALC_GAMES_BASE!U357-CALC_GAMES_BASE!V357</f>
        <v>-2.3580586080586094E-2</v>
      </c>
      <c r="K357" s="6">
        <f>_xlfn.XLOOKUP(CALC_GAMES_BASE!W357,
  CALC_GOALIES!B:B,
  CALC_GOALIES!K:K)</f>
        <v>-4.4670611186142795E-3</v>
      </c>
      <c r="L357" s="6">
        <f>_xlfn.XLOOKUP(C357,CALC_TEAMS_SEASON!B:B,CALC_TEAMS_SEASON!L:L)</f>
        <v>-0.89069677871148467</v>
      </c>
      <c r="M357">
        <f>IF(CALC_GAMES_BASE!Z357="RS",1,1.2)</f>
        <v>1</v>
      </c>
      <c r="N357">
        <f xml:space="preserve"> CALC_GAMES_BASE!Y357</f>
        <v>1</v>
      </c>
    </row>
    <row r="358" spans="1:14" x14ac:dyDescent="0.25">
      <c r="A358" t="str">
        <f>CALC_GAMES_BASE!A358</f>
        <v>25/26</v>
      </c>
      <c r="B358" s="3">
        <f>CALC_GAMES_BASE!B358</f>
        <v>45986</v>
      </c>
      <c r="C358" s="3" t="str">
        <f>CALC_GAMES_BASE!C358</f>
        <v>MHK</v>
      </c>
      <c r="D358" s="3" t="str">
        <f>CALC_GAMES_BASE!D358</f>
        <v>MBL</v>
      </c>
      <c r="E358" s="7">
        <f>CALC_GAMES_BASE!E358</f>
        <v>1</v>
      </c>
      <c r="F358" s="6" t="str">
        <f>CALC_GAMES_BASE!N358</f>
        <v/>
      </c>
      <c r="G358" s="7">
        <f>CALC_GAMES_BASE!K358</f>
        <v>10</v>
      </c>
      <c r="H358" s="7">
        <f t="shared" si="5"/>
        <v>0</v>
      </c>
      <c r="I358" s="6">
        <f>IF(H358=1,
  F358,
  G358*PARAMETRY!$B$11)</f>
        <v>0.5</v>
      </c>
      <c r="J358" s="6">
        <f>CALC_GAMES_BASE!U358-CALC_GAMES_BASE!V358</f>
        <v>2.3580586080586094E-2</v>
      </c>
      <c r="K358" s="6">
        <f>_xlfn.XLOOKUP(CALC_GAMES_BASE!W358,
  CALC_GOALIES!B:B,
  CALC_GOALIES!K:K)</f>
        <v>2.1917994590268441E-2</v>
      </c>
      <c r="L358" s="6">
        <f>_xlfn.XLOOKUP(C358,CALC_TEAMS_SEASON!B:B,CALC_TEAMS_SEASON!L:L)</f>
        <v>0.14821988795518207</v>
      </c>
      <c r="M358">
        <f>IF(CALC_GAMES_BASE!Z358="RS",1,1.2)</f>
        <v>1</v>
      </c>
      <c r="N358">
        <f xml:space="preserve"> CALC_GAMES_BASE!Y358</f>
        <v>0</v>
      </c>
    </row>
    <row r="359" spans="1:14" x14ac:dyDescent="0.25">
      <c r="A359" t="str">
        <f>CALC_GAMES_BASE!A359</f>
        <v>25/26</v>
      </c>
      <c r="B359" s="3">
        <f>CALC_GAMES_BASE!B359</f>
        <v>45986</v>
      </c>
      <c r="C359" s="3" t="str">
        <f>CALC_GAMES_BASE!C359</f>
        <v>OLO</v>
      </c>
      <c r="D359" s="3" t="str">
        <f>CALC_GAMES_BASE!D359</f>
        <v>KOM</v>
      </c>
      <c r="E359" s="7">
        <f>CALC_GAMES_BASE!E359</f>
        <v>0</v>
      </c>
      <c r="F359" s="6">
        <f>CALC_GAMES_BASE!N359</f>
        <v>-3.28</v>
      </c>
      <c r="G359" s="7">
        <f>CALC_GAMES_BASE!K359</f>
        <v>-21</v>
      </c>
      <c r="H359" s="7">
        <f t="shared" si="5"/>
        <v>1</v>
      </c>
      <c r="I359" s="6">
        <f>IF(H359=1,
  F359,
  G359*PARAMETRY!$B$11)</f>
        <v>-3.28</v>
      </c>
      <c r="J359" s="6">
        <f>CALC_GAMES_BASE!U359-CALC_GAMES_BASE!V359</f>
        <v>6.3034188034188365E-3</v>
      </c>
      <c r="K359" s="6">
        <f>_xlfn.XLOOKUP(CALC_GAMES_BASE!W359,
  CALC_GOALIES!B:B,
  CALC_GOALIES!K:K)</f>
        <v>4.4713327207696052E-3</v>
      </c>
      <c r="L359" s="6">
        <f>_xlfn.XLOOKUP(C359,CALC_TEAMS_SEASON!B:B,CALC_TEAMS_SEASON!L:L)</f>
        <v>-1.0613217787114846</v>
      </c>
      <c r="M359">
        <f>IF(CALC_GAMES_BASE!Z359="RS",1,1.2)</f>
        <v>1</v>
      </c>
      <c r="N359">
        <f xml:space="preserve"> CALC_GAMES_BASE!Y359</f>
        <v>1</v>
      </c>
    </row>
    <row r="360" spans="1:14" x14ac:dyDescent="0.25">
      <c r="A360" t="str">
        <f>CALC_GAMES_BASE!A360</f>
        <v>25/26</v>
      </c>
      <c r="B360" s="3">
        <f>CALC_GAMES_BASE!B360</f>
        <v>45987</v>
      </c>
      <c r="C360" s="3" t="str">
        <f>CALC_GAMES_BASE!C360</f>
        <v>PLZ</v>
      </c>
      <c r="D360" s="3" t="str">
        <f>CALC_GAMES_BASE!D360</f>
        <v>VIT</v>
      </c>
      <c r="E360" s="7">
        <f>CALC_GAMES_BASE!E360</f>
        <v>1</v>
      </c>
      <c r="F360" s="6" t="str">
        <f>CALC_GAMES_BASE!N360</f>
        <v/>
      </c>
      <c r="G360" s="7">
        <f>CALC_GAMES_BASE!K360</f>
        <v>6</v>
      </c>
      <c r="H360" s="7">
        <f t="shared" si="5"/>
        <v>0</v>
      </c>
      <c r="I360" s="6">
        <f>IF(H360=1,
  F360,
  G360*PARAMETRY!$B$11)</f>
        <v>0.30000000000000004</v>
      </c>
      <c r="J360" s="6">
        <f>CALC_GAMES_BASE!U360-CALC_GAMES_BASE!V360</f>
        <v>6.5628815628814841E-3</v>
      </c>
      <c r="K360" s="6">
        <f>_xlfn.XLOOKUP(CALC_GAMES_BASE!W360,
  CALC_GOALIES!B:B,
  CALC_GOALIES!K:K)</f>
        <v>-1.4856765927271365E-3</v>
      </c>
      <c r="L360" s="6">
        <f>_xlfn.XLOOKUP(C360,CALC_TEAMS_SEASON!B:B,CALC_TEAMS_SEASON!L:L)</f>
        <v>7.3678221288515283E-2</v>
      </c>
      <c r="M360">
        <f>IF(CALC_GAMES_BASE!Z360="RS",1,1.2)</f>
        <v>1</v>
      </c>
      <c r="N360">
        <f xml:space="preserve"> CALC_GAMES_BASE!Y360</f>
        <v>1</v>
      </c>
    </row>
    <row r="361" spans="1:14" x14ac:dyDescent="0.25">
      <c r="A361" t="str">
        <f>CALC_GAMES_BASE!A361</f>
        <v>25/26</v>
      </c>
      <c r="B361" s="3">
        <f>CALC_GAMES_BASE!B361</f>
        <v>45987</v>
      </c>
      <c r="C361" s="3" t="str">
        <f>CALC_GAMES_BASE!C361</f>
        <v>VIT</v>
      </c>
      <c r="D361" s="3" t="str">
        <f>CALC_GAMES_BASE!D361</f>
        <v>PLZ</v>
      </c>
      <c r="E361" s="7">
        <f>CALC_GAMES_BASE!E361</f>
        <v>0</v>
      </c>
      <c r="F361" s="6" t="str">
        <f>CALC_GAMES_BASE!N361</f>
        <v/>
      </c>
      <c r="G361" s="7">
        <f>CALC_GAMES_BASE!K361</f>
        <v>-6</v>
      </c>
      <c r="H361" s="7">
        <f t="shared" si="5"/>
        <v>0</v>
      </c>
      <c r="I361" s="6">
        <f>IF(H361=1,
  F361,
  G361*PARAMETRY!$B$11)</f>
        <v>-0.30000000000000004</v>
      </c>
      <c r="J361" s="6">
        <f>CALC_GAMES_BASE!U361-CALC_GAMES_BASE!V361</f>
        <v>-6.5628815628814841E-3</v>
      </c>
      <c r="K361" s="6">
        <f>_xlfn.XLOOKUP(CALC_GAMES_BASE!W361,
  CALC_GOALIES!B:B,
  CALC_GOALIES!K:K)</f>
        <v>1.905487900993541E-3</v>
      </c>
      <c r="L361" s="6">
        <f>_xlfn.XLOOKUP(C361,CALC_TEAMS_SEASON!B:B,CALC_TEAMS_SEASON!L:L)</f>
        <v>-1.0281967787114845</v>
      </c>
      <c r="M361">
        <f>IF(CALC_GAMES_BASE!Z361="RS",1,1.2)</f>
        <v>1</v>
      </c>
      <c r="N361">
        <f xml:space="preserve"> CALC_GAMES_BASE!Y361</f>
        <v>0</v>
      </c>
    </row>
    <row r="362" spans="1:14" x14ac:dyDescent="0.25">
      <c r="A362" t="str">
        <f>CALC_GAMES_BASE!A362</f>
        <v>25/26</v>
      </c>
      <c r="B362" s="3">
        <f>CALC_GAMES_BASE!B362</f>
        <v>45989</v>
      </c>
      <c r="C362" s="3" t="str">
        <f>CALC_GAMES_BASE!C362</f>
        <v>PCE</v>
      </c>
      <c r="D362" s="3" t="str">
        <f>CALC_GAMES_BASE!D362</f>
        <v>MHK</v>
      </c>
      <c r="E362" s="7">
        <f>CALC_GAMES_BASE!E362</f>
        <v>1</v>
      </c>
      <c r="F362" s="6">
        <f>CALC_GAMES_BASE!N362</f>
        <v>2.3600000000000003</v>
      </c>
      <c r="G362" s="7">
        <f>CALC_GAMES_BASE!K362</f>
        <v>12</v>
      </c>
      <c r="H362" s="7">
        <f t="shared" si="5"/>
        <v>1</v>
      </c>
      <c r="I362" s="6">
        <f>IF(H362=1,
  F362,
  G362*PARAMETRY!$B$11)</f>
        <v>2.3600000000000003</v>
      </c>
      <c r="J362" s="6">
        <f>CALC_GAMES_BASE!U362-CALC_GAMES_BASE!V362</f>
        <v>6.1126373626373659E-2</v>
      </c>
      <c r="K362" s="6">
        <f>_xlfn.XLOOKUP(CALC_GAMES_BASE!W362,
  CALC_GOALIES!B:B,
  CALC_GOALIES!K:K)</f>
        <v>4.5881077393388203E-3</v>
      </c>
      <c r="L362" s="6">
        <f>_xlfn.XLOOKUP(C362,CALC_TEAMS_SEASON!B:B,CALC_TEAMS_SEASON!L:L)</f>
        <v>0.62437675070027965</v>
      </c>
      <c r="M362">
        <f>IF(CALC_GAMES_BASE!Z362="RS",1,1.2)</f>
        <v>1</v>
      </c>
      <c r="N362">
        <f xml:space="preserve"> CALC_GAMES_BASE!Y362</f>
        <v>1</v>
      </c>
    </row>
    <row r="363" spans="1:14" x14ac:dyDescent="0.25">
      <c r="A363" t="str">
        <f>CALC_GAMES_BASE!A363</f>
        <v>25/26</v>
      </c>
      <c r="B363" s="3">
        <f>CALC_GAMES_BASE!B363</f>
        <v>45989</v>
      </c>
      <c r="C363" s="3" t="str">
        <f>CALC_GAMES_BASE!C363</f>
        <v>TRI</v>
      </c>
      <c r="D363" s="3" t="str">
        <f>CALC_GAMES_BASE!D363</f>
        <v>OLO</v>
      </c>
      <c r="E363" s="7">
        <f>CALC_GAMES_BASE!E363</f>
        <v>1</v>
      </c>
      <c r="F363" s="6">
        <f>CALC_GAMES_BASE!N363</f>
        <v>0.86999999999999966</v>
      </c>
      <c r="G363" s="7">
        <f>CALC_GAMES_BASE!K363</f>
        <v>-1</v>
      </c>
      <c r="H363" s="7">
        <f t="shared" si="5"/>
        <v>1</v>
      </c>
      <c r="I363" s="6">
        <f>IF(H363=1,
  F363,
  G363*PARAMETRY!$B$11)</f>
        <v>0.86999999999999966</v>
      </c>
      <c r="J363" s="6">
        <f>CALC_GAMES_BASE!U363-CALC_GAMES_BASE!V363</f>
        <v>2.4481074481074505E-2</v>
      </c>
      <c r="K363" s="6">
        <f>_xlfn.XLOOKUP(CALC_GAMES_BASE!W363,
  CALC_GOALIES!B:B,
  CALC_GOALIES!K:K)</f>
        <v>-1.9657016882340561E-2</v>
      </c>
      <c r="L363" s="6">
        <f>_xlfn.XLOOKUP(C363,CALC_TEAMS_SEASON!B:B,CALC_TEAMS_SEASON!L:L)</f>
        <v>0.10805322128851533</v>
      </c>
      <c r="M363">
        <f>IF(CALC_GAMES_BASE!Z363="RS",1,1.2)</f>
        <v>1</v>
      </c>
      <c r="N363">
        <f xml:space="preserve"> CALC_GAMES_BASE!Y363</f>
        <v>1</v>
      </c>
    </row>
    <row r="364" spans="1:14" x14ac:dyDescent="0.25">
      <c r="A364" t="str">
        <f>CALC_GAMES_BASE!A364</f>
        <v>25/26</v>
      </c>
      <c r="B364" s="3">
        <f>CALC_GAMES_BASE!B364</f>
        <v>45989</v>
      </c>
      <c r="C364" s="3" t="str">
        <f>CALC_GAMES_BASE!C364</f>
        <v>SPA</v>
      </c>
      <c r="D364" s="3" t="str">
        <f>CALC_GAMES_BASE!D364</f>
        <v>CEB</v>
      </c>
      <c r="E364" s="7">
        <f>CALC_GAMES_BASE!E364</f>
        <v>0</v>
      </c>
      <c r="F364" s="6">
        <f>CALC_GAMES_BASE!N364</f>
        <v>-0.12999999999999989</v>
      </c>
      <c r="G364" s="7">
        <f>CALC_GAMES_BASE!K364</f>
        <v>6</v>
      </c>
      <c r="H364" s="7">
        <f t="shared" si="5"/>
        <v>1</v>
      </c>
      <c r="I364" s="6">
        <f>IF(H364=1,
  F364,
  G364*PARAMETRY!$B$11)</f>
        <v>-0.12999999999999989</v>
      </c>
      <c r="J364" s="6">
        <f>CALC_GAMES_BASE!U364-CALC_GAMES_BASE!V364</f>
        <v>9.0390859140859176E-2</v>
      </c>
      <c r="K364" s="6">
        <f>_xlfn.XLOOKUP(CALC_GAMES_BASE!W364,
  CALC_GOALIES!B:B,
  CALC_GOALIES!K:K)</f>
        <v>-1.0634669404866681E-2</v>
      </c>
      <c r="L364" s="6">
        <f>_xlfn.XLOOKUP(C364,CALC_TEAMS_SEASON!B:B,CALC_TEAMS_SEASON!L:L)</f>
        <v>6.4376750700279955E-2</v>
      </c>
      <c r="M364">
        <f>IF(CALC_GAMES_BASE!Z364="RS",1,1.2)</f>
        <v>1</v>
      </c>
      <c r="N364">
        <f xml:space="preserve"> CALC_GAMES_BASE!Y364</f>
        <v>0</v>
      </c>
    </row>
    <row r="365" spans="1:14" x14ac:dyDescent="0.25">
      <c r="A365" t="str">
        <f>CALC_GAMES_BASE!A365</f>
        <v>25/26</v>
      </c>
      <c r="B365" s="3">
        <f>CALC_GAMES_BASE!B365</f>
        <v>45989</v>
      </c>
      <c r="C365" s="3" t="str">
        <f>CALC_GAMES_BASE!C365</f>
        <v>KOM</v>
      </c>
      <c r="D365" s="3" t="str">
        <f>CALC_GAMES_BASE!D365</f>
        <v>LIT</v>
      </c>
      <c r="E365" s="7">
        <f>CALC_GAMES_BASE!E365</f>
        <v>0</v>
      </c>
      <c r="F365" s="6">
        <f>CALC_GAMES_BASE!N365</f>
        <v>-1.5500000000000003</v>
      </c>
      <c r="G365" s="7">
        <f>CALC_GAMES_BASE!K365</f>
        <v>3</v>
      </c>
      <c r="H365" s="7">
        <f t="shared" si="5"/>
        <v>1</v>
      </c>
      <c r="I365" s="6">
        <f>IF(H365=1,
  F365,
  G365*PARAMETRY!$B$11)</f>
        <v>-1.5500000000000003</v>
      </c>
      <c r="J365" s="6">
        <f>CALC_GAMES_BASE!U365-CALC_GAMES_BASE!V365</f>
        <v>4.2696886446886448E-2</v>
      </c>
      <c r="K365" s="6">
        <f>_xlfn.XLOOKUP(CALC_GAMES_BASE!W365,
  CALC_GOALIES!B:B,
  CALC_GOALIES!K:K)</f>
        <v>-1.5147095063735572E-3</v>
      </c>
      <c r="L365" s="6">
        <f>_xlfn.XLOOKUP(C365,CALC_TEAMS_SEASON!B:B,CALC_TEAMS_SEASON!L:L)</f>
        <v>-0.37268207282913179</v>
      </c>
      <c r="M365">
        <f>IF(CALC_GAMES_BASE!Z365="RS",1,1.2)</f>
        <v>1</v>
      </c>
      <c r="N365">
        <f xml:space="preserve"> CALC_GAMES_BASE!Y365</f>
        <v>0</v>
      </c>
    </row>
    <row r="366" spans="1:14" x14ac:dyDescent="0.25">
      <c r="A366" t="str">
        <f>CALC_GAMES_BASE!A366</f>
        <v>25/26</v>
      </c>
      <c r="B366" s="3">
        <f>CALC_GAMES_BASE!B366</f>
        <v>45989</v>
      </c>
      <c r="C366" s="3" t="str">
        <f>CALC_GAMES_BASE!C366</f>
        <v>CEB</v>
      </c>
      <c r="D366" s="3" t="str">
        <f>CALC_GAMES_BASE!D366</f>
        <v>SPA</v>
      </c>
      <c r="E366" s="7">
        <f>CALC_GAMES_BASE!E366</f>
        <v>1</v>
      </c>
      <c r="F366" s="6">
        <f>CALC_GAMES_BASE!N366</f>
        <v>0.12999999999999989</v>
      </c>
      <c r="G366" s="7">
        <f>CALC_GAMES_BASE!K366</f>
        <v>-6</v>
      </c>
      <c r="H366" s="7">
        <f t="shared" si="5"/>
        <v>1</v>
      </c>
      <c r="I366" s="6">
        <f>IF(H366=1,
  F366,
  G366*PARAMETRY!$B$11)</f>
        <v>0.12999999999999989</v>
      </c>
      <c r="J366" s="6">
        <f>CALC_GAMES_BASE!U366-CALC_GAMES_BASE!V366</f>
        <v>-9.0390859140859176E-2</v>
      </c>
      <c r="K366" s="6">
        <f>_xlfn.XLOOKUP(CALC_GAMES_BASE!W366,
  CALC_GOALIES!B:B,
  CALC_GOALIES!K:K)</f>
        <v>-2.6902958554511747E-2</v>
      </c>
      <c r="L366" s="6">
        <f>_xlfn.XLOOKUP(C366,CALC_TEAMS_SEASON!B:B,CALC_TEAMS_SEASON!L:L)</f>
        <v>-0.24978011204481798</v>
      </c>
      <c r="M366">
        <f>IF(CALC_GAMES_BASE!Z366="RS",1,1.2)</f>
        <v>1</v>
      </c>
      <c r="N366">
        <f xml:space="preserve"> CALC_GAMES_BASE!Y366</f>
        <v>1</v>
      </c>
    </row>
    <row r="367" spans="1:14" x14ac:dyDescent="0.25">
      <c r="A367" t="str">
        <f>CALC_GAMES_BASE!A367</f>
        <v>25/26</v>
      </c>
      <c r="B367" s="3">
        <f>CALC_GAMES_BASE!B367</f>
        <v>45989</v>
      </c>
      <c r="C367" s="3" t="str">
        <f>CALC_GAMES_BASE!C367</f>
        <v>KLA</v>
      </c>
      <c r="D367" s="3" t="str">
        <f>CALC_GAMES_BASE!D367</f>
        <v>MBL</v>
      </c>
      <c r="E367" s="7">
        <f>CALC_GAMES_BASE!E367</f>
        <v>1</v>
      </c>
      <c r="F367" s="6" t="str">
        <f>CALC_GAMES_BASE!N367</f>
        <v/>
      </c>
      <c r="G367" s="7">
        <f>CALC_GAMES_BASE!K367</f>
        <v>-16</v>
      </c>
      <c r="H367" s="7">
        <f t="shared" si="5"/>
        <v>0</v>
      </c>
      <c r="I367" s="6">
        <f>IF(H367=1,
  F367,
  G367*PARAMETRY!$B$11)</f>
        <v>-0.8</v>
      </c>
      <c r="J367" s="6">
        <f>CALC_GAMES_BASE!U367-CALC_GAMES_BASE!V367</f>
        <v>1.2934981684981653E-2</v>
      </c>
      <c r="K367" s="6">
        <f>_xlfn.XLOOKUP(CALC_GAMES_BASE!W367,
  CALC_GOALIES!B:B,
  CALC_GOALIES!K:K)</f>
        <v>1.2463190300688209E-2</v>
      </c>
      <c r="L367" s="6">
        <f>_xlfn.XLOOKUP(C367,CALC_TEAMS_SEASON!B:B,CALC_TEAMS_SEASON!L:L)</f>
        <v>-0.19819677871148478</v>
      </c>
      <c r="M367">
        <f>IF(CALC_GAMES_BASE!Z367="RS",1,1.2)</f>
        <v>1</v>
      </c>
      <c r="N367">
        <f xml:space="preserve"> CALC_GAMES_BASE!Y367</f>
        <v>1</v>
      </c>
    </row>
    <row r="368" spans="1:14" x14ac:dyDescent="0.25">
      <c r="A368" t="str">
        <f>CALC_GAMES_BASE!A368</f>
        <v>25/26</v>
      </c>
      <c r="B368" s="3">
        <f>CALC_GAMES_BASE!B368</f>
        <v>45989</v>
      </c>
      <c r="C368" s="3" t="str">
        <f>CALC_GAMES_BASE!C368</f>
        <v>KVA</v>
      </c>
      <c r="D368" s="3" t="str">
        <f>CALC_GAMES_BASE!D368</f>
        <v>VIT</v>
      </c>
      <c r="E368" s="7">
        <f>CALC_GAMES_BASE!E368</f>
        <v>1</v>
      </c>
      <c r="F368" s="6" t="str">
        <f>CALC_GAMES_BASE!N368</f>
        <v/>
      </c>
      <c r="G368" s="7">
        <f>CALC_GAMES_BASE!K368</f>
        <v>2</v>
      </c>
      <c r="H368" s="7">
        <f t="shared" si="5"/>
        <v>0</v>
      </c>
      <c r="I368" s="6">
        <f>IF(H368=1,
  F368,
  G368*PARAMETRY!$B$11)</f>
        <v>0.1</v>
      </c>
      <c r="J368" s="6">
        <f>CALC_GAMES_BASE!U368-CALC_GAMES_BASE!V368</f>
        <v>4.0216727716727574E-3</v>
      </c>
      <c r="K368" s="6">
        <f>_xlfn.XLOOKUP(CALC_GAMES_BASE!W368,
  CALC_GOALIES!B:B,
  CALC_GOALIES!K:K)</f>
        <v>1.2242809776983998E-2</v>
      </c>
      <c r="L368" s="6">
        <f>_xlfn.XLOOKUP(C368,CALC_TEAMS_SEASON!B:B,CALC_TEAMS_SEASON!L:L)</f>
        <v>-0.28757177871148476</v>
      </c>
      <c r="M368">
        <f>IF(CALC_GAMES_BASE!Z368="RS",1,1.2)</f>
        <v>1</v>
      </c>
      <c r="N368">
        <f xml:space="preserve"> CALC_GAMES_BASE!Y368</f>
        <v>1</v>
      </c>
    </row>
    <row r="369" spans="1:14" x14ac:dyDescent="0.25">
      <c r="A369" t="str">
        <f>CALC_GAMES_BASE!A369</f>
        <v>25/26</v>
      </c>
      <c r="B369" s="3">
        <f>CALC_GAMES_BASE!B369</f>
        <v>45989</v>
      </c>
      <c r="C369" s="3" t="str">
        <f>CALC_GAMES_BASE!C369</f>
        <v>LIB</v>
      </c>
      <c r="D369" s="3" t="str">
        <f>CALC_GAMES_BASE!D369</f>
        <v>PLZ</v>
      </c>
      <c r="E369" s="7">
        <f>CALC_GAMES_BASE!E369</f>
        <v>0</v>
      </c>
      <c r="F369" s="6" t="str">
        <f>CALC_GAMES_BASE!N369</f>
        <v/>
      </c>
      <c r="G369" s="7">
        <f>CALC_GAMES_BASE!K369</f>
        <v>-5</v>
      </c>
      <c r="H369" s="7">
        <f t="shared" si="5"/>
        <v>0</v>
      </c>
      <c r="I369" s="6">
        <f>IF(H369=1,
  F369,
  G369*PARAMETRY!$B$11)</f>
        <v>-0.25</v>
      </c>
      <c r="J369" s="6">
        <f>CALC_GAMES_BASE!U369-CALC_GAMES_BASE!V369</f>
        <v>-3.2638888888888828E-2</v>
      </c>
      <c r="K369" s="6">
        <f>_xlfn.XLOOKUP(CALC_GAMES_BASE!W369,
  CALC_GOALIES!B:B,
  CALC_GOALIES!K:K)</f>
        <v>-2.7663687063931297E-2</v>
      </c>
      <c r="L369" s="6">
        <f>_xlfn.XLOOKUP(C369,CALC_TEAMS_SEASON!B:B,CALC_TEAMS_SEASON!L:L)</f>
        <v>0.22367822128851536</v>
      </c>
      <c r="M369">
        <f>IF(CALC_GAMES_BASE!Z369="RS",1,1.2)</f>
        <v>1</v>
      </c>
      <c r="N369">
        <f xml:space="preserve"> CALC_GAMES_BASE!Y369</f>
        <v>0</v>
      </c>
    </row>
    <row r="370" spans="1:14" x14ac:dyDescent="0.25">
      <c r="A370" t="str">
        <f>CALC_GAMES_BASE!A370</f>
        <v>25/26</v>
      </c>
      <c r="B370" s="3">
        <f>CALC_GAMES_BASE!B370</f>
        <v>45989</v>
      </c>
      <c r="C370" s="3" t="str">
        <f>CALC_GAMES_BASE!C370</f>
        <v>LIT</v>
      </c>
      <c r="D370" s="3" t="str">
        <f>CALC_GAMES_BASE!D370</f>
        <v>KOM</v>
      </c>
      <c r="E370" s="7">
        <f>CALC_GAMES_BASE!E370</f>
        <v>1</v>
      </c>
      <c r="F370" s="6">
        <f>CALC_GAMES_BASE!N370</f>
        <v>1.5500000000000003</v>
      </c>
      <c r="G370" s="7">
        <f>CALC_GAMES_BASE!K370</f>
        <v>-3</v>
      </c>
      <c r="H370" s="7">
        <f t="shared" si="5"/>
        <v>1</v>
      </c>
      <c r="I370" s="6">
        <f>IF(H370=1,
  F370,
  G370*PARAMETRY!$B$11)</f>
        <v>1.5500000000000003</v>
      </c>
      <c r="J370" s="6">
        <f>CALC_GAMES_BASE!U370-CALC_GAMES_BASE!V370</f>
        <v>-4.2696886446886448E-2</v>
      </c>
      <c r="K370" s="6">
        <f>_xlfn.XLOOKUP(CALC_GAMES_BASE!W370,
  CALC_GOALIES!B:B,
  CALC_GOALIES!K:K)</f>
        <v>-4.9010888963920696E-3</v>
      </c>
      <c r="L370" s="6">
        <f>_xlfn.XLOOKUP(C370,CALC_TEAMS_SEASON!B:B,CALC_TEAMS_SEASON!L:L)</f>
        <v>-1.4784467787114848</v>
      </c>
      <c r="M370">
        <f>IF(CALC_GAMES_BASE!Z370="RS",1,1.2)</f>
        <v>1</v>
      </c>
      <c r="N370">
        <f xml:space="preserve"> CALC_GAMES_BASE!Y370</f>
        <v>1</v>
      </c>
    </row>
    <row r="371" spans="1:14" x14ac:dyDescent="0.25">
      <c r="A371" t="str">
        <f>CALC_GAMES_BASE!A371</f>
        <v>25/26</v>
      </c>
      <c r="B371" s="3">
        <f>CALC_GAMES_BASE!B371</f>
        <v>45989</v>
      </c>
      <c r="C371" s="3" t="str">
        <f>CALC_GAMES_BASE!C371</f>
        <v>MBL</v>
      </c>
      <c r="D371" s="3" t="str">
        <f>CALC_GAMES_BASE!D371</f>
        <v>KLA</v>
      </c>
      <c r="E371" s="7">
        <f>CALC_GAMES_BASE!E371</f>
        <v>0</v>
      </c>
      <c r="F371" s="6" t="str">
        <f>CALC_GAMES_BASE!N371</f>
        <v/>
      </c>
      <c r="G371" s="7">
        <f>CALC_GAMES_BASE!K371</f>
        <v>16</v>
      </c>
      <c r="H371" s="7">
        <f t="shared" si="5"/>
        <v>0</v>
      </c>
      <c r="I371" s="6">
        <f>IF(H371=1,
  F371,
  G371*PARAMETRY!$B$11)</f>
        <v>0.8</v>
      </c>
      <c r="J371" s="6">
        <f>CALC_GAMES_BASE!U371-CALC_GAMES_BASE!V371</f>
        <v>-1.2934981684981653E-2</v>
      </c>
      <c r="K371" s="6">
        <f>_xlfn.XLOOKUP(CALC_GAMES_BASE!W371,
  CALC_GOALIES!B:B,
  CALC_GOALIES!K:K)</f>
        <v>-4.4670611186142795E-3</v>
      </c>
      <c r="L371" s="6">
        <f>_xlfn.XLOOKUP(C371,CALC_TEAMS_SEASON!B:B,CALC_TEAMS_SEASON!L:L)</f>
        <v>-0.89069677871148467</v>
      </c>
      <c r="M371">
        <f>IF(CALC_GAMES_BASE!Z371="RS",1,1.2)</f>
        <v>1</v>
      </c>
      <c r="N371">
        <f xml:space="preserve"> CALC_GAMES_BASE!Y371</f>
        <v>0</v>
      </c>
    </row>
    <row r="372" spans="1:14" x14ac:dyDescent="0.25">
      <c r="A372" t="str">
        <f>CALC_GAMES_BASE!A372</f>
        <v>25/26</v>
      </c>
      <c r="B372" s="3">
        <f>CALC_GAMES_BASE!B372</f>
        <v>45989</v>
      </c>
      <c r="C372" s="3" t="str">
        <f>CALC_GAMES_BASE!C372</f>
        <v>MHK</v>
      </c>
      <c r="D372" s="3" t="str">
        <f>CALC_GAMES_BASE!D372</f>
        <v>PCE</v>
      </c>
      <c r="E372" s="7">
        <f>CALC_GAMES_BASE!E372</f>
        <v>0</v>
      </c>
      <c r="F372" s="6">
        <f>CALC_GAMES_BASE!N372</f>
        <v>-2.3600000000000003</v>
      </c>
      <c r="G372" s="7">
        <f>CALC_GAMES_BASE!K372</f>
        <v>-12</v>
      </c>
      <c r="H372" s="7">
        <f t="shared" si="5"/>
        <v>1</v>
      </c>
      <c r="I372" s="6">
        <f>IF(H372=1,
  F372,
  G372*PARAMETRY!$B$11)</f>
        <v>-2.3600000000000003</v>
      </c>
      <c r="J372" s="6">
        <f>CALC_GAMES_BASE!U372-CALC_GAMES_BASE!V372</f>
        <v>-6.1126373626373659E-2</v>
      </c>
      <c r="K372" s="6">
        <f>_xlfn.XLOOKUP(CALC_GAMES_BASE!W372,
  CALC_GOALIES!B:B,
  CALC_GOALIES!K:K)</f>
        <v>2.1917994590268441E-2</v>
      </c>
      <c r="L372" s="6">
        <f>_xlfn.XLOOKUP(C372,CALC_TEAMS_SEASON!B:B,CALC_TEAMS_SEASON!L:L)</f>
        <v>0.14821988795518207</v>
      </c>
      <c r="M372">
        <f>IF(CALC_GAMES_BASE!Z372="RS",1,1.2)</f>
        <v>1</v>
      </c>
      <c r="N372">
        <f xml:space="preserve"> CALC_GAMES_BASE!Y372</f>
        <v>0</v>
      </c>
    </row>
    <row r="373" spans="1:14" x14ac:dyDescent="0.25">
      <c r="A373" t="str">
        <f>CALC_GAMES_BASE!A373</f>
        <v>25/26</v>
      </c>
      <c r="B373" s="3">
        <f>CALC_GAMES_BASE!B373</f>
        <v>45989</v>
      </c>
      <c r="C373" s="3" t="str">
        <f>CALC_GAMES_BASE!C373</f>
        <v>OLO</v>
      </c>
      <c r="D373" s="3" t="str">
        <f>CALC_GAMES_BASE!D373</f>
        <v>TRI</v>
      </c>
      <c r="E373" s="7">
        <f>CALC_GAMES_BASE!E373</f>
        <v>0</v>
      </c>
      <c r="F373" s="6">
        <f>CALC_GAMES_BASE!N373</f>
        <v>-0.86999999999999966</v>
      </c>
      <c r="G373" s="7">
        <f>CALC_GAMES_BASE!K373</f>
        <v>1</v>
      </c>
      <c r="H373" s="7">
        <f t="shared" si="5"/>
        <v>1</v>
      </c>
      <c r="I373" s="6">
        <f>IF(H373=1,
  F373,
  G373*PARAMETRY!$B$11)</f>
        <v>-0.86999999999999966</v>
      </c>
      <c r="J373" s="6">
        <f>CALC_GAMES_BASE!U373-CALC_GAMES_BASE!V373</f>
        <v>-2.4481074481074505E-2</v>
      </c>
      <c r="K373" s="6">
        <f>_xlfn.XLOOKUP(CALC_GAMES_BASE!W373,
  CALC_GOALIES!B:B,
  CALC_GOALIES!K:K)</f>
        <v>4.4713327207696052E-3</v>
      </c>
      <c r="L373" s="6">
        <f>_xlfn.XLOOKUP(C373,CALC_TEAMS_SEASON!B:B,CALC_TEAMS_SEASON!L:L)</f>
        <v>-1.0613217787114846</v>
      </c>
      <c r="M373">
        <f>IF(CALC_GAMES_BASE!Z373="RS",1,1.2)</f>
        <v>1</v>
      </c>
      <c r="N373">
        <f xml:space="preserve"> CALC_GAMES_BASE!Y373</f>
        <v>0</v>
      </c>
    </row>
    <row r="374" spans="1:14" x14ac:dyDescent="0.25">
      <c r="A374" t="str">
        <f>CALC_GAMES_BASE!A374</f>
        <v>25/26</v>
      </c>
      <c r="B374" s="3">
        <f>CALC_GAMES_BASE!B374</f>
        <v>45989</v>
      </c>
      <c r="C374" s="3" t="str">
        <f>CALC_GAMES_BASE!C374</f>
        <v>PLZ</v>
      </c>
      <c r="D374" s="3" t="str">
        <f>CALC_GAMES_BASE!D374</f>
        <v>LIB</v>
      </c>
      <c r="E374" s="7">
        <f>CALC_GAMES_BASE!E374</f>
        <v>1</v>
      </c>
      <c r="F374" s="6" t="str">
        <f>CALC_GAMES_BASE!N374</f>
        <v/>
      </c>
      <c r="G374" s="7">
        <f>CALC_GAMES_BASE!K374</f>
        <v>5</v>
      </c>
      <c r="H374" s="7">
        <f t="shared" si="5"/>
        <v>0</v>
      </c>
      <c r="I374" s="6">
        <f>IF(H374=1,
  F374,
  G374*PARAMETRY!$B$11)</f>
        <v>0.25</v>
      </c>
      <c r="J374" s="6">
        <f>CALC_GAMES_BASE!U374-CALC_GAMES_BASE!V374</f>
        <v>3.2638888888888828E-2</v>
      </c>
      <c r="K374" s="6">
        <f>_xlfn.XLOOKUP(CALC_GAMES_BASE!W374,
  CALC_GOALIES!B:B,
  CALC_GOALIES!K:K)</f>
        <v>1.7617039556646619E-2</v>
      </c>
      <c r="L374" s="6">
        <f>_xlfn.XLOOKUP(C374,CALC_TEAMS_SEASON!B:B,CALC_TEAMS_SEASON!L:L)</f>
        <v>7.3678221288515283E-2</v>
      </c>
      <c r="M374">
        <f>IF(CALC_GAMES_BASE!Z374="RS",1,1.2)</f>
        <v>1</v>
      </c>
      <c r="N374">
        <f xml:space="preserve"> CALC_GAMES_BASE!Y374</f>
        <v>1</v>
      </c>
    </row>
    <row r="375" spans="1:14" x14ac:dyDescent="0.25">
      <c r="A375" t="str">
        <f>CALC_GAMES_BASE!A375</f>
        <v>25/26</v>
      </c>
      <c r="B375" s="3">
        <f>CALC_GAMES_BASE!B375</f>
        <v>45989</v>
      </c>
      <c r="C375" s="3" t="str">
        <f>CALC_GAMES_BASE!C375</f>
        <v>VIT</v>
      </c>
      <c r="D375" s="3" t="str">
        <f>CALC_GAMES_BASE!D375</f>
        <v>KVA</v>
      </c>
      <c r="E375" s="7">
        <f>CALC_GAMES_BASE!E375</f>
        <v>0</v>
      </c>
      <c r="F375" s="6" t="str">
        <f>CALC_GAMES_BASE!N375</f>
        <v/>
      </c>
      <c r="G375" s="7">
        <f>CALC_GAMES_BASE!K375</f>
        <v>-2</v>
      </c>
      <c r="H375" s="7">
        <f t="shared" si="5"/>
        <v>0</v>
      </c>
      <c r="I375" s="6">
        <f>IF(H375=1,
  F375,
  G375*PARAMETRY!$B$11)</f>
        <v>-0.1</v>
      </c>
      <c r="J375" s="6">
        <f>CALC_GAMES_BASE!U375-CALC_GAMES_BASE!V375</f>
        <v>-4.0216727716727574E-3</v>
      </c>
      <c r="K375" s="6">
        <f>_xlfn.XLOOKUP(CALC_GAMES_BASE!W375,
  CALC_GOALIES!B:B,
  CALC_GOALIES!K:K)</f>
        <v>1.905487900993541E-3</v>
      </c>
      <c r="L375" s="6">
        <f>_xlfn.XLOOKUP(C375,CALC_TEAMS_SEASON!B:B,CALC_TEAMS_SEASON!L:L)</f>
        <v>-1.0281967787114845</v>
      </c>
      <c r="M375">
        <f>IF(CALC_GAMES_BASE!Z375="RS",1,1.2)</f>
        <v>1</v>
      </c>
      <c r="N375">
        <f xml:space="preserve"> CALC_GAMES_BASE!Y375</f>
        <v>0</v>
      </c>
    </row>
    <row r="376" spans="1:14" x14ac:dyDescent="0.25">
      <c r="A376" t="str">
        <f>CALC_GAMES_BASE!A376</f>
        <v>25/26</v>
      </c>
      <c r="B376" s="3">
        <f>CALC_GAMES_BASE!B376</f>
        <v>45991</v>
      </c>
      <c r="C376" s="3" t="str">
        <f>CALC_GAMES_BASE!C376</f>
        <v>PCE</v>
      </c>
      <c r="D376" s="3" t="str">
        <f>CALC_GAMES_BASE!D376</f>
        <v>LIB</v>
      </c>
      <c r="E376" s="7">
        <f>CALC_GAMES_BASE!E376</f>
        <v>0</v>
      </c>
      <c r="F376" s="6">
        <f>CALC_GAMES_BASE!N376</f>
        <v>1.3899999999999997</v>
      </c>
      <c r="G376" s="7">
        <f>CALC_GAMES_BASE!K376</f>
        <v>20</v>
      </c>
      <c r="H376" s="7">
        <f t="shared" si="5"/>
        <v>1</v>
      </c>
      <c r="I376" s="6">
        <f>IF(H376=1,
  F376,
  G376*PARAMETRY!$B$11)</f>
        <v>1.3899999999999997</v>
      </c>
      <c r="J376" s="6">
        <f>CALC_GAMES_BASE!U376-CALC_GAMES_BASE!V376</f>
        <v>5.9203296703296743E-2</v>
      </c>
      <c r="K376" s="6">
        <f>_xlfn.XLOOKUP(CALC_GAMES_BASE!W376,
  CALC_GOALIES!B:B,
  CALC_GOALIES!K:K)</f>
        <v>-6.7923502086092435E-3</v>
      </c>
      <c r="L376" s="6">
        <f>_xlfn.XLOOKUP(C376,CALC_TEAMS_SEASON!B:B,CALC_TEAMS_SEASON!L:L)</f>
        <v>0.62437675070027965</v>
      </c>
      <c r="M376">
        <f>IF(CALC_GAMES_BASE!Z376="RS",1,1.2)</f>
        <v>1</v>
      </c>
      <c r="N376">
        <f xml:space="preserve"> CALC_GAMES_BASE!Y376</f>
        <v>0</v>
      </c>
    </row>
    <row r="377" spans="1:14" x14ac:dyDescent="0.25">
      <c r="A377" t="str">
        <f>CALC_GAMES_BASE!A377</f>
        <v>25/26</v>
      </c>
      <c r="B377" s="3">
        <f>CALC_GAMES_BASE!B377</f>
        <v>45991</v>
      </c>
      <c r="C377" s="3" t="str">
        <f>CALC_GAMES_BASE!C377</f>
        <v>TRI</v>
      </c>
      <c r="D377" s="3" t="str">
        <f>CALC_GAMES_BASE!D377</f>
        <v>SPA</v>
      </c>
      <c r="E377" s="7">
        <f>CALC_GAMES_BASE!E377</f>
        <v>1</v>
      </c>
      <c r="F377" s="6">
        <f>CALC_GAMES_BASE!N377</f>
        <v>0.41999999999999993</v>
      </c>
      <c r="G377" s="7">
        <f>CALC_GAMES_BASE!K377</f>
        <v>7</v>
      </c>
      <c r="H377" s="7">
        <f t="shared" si="5"/>
        <v>1</v>
      </c>
      <c r="I377" s="6">
        <f>IF(H377=1,
  F377,
  G377*PARAMETRY!$B$11)</f>
        <v>0.41999999999999993</v>
      </c>
      <c r="J377" s="6">
        <f>CALC_GAMES_BASE!U377-CALC_GAMES_BASE!V377</f>
        <v>-4.6230158730158732E-2</v>
      </c>
      <c r="K377" s="6">
        <f>_xlfn.XLOOKUP(CALC_GAMES_BASE!W377,
  CALC_GOALIES!B:B,
  CALC_GOALIES!K:K)</f>
        <v>-1.9657016882340561E-2</v>
      </c>
      <c r="L377" s="6">
        <f>_xlfn.XLOOKUP(C377,CALC_TEAMS_SEASON!B:B,CALC_TEAMS_SEASON!L:L)</f>
        <v>0.10805322128851533</v>
      </c>
      <c r="M377">
        <f>IF(CALC_GAMES_BASE!Z377="RS",1,1.2)</f>
        <v>1</v>
      </c>
      <c r="N377">
        <f xml:space="preserve"> CALC_GAMES_BASE!Y377</f>
        <v>0</v>
      </c>
    </row>
    <row r="378" spans="1:14" x14ac:dyDescent="0.25">
      <c r="A378" t="str">
        <f>CALC_GAMES_BASE!A378</f>
        <v>25/26</v>
      </c>
      <c r="B378" s="3">
        <f>CALC_GAMES_BASE!B378</f>
        <v>45991</v>
      </c>
      <c r="C378" s="3" t="str">
        <f>CALC_GAMES_BASE!C378</f>
        <v>SPA</v>
      </c>
      <c r="D378" s="3" t="str">
        <f>CALC_GAMES_BASE!D378</f>
        <v>TRI</v>
      </c>
      <c r="E378" s="7">
        <f>CALC_GAMES_BASE!E378</f>
        <v>0</v>
      </c>
      <c r="F378" s="6">
        <f>CALC_GAMES_BASE!N378</f>
        <v>-0.41999999999999993</v>
      </c>
      <c r="G378" s="7">
        <f>CALC_GAMES_BASE!K378</f>
        <v>-7</v>
      </c>
      <c r="H378" s="7">
        <f t="shared" si="5"/>
        <v>1</v>
      </c>
      <c r="I378" s="6">
        <f>IF(H378=1,
  F378,
  G378*PARAMETRY!$B$11)</f>
        <v>-0.41999999999999993</v>
      </c>
      <c r="J378" s="6">
        <f>CALC_GAMES_BASE!U378-CALC_GAMES_BASE!V378</f>
        <v>4.6230158730158732E-2</v>
      </c>
      <c r="K378" s="6">
        <f>_xlfn.XLOOKUP(CALC_GAMES_BASE!W378,
  CALC_GOALIES!B:B,
  CALC_GOALIES!K:K)</f>
        <v>3.5919237922225067E-3</v>
      </c>
      <c r="L378" s="6">
        <f>_xlfn.XLOOKUP(C378,CALC_TEAMS_SEASON!B:B,CALC_TEAMS_SEASON!L:L)</f>
        <v>6.4376750700279955E-2</v>
      </c>
      <c r="M378">
        <f>IF(CALC_GAMES_BASE!Z378="RS",1,1.2)</f>
        <v>1</v>
      </c>
      <c r="N378">
        <f xml:space="preserve"> CALC_GAMES_BASE!Y378</f>
        <v>1</v>
      </c>
    </row>
    <row r="379" spans="1:14" x14ac:dyDescent="0.25">
      <c r="A379" t="str">
        <f>CALC_GAMES_BASE!A379</f>
        <v>25/26</v>
      </c>
      <c r="B379" s="3">
        <f>CALC_GAMES_BASE!B379</f>
        <v>45991</v>
      </c>
      <c r="C379" s="3" t="str">
        <f>CALC_GAMES_BASE!C379</f>
        <v>KOM</v>
      </c>
      <c r="D379" s="3" t="str">
        <f>CALC_GAMES_BASE!D379</f>
        <v>MBL</v>
      </c>
      <c r="E379" s="7">
        <f>CALC_GAMES_BASE!E379</f>
        <v>0</v>
      </c>
      <c r="F379" s="6">
        <f>CALC_GAMES_BASE!N379</f>
        <v>1.4000000000000004</v>
      </c>
      <c r="G379" s="7">
        <f>CALC_GAMES_BASE!K379</f>
        <v>9</v>
      </c>
      <c r="H379" s="7">
        <f t="shared" si="5"/>
        <v>1</v>
      </c>
      <c r="I379" s="6">
        <f>IF(H379=1,
  F379,
  G379*PARAMETRY!$B$11)</f>
        <v>1.4000000000000004</v>
      </c>
      <c r="J379" s="6">
        <f>CALC_GAMES_BASE!U379-CALC_GAMES_BASE!V379</f>
        <v>2.53205128205128E-2</v>
      </c>
      <c r="K379" s="6">
        <f>_xlfn.XLOOKUP(CALC_GAMES_BASE!W379,
  CALC_GOALIES!B:B,
  CALC_GOALIES!K:K)</f>
        <v>-2.2891097399793447E-2</v>
      </c>
      <c r="L379" s="6">
        <f>_xlfn.XLOOKUP(C379,CALC_TEAMS_SEASON!B:B,CALC_TEAMS_SEASON!L:L)</f>
        <v>-0.37268207282913179</v>
      </c>
      <c r="M379">
        <f>IF(CALC_GAMES_BASE!Z379="RS",1,1.2)</f>
        <v>1</v>
      </c>
      <c r="N379">
        <f xml:space="preserve"> CALC_GAMES_BASE!Y379</f>
        <v>1</v>
      </c>
    </row>
    <row r="380" spans="1:14" x14ac:dyDescent="0.25">
      <c r="A380" t="str">
        <f>CALC_GAMES_BASE!A380</f>
        <v>25/26</v>
      </c>
      <c r="B380" s="3">
        <f>CALC_GAMES_BASE!B380</f>
        <v>45991</v>
      </c>
      <c r="C380" s="3" t="str">
        <f>CALC_GAMES_BASE!C380</f>
        <v>CEB</v>
      </c>
      <c r="D380" s="3" t="str">
        <f>CALC_GAMES_BASE!D380</f>
        <v>MHK</v>
      </c>
      <c r="E380" s="7">
        <f>CALC_GAMES_BASE!E380</f>
        <v>0</v>
      </c>
      <c r="F380" s="6" t="str">
        <f>CALC_GAMES_BASE!N380</f>
        <v/>
      </c>
      <c r="G380" s="7">
        <f>CALC_GAMES_BASE!K380</f>
        <v>-13</v>
      </c>
      <c r="H380" s="7">
        <f t="shared" si="5"/>
        <v>0</v>
      </c>
      <c r="I380" s="6">
        <f>IF(H380=1,
  F380,
  G380*PARAMETRY!$B$11)</f>
        <v>-0.65</v>
      </c>
      <c r="J380" s="6">
        <f>CALC_GAMES_BASE!U380-CALC_GAMES_BASE!V380</f>
        <v>-1.1636280386280395E-2</v>
      </c>
      <c r="K380" s="6">
        <f>_xlfn.XLOOKUP(CALC_GAMES_BASE!W380,
  CALC_GOALIES!B:B,
  CALC_GOALIES!K:K)</f>
        <v>-2.6902958554511747E-2</v>
      </c>
      <c r="L380" s="6">
        <f>_xlfn.XLOOKUP(C380,CALC_TEAMS_SEASON!B:B,CALC_TEAMS_SEASON!L:L)</f>
        <v>-0.24978011204481798</v>
      </c>
      <c r="M380">
        <f>IF(CALC_GAMES_BASE!Z380="RS",1,1.2)</f>
        <v>1</v>
      </c>
      <c r="N380">
        <f xml:space="preserve"> CALC_GAMES_BASE!Y380</f>
        <v>0</v>
      </c>
    </row>
    <row r="381" spans="1:14" x14ac:dyDescent="0.25">
      <c r="A381" t="str">
        <f>CALC_GAMES_BASE!A381</f>
        <v>25/26</v>
      </c>
      <c r="B381" s="3">
        <f>CALC_GAMES_BASE!B381</f>
        <v>45991</v>
      </c>
      <c r="C381" s="3" t="str">
        <f>CALC_GAMES_BASE!C381</f>
        <v>KLA</v>
      </c>
      <c r="D381" s="3" t="str">
        <f>CALC_GAMES_BASE!D381</f>
        <v>VIT</v>
      </c>
      <c r="E381" s="7">
        <f>CALC_GAMES_BASE!E381</f>
        <v>0</v>
      </c>
      <c r="F381" s="6" t="str">
        <f>CALC_GAMES_BASE!N381</f>
        <v/>
      </c>
      <c r="G381" s="7">
        <f>CALC_GAMES_BASE!K381</f>
        <v>-17</v>
      </c>
      <c r="H381" s="7">
        <f t="shared" si="5"/>
        <v>0</v>
      </c>
      <c r="I381" s="6">
        <f>IF(H381=1,
  F381,
  G381*PARAMETRY!$B$11)</f>
        <v>-0.85000000000000009</v>
      </c>
      <c r="J381" s="6">
        <f>CALC_GAMES_BASE!U381-CALC_GAMES_BASE!V381</f>
        <v>-3.8644688644688702E-2</v>
      </c>
      <c r="K381" s="6">
        <f>_xlfn.XLOOKUP(CALC_GAMES_BASE!W381,
  CALC_GOALIES!B:B,
  CALC_GOALIES!K:K)</f>
        <v>1.2463190300688209E-2</v>
      </c>
      <c r="L381" s="6">
        <f>_xlfn.XLOOKUP(C381,CALC_TEAMS_SEASON!B:B,CALC_TEAMS_SEASON!L:L)</f>
        <v>-0.19819677871148478</v>
      </c>
      <c r="M381">
        <f>IF(CALC_GAMES_BASE!Z381="RS",1,1.2)</f>
        <v>1</v>
      </c>
      <c r="N381">
        <f xml:space="preserve"> CALC_GAMES_BASE!Y381</f>
        <v>1</v>
      </c>
    </row>
    <row r="382" spans="1:14" x14ac:dyDescent="0.25">
      <c r="A382" t="str">
        <f>CALC_GAMES_BASE!A382</f>
        <v>25/26</v>
      </c>
      <c r="B382" s="3">
        <f>CALC_GAMES_BASE!B382</f>
        <v>45991</v>
      </c>
      <c r="C382" s="3" t="str">
        <f>CALC_GAMES_BASE!C382</f>
        <v>KVA</v>
      </c>
      <c r="D382" s="3" t="str">
        <f>CALC_GAMES_BASE!D382</f>
        <v>LIT</v>
      </c>
      <c r="E382" s="7">
        <f>CALC_GAMES_BASE!E382</f>
        <v>0</v>
      </c>
      <c r="F382" s="6" t="str">
        <f>CALC_GAMES_BASE!N382</f>
        <v/>
      </c>
      <c r="G382" s="7">
        <f>CALC_GAMES_BASE!K382</f>
        <v>2</v>
      </c>
      <c r="H382" s="7">
        <f t="shared" si="5"/>
        <v>0</v>
      </c>
      <c r="I382" s="6">
        <f>IF(H382=1,
  F382,
  G382*PARAMETRY!$B$11)</f>
        <v>0.1</v>
      </c>
      <c r="J382" s="6">
        <f>CALC_GAMES_BASE!U382-CALC_GAMES_BASE!V382</f>
        <v>7.297771672771676E-2</v>
      </c>
      <c r="K382" s="6">
        <f>_xlfn.XLOOKUP(CALC_GAMES_BASE!W382,
  CALC_GOALIES!B:B,
  CALC_GOALIES!K:K)</f>
        <v>1.2242809776983998E-2</v>
      </c>
      <c r="L382" s="6">
        <f>_xlfn.XLOOKUP(C382,CALC_TEAMS_SEASON!B:B,CALC_TEAMS_SEASON!L:L)</f>
        <v>-0.28757177871148476</v>
      </c>
      <c r="M382">
        <f>IF(CALC_GAMES_BASE!Z382="RS",1,1.2)</f>
        <v>1</v>
      </c>
      <c r="N382">
        <f xml:space="preserve"> CALC_GAMES_BASE!Y382</f>
        <v>1</v>
      </c>
    </row>
    <row r="383" spans="1:14" x14ac:dyDescent="0.25">
      <c r="A383" t="str">
        <f>CALC_GAMES_BASE!A383</f>
        <v>25/26</v>
      </c>
      <c r="B383" s="3">
        <f>CALC_GAMES_BASE!B383</f>
        <v>45991</v>
      </c>
      <c r="C383" s="3" t="str">
        <f>CALC_GAMES_BASE!C383</f>
        <v>LIB</v>
      </c>
      <c r="D383" s="3" t="str">
        <f>CALC_GAMES_BASE!D383</f>
        <v>PCE</v>
      </c>
      <c r="E383" s="7">
        <f>CALC_GAMES_BASE!E383</f>
        <v>1</v>
      </c>
      <c r="F383" s="6">
        <f>CALC_GAMES_BASE!N383</f>
        <v>-1.3899999999999997</v>
      </c>
      <c r="G383" s="7">
        <f>CALC_GAMES_BASE!K383</f>
        <v>-20</v>
      </c>
      <c r="H383" s="7">
        <f t="shared" si="5"/>
        <v>1</v>
      </c>
      <c r="I383" s="6">
        <f>IF(H383=1,
  F383,
  G383*PARAMETRY!$B$11)</f>
        <v>-1.3899999999999997</v>
      </c>
      <c r="J383" s="6">
        <f>CALC_GAMES_BASE!U383-CALC_GAMES_BASE!V383</f>
        <v>-5.9203296703296743E-2</v>
      </c>
      <c r="K383" s="6">
        <f>_xlfn.XLOOKUP(CALC_GAMES_BASE!W383,
  CALC_GOALIES!B:B,
  CALC_GOALIES!K:K)</f>
        <v>1.2275709048813366E-2</v>
      </c>
      <c r="L383" s="6">
        <f>_xlfn.XLOOKUP(C383,CALC_TEAMS_SEASON!B:B,CALC_TEAMS_SEASON!L:L)</f>
        <v>0.22367822128851536</v>
      </c>
      <c r="M383">
        <f>IF(CALC_GAMES_BASE!Z383="RS",1,1.2)</f>
        <v>1</v>
      </c>
      <c r="N383">
        <f xml:space="preserve"> CALC_GAMES_BASE!Y383</f>
        <v>1</v>
      </c>
    </row>
    <row r="384" spans="1:14" x14ac:dyDescent="0.25">
      <c r="A384" t="str">
        <f>CALC_GAMES_BASE!A384</f>
        <v>25/26</v>
      </c>
      <c r="B384" s="3">
        <f>CALC_GAMES_BASE!B384</f>
        <v>45991</v>
      </c>
      <c r="C384" s="3" t="str">
        <f>CALC_GAMES_BASE!C384</f>
        <v>LIT</v>
      </c>
      <c r="D384" s="3" t="str">
        <f>CALC_GAMES_BASE!D384</f>
        <v>KVA</v>
      </c>
      <c r="E384" s="7">
        <f>CALC_GAMES_BASE!E384</f>
        <v>1</v>
      </c>
      <c r="F384" s="6" t="str">
        <f>CALC_GAMES_BASE!N384</f>
        <v/>
      </c>
      <c r="G384" s="7">
        <f>CALC_GAMES_BASE!K384</f>
        <v>-2</v>
      </c>
      <c r="H384" s="7">
        <f t="shared" si="5"/>
        <v>0</v>
      </c>
      <c r="I384" s="6">
        <f>IF(H384=1,
  F384,
  G384*PARAMETRY!$B$11)</f>
        <v>-0.1</v>
      </c>
      <c r="J384" s="6">
        <f>CALC_GAMES_BASE!U384-CALC_GAMES_BASE!V384</f>
        <v>-7.297771672771676E-2</v>
      </c>
      <c r="K384" s="6">
        <f>_xlfn.XLOOKUP(CALC_GAMES_BASE!W384,
  CALC_GOALIES!B:B,
  CALC_GOALIES!K:K)</f>
        <v>-4.9010888963920696E-3</v>
      </c>
      <c r="L384" s="6">
        <f>_xlfn.XLOOKUP(C384,CALC_TEAMS_SEASON!B:B,CALC_TEAMS_SEASON!L:L)</f>
        <v>-1.4784467787114848</v>
      </c>
      <c r="M384">
        <f>IF(CALC_GAMES_BASE!Z384="RS",1,1.2)</f>
        <v>1</v>
      </c>
      <c r="N384">
        <f xml:space="preserve"> CALC_GAMES_BASE!Y384</f>
        <v>0</v>
      </c>
    </row>
    <row r="385" spans="1:14" x14ac:dyDescent="0.25">
      <c r="A385" t="str">
        <f>CALC_GAMES_BASE!A385</f>
        <v>25/26</v>
      </c>
      <c r="B385" s="3">
        <f>CALC_GAMES_BASE!B385</f>
        <v>45991</v>
      </c>
      <c r="C385" s="3" t="str">
        <f>CALC_GAMES_BASE!C385</f>
        <v>MBL</v>
      </c>
      <c r="D385" s="3" t="str">
        <f>CALC_GAMES_BASE!D385</f>
        <v>KOM</v>
      </c>
      <c r="E385" s="7">
        <f>CALC_GAMES_BASE!E385</f>
        <v>1</v>
      </c>
      <c r="F385" s="6">
        <f>CALC_GAMES_BASE!N385</f>
        <v>-1.4000000000000004</v>
      </c>
      <c r="G385" s="7">
        <f>CALC_GAMES_BASE!K385</f>
        <v>-9</v>
      </c>
      <c r="H385" s="7">
        <f t="shared" si="5"/>
        <v>1</v>
      </c>
      <c r="I385" s="6">
        <f>IF(H385=1,
  F385,
  G385*PARAMETRY!$B$11)</f>
        <v>-1.4000000000000004</v>
      </c>
      <c r="J385" s="6">
        <f>CALC_GAMES_BASE!U385-CALC_GAMES_BASE!V385</f>
        <v>-2.53205128205128E-2</v>
      </c>
      <c r="K385" s="6">
        <f>_xlfn.XLOOKUP(CALC_GAMES_BASE!W385,
  CALC_GOALIES!B:B,
  CALC_GOALIES!K:K)</f>
        <v>1.9185678814779616E-2</v>
      </c>
      <c r="L385" s="6">
        <f>_xlfn.XLOOKUP(C385,CALC_TEAMS_SEASON!B:B,CALC_TEAMS_SEASON!L:L)</f>
        <v>-0.89069677871148467</v>
      </c>
      <c r="M385">
        <f>IF(CALC_GAMES_BASE!Z385="RS",1,1.2)</f>
        <v>1</v>
      </c>
      <c r="N385">
        <f xml:space="preserve"> CALC_GAMES_BASE!Y385</f>
        <v>0</v>
      </c>
    </row>
    <row r="386" spans="1:14" x14ac:dyDescent="0.25">
      <c r="A386" t="str">
        <f>CALC_GAMES_BASE!A386</f>
        <v>25/26</v>
      </c>
      <c r="B386" s="3">
        <f>CALC_GAMES_BASE!B386</f>
        <v>45991</v>
      </c>
      <c r="C386" s="3" t="str">
        <f>CALC_GAMES_BASE!C386</f>
        <v>MHK</v>
      </c>
      <c r="D386" s="3" t="str">
        <f>CALC_GAMES_BASE!D386</f>
        <v>CEB</v>
      </c>
      <c r="E386" s="7">
        <f>CALC_GAMES_BASE!E386</f>
        <v>1</v>
      </c>
      <c r="F386" s="6" t="str">
        <f>CALC_GAMES_BASE!N386</f>
        <v/>
      </c>
      <c r="G386" s="7">
        <f>CALC_GAMES_BASE!K386</f>
        <v>13</v>
      </c>
      <c r="H386" s="7">
        <f t="shared" si="5"/>
        <v>0</v>
      </c>
      <c r="I386" s="6">
        <f>IF(H386=1,
  F386,
  G386*PARAMETRY!$B$11)</f>
        <v>0.65</v>
      </c>
      <c r="J386" s="6">
        <f>CALC_GAMES_BASE!U386-CALC_GAMES_BASE!V386</f>
        <v>1.1636280386280395E-2</v>
      </c>
      <c r="K386" s="6">
        <f>_xlfn.XLOOKUP(CALC_GAMES_BASE!W386,
  CALC_GOALIES!B:B,
  CALC_GOALIES!K:K)</f>
        <v>-6.4024499913341248E-2</v>
      </c>
      <c r="L386" s="6">
        <f>_xlfn.XLOOKUP(C386,CALC_TEAMS_SEASON!B:B,CALC_TEAMS_SEASON!L:L)</f>
        <v>0.14821988795518207</v>
      </c>
      <c r="M386">
        <f>IF(CALC_GAMES_BASE!Z386="RS",1,1.2)</f>
        <v>1</v>
      </c>
      <c r="N386">
        <f xml:space="preserve"> CALC_GAMES_BASE!Y386</f>
        <v>1</v>
      </c>
    </row>
    <row r="387" spans="1:14" x14ac:dyDescent="0.25">
      <c r="A387" t="str">
        <f>CALC_GAMES_BASE!A387</f>
        <v>25/26</v>
      </c>
      <c r="B387" s="3">
        <f>CALC_GAMES_BASE!B387</f>
        <v>45991</v>
      </c>
      <c r="C387" s="3" t="str">
        <f>CALC_GAMES_BASE!C387</f>
        <v>OLO</v>
      </c>
      <c r="D387" s="3" t="str">
        <f>CALC_GAMES_BASE!D387</f>
        <v>PLZ</v>
      </c>
      <c r="E387" s="7">
        <f>CALC_GAMES_BASE!E387</f>
        <v>1</v>
      </c>
      <c r="F387" s="6" t="str">
        <f>CALC_GAMES_BASE!N387</f>
        <v/>
      </c>
      <c r="G387" s="7">
        <f>CALC_GAMES_BASE!K387</f>
        <v>2</v>
      </c>
      <c r="H387" s="7">
        <f t="shared" ref="H387:H450" si="6">IF(F387&lt;&gt;"",1,0)</f>
        <v>0</v>
      </c>
      <c r="I387" s="6">
        <f>IF(H387=1,
  F387,
  G387*PARAMETRY!$B$11)</f>
        <v>0.1</v>
      </c>
      <c r="J387" s="6">
        <f>CALC_GAMES_BASE!U387-CALC_GAMES_BASE!V387</f>
        <v>-2.6518620268620202E-2</v>
      </c>
      <c r="K387" s="6">
        <f>_xlfn.XLOOKUP(CALC_GAMES_BASE!W387,
  CALC_GOALIES!B:B,
  CALC_GOALIES!K:K)</f>
        <v>4.4713327207696052E-3</v>
      </c>
      <c r="L387" s="6">
        <f>_xlfn.XLOOKUP(C387,CALC_TEAMS_SEASON!B:B,CALC_TEAMS_SEASON!L:L)</f>
        <v>-1.0613217787114846</v>
      </c>
      <c r="M387">
        <f>IF(CALC_GAMES_BASE!Z387="RS",1,1.2)</f>
        <v>1</v>
      </c>
      <c r="N387">
        <f xml:space="preserve"> CALC_GAMES_BASE!Y387</f>
        <v>1</v>
      </c>
    </row>
    <row r="388" spans="1:14" x14ac:dyDescent="0.25">
      <c r="A388" t="str">
        <f>CALC_GAMES_BASE!A388</f>
        <v>25/26</v>
      </c>
      <c r="B388" s="3">
        <f>CALC_GAMES_BASE!B388</f>
        <v>45991</v>
      </c>
      <c r="C388" s="3" t="str">
        <f>CALC_GAMES_BASE!C388</f>
        <v>PLZ</v>
      </c>
      <c r="D388" s="3" t="str">
        <f>CALC_GAMES_BASE!D388</f>
        <v>OLO</v>
      </c>
      <c r="E388" s="7">
        <f>CALC_GAMES_BASE!E388</f>
        <v>0</v>
      </c>
      <c r="F388" s="6" t="str">
        <f>CALC_GAMES_BASE!N388</f>
        <v/>
      </c>
      <c r="G388" s="7">
        <f>CALC_GAMES_BASE!K388</f>
        <v>-2</v>
      </c>
      <c r="H388" s="7">
        <f t="shared" si="6"/>
        <v>0</v>
      </c>
      <c r="I388" s="6">
        <f>IF(H388=1,
  F388,
  G388*PARAMETRY!$B$11)</f>
        <v>-0.1</v>
      </c>
      <c r="J388" s="6">
        <f>CALC_GAMES_BASE!U388-CALC_GAMES_BASE!V388</f>
        <v>2.6518620268620202E-2</v>
      </c>
      <c r="K388" s="6">
        <f>_xlfn.XLOOKUP(CALC_GAMES_BASE!W388,
  CALC_GOALIES!B:B,
  CALC_GOALIES!K:K)</f>
        <v>1.7617039556646619E-2</v>
      </c>
      <c r="L388" s="6">
        <f>_xlfn.XLOOKUP(C388,CALC_TEAMS_SEASON!B:B,CALC_TEAMS_SEASON!L:L)</f>
        <v>7.3678221288515283E-2</v>
      </c>
      <c r="M388">
        <f>IF(CALC_GAMES_BASE!Z388="RS",1,1.2)</f>
        <v>1</v>
      </c>
      <c r="N388">
        <f xml:space="preserve"> CALC_GAMES_BASE!Y388</f>
        <v>0</v>
      </c>
    </row>
    <row r="389" spans="1:14" x14ac:dyDescent="0.25">
      <c r="A389" t="str">
        <f>CALC_GAMES_BASE!A389</f>
        <v>25/26</v>
      </c>
      <c r="B389" s="3">
        <f>CALC_GAMES_BASE!B389</f>
        <v>45991</v>
      </c>
      <c r="C389" s="3" t="str">
        <f>CALC_GAMES_BASE!C389</f>
        <v>VIT</v>
      </c>
      <c r="D389" s="3" t="str">
        <f>CALC_GAMES_BASE!D389</f>
        <v>KLA</v>
      </c>
      <c r="E389" s="7">
        <f>CALC_GAMES_BASE!E389</f>
        <v>1</v>
      </c>
      <c r="F389" s="6" t="str">
        <f>CALC_GAMES_BASE!N389</f>
        <v/>
      </c>
      <c r="G389" s="7">
        <f>CALC_GAMES_BASE!K389</f>
        <v>17</v>
      </c>
      <c r="H389" s="7">
        <f t="shared" si="6"/>
        <v>0</v>
      </c>
      <c r="I389" s="6">
        <f>IF(H389=1,
  F389,
  G389*PARAMETRY!$B$11)</f>
        <v>0.85000000000000009</v>
      </c>
      <c r="J389" s="6">
        <f>CALC_GAMES_BASE!U389-CALC_GAMES_BASE!V389</f>
        <v>3.8644688644688702E-2</v>
      </c>
      <c r="K389" s="6">
        <f>_xlfn.XLOOKUP(CALC_GAMES_BASE!W389,
  CALC_GOALIES!B:B,
  CALC_GOALIES!K:K)</f>
        <v>1.905487900993541E-3</v>
      </c>
      <c r="L389" s="6">
        <f>_xlfn.XLOOKUP(C389,CALC_TEAMS_SEASON!B:B,CALC_TEAMS_SEASON!L:L)</f>
        <v>-1.0281967787114845</v>
      </c>
      <c r="M389">
        <f>IF(CALC_GAMES_BASE!Z389="RS",1,1.2)</f>
        <v>1</v>
      </c>
      <c r="N389">
        <f xml:space="preserve"> CALC_GAMES_BASE!Y389</f>
        <v>0</v>
      </c>
    </row>
    <row r="390" spans="1:14" x14ac:dyDescent="0.25">
      <c r="A390" t="str">
        <f>CALC_GAMES_BASE!A390</f>
        <v>25/26</v>
      </c>
      <c r="B390" s="3">
        <f>CALC_GAMES_BASE!B390</f>
        <v>45994</v>
      </c>
      <c r="C390" s="3" t="str">
        <f>CALC_GAMES_BASE!C390</f>
        <v>TRI</v>
      </c>
      <c r="D390" s="3" t="str">
        <f>CALC_GAMES_BASE!D390</f>
        <v>MHK</v>
      </c>
      <c r="E390" s="7">
        <f>CALC_GAMES_BASE!E390</f>
        <v>1</v>
      </c>
      <c r="F390" s="6">
        <f>CALC_GAMES_BASE!N390</f>
        <v>0.58999999999999986</v>
      </c>
      <c r="G390" s="7">
        <f>CALC_GAMES_BASE!K390</f>
        <v>14</v>
      </c>
      <c r="H390" s="7">
        <f t="shared" si="6"/>
        <v>1</v>
      </c>
      <c r="I390" s="6">
        <f>IF(H390=1,
  F390,
  G390*PARAMETRY!$B$11)</f>
        <v>0.58999999999999986</v>
      </c>
      <c r="J390" s="6">
        <f>CALC_GAMES_BASE!U390-CALC_GAMES_BASE!V390</f>
        <v>3.2524420024420048E-2</v>
      </c>
      <c r="K390" s="6">
        <f>_xlfn.XLOOKUP(CALC_GAMES_BASE!W390,
  CALC_GOALIES!B:B,
  CALC_GOALIES!K:K)</f>
        <v>-1.9657016882340561E-2</v>
      </c>
      <c r="L390" s="6">
        <f>_xlfn.XLOOKUP(C390,CALC_TEAMS_SEASON!B:B,CALC_TEAMS_SEASON!L:L)</f>
        <v>0.10805322128851533</v>
      </c>
      <c r="M390">
        <f>IF(CALC_GAMES_BASE!Z390="RS",1,1.2)</f>
        <v>1</v>
      </c>
      <c r="N390">
        <f xml:space="preserve"> CALC_GAMES_BASE!Y390</f>
        <v>1</v>
      </c>
    </row>
    <row r="391" spans="1:14" x14ac:dyDescent="0.25">
      <c r="A391" t="str">
        <f>CALC_GAMES_BASE!A391</f>
        <v>25/26</v>
      </c>
      <c r="B391" s="3">
        <f>CALC_GAMES_BASE!B391</f>
        <v>45994</v>
      </c>
      <c r="C391" s="3" t="str">
        <f>CALC_GAMES_BASE!C391</f>
        <v>MHK</v>
      </c>
      <c r="D391" s="3" t="str">
        <f>CALC_GAMES_BASE!D391</f>
        <v>TRI</v>
      </c>
      <c r="E391" s="7">
        <f>CALC_GAMES_BASE!E391</f>
        <v>0</v>
      </c>
      <c r="F391" s="6">
        <f>CALC_GAMES_BASE!N391</f>
        <v>-0.58999999999999986</v>
      </c>
      <c r="G391" s="7">
        <f>CALC_GAMES_BASE!K391</f>
        <v>-14</v>
      </c>
      <c r="H391" s="7">
        <f t="shared" si="6"/>
        <v>1</v>
      </c>
      <c r="I391" s="6">
        <f>IF(H391=1,
  F391,
  G391*PARAMETRY!$B$11)</f>
        <v>-0.58999999999999986</v>
      </c>
      <c r="J391" s="6">
        <f>CALC_GAMES_BASE!U391-CALC_GAMES_BASE!V391</f>
        <v>-3.2524420024420048E-2</v>
      </c>
      <c r="K391" s="6">
        <f>_xlfn.XLOOKUP(CALC_GAMES_BASE!W391,
  CALC_GOALIES!B:B,
  CALC_GOALIES!K:K)</f>
        <v>-6.4024499913341248E-2</v>
      </c>
      <c r="L391" s="6">
        <f>_xlfn.XLOOKUP(C391,CALC_TEAMS_SEASON!B:B,CALC_TEAMS_SEASON!L:L)</f>
        <v>0.14821988795518207</v>
      </c>
      <c r="M391">
        <f>IF(CALC_GAMES_BASE!Z391="RS",1,1.2)</f>
        <v>1</v>
      </c>
      <c r="N391">
        <f xml:space="preserve"> CALC_GAMES_BASE!Y391</f>
        <v>0</v>
      </c>
    </row>
    <row r="392" spans="1:14" x14ac:dyDescent="0.25">
      <c r="A392" t="str">
        <f>CALC_GAMES_BASE!A392</f>
        <v>25/26</v>
      </c>
      <c r="B392" s="3">
        <f>CALC_GAMES_BASE!B392</f>
        <v>45994</v>
      </c>
      <c r="C392" s="3" t="str">
        <f>CALC_GAMES_BASE!C392</f>
        <v>OLO</v>
      </c>
      <c r="D392" s="3" t="str">
        <f>CALC_GAMES_BASE!D392</f>
        <v>VIT</v>
      </c>
      <c r="E392" s="7">
        <f>CALC_GAMES_BASE!E392</f>
        <v>0</v>
      </c>
      <c r="F392" s="6" t="str">
        <f>CALC_GAMES_BASE!N392</f>
        <v/>
      </c>
      <c r="G392" s="7">
        <f>CALC_GAMES_BASE!K392</f>
        <v>-18</v>
      </c>
      <c r="H392" s="7">
        <f t="shared" si="6"/>
        <v>0</v>
      </c>
      <c r="I392" s="6">
        <f>IF(H392=1,
  F392,
  G392*PARAMETRY!$B$11)</f>
        <v>-0.9</v>
      </c>
      <c r="J392" s="6">
        <f>CALC_GAMES_BASE!U392-CALC_GAMES_BASE!V392</f>
        <v>-1.9955738705738718E-2</v>
      </c>
      <c r="K392" s="6">
        <f>_xlfn.XLOOKUP(CALC_GAMES_BASE!W392,
  CALC_GOALIES!B:B,
  CALC_GOALIES!K:K)</f>
        <v>4.4713327207696052E-3</v>
      </c>
      <c r="L392" s="6">
        <f>_xlfn.XLOOKUP(C392,CALC_TEAMS_SEASON!B:B,CALC_TEAMS_SEASON!L:L)</f>
        <v>-1.0613217787114846</v>
      </c>
      <c r="M392">
        <f>IF(CALC_GAMES_BASE!Z392="RS",1,1.2)</f>
        <v>1</v>
      </c>
      <c r="N392">
        <f xml:space="preserve"> CALC_GAMES_BASE!Y392</f>
        <v>1</v>
      </c>
    </row>
    <row r="393" spans="1:14" x14ac:dyDescent="0.25">
      <c r="A393" t="str">
        <f>CALC_GAMES_BASE!A393</f>
        <v>25/26</v>
      </c>
      <c r="B393" s="3">
        <f>CALC_GAMES_BASE!B393</f>
        <v>45994</v>
      </c>
      <c r="C393" s="3" t="str">
        <f>CALC_GAMES_BASE!C393</f>
        <v>VIT</v>
      </c>
      <c r="D393" s="3" t="str">
        <f>CALC_GAMES_BASE!D393</f>
        <v>OLO</v>
      </c>
      <c r="E393" s="7">
        <f>CALC_GAMES_BASE!E393</f>
        <v>1</v>
      </c>
      <c r="F393" s="6" t="str">
        <f>CALC_GAMES_BASE!N393</f>
        <v/>
      </c>
      <c r="G393" s="7">
        <f>CALC_GAMES_BASE!K393</f>
        <v>18</v>
      </c>
      <c r="H393" s="7">
        <f t="shared" si="6"/>
        <v>0</v>
      </c>
      <c r="I393" s="6">
        <f>IF(H393=1,
  F393,
  G393*PARAMETRY!$B$11)</f>
        <v>0.9</v>
      </c>
      <c r="J393" s="6">
        <f>CALC_GAMES_BASE!U393-CALC_GAMES_BASE!V393</f>
        <v>1.9955738705738718E-2</v>
      </c>
      <c r="K393" s="6">
        <f>_xlfn.XLOOKUP(CALC_GAMES_BASE!W393,
  CALC_GOALIES!B:B,
  CALC_GOALIES!K:K)</f>
        <v>-4.0156231301455403E-2</v>
      </c>
      <c r="L393" s="6">
        <f>_xlfn.XLOOKUP(C393,CALC_TEAMS_SEASON!B:B,CALC_TEAMS_SEASON!L:L)</f>
        <v>-1.0281967787114845</v>
      </c>
      <c r="M393">
        <f>IF(CALC_GAMES_BASE!Z393="RS",1,1.2)</f>
        <v>1</v>
      </c>
      <c r="N393">
        <f xml:space="preserve"> CALC_GAMES_BASE!Y393</f>
        <v>0</v>
      </c>
    </row>
    <row r="394" spans="1:14" x14ac:dyDescent="0.25">
      <c r="A394" t="str">
        <f>CALC_GAMES_BASE!A394</f>
        <v>25/26</v>
      </c>
      <c r="B394" s="3">
        <f>CALC_GAMES_BASE!B394</f>
        <v>45996</v>
      </c>
      <c r="C394" s="3" t="str">
        <f>CALC_GAMES_BASE!C394</f>
        <v>PCE</v>
      </c>
      <c r="D394" s="3" t="str">
        <f>CALC_GAMES_BASE!D394</f>
        <v>MBL</v>
      </c>
      <c r="E394" s="7">
        <f>CALC_GAMES_BASE!E394</f>
        <v>1</v>
      </c>
      <c r="F394" s="6">
        <f>CALC_GAMES_BASE!N394</f>
        <v>0.91000000000000014</v>
      </c>
      <c r="G394" s="7">
        <f>CALC_GAMES_BASE!K394</f>
        <v>16</v>
      </c>
      <c r="H394" s="7">
        <f t="shared" si="6"/>
        <v>1</v>
      </c>
      <c r="I394" s="6">
        <f>IF(H394=1,
  F394,
  G394*PARAMETRY!$B$11)</f>
        <v>0.91000000000000014</v>
      </c>
      <c r="J394" s="6">
        <f>CALC_GAMES_BASE!U394-CALC_GAMES_BASE!V394</f>
        <v>8.4706959706959753E-2</v>
      </c>
      <c r="K394" s="6">
        <f>_xlfn.XLOOKUP(CALC_GAMES_BASE!W394,
  CALC_GOALIES!B:B,
  CALC_GOALIES!K:K)</f>
        <v>4.5881077393388203E-3</v>
      </c>
      <c r="L394" s="6">
        <f>_xlfn.XLOOKUP(C394,CALC_TEAMS_SEASON!B:B,CALC_TEAMS_SEASON!L:L)</f>
        <v>0.62437675070027965</v>
      </c>
      <c r="M394">
        <f>IF(CALC_GAMES_BASE!Z394="RS",1,1.2)</f>
        <v>1</v>
      </c>
      <c r="N394">
        <f xml:space="preserve"> CALC_GAMES_BASE!Y394</f>
        <v>1</v>
      </c>
    </row>
    <row r="395" spans="1:14" x14ac:dyDescent="0.25">
      <c r="A395" t="str">
        <f>CALC_GAMES_BASE!A395</f>
        <v>25/26</v>
      </c>
      <c r="B395" s="3">
        <f>CALC_GAMES_BASE!B395</f>
        <v>45996</v>
      </c>
      <c r="C395" s="3" t="str">
        <f>CALC_GAMES_BASE!C395</f>
        <v>TRI</v>
      </c>
      <c r="D395" s="3" t="str">
        <f>CALC_GAMES_BASE!D395</f>
        <v>LIB</v>
      </c>
      <c r="E395" s="7">
        <f>CALC_GAMES_BASE!E395</f>
        <v>1</v>
      </c>
      <c r="F395" s="6">
        <f>CALC_GAMES_BASE!N395</f>
        <v>1.1300000000000003</v>
      </c>
      <c r="G395" s="7">
        <f>CALC_GAMES_BASE!K395</f>
        <v>4</v>
      </c>
      <c r="H395" s="7">
        <f t="shared" si="6"/>
        <v>1</v>
      </c>
      <c r="I395" s="6">
        <f>IF(H395=1,
  F395,
  G395*PARAMETRY!$B$11)</f>
        <v>1.1300000000000003</v>
      </c>
      <c r="J395" s="6">
        <f>CALC_GAMES_BASE!U395-CALC_GAMES_BASE!V395</f>
        <v>3.0601343101343131E-2</v>
      </c>
      <c r="K395" s="6">
        <f>_xlfn.XLOOKUP(CALC_GAMES_BASE!W395,
  CALC_GOALIES!B:B,
  CALC_GOALIES!K:K)</f>
        <v>-1.9657016882340561E-2</v>
      </c>
      <c r="L395" s="6">
        <f>_xlfn.XLOOKUP(C395,CALC_TEAMS_SEASON!B:B,CALC_TEAMS_SEASON!L:L)</f>
        <v>0.10805322128851533</v>
      </c>
      <c r="M395">
        <f>IF(CALC_GAMES_BASE!Z395="RS",1,1.2)</f>
        <v>1</v>
      </c>
      <c r="N395">
        <f xml:space="preserve"> CALC_GAMES_BASE!Y395</f>
        <v>0</v>
      </c>
    </row>
    <row r="396" spans="1:14" x14ac:dyDescent="0.25">
      <c r="A396" t="str">
        <f>CALC_GAMES_BASE!A396</f>
        <v>25/26</v>
      </c>
      <c r="B396" s="3">
        <f>CALC_GAMES_BASE!B396</f>
        <v>45996</v>
      </c>
      <c r="C396" s="3" t="str">
        <f>CALC_GAMES_BASE!C396</f>
        <v>SPA</v>
      </c>
      <c r="D396" s="3" t="str">
        <f>CALC_GAMES_BASE!D396</f>
        <v>KOM</v>
      </c>
      <c r="E396" s="7">
        <f>CALC_GAMES_BASE!E396</f>
        <v>0</v>
      </c>
      <c r="F396" s="6">
        <f>CALC_GAMES_BASE!N396</f>
        <v>-1.5100000000000002</v>
      </c>
      <c r="G396" s="7">
        <f>CALC_GAMES_BASE!K396</f>
        <v>-2</v>
      </c>
      <c r="H396" s="7">
        <f t="shared" si="6"/>
        <v>1</v>
      </c>
      <c r="I396" s="6">
        <f>IF(H396=1,
  F396,
  G396*PARAMETRY!$B$11)</f>
        <v>-1.5100000000000002</v>
      </c>
      <c r="J396" s="6">
        <f>CALC_GAMES_BASE!U396-CALC_GAMES_BASE!V396</f>
        <v>7.7014652014652074E-2</v>
      </c>
      <c r="K396" s="6">
        <f>_xlfn.XLOOKUP(CALC_GAMES_BASE!W396,
  CALC_GOALIES!B:B,
  CALC_GOALIES!K:K)</f>
        <v>3.5919237922225067E-3</v>
      </c>
      <c r="L396" s="6">
        <f>_xlfn.XLOOKUP(C396,CALC_TEAMS_SEASON!B:B,CALC_TEAMS_SEASON!L:L)</f>
        <v>6.4376750700279955E-2</v>
      </c>
      <c r="M396">
        <f>IF(CALC_GAMES_BASE!Z396="RS",1,1.2)</f>
        <v>1</v>
      </c>
      <c r="N396">
        <f xml:space="preserve"> CALC_GAMES_BASE!Y396</f>
        <v>0</v>
      </c>
    </row>
    <row r="397" spans="1:14" x14ac:dyDescent="0.25">
      <c r="A397" t="str">
        <f>CALC_GAMES_BASE!A397</f>
        <v>25/26</v>
      </c>
      <c r="B397" s="3">
        <f>CALC_GAMES_BASE!B397</f>
        <v>45996</v>
      </c>
      <c r="C397" s="3" t="str">
        <f>CALC_GAMES_BASE!C397</f>
        <v>KOM</v>
      </c>
      <c r="D397" s="3" t="str">
        <f>CALC_GAMES_BASE!D397</f>
        <v>SPA</v>
      </c>
      <c r="E397" s="7">
        <f>CALC_GAMES_BASE!E397</f>
        <v>1</v>
      </c>
      <c r="F397" s="6">
        <f>CALC_GAMES_BASE!N397</f>
        <v>1.5100000000000002</v>
      </c>
      <c r="G397" s="7">
        <f>CALC_GAMES_BASE!K397</f>
        <v>2</v>
      </c>
      <c r="H397" s="7">
        <f t="shared" si="6"/>
        <v>1</v>
      </c>
      <c r="I397" s="6">
        <f>IF(H397=1,
  F397,
  G397*PARAMETRY!$B$11)</f>
        <v>1.5100000000000002</v>
      </c>
      <c r="J397" s="6">
        <f>CALC_GAMES_BASE!U397-CALC_GAMES_BASE!V397</f>
        <v>-7.7014652014652074E-2</v>
      </c>
      <c r="K397" s="6">
        <f>_xlfn.XLOOKUP(CALC_GAMES_BASE!W397,
  CALC_GOALIES!B:B,
  CALC_GOALIES!K:K)</f>
        <v>-1.5147095063735572E-3</v>
      </c>
      <c r="L397" s="6">
        <f>_xlfn.XLOOKUP(C397,CALC_TEAMS_SEASON!B:B,CALC_TEAMS_SEASON!L:L)</f>
        <v>-0.37268207282913179</v>
      </c>
      <c r="M397">
        <f>IF(CALC_GAMES_BASE!Z397="RS",1,1.2)</f>
        <v>1</v>
      </c>
      <c r="N397">
        <f xml:space="preserve"> CALC_GAMES_BASE!Y397</f>
        <v>1</v>
      </c>
    </row>
    <row r="398" spans="1:14" x14ac:dyDescent="0.25">
      <c r="A398" t="str">
        <f>CALC_GAMES_BASE!A398</f>
        <v>25/26</v>
      </c>
      <c r="B398" s="3">
        <f>CALC_GAMES_BASE!B398</f>
        <v>45996</v>
      </c>
      <c r="C398" s="3" t="str">
        <f>CALC_GAMES_BASE!C398</f>
        <v>CEB</v>
      </c>
      <c r="D398" s="3" t="str">
        <f>CALC_GAMES_BASE!D398</f>
        <v>PLZ</v>
      </c>
      <c r="E398" s="7">
        <f>CALC_GAMES_BASE!E398</f>
        <v>0</v>
      </c>
      <c r="F398" s="6" t="str">
        <f>CALC_GAMES_BASE!N398</f>
        <v/>
      </c>
      <c r="G398" s="7">
        <f>CALC_GAMES_BASE!K398</f>
        <v>13</v>
      </c>
      <c r="H398" s="7">
        <f t="shared" si="6"/>
        <v>0</v>
      </c>
      <c r="I398" s="6">
        <f>IF(H398=1,
  F398,
  G398*PARAMETRY!$B$11)</f>
        <v>0.65</v>
      </c>
      <c r="J398" s="6">
        <f>CALC_GAMES_BASE!U398-CALC_GAMES_BASE!V398</f>
        <v>-4.619824619824614E-2</v>
      </c>
      <c r="K398" s="6">
        <f>_xlfn.XLOOKUP(CALC_GAMES_BASE!W398,
  CALC_GOALIES!B:B,
  CALC_GOALIES!K:K)</f>
        <v>-2.6902958554511747E-2</v>
      </c>
      <c r="L398" s="6">
        <f>_xlfn.XLOOKUP(C398,CALC_TEAMS_SEASON!B:B,CALC_TEAMS_SEASON!L:L)</f>
        <v>-0.24978011204481798</v>
      </c>
      <c r="M398">
        <f>IF(CALC_GAMES_BASE!Z398="RS",1,1.2)</f>
        <v>1</v>
      </c>
      <c r="N398">
        <f xml:space="preserve"> CALC_GAMES_BASE!Y398</f>
        <v>1</v>
      </c>
    </row>
    <row r="399" spans="1:14" x14ac:dyDescent="0.25">
      <c r="A399" t="str">
        <f>CALC_GAMES_BASE!A399</f>
        <v>25/26</v>
      </c>
      <c r="B399" s="3">
        <f>CALC_GAMES_BASE!B399</f>
        <v>45996</v>
      </c>
      <c r="C399" s="3" t="str">
        <f>CALC_GAMES_BASE!C399</f>
        <v>KLA</v>
      </c>
      <c r="D399" s="3" t="str">
        <f>CALC_GAMES_BASE!D399</f>
        <v>MHK</v>
      </c>
      <c r="E399" s="7">
        <f>CALC_GAMES_BASE!E399</f>
        <v>1</v>
      </c>
      <c r="F399" s="6" t="str">
        <f>CALC_GAMES_BASE!N399</f>
        <v/>
      </c>
      <c r="G399" s="7">
        <f>CALC_GAMES_BASE!K399</f>
        <v>11</v>
      </c>
      <c r="H399" s="7">
        <f t="shared" si="6"/>
        <v>0</v>
      </c>
      <c r="I399" s="6">
        <f>IF(H399=1,
  F399,
  G399*PARAMETRY!$B$11)</f>
        <v>0.55000000000000004</v>
      </c>
      <c r="J399" s="6">
        <f>CALC_GAMES_BASE!U399-CALC_GAMES_BASE!V399</f>
        <v>-1.0645604395604441E-2</v>
      </c>
      <c r="K399" s="6">
        <f>_xlfn.XLOOKUP(CALC_GAMES_BASE!W399,
  CALC_GOALIES!B:B,
  CALC_GOALIES!K:K)</f>
        <v>1.2463190300688209E-2</v>
      </c>
      <c r="L399" s="6">
        <f>_xlfn.XLOOKUP(C399,CALC_TEAMS_SEASON!B:B,CALC_TEAMS_SEASON!L:L)</f>
        <v>-0.19819677871148478</v>
      </c>
      <c r="M399">
        <f>IF(CALC_GAMES_BASE!Z399="RS",1,1.2)</f>
        <v>1</v>
      </c>
      <c r="N399">
        <f xml:space="preserve"> CALC_GAMES_BASE!Y399</f>
        <v>0</v>
      </c>
    </row>
    <row r="400" spans="1:14" x14ac:dyDescent="0.25">
      <c r="A400" t="str">
        <f>CALC_GAMES_BASE!A400</f>
        <v>25/26</v>
      </c>
      <c r="B400" s="3">
        <f>CALC_GAMES_BASE!B400</f>
        <v>45996</v>
      </c>
      <c r="C400" s="3" t="str">
        <f>CALC_GAMES_BASE!C400</f>
        <v>KVA</v>
      </c>
      <c r="D400" s="3" t="str">
        <f>CALC_GAMES_BASE!D400</f>
        <v>OLO</v>
      </c>
      <c r="E400" s="7">
        <f>CALC_GAMES_BASE!E400</f>
        <v>1</v>
      </c>
      <c r="F400" s="6" t="str">
        <f>CALC_GAMES_BASE!N400</f>
        <v/>
      </c>
      <c r="G400" s="7">
        <f>CALC_GAMES_BASE!K400</f>
        <v>7</v>
      </c>
      <c r="H400" s="7">
        <f t="shared" si="6"/>
        <v>0</v>
      </c>
      <c r="I400" s="6">
        <f>IF(H400=1,
  F400,
  G400*PARAMETRY!$B$11)</f>
        <v>0.35000000000000003</v>
      </c>
      <c r="J400" s="6">
        <f>CALC_GAMES_BASE!U400-CALC_GAMES_BASE!V400</f>
        <v>2.3977411477411475E-2</v>
      </c>
      <c r="K400" s="6">
        <f>_xlfn.XLOOKUP(CALC_GAMES_BASE!W400,
  CALC_GOALIES!B:B,
  CALC_GOALIES!K:K)</f>
        <v>1.2242809776983998E-2</v>
      </c>
      <c r="L400" s="6">
        <f>_xlfn.XLOOKUP(C400,CALC_TEAMS_SEASON!B:B,CALC_TEAMS_SEASON!L:L)</f>
        <v>-0.28757177871148476</v>
      </c>
      <c r="M400">
        <f>IF(CALC_GAMES_BASE!Z400="RS",1,1.2)</f>
        <v>1</v>
      </c>
      <c r="N400">
        <f xml:space="preserve"> CALC_GAMES_BASE!Y400</f>
        <v>1</v>
      </c>
    </row>
    <row r="401" spans="1:14" x14ac:dyDescent="0.25">
      <c r="A401" t="str">
        <f>CALC_GAMES_BASE!A401</f>
        <v>25/26</v>
      </c>
      <c r="B401" s="3">
        <f>CALC_GAMES_BASE!B401</f>
        <v>45996</v>
      </c>
      <c r="C401" s="3" t="str">
        <f>CALC_GAMES_BASE!C401</f>
        <v>LIB</v>
      </c>
      <c r="D401" s="3" t="str">
        <f>CALC_GAMES_BASE!D401</f>
        <v>TRI</v>
      </c>
      <c r="E401" s="7">
        <f>CALC_GAMES_BASE!E401</f>
        <v>0</v>
      </c>
      <c r="F401" s="6">
        <f>CALC_GAMES_BASE!N401</f>
        <v>-1.1300000000000003</v>
      </c>
      <c r="G401" s="7">
        <f>CALC_GAMES_BASE!K401</f>
        <v>-4</v>
      </c>
      <c r="H401" s="7">
        <f t="shared" si="6"/>
        <v>1</v>
      </c>
      <c r="I401" s="6">
        <f>IF(H401=1,
  F401,
  G401*PARAMETRY!$B$11)</f>
        <v>-1.1300000000000003</v>
      </c>
      <c r="J401" s="6">
        <f>CALC_GAMES_BASE!U401-CALC_GAMES_BASE!V401</f>
        <v>-3.0601343101343131E-2</v>
      </c>
      <c r="K401" s="6">
        <f>_xlfn.XLOOKUP(CALC_GAMES_BASE!W401,
  CALC_GOALIES!B:B,
  CALC_GOALIES!K:K)</f>
        <v>1.2275709048813366E-2</v>
      </c>
      <c r="L401" s="6">
        <f>_xlfn.XLOOKUP(C401,CALC_TEAMS_SEASON!B:B,CALC_TEAMS_SEASON!L:L)</f>
        <v>0.22367822128851536</v>
      </c>
      <c r="M401">
        <f>IF(CALC_GAMES_BASE!Z401="RS",1,1.2)</f>
        <v>1</v>
      </c>
      <c r="N401">
        <f xml:space="preserve"> CALC_GAMES_BASE!Y401</f>
        <v>1</v>
      </c>
    </row>
    <row r="402" spans="1:14" x14ac:dyDescent="0.25">
      <c r="A402" t="str">
        <f>CALC_GAMES_BASE!A402</f>
        <v>25/26</v>
      </c>
      <c r="B402" s="3">
        <f>CALC_GAMES_BASE!B402</f>
        <v>45996</v>
      </c>
      <c r="C402" s="3" t="str">
        <f>CALC_GAMES_BASE!C402</f>
        <v>LIT</v>
      </c>
      <c r="D402" s="3" t="str">
        <f>CALC_GAMES_BASE!D402</f>
        <v>VIT</v>
      </c>
      <c r="E402" s="7">
        <f>CALC_GAMES_BASE!E402</f>
        <v>1</v>
      </c>
      <c r="F402" s="6" t="str">
        <f>CALC_GAMES_BASE!N402</f>
        <v/>
      </c>
      <c r="G402" s="7">
        <f>CALC_GAMES_BASE!K402</f>
        <v>-4</v>
      </c>
      <c r="H402" s="7">
        <f t="shared" si="6"/>
        <v>0</v>
      </c>
      <c r="I402" s="6">
        <f>IF(H402=1,
  F402,
  G402*PARAMETRY!$B$11)</f>
        <v>-0.2</v>
      </c>
      <c r="J402" s="6">
        <f>CALC_GAMES_BASE!U402-CALC_GAMES_BASE!V402</f>
        <v>-6.8956043956044002E-2</v>
      </c>
      <c r="K402" s="6">
        <f>_xlfn.XLOOKUP(CALC_GAMES_BASE!W402,
  CALC_GOALIES!B:B,
  CALC_GOALIES!K:K)</f>
        <v>-8.1125178551773036E-3</v>
      </c>
      <c r="L402" s="6">
        <f>_xlfn.XLOOKUP(C402,CALC_TEAMS_SEASON!B:B,CALC_TEAMS_SEASON!L:L)</f>
        <v>-1.4784467787114848</v>
      </c>
      <c r="M402">
        <f>IF(CALC_GAMES_BASE!Z402="RS",1,1.2)</f>
        <v>1</v>
      </c>
      <c r="N402">
        <f xml:space="preserve"> CALC_GAMES_BASE!Y402</f>
        <v>0</v>
      </c>
    </row>
    <row r="403" spans="1:14" x14ac:dyDescent="0.25">
      <c r="A403" t="str">
        <f>CALC_GAMES_BASE!A403</f>
        <v>25/26</v>
      </c>
      <c r="B403" s="3">
        <f>CALC_GAMES_BASE!B403</f>
        <v>45996</v>
      </c>
      <c r="C403" s="3" t="str">
        <f>CALC_GAMES_BASE!C403</f>
        <v>MBL</v>
      </c>
      <c r="D403" s="3" t="str">
        <f>CALC_GAMES_BASE!D403</f>
        <v>PCE</v>
      </c>
      <c r="E403" s="7">
        <f>CALC_GAMES_BASE!E403</f>
        <v>0</v>
      </c>
      <c r="F403" s="6">
        <f>CALC_GAMES_BASE!N403</f>
        <v>-0.91000000000000014</v>
      </c>
      <c r="G403" s="7">
        <f>CALC_GAMES_BASE!K403</f>
        <v>-16</v>
      </c>
      <c r="H403" s="7">
        <f t="shared" si="6"/>
        <v>1</v>
      </c>
      <c r="I403" s="6">
        <f>IF(H403=1,
  F403,
  G403*PARAMETRY!$B$11)</f>
        <v>-0.91000000000000014</v>
      </c>
      <c r="J403" s="6">
        <f>CALC_GAMES_BASE!U403-CALC_GAMES_BASE!V403</f>
        <v>-8.4706959706959753E-2</v>
      </c>
      <c r="K403" s="6">
        <f>_xlfn.XLOOKUP(CALC_GAMES_BASE!W403,
  CALC_GOALIES!B:B,
  CALC_GOALIES!K:K)</f>
        <v>-4.4670611186142795E-3</v>
      </c>
      <c r="L403" s="6">
        <f>_xlfn.XLOOKUP(C403,CALC_TEAMS_SEASON!B:B,CALC_TEAMS_SEASON!L:L)</f>
        <v>-0.89069677871148467</v>
      </c>
      <c r="M403">
        <f>IF(CALC_GAMES_BASE!Z403="RS",1,1.2)</f>
        <v>1</v>
      </c>
      <c r="N403">
        <f xml:space="preserve"> CALC_GAMES_BASE!Y403</f>
        <v>0</v>
      </c>
    </row>
    <row r="404" spans="1:14" x14ac:dyDescent="0.25">
      <c r="A404" t="str">
        <f>CALC_GAMES_BASE!A404</f>
        <v>25/26</v>
      </c>
      <c r="B404" s="3">
        <f>CALC_GAMES_BASE!B404</f>
        <v>45996</v>
      </c>
      <c r="C404" s="3" t="str">
        <f>CALC_GAMES_BASE!C404</f>
        <v>MHK</v>
      </c>
      <c r="D404" s="3" t="str">
        <f>CALC_GAMES_BASE!D404</f>
        <v>KLA</v>
      </c>
      <c r="E404" s="7">
        <f>CALC_GAMES_BASE!E404</f>
        <v>0</v>
      </c>
      <c r="F404" s="6" t="str">
        <f>CALC_GAMES_BASE!N404</f>
        <v/>
      </c>
      <c r="G404" s="7">
        <f>CALC_GAMES_BASE!K404</f>
        <v>-11</v>
      </c>
      <c r="H404" s="7">
        <f t="shared" si="6"/>
        <v>0</v>
      </c>
      <c r="I404" s="6">
        <f>IF(H404=1,
  F404,
  G404*PARAMETRY!$B$11)</f>
        <v>-0.55000000000000004</v>
      </c>
      <c r="J404" s="6">
        <f>CALC_GAMES_BASE!U404-CALC_GAMES_BASE!V404</f>
        <v>1.0645604395604441E-2</v>
      </c>
      <c r="K404" s="6">
        <f>_xlfn.XLOOKUP(CALC_GAMES_BASE!W404,
  CALC_GOALIES!B:B,
  CALC_GOALIES!K:K)</f>
        <v>-4.0190324447791914E-3</v>
      </c>
      <c r="L404" s="6">
        <f>_xlfn.XLOOKUP(C404,CALC_TEAMS_SEASON!B:B,CALC_TEAMS_SEASON!L:L)</f>
        <v>0.14821988795518207</v>
      </c>
      <c r="M404">
        <f>IF(CALC_GAMES_BASE!Z404="RS",1,1.2)</f>
        <v>1</v>
      </c>
      <c r="N404">
        <f xml:space="preserve"> CALC_GAMES_BASE!Y404</f>
        <v>1</v>
      </c>
    </row>
    <row r="405" spans="1:14" x14ac:dyDescent="0.25">
      <c r="A405" t="str">
        <f>CALC_GAMES_BASE!A405</f>
        <v>25/26</v>
      </c>
      <c r="B405" s="3">
        <f>CALC_GAMES_BASE!B405</f>
        <v>45996</v>
      </c>
      <c r="C405" s="3" t="str">
        <f>CALC_GAMES_BASE!C405</f>
        <v>OLO</v>
      </c>
      <c r="D405" s="3" t="str">
        <f>CALC_GAMES_BASE!D405</f>
        <v>KVA</v>
      </c>
      <c r="E405" s="7">
        <f>CALC_GAMES_BASE!E405</f>
        <v>0</v>
      </c>
      <c r="F405" s="6" t="str">
        <f>CALC_GAMES_BASE!N405</f>
        <v/>
      </c>
      <c r="G405" s="7">
        <f>CALC_GAMES_BASE!K405</f>
        <v>-7</v>
      </c>
      <c r="H405" s="7">
        <f t="shared" si="6"/>
        <v>0</v>
      </c>
      <c r="I405" s="6">
        <f>IF(H405=1,
  F405,
  G405*PARAMETRY!$B$11)</f>
        <v>-0.35000000000000003</v>
      </c>
      <c r="J405" s="6">
        <f>CALC_GAMES_BASE!U405-CALC_GAMES_BASE!V405</f>
        <v>-2.3977411477411475E-2</v>
      </c>
      <c r="K405" s="6">
        <f>_xlfn.XLOOKUP(CALC_GAMES_BASE!W405,
  CALC_GOALIES!B:B,
  CALC_GOALIES!K:K)</f>
        <v>-2.0326878807700233E-2</v>
      </c>
      <c r="L405" s="6">
        <f>_xlfn.XLOOKUP(C405,CALC_TEAMS_SEASON!B:B,CALC_TEAMS_SEASON!L:L)</f>
        <v>-1.0613217787114846</v>
      </c>
      <c r="M405">
        <f>IF(CALC_GAMES_BASE!Z405="RS",1,1.2)</f>
        <v>1</v>
      </c>
      <c r="N405">
        <f xml:space="preserve"> CALC_GAMES_BASE!Y405</f>
        <v>0</v>
      </c>
    </row>
    <row r="406" spans="1:14" x14ac:dyDescent="0.25">
      <c r="A406" t="str">
        <f>CALC_GAMES_BASE!A406</f>
        <v>25/26</v>
      </c>
      <c r="B406" s="3">
        <f>CALC_GAMES_BASE!B406</f>
        <v>45996</v>
      </c>
      <c r="C406" s="3" t="str">
        <f>CALC_GAMES_BASE!C406</f>
        <v>PLZ</v>
      </c>
      <c r="D406" s="3" t="str">
        <f>CALC_GAMES_BASE!D406</f>
        <v>CEB</v>
      </c>
      <c r="E406" s="7">
        <f>CALC_GAMES_BASE!E406</f>
        <v>1</v>
      </c>
      <c r="F406" s="6" t="str">
        <f>CALC_GAMES_BASE!N406</f>
        <v/>
      </c>
      <c r="G406" s="7">
        <f>CALC_GAMES_BASE!K406</f>
        <v>-13</v>
      </c>
      <c r="H406" s="7">
        <f t="shared" si="6"/>
        <v>0</v>
      </c>
      <c r="I406" s="6">
        <f>IF(H406=1,
  F406,
  G406*PARAMETRY!$B$11)</f>
        <v>-0.65</v>
      </c>
      <c r="J406" s="6">
        <f>CALC_GAMES_BASE!U406-CALC_GAMES_BASE!V406</f>
        <v>4.619824619824614E-2</v>
      </c>
      <c r="K406" s="6">
        <f>_xlfn.XLOOKUP(CALC_GAMES_BASE!W406,
  CALC_GOALIES!B:B,
  CALC_GOALIES!K:K)</f>
        <v>1.7617039556646619E-2</v>
      </c>
      <c r="L406" s="6">
        <f>_xlfn.XLOOKUP(C406,CALC_TEAMS_SEASON!B:B,CALC_TEAMS_SEASON!L:L)</f>
        <v>7.3678221288515283E-2</v>
      </c>
      <c r="M406">
        <f>IF(CALC_GAMES_BASE!Z406="RS",1,1.2)</f>
        <v>1</v>
      </c>
      <c r="N406">
        <f xml:space="preserve"> CALC_GAMES_BASE!Y406</f>
        <v>0</v>
      </c>
    </row>
    <row r="407" spans="1:14" x14ac:dyDescent="0.25">
      <c r="A407" t="str">
        <f>CALC_GAMES_BASE!A407</f>
        <v>25/26</v>
      </c>
      <c r="B407" s="3">
        <f>CALC_GAMES_BASE!B407</f>
        <v>45996</v>
      </c>
      <c r="C407" s="3" t="str">
        <f>CALC_GAMES_BASE!C407</f>
        <v>VIT</v>
      </c>
      <c r="D407" s="3" t="str">
        <f>CALC_GAMES_BASE!D407</f>
        <v>LIT</v>
      </c>
      <c r="E407" s="7">
        <f>CALC_GAMES_BASE!E407</f>
        <v>0</v>
      </c>
      <c r="F407" s="6" t="str">
        <f>CALC_GAMES_BASE!N407</f>
        <v/>
      </c>
      <c r="G407" s="7">
        <f>CALC_GAMES_BASE!K407</f>
        <v>4</v>
      </c>
      <c r="H407" s="7">
        <f t="shared" si="6"/>
        <v>0</v>
      </c>
      <c r="I407" s="6">
        <f>IF(H407=1,
  F407,
  G407*PARAMETRY!$B$11)</f>
        <v>0.2</v>
      </c>
      <c r="J407" s="6">
        <f>CALC_GAMES_BASE!U407-CALC_GAMES_BASE!V407</f>
        <v>6.8956043956044002E-2</v>
      </c>
      <c r="K407" s="6">
        <f>_xlfn.XLOOKUP(CALC_GAMES_BASE!W407,
  CALC_GOALIES!B:B,
  CALC_GOALIES!K:K)</f>
        <v>1.905487900993541E-3</v>
      </c>
      <c r="L407" s="6">
        <f>_xlfn.XLOOKUP(C407,CALC_TEAMS_SEASON!B:B,CALC_TEAMS_SEASON!L:L)</f>
        <v>-1.0281967787114845</v>
      </c>
      <c r="M407">
        <f>IF(CALC_GAMES_BASE!Z407="RS",1,1.2)</f>
        <v>1</v>
      </c>
      <c r="N407">
        <f xml:space="preserve"> CALC_GAMES_BASE!Y407</f>
        <v>1</v>
      </c>
    </row>
    <row r="408" spans="1:14" x14ac:dyDescent="0.25">
      <c r="A408" t="str">
        <f>CALC_GAMES_BASE!A408</f>
        <v>25/26</v>
      </c>
      <c r="B408" s="3">
        <f>CALC_GAMES_BASE!B408</f>
        <v>45998</v>
      </c>
      <c r="C408" s="3" t="str">
        <f>CALC_GAMES_BASE!C408</f>
        <v>PCE</v>
      </c>
      <c r="D408" s="3" t="str">
        <f>CALC_GAMES_BASE!D408</f>
        <v>CEB</v>
      </c>
      <c r="E408" s="7">
        <f>CALC_GAMES_BASE!E408</f>
        <v>0</v>
      </c>
      <c r="F408" s="6">
        <f>CALC_GAMES_BASE!N408</f>
        <v>4.0000000000000036E-2</v>
      </c>
      <c r="G408" s="7">
        <f>CALC_GAMES_BASE!K408</f>
        <v>-1</v>
      </c>
      <c r="H408" s="7">
        <f t="shared" si="6"/>
        <v>1</v>
      </c>
      <c r="I408" s="6">
        <f>IF(H408=1,
  F408,
  G408*PARAMETRY!$B$11)</f>
        <v>4.0000000000000036E-2</v>
      </c>
      <c r="J408" s="6">
        <f>CALC_GAMES_BASE!U408-CALC_GAMES_BASE!V408</f>
        <v>7.2762654012654054E-2</v>
      </c>
      <c r="K408" s="6">
        <f>_xlfn.XLOOKUP(CALC_GAMES_BASE!W408,
  CALC_GOALIES!B:B,
  CALC_GOALIES!K:K)</f>
        <v>4.5881077393388203E-3</v>
      </c>
      <c r="L408" s="6">
        <f>_xlfn.XLOOKUP(C408,CALC_TEAMS_SEASON!B:B,CALC_TEAMS_SEASON!L:L)</f>
        <v>0.62437675070027965</v>
      </c>
      <c r="M408">
        <f>IF(CALC_GAMES_BASE!Z408="RS",1,1.2)</f>
        <v>1</v>
      </c>
      <c r="N408">
        <f xml:space="preserve"> CALC_GAMES_BASE!Y408</f>
        <v>1</v>
      </c>
    </row>
    <row r="409" spans="1:14" x14ac:dyDescent="0.25">
      <c r="A409" t="str">
        <f>CALC_GAMES_BASE!A409</f>
        <v>25/26</v>
      </c>
      <c r="B409" s="3">
        <f>CALC_GAMES_BASE!B409</f>
        <v>45998</v>
      </c>
      <c r="C409" s="3" t="str">
        <f>CALC_GAMES_BASE!C409</f>
        <v>TRI</v>
      </c>
      <c r="D409" s="3" t="str">
        <f>CALC_GAMES_BASE!D409</f>
        <v>MBL</v>
      </c>
      <c r="E409" s="7">
        <f>CALC_GAMES_BASE!E409</f>
        <v>1</v>
      </c>
      <c r="F409" s="6">
        <f>CALC_GAMES_BASE!N409</f>
        <v>0.27</v>
      </c>
      <c r="G409" s="7">
        <f>CALC_GAMES_BASE!K409</f>
        <v>-7</v>
      </c>
      <c r="H409" s="7">
        <f t="shared" si="6"/>
        <v>1</v>
      </c>
      <c r="I409" s="6">
        <f>IF(H409=1,
  F409,
  G409*PARAMETRY!$B$11)</f>
        <v>0.27</v>
      </c>
      <c r="J409" s="6">
        <f>CALC_GAMES_BASE!U409-CALC_GAMES_BASE!V409</f>
        <v>5.6105006105006142E-2</v>
      </c>
      <c r="K409" s="6">
        <f>_xlfn.XLOOKUP(CALC_GAMES_BASE!W409,
  CALC_GOALIES!B:B,
  CALC_GOALIES!K:K)</f>
        <v>1.3707542055988897E-2</v>
      </c>
      <c r="L409" s="6">
        <f>_xlfn.XLOOKUP(C409,CALC_TEAMS_SEASON!B:B,CALC_TEAMS_SEASON!L:L)</f>
        <v>0.10805322128851533</v>
      </c>
      <c r="M409">
        <f>IF(CALC_GAMES_BASE!Z409="RS",1,1.2)</f>
        <v>1</v>
      </c>
      <c r="N409">
        <f xml:space="preserve"> CALC_GAMES_BASE!Y409</f>
        <v>1</v>
      </c>
    </row>
    <row r="410" spans="1:14" x14ac:dyDescent="0.25">
      <c r="A410" t="str">
        <f>CALC_GAMES_BASE!A410</f>
        <v>25/26</v>
      </c>
      <c r="B410" s="3">
        <f>CALC_GAMES_BASE!B410</f>
        <v>45998</v>
      </c>
      <c r="C410" s="3" t="str">
        <f>CALC_GAMES_BASE!C410</f>
        <v>KOM</v>
      </c>
      <c r="D410" s="3" t="str">
        <f>CALC_GAMES_BASE!D410</f>
        <v>VIT</v>
      </c>
      <c r="E410" s="7">
        <f>CALC_GAMES_BASE!E410</f>
        <v>0</v>
      </c>
      <c r="F410" s="6">
        <f>CALC_GAMES_BASE!N410</f>
        <v>0.75</v>
      </c>
      <c r="G410" s="7">
        <f>CALC_GAMES_BASE!K410</f>
        <v>0</v>
      </c>
      <c r="H410" s="7">
        <f t="shared" si="6"/>
        <v>1</v>
      </c>
      <c r="I410" s="6">
        <f>IF(H410=1,
  F410,
  G410*PARAMETRY!$B$11)</f>
        <v>0.75</v>
      </c>
      <c r="J410" s="6">
        <f>CALC_GAMES_BASE!U410-CALC_GAMES_BASE!V410</f>
        <v>-2.6259157509157555E-2</v>
      </c>
      <c r="K410" s="6">
        <f>_xlfn.XLOOKUP(CALC_GAMES_BASE!W410,
  CALC_GOALIES!B:B,
  CALC_GOALIES!K:K)</f>
        <v>-1.5147095063735572E-3</v>
      </c>
      <c r="L410" s="6">
        <f>_xlfn.XLOOKUP(C410,CALC_TEAMS_SEASON!B:B,CALC_TEAMS_SEASON!L:L)</f>
        <v>-0.37268207282913179</v>
      </c>
      <c r="M410">
        <f>IF(CALC_GAMES_BASE!Z410="RS",1,1.2)</f>
        <v>1</v>
      </c>
      <c r="N410">
        <f xml:space="preserve"> CALC_GAMES_BASE!Y410</f>
        <v>0</v>
      </c>
    </row>
    <row r="411" spans="1:14" x14ac:dyDescent="0.25">
      <c r="A411" t="str">
        <f>CALC_GAMES_BASE!A411</f>
        <v>25/26</v>
      </c>
      <c r="B411" s="3">
        <f>CALC_GAMES_BASE!B411</f>
        <v>45998</v>
      </c>
      <c r="C411" s="3" t="str">
        <f>CALC_GAMES_BASE!C411</f>
        <v>CEB</v>
      </c>
      <c r="D411" s="3" t="str">
        <f>CALC_GAMES_BASE!D411</f>
        <v>PCE</v>
      </c>
      <c r="E411" s="7">
        <f>CALC_GAMES_BASE!E411</f>
        <v>1</v>
      </c>
      <c r="F411" s="6">
        <f>CALC_GAMES_BASE!N411</f>
        <v>-4.0000000000000036E-2</v>
      </c>
      <c r="G411" s="7">
        <f>CALC_GAMES_BASE!K411</f>
        <v>1</v>
      </c>
      <c r="H411" s="7">
        <f t="shared" si="6"/>
        <v>1</v>
      </c>
      <c r="I411" s="6">
        <f>IF(H411=1,
  F411,
  G411*PARAMETRY!$B$11)</f>
        <v>-4.0000000000000036E-2</v>
      </c>
      <c r="J411" s="6">
        <f>CALC_GAMES_BASE!U411-CALC_GAMES_BASE!V411</f>
        <v>-7.2762654012654054E-2</v>
      </c>
      <c r="K411" s="6">
        <f>_xlfn.XLOOKUP(CALC_GAMES_BASE!W411,
  CALC_GOALIES!B:B,
  CALC_GOALIES!K:K)</f>
        <v>-2.6902958554511747E-2</v>
      </c>
      <c r="L411" s="6">
        <f>_xlfn.XLOOKUP(C411,CALC_TEAMS_SEASON!B:B,CALC_TEAMS_SEASON!L:L)</f>
        <v>-0.24978011204481798</v>
      </c>
      <c r="M411">
        <f>IF(CALC_GAMES_BASE!Z411="RS",1,1.2)</f>
        <v>1</v>
      </c>
      <c r="N411">
        <f xml:space="preserve"> CALC_GAMES_BASE!Y411</f>
        <v>0</v>
      </c>
    </row>
    <row r="412" spans="1:14" x14ac:dyDescent="0.25">
      <c r="A412" t="str">
        <f>CALC_GAMES_BASE!A412</f>
        <v>25/26</v>
      </c>
      <c r="B412" s="3">
        <f>CALC_GAMES_BASE!B412</f>
        <v>45998</v>
      </c>
      <c r="C412" s="3" t="str">
        <f>CALC_GAMES_BASE!C412</f>
        <v>KLA</v>
      </c>
      <c r="D412" s="3" t="str">
        <f>CALC_GAMES_BASE!D412</f>
        <v>OLO</v>
      </c>
      <c r="E412" s="7">
        <f>CALC_GAMES_BASE!E412</f>
        <v>0</v>
      </c>
      <c r="F412" s="6" t="str">
        <f>CALC_GAMES_BASE!N412</f>
        <v/>
      </c>
      <c r="G412" s="7">
        <f>CALC_GAMES_BASE!K412</f>
        <v>3</v>
      </c>
      <c r="H412" s="7">
        <f t="shared" si="6"/>
        <v>0</v>
      </c>
      <c r="I412" s="6">
        <f>IF(H412=1,
  F412,
  G412*PARAMETRY!$B$11)</f>
        <v>0.15000000000000002</v>
      </c>
      <c r="J412" s="6">
        <f>CALC_GAMES_BASE!U412-CALC_GAMES_BASE!V412</f>
        <v>-1.8688949938949984E-2</v>
      </c>
      <c r="K412" s="6">
        <f>_xlfn.XLOOKUP(CALC_GAMES_BASE!W412,
  CALC_GOALIES!B:B,
  CALC_GOALIES!K:K)</f>
        <v>-1.9185137403854746E-2</v>
      </c>
      <c r="L412" s="6">
        <f>_xlfn.XLOOKUP(C412,CALC_TEAMS_SEASON!B:B,CALC_TEAMS_SEASON!L:L)</f>
        <v>-0.19819677871148478</v>
      </c>
      <c r="M412">
        <f>IF(CALC_GAMES_BASE!Z412="RS",1,1.2)</f>
        <v>1</v>
      </c>
      <c r="N412">
        <f xml:space="preserve"> CALC_GAMES_BASE!Y412</f>
        <v>0</v>
      </c>
    </row>
    <row r="413" spans="1:14" x14ac:dyDescent="0.25">
      <c r="A413" t="str">
        <f>CALC_GAMES_BASE!A413</f>
        <v>25/26</v>
      </c>
      <c r="B413" s="3">
        <f>CALC_GAMES_BASE!B413</f>
        <v>45998</v>
      </c>
      <c r="C413" s="3" t="str">
        <f>CALC_GAMES_BASE!C413</f>
        <v>SPA</v>
      </c>
      <c r="D413" s="3" t="str">
        <f>CALC_GAMES_BASE!D413</f>
        <v>KVA</v>
      </c>
      <c r="E413" s="7">
        <f>CALC_GAMES_BASE!E413</f>
        <v>1</v>
      </c>
      <c r="F413" s="6">
        <f>CALC_GAMES_BASE!N413</f>
        <v>0.28000000000000003</v>
      </c>
      <c r="G413" s="7">
        <f>CALC_GAMES_BASE!K413</f>
        <v>14</v>
      </c>
      <c r="H413" s="7">
        <f t="shared" si="6"/>
        <v>1</v>
      </c>
      <c r="I413" s="6">
        <f>IF(H413=1,
  F413,
  G413*PARAMETRY!$B$11)</f>
        <v>0.28000000000000003</v>
      </c>
      <c r="J413" s="6">
        <f>CALC_GAMES_BASE!U413-CALC_GAMES_BASE!V413</f>
        <v>4.6733821733821762E-2</v>
      </c>
      <c r="K413" s="6">
        <f>_xlfn.XLOOKUP(CALC_GAMES_BASE!W413,
  CALC_GOALIES!B:B,
  CALC_GOALIES!K:K)</f>
        <v>-1.0634669404866681E-2</v>
      </c>
      <c r="L413" s="6">
        <f>_xlfn.XLOOKUP(C413,CALC_TEAMS_SEASON!B:B,CALC_TEAMS_SEASON!L:L)</f>
        <v>6.4376750700279955E-2</v>
      </c>
      <c r="M413">
        <f>IF(CALC_GAMES_BASE!Z413="RS",1,1.2)</f>
        <v>1</v>
      </c>
      <c r="N413">
        <f xml:space="preserve"> CALC_GAMES_BASE!Y413</f>
        <v>1</v>
      </c>
    </row>
    <row r="414" spans="1:14" x14ac:dyDescent="0.25">
      <c r="A414" t="str">
        <f>CALC_GAMES_BASE!A414</f>
        <v>25/26</v>
      </c>
      <c r="B414" s="3">
        <f>CALC_GAMES_BASE!B414</f>
        <v>45998</v>
      </c>
      <c r="C414" s="3" t="str">
        <f>CALC_GAMES_BASE!C414</f>
        <v>KVA</v>
      </c>
      <c r="D414" s="3" t="str">
        <f>CALC_GAMES_BASE!D414</f>
        <v>SPA</v>
      </c>
      <c r="E414" s="7">
        <f>CALC_GAMES_BASE!E414</f>
        <v>0</v>
      </c>
      <c r="F414" s="6">
        <f>CALC_GAMES_BASE!N414</f>
        <v>-0.28000000000000003</v>
      </c>
      <c r="G414" s="7">
        <f>CALC_GAMES_BASE!K414</f>
        <v>-14</v>
      </c>
      <c r="H414" s="7">
        <f t="shared" si="6"/>
        <v>1</v>
      </c>
      <c r="I414" s="6">
        <f>IF(H414=1,
  F414,
  G414*PARAMETRY!$B$11)</f>
        <v>-0.28000000000000003</v>
      </c>
      <c r="J414" s="6">
        <f>CALC_GAMES_BASE!U414-CALC_GAMES_BASE!V414</f>
        <v>-4.6733821733821762E-2</v>
      </c>
      <c r="K414" s="6">
        <f>_xlfn.XLOOKUP(CALC_GAMES_BASE!W414,
  CALC_GOALIES!B:B,
  CALC_GOALIES!K:K)</f>
        <v>1.2242809776983998E-2</v>
      </c>
      <c r="L414" s="6">
        <f>_xlfn.XLOOKUP(C414,CALC_TEAMS_SEASON!B:B,CALC_TEAMS_SEASON!L:L)</f>
        <v>-0.28757177871148476</v>
      </c>
      <c r="M414">
        <f>IF(CALC_GAMES_BASE!Z414="RS",1,1.2)</f>
        <v>1</v>
      </c>
      <c r="N414">
        <f xml:space="preserve"> CALC_GAMES_BASE!Y414</f>
        <v>0</v>
      </c>
    </row>
    <row r="415" spans="1:14" x14ac:dyDescent="0.25">
      <c r="A415" t="str">
        <f>CALC_GAMES_BASE!A415</f>
        <v>25/26</v>
      </c>
      <c r="B415" s="3">
        <f>CALC_GAMES_BASE!B415</f>
        <v>45998</v>
      </c>
      <c r="C415" s="3" t="str">
        <f>CALC_GAMES_BASE!C415</f>
        <v>LIB</v>
      </c>
      <c r="D415" s="3" t="str">
        <f>CALC_GAMES_BASE!D415</f>
        <v>LIT</v>
      </c>
      <c r="E415" s="7">
        <f>CALC_GAMES_BASE!E415</f>
        <v>0</v>
      </c>
      <c r="F415" s="6" t="str">
        <f>CALC_GAMES_BASE!N415</f>
        <v/>
      </c>
      <c r="G415" s="7">
        <f>CALC_GAMES_BASE!K415</f>
        <v>2</v>
      </c>
      <c r="H415" s="7">
        <f t="shared" si="6"/>
        <v>0</v>
      </c>
      <c r="I415" s="6">
        <f>IF(H415=1,
  F415,
  G415*PARAMETRY!$B$11)</f>
        <v>0.1</v>
      </c>
      <c r="J415" s="6">
        <f>CALC_GAMES_BASE!U415-CALC_GAMES_BASE!V415</f>
        <v>4.2880036630036658E-2</v>
      </c>
      <c r="K415" s="6">
        <f>_xlfn.XLOOKUP(CALC_GAMES_BASE!W415,
  CALC_GOALIES!B:B,
  CALC_GOALIES!K:K)</f>
        <v>1.2275709048813366E-2</v>
      </c>
      <c r="L415" s="6">
        <f>_xlfn.XLOOKUP(C415,CALC_TEAMS_SEASON!B:B,CALC_TEAMS_SEASON!L:L)</f>
        <v>0.22367822128851536</v>
      </c>
      <c r="M415">
        <f>IF(CALC_GAMES_BASE!Z415="RS",1,1.2)</f>
        <v>1</v>
      </c>
      <c r="N415">
        <f xml:space="preserve"> CALC_GAMES_BASE!Y415</f>
        <v>0</v>
      </c>
    </row>
    <row r="416" spans="1:14" x14ac:dyDescent="0.25">
      <c r="A416" t="str">
        <f>CALC_GAMES_BASE!A416</f>
        <v>25/26</v>
      </c>
      <c r="B416" s="3">
        <f>CALC_GAMES_BASE!B416</f>
        <v>45998</v>
      </c>
      <c r="C416" s="3" t="str">
        <f>CALC_GAMES_BASE!C416</f>
        <v>LIT</v>
      </c>
      <c r="D416" s="3" t="str">
        <f>CALC_GAMES_BASE!D416</f>
        <v>LIB</v>
      </c>
      <c r="E416" s="7">
        <f>CALC_GAMES_BASE!E416</f>
        <v>1</v>
      </c>
      <c r="F416" s="6" t="str">
        <f>CALC_GAMES_BASE!N416</f>
        <v/>
      </c>
      <c r="G416" s="7">
        <f>CALC_GAMES_BASE!K416</f>
        <v>-2</v>
      </c>
      <c r="H416" s="7">
        <f t="shared" si="6"/>
        <v>0</v>
      </c>
      <c r="I416" s="6">
        <f>IF(H416=1,
  F416,
  G416*PARAMETRY!$B$11)</f>
        <v>-0.1</v>
      </c>
      <c r="J416" s="6">
        <f>CALC_GAMES_BASE!U416-CALC_GAMES_BASE!V416</f>
        <v>-4.2880036630036658E-2</v>
      </c>
      <c r="K416" s="6">
        <f>_xlfn.XLOOKUP(CALC_GAMES_BASE!W416,
  CALC_GOALIES!B:B,
  CALC_GOALIES!K:K)</f>
        <v>-8.1125178551773036E-3</v>
      </c>
      <c r="L416" s="6">
        <f>_xlfn.XLOOKUP(C416,CALC_TEAMS_SEASON!B:B,CALC_TEAMS_SEASON!L:L)</f>
        <v>-1.4784467787114848</v>
      </c>
      <c r="M416">
        <f>IF(CALC_GAMES_BASE!Z416="RS",1,1.2)</f>
        <v>1</v>
      </c>
      <c r="N416">
        <f xml:space="preserve"> CALC_GAMES_BASE!Y416</f>
        <v>1</v>
      </c>
    </row>
    <row r="417" spans="1:14" x14ac:dyDescent="0.25">
      <c r="A417" t="str">
        <f>CALC_GAMES_BASE!A417</f>
        <v>25/26</v>
      </c>
      <c r="B417" s="3">
        <f>CALC_GAMES_BASE!B417</f>
        <v>45998</v>
      </c>
      <c r="C417" s="3" t="str">
        <f>CALC_GAMES_BASE!C417</f>
        <v>MBL</v>
      </c>
      <c r="D417" s="3" t="str">
        <f>CALC_GAMES_BASE!D417</f>
        <v>TRI</v>
      </c>
      <c r="E417" s="7">
        <f>CALC_GAMES_BASE!E417</f>
        <v>0</v>
      </c>
      <c r="F417" s="6">
        <f>CALC_GAMES_BASE!N417</f>
        <v>-0.27</v>
      </c>
      <c r="G417" s="7">
        <f>CALC_GAMES_BASE!K417</f>
        <v>7</v>
      </c>
      <c r="H417" s="7">
        <f t="shared" si="6"/>
        <v>1</v>
      </c>
      <c r="I417" s="6">
        <f>IF(H417=1,
  F417,
  G417*PARAMETRY!$B$11)</f>
        <v>-0.27</v>
      </c>
      <c r="J417" s="6">
        <f>CALC_GAMES_BASE!U417-CALC_GAMES_BASE!V417</f>
        <v>-5.6105006105006142E-2</v>
      </c>
      <c r="K417" s="6">
        <f>_xlfn.XLOOKUP(CALC_GAMES_BASE!W417,
  CALC_GOALIES!B:B,
  CALC_GOALIES!K:K)</f>
        <v>-4.4670611186142795E-3</v>
      </c>
      <c r="L417" s="6">
        <f>_xlfn.XLOOKUP(C417,CALC_TEAMS_SEASON!B:B,CALC_TEAMS_SEASON!L:L)</f>
        <v>-0.89069677871148467</v>
      </c>
      <c r="M417">
        <f>IF(CALC_GAMES_BASE!Z417="RS",1,1.2)</f>
        <v>1</v>
      </c>
      <c r="N417">
        <f xml:space="preserve"> CALC_GAMES_BASE!Y417</f>
        <v>0</v>
      </c>
    </row>
    <row r="418" spans="1:14" x14ac:dyDescent="0.25">
      <c r="A418" t="str">
        <f>CALC_GAMES_BASE!A418</f>
        <v>25/26</v>
      </c>
      <c r="B418" s="3">
        <f>CALC_GAMES_BASE!B418</f>
        <v>45998</v>
      </c>
      <c r="C418" s="3" t="str">
        <f>CALC_GAMES_BASE!C418</f>
        <v>MHK</v>
      </c>
      <c r="D418" s="3" t="str">
        <f>CALC_GAMES_BASE!D418</f>
        <v>PLZ</v>
      </c>
      <c r="E418" s="7">
        <f>CALC_GAMES_BASE!E418</f>
        <v>1</v>
      </c>
      <c r="F418" s="6" t="str">
        <f>CALC_GAMES_BASE!N418</f>
        <v/>
      </c>
      <c r="G418" s="7">
        <f>CALC_GAMES_BASE!K418</f>
        <v>3</v>
      </c>
      <c r="H418" s="7">
        <f t="shared" si="6"/>
        <v>0</v>
      </c>
      <c r="I418" s="6">
        <f>IF(H418=1,
  F418,
  G418*PARAMETRY!$B$11)</f>
        <v>0.15000000000000002</v>
      </c>
      <c r="J418" s="6">
        <f>CALC_GAMES_BASE!U418-CALC_GAMES_BASE!V418</f>
        <v>-3.4561965811965745E-2</v>
      </c>
      <c r="K418" s="6">
        <f>_xlfn.XLOOKUP(CALC_GAMES_BASE!W418,
  CALC_GOALIES!B:B,
  CALC_GOALIES!K:K)</f>
        <v>-4.0190324447791914E-3</v>
      </c>
      <c r="L418" s="6">
        <f>_xlfn.XLOOKUP(C418,CALC_TEAMS_SEASON!B:B,CALC_TEAMS_SEASON!L:L)</f>
        <v>0.14821988795518207</v>
      </c>
      <c r="M418">
        <f>IF(CALC_GAMES_BASE!Z418="RS",1,1.2)</f>
        <v>1</v>
      </c>
      <c r="N418">
        <f xml:space="preserve"> CALC_GAMES_BASE!Y418</f>
        <v>1</v>
      </c>
    </row>
    <row r="419" spans="1:14" x14ac:dyDescent="0.25">
      <c r="A419" t="str">
        <f>CALC_GAMES_BASE!A419</f>
        <v>25/26</v>
      </c>
      <c r="B419" s="3">
        <f>CALC_GAMES_BASE!B419</f>
        <v>45998</v>
      </c>
      <c r="C419" s="3" t="str">
        <f>CALC_GAMES_BASE!C419</f>
        <v>OLO</v>
      </c>
      <c r="D419" s="3" t="str">
        <f>CALC_GAMES_BASE!D419</f>
        <v>KLA</v>
      </c>
      <c r="E419" s="7">
        <f>CALC_GAMES_BASE!E419</f>
        <v>1</v>
      </c>
      <c r="F419" s="6" t="str">
        <f>CALC_GAMES_BASE!N419</f>
        <v/>
      </c>
      <c r="G419" s="7">
        <f>CALC_GAMES_BASE!K419</f>
        <v>-3</v>
      </c>
      <c r="H419" s="7">
        <f t="shared" si="6"/>
        <v>0</v>
      </c>
      <c r="I419" s="6">
        <f>IF(H419=1,
  F419,
  G419*PARAMETRY!$B$11)</f>
        <v>-0.15000000000000002</v>
      </c>
      <c r="J419" s="6">
        <f>CALC_GAMES_BASE!U419-CALC_GAMES_BASE!V419</f>
        <v>1.8688949938949984E-2</v>
      </c>
      <c r="K419" s="6">
        <f>_xlfn.XLOOKUP(CALC_GAMES_BASE!W419,
  CALC_GOALIES!B:B,
  CALC_GOALIES!K:K)</f>
        <v>4.4713327207696052E-3</v>
      </c>
      <c r="L419" s="6">
        <f>_xlfn.XLOOKUP(C419,CALC_TEAMS_SEASON!B:B,CALC_TEAMS_SEASON!L:L)</f>
        <v>-1.0613217787114846</v>
      </c>
      <c r="M419">
        <f>IF(CALC_GAMES_BASE!Z419="RS",1,1.2)</f>
        <v>1</v>
      </c>
      <c r="N419">
        <f xml:space="preserve"> CALC_GAMES_BASE!Y419</f>
        <v>1</v>
      </c>
    </row>
    <row r="420" spans="1:14" x14ac:dyDescent="0.25">
      <c r="A420" t="str">
        <f>CALC_GAMES_BASE!A420</f>
        <v>25/26</v>
      </c>
      <c r="B420" s="3">
        <f>CALC_GAMES_BASE!B420</f>
        <v>45998</v>
      </c>
      <c r="C420" s="3" t="str">
        <f>CALC_GAMES_BASE!C420</f>
        <v>PLZ</v>
      </c>
      <c r="D420" s="3" t="str">
        <f>CALC_GAMES_BASE!D420</f>
        <v>MHK</v>
      </c>
      <c r="E420" s="7">
        <f>CALC_GAMES_BASE!E420</f>
        <v>0</v>
      </c>
      <c r="F420" s="6" t="str">
        <f>CALC_GAMES_BASE!N420</f>
        <v/>
      </c>
      <c r="G420" s="7">
        <f>CALC_GAMES_BASE!K420</f>
        <v>-3</v>
      </c>
      <c r="H420" s="7">
        <f t="shared" si="6"/>
        <v>0</v>
      </c>
      <c r="I420" s="6">
        <f>IF(H420=1,
  F420,
  G420*PARAMETRY!$B$11)</f>
        <v>-0.15000000000000002</v>
      </c>
      <c r="J420" s="6">
        <f>CALC_GAMES_BASE!U420-CALC_GAMES_BASE!V420</f>
        <v>3.4561965811965745E-2</v>
      </c>
      <c r="K420" s="6">
        <f>_xlfn.XLOOKUP(CALC_GAMES_BASE!W420,
  CALC_GOALIES!B:B,
  CALC_GOALIES!K:K)</f>
        <v>-1.4856765927271365E-3</v>
      </c>
      <c r="L420" s="6">
        <f>_xlfn.XLOOKUP(C420,CALC_TEAMS_SEASON!B:B,CALC_TEAMS_SEASON!L:L)</f>
        <v>7.3678221288515283E-2</v>
      </c>
      <c r="M420">
        <f>IF(CALC_GAMES_BASE!Z420="RS",1,1.2)</f>
        <v>1</v>
      </c>
      <c r="N420">
        <f xml:space="preserve"> CALC_GAMES_BASE!Y420</f>
        <v>0</v>
      </c>
    </row>
    <row r="421" spans="1:14" x14ac:dyDescent="0.25">
      <c r="A421" t="str">
        <f>CALC_GAMES_BASE!A421</f>
        <v>25/26</v>
      </c>
      <c r="B421" s="3">
        <f>CALC_GAMES_BASE!B421</f>
        <v>45998</v>
      </c>
      <c r="C421" s="3" t="str">
        <f>CALC_GAMES_BASE!C421</f>
        <v>VIT</v>
      </c>
      <c r="D421" s="3" t="str">
        <f>CALC_GAMES_BASE!D421</f>
        <v>KOM</v>
      </c>
      <c r="E421" s="7">
        <f>CALC_GAMES_BASE!E421</f>
        <v>1</v>
      </c>
      <c r="F421" s="6">
        <f>CALC_GAMES_BASE!N421</f>
        <v>-0.75</v>
      </c>
      <c r="G421" s="7">
        <f>CALC_GAMES_BASE!K421</f>
        <v>0</v>
      </c>
      <c r="H421" s="7">
        <f t="shared" si="6"/>
        <v>1</v>
      </c>
      <c r="I421" s="6">
        <f>IF(H421=1,
  F421,
  G421*PARAMETRY!$B$11)</f>
        <v>-0.75</v>
      </c>
      <c r="J421" s="6">
        <f>CALC_GAMES_BASE!U421-CALC_GAMES_BASE!V421</f>
        <v>2.6259157509157555E-2</v>
      </c>
      <c r="K421" s="6">
        <f>_xlfn.XLOOKUP(CALC_GAMES_BASE!W421,
  CALC_GOALIES!B:B,
  CALC_GOALIES!K:K)</f>
        <v>1.905487900993541E-3</v>
      </c>
      <c r="L421" s="6">
        <f>_xlfn.XLOOKUP(C421,CALC_TEAMS_SEASON!B:B,CALC_TEAMS_SEASON!L:L)</f>
        <v>-1.0281967787114845</v>
      </c>
      <c r="M421">
        <f>IF(CALC_GAMES_BASE!Z421="RS",1,1.2)</f>
        <v>1</v>
      </c>
      <c r="N421">
        <f xml:space="preserve"> CALC_GAMES_BASE!Y421</f>
        <v>1</v>
      </c>
    </row>
    <row r="422" spans="1:14" x14ac:dyDescent="0.25">
      <c r="A422" t="str">
        <f>CALC_GAMES_BASE!A422</f>
        <v>25/26</v>
      </c>
      <c r="B422" s="3">
        <f>CALC_GAMES_BASE!B422</f>
        <v>46008</v>
      </c>
      <c r="C422" s="3" t="str">
        <f>CALC_GAMES_BASE!C422</f>
        <v>PCE</v>
      </c>
      <c r="D422" s="3" t="str">
        <f>CALC_GAMES_BASE!D422</f>
        <v>OLO</v>
      </c>
      <c r="E422" s="7">
        <f>CALC_GAMES_BASE!E422</f>
        <v>1</v>
      </c>
      <c r="F422" s="6">
        <f>CALC_GAMES_BASE!N422</f>
        <v>2.1500000000000004</v>
      </c>
      <c r="G422" s="7">
        <f>CALC_GAMES_BASE!K422</f>
        <v>8</v>
      </c>
      <c r="H422" s="7">
        <f t="shared" si="6"/>
        <v>1</v>
      </c>
      <c r="I422" s="6">
        <f>IF(H422=1,
  F422,
  G422*PARAMETRY!$B$11)</f>
        <v>2.1500000000000004</v>
      </c>
      <c r="J422" s="6">
        <f>CALC_GAMES_BASE!U422-CALC_GAMES_BASE!V422</f>
        <v>5.3083028083028116E-2</v>
      </c>
      <c r="K422" s="6">
        <f>_xlfn.XLOOKUP(CALC_GAMES_BASE!W422,
  CALC_GOALIES!B:B,
  CALC_GOALIES!K:K)</f>
        <v>-6.7923502086092435E-3</v>
      </c>
      <c r="L422" s="6">
        <f>_xlfn.XLOOKUP(C422,CALC_TEAMS_SEASON!B:B,CALC_TEAMS_SEASON!L:L)</f>
        <v>0.62437675070027965</v>
      </c>
      <c r="M422">
        <f>IF(CALC_GAMES_BASE!Z422="RS",1,1.2)</f>
        <v>1</v>
      </c>
      <c r="N422">
        <f xml:space="preserve"> CALC_GAMES_BASE!Y422</f>
        <v>0</v>
      </c>
    </row>
    <row r="423" spans="1:14" x14ac:dyDescent="0.25">
      <c r="A423" t="str">
        <f>CALC_GAMES_BASE!A423</f>
        <v>25/26</v>
      </c>
      <c r="B423" s="3">
        <f>CALC_GAMES_BASE!B423</f>
        <v>46008</v>
      </c>
      <c r="C423" s="3" t="str">
        <f>CALC_GAMES_BASE!C423</f>
        <v>TRI</v>
      </c>
      <c r="D423" s="3" t="str">
        <f>CALC_GAMES_BASE!D423</f>
        <v>MHK</v>
      </c>
      <c r="E423" s="7">
        <f>CALC_GAMES_BASE!E423</f>
        <v>1</v>
      </c>
      <c r="F423" s="6">
        <f>CALC_GAMES_BASE!N423</f>
        <v>-1.8900000000000001</v>
      </c>
      <c r="G423" s="7">
        <f>CALC_GAMES_BASE!K423</f>
        <v>-2</v>
      </c>
      <c r="H423" s="7">
        <f t="shared" si="6"/>
        <v>1</v>
      </c>
      <c r="I423" s="6">
        <f>IF(H423=1,
  F423,
  G423*PARAMETRY!$B$11)</f>
        <v>-1.8900000000000001</v>
      </c>
      <c r="J423" s="6">
        <f>CALC_GAMES_BASE!U423-CALC_GAMES_BASE!V423</f>
        <v>3.2524420024420048E-2</v>
      </c>
      <c r="K423" s="6">
        <f>_xlfn.XLOOKUP(CALC_GAMES_BASE!W423,
  CALC_GOALIES!B:B,
  CALC_GOALIES!K:K)</f>
        <v>-1.9657016882340561E-2</v>
      </c>
      <c r="L423" s="6">
        <f>_xlfn.XLOOKUP(C423,CALC_TEAMS_SEASON!B:B,CALC_TEAMS_SEASON!L:L)</f>
        <v>0.10805322128851533</v>
      </c>
      <c r="M423">
        <f>IF(CALC_GAMES_BASE!Z423="RS",1,1.2)</f>
        <v>1</v>
      </c>
      <c r="N423">
        <f xml:space="preserve"> CALC_GAMES_BASE!Y423</f>
        <v>0</v>
      </c>
    </row>
    <row r="424" spans="1:14" x14ac:dyDescent="0.25">
      <c r="A424" t="str">
        <f>CALC_GAMES_BASE!A424</f>
        <v>25/26</v>
      </c>
      <c r="B424" s="3">
        <f>CALC_GAMES_BASE!B424</f>
        <v>46008</v>
      </c>
      <c r="C424" s="3" t="str">
        <f>CALC_GAMES_BASE!C424</f>
        <v>MHK</v>
      </c>
      <c r="D424" s="3" t="str">
        <f>CALC_GAMES_BASE!D424</f>
        <v>TRI</v>
      </c>
      <c r="E424" s="7">
        <f>CALC_GAMES_BASE!E424</f>
        <v>0</v>
      </c>
      <c r="F424" s="6">
        <f>CALC_GAMES_BASE!N424</f>
        <v>1.8900000000000001</v>
      </c>
      <c r="G424" s="7">
        <f>CALC_GAMES_BASE!K424</f>
        <v>2</v>
      </c>
      <c r="H424" s="7">
        <f t="shared" si="6"/>
        <v>1</v>
      </c>
      <c r="I424" s="6">
        <f>IF(H424=1,
  F424,
  G424*PARAMETRY!$B$11)</f>
        <v>1.8900000000000001</v>
      </c>
      <c r="J424" s="6">
        <f>CALC_GAMES_BASE!U424-CALC_GAMES_BASE!V424</f>
        <v>-3.2524420024420048E-2</v>
      </c>
      <c r="K424" s="6">
        <f>_xlfn.XLOOKUP(CALC_GAMES_BASE!W424,
  CALC_GOALIES!B:B,
  CALC_GOALIES!K:K)</f>
        <v>2.1917994590268441E-2</v>
      </c>
      <c r="L424" s="6">
        <f>_xlfn.XLOOKUP(C424,CALC_TEAMS_SEASON!B:B,CALC_TEAMS_SEASON!L:L)</f>
        <v>0.14821988795518207</v>
      </c>
      <c r="M424">
        <f>IF(CALC_GAMES_BASE!Z424="RS",1,1.2)</f>
        <v>1</v>
      </c>
      <c r="N424">
        <f xml:space="preserve"> CALC_GAMES_BASE!Y424</f>
        <v>1</v>
      </c>
    </row>
    <row r="425" spans="1:14" x14ac:dyDescent="0.25">
      <c r="A425" t="str">
        <f>CALC_GAMES_BASE!A425</f>
        <v>25/26</v>
      </c>
      <c r="B425" s="3">
        <f>CALC_GAMES_BASE!B425</f>
        <v>46008</v>
      </c>
      <c r="C425" s="3" t="str">
        <f>CALC_GAMES_BASE!C425</f>
        <v>OLO</v>
      </c>
      <c r="D425" s="3" t="str">
        <f>CALC_GAMES_BASE!D425</f>
        <v>PCE</v>
      </c>
      <c r="E425" s="7">
        <f>CALC_GAMES_BASE!E425</f>
        <v>0</v>
      </c>
      <c r="F425" s="6">
        <f>CALC_GAMES_BASE!N425</f>
        <v>-2.1500000000000004</v>
      </c>
      <c r="G425" s="7">
        <f>CALC_GAMES_BASE!K425</f>
        <v>-8</v>
      </c>
      <c r="H425" s="7">
        <f t="shared" si="6"/>
        <v>1</v>
      </c>
      <c r="I425" s="6">
        <f>IF(H425=1,
  F425,
  G425*PARAMETRY!$B$11)</f>
        <v>-2.1500000000000004</v>
      </c>
      <c r="J425" s="6">
        <f>CALC_GAMES_BASE!U425-CALC_GAMES_BASE!V425</f>
        <v>-5.3083028083028116E-2</v>
      </c>
      <c r="K425" s="6">
        <f>_xlfn.XLOOKUP(CALC_GAMES_BASE!W425,
  CALC_GOALIES!B:B,
  CALC_GOALIES!K:K)</f>
        <v>4.4713327207696052E-3</v>
      </c>
      <c r="L425" s="6">
        <f>_xlfn.XLOOKUP(C425,CALC_TEAMS_SEASON!B:B,CALC_TEAMS_SEASON!L:L)</f>
        <v>-1.0613217787114846</v>
      </c>
      <c r="M425">
        <f>IF(CALC_GAMES_BASE!Z425="RS",1,1.2)</f>
        <v>1</v>
      </c>
      <c r="N425">
        <f xml:space="preserve"> CALC_GAMES_BASE!Y425</f>
        <v>1</v>
      </c>
    </row>
    <row r="426" spans="1:14" x14ac:dyDescent="0.25">
      <c r="A426" t="str">
        <f>CALC_GAMES_BASE!A426</f>
        <v>25/26</v>
      </c>
      <c r="B426" s="3">
        <f>CALC_GAMES_BASE!B426</f>
        <v>46008</v>
      </c>
      <c r="C426" s="3" t="str">
        <f>CALC_GAMES_BASE!C426</f>
        <v>PLZ</v>
      </c>
      <c r="D426" s="3" t="str">
        <f>CALC_GAMES_BASE!D426</f>
        <v>VIT</v>
      </c>
      <c r="E426" s="7">
        <f>CALC_GAMES_BASE!E426</f>
        <v>0</v>
      </c>
      <c r="F426" s="6" t="str">
        <f>CALC_GAMES_BASE!N426</f>
        <v/>
      </c>
      <c r="G426" s="7">
        <f>CALC_GAMES_BASE!K426</f>
        <v>6</v>
      </c>
      <c r="H426" s="7">
        <f t="shared" si="6"/>
        <v>0</v>
      </c>
      <c r="I426" s="6">
        <f>IF(H426=1,
  F426,
  G426*PARAMETRY!$B$11)</f>
        <v>0.30000000000000004</v>
      </c>
      <c r="J426" s="6">
        <f>CALC_GAMES_BASE!U426-CALC_GAMES_BASE!V426</f>
        <v>6.5628815628814841E-3</v>
      </c>
      <c r="K426" s="6">
        <f>_xlfn.XLOOKUP(CALC_GAMES_BASE!W426,
  CALC_GOALIES!B:B,
  CALC_GOALIES!K:K)</f>
        <v>-1.4856765927271365E-3</v>
      </c>
      <c r="L426" s="6">
        <f>_xlfn.XLOOKUP(C426,CALC_TEAMS_SEASON!B:B,CALC_TEAMS_SEASON!L:L)</f>
        <v>7.3678221288515283E-2</v>
      </c>
      <c r="M426">
        <f>IF(CALC_GAMES_BASE!Z426="RS",1,1.2)</f>
        <v>1</v>
      </c>
      <c r="N426">
        <f xml:space="preserve"> CALC_GAMES_BASE!Y426</f>
        <v>1</v>
      </c>
    </row>
    <row r="427" spans="1:14" x14ac:dyDescent="0.25">
      <c r="A427" t="str">
        <f>CALC_GAMES_BASE!A427</f>
        <v>25/26</v>
      </c>
      <c r="B427" s="3">
        <f>CALC_GAMES_BASE!B427</f>
        <v>46008</v>
      </c>
      <c r="C427" s="3" t="str">
        <f>CALC_GAMES_BASE!C427</f>
        <v>VIT</v>
      </c>
      <c r="D427" s="3" t="str">
        <f>CALC_GAMES_BASE!D427</f>
        <v>PLZ</v>
      </c>
      <c r="E427" s="7">
        <f>CALC_GAMES_BASE!E427</f>
        <v>1</v>
      </c>
      <c r="F427" s="6" t="str">
        <f>CALC_GAMES_BASE!N427</f>
        <v/>
      </c>
      <c r="G427" s="7">
        <f>CALC_GAMES_BASE!K427</f>
        <v>-6</v>
      </c>
      <c r="H427" s="7">
        <f t="shared" si="6"/>
        <v>0</v>
      </c>
      <c r="I427" s="6">
        <f>IF(H427=1,
  F427,
  G427*PARAMETRY!$B$11)</f>
        <v>-0.30000000000000004</v>
      </c>
      <c r="J427" s="6">
        <f>CALC_GAMES_BASE!U427-CALC_GAMES_BASE!V427</f>
        <v>-6.5628815628814841E-3</v>
      </c>
      <c r="K427" s="6">
        <f>_xlfn.XLOOKUP(CALC_GAMES_BASE!W427,
  CALC_GOALIES!B:B,
  CALC_GOALIES!K:K)</f>
        <v>1.905487900993541E-3</v>
      </c>
      <c r="L427" s="6">
        <f>_xlfn.XLOOKUP(C427,CALC_TEAMS_SEASON!B:B,CALC_TEAMS_SEASON!L:L)</f>
        <v>-1.0281967787114845</v>
      </c>
      <c r="M427">
        <f>IF(CALC_GAMES_BASE!Z427="RS",1,1.2)</f>
        <v>1</v>
      </c>
      <c r="N427">
        <f xml:space="preserve"> CALC_GAMES_BASE!Y427</f>
        <v>0</v>
      </c>
    </row>
    <row r="428" spans="1:14" x14ac:dyDescent="0.25">
      <c r="A428" t="str">
        <f>CALC_GAMES_BASE!A428</f>
        <v>25/26</v>
      </c>
      <c r="B428" s="3">
        <f>CALC_GAMES_BASE!B428</f>
        <v>46010</v>
      </c>
      <c r="C428" s="3" t="str">
        <f>CALC_GAMES_BASE!C428</f>
        <v>TRI</v>
      </c>
      <c r="D428" s="3" t="str">
        <f>CALC_GAMES_BASE!D428</f>
        <v>PLZ</v>
      </c>
      <c r="E428" s="7">
        <f>CALC_GAMES_BASE!E428</f>
        <v>1</v>
      </c>
      <c r="F428" s="6">
        <f>CALC_GAMES_BASE!N428</f>
        <v>0.75</v>
      </c>
      <c r="G428" s="7">
        <f>CALC_GAMES_BASE!K428</f>
        <v>6</v>
      </c>
      <c r="H428" s="7">
        <f t="shared" si="6"/>
        <v>1</v>
      </c>
      <c r="I428" s="6">
        <f>IF(H428=1,
  F428,
  G428*PARAMETRY!$B$11)</f>
        <v>0.75</v>
      </c>
      <c r="J428" s="6">
        <f>CALC_GAMES_BASE!U428-CALC_GAMES_BASE!V428</f>
        <v>-2.037545787545697E-3</v>
      </c>
      <c r="K428" s="6">
        <f>_xlfn.XLOOKUP(CALC_GAMES_BASE!W428,
  CALC_GOALIES!B:B,
  CALC_GOALIES!K:K)</f>
        <v>1.3707542055988897E-2</v>
      </c>
      <c r="L428" s="6">
        <f>_xlfn.XLOOKUP(C428,CALC_TEAMS_SEASON!B:B,CALC_TEAMS_SEASON!L:L)</f>
        <v>0.10805322128851533</v>
      </c>
      <c r="M428">
        <f>IF(CALC_GAMES_BASE!Z428="RS",1,1.2)</f>
        <v>1</v>
      </c>
      <c r="N428">
        <f xml:space="preserve"> CALC_GAMES_BASE!Y428</f>
        <v>1</v>
      </c>
    </row>
    <row r="429" spans="1:14" x14ac:dyDescent="0.25">
      <c r="A429" t="str">
        <f>CALC_GAMES_BASE!A429</f>
        <v>25/26</v>
      </c>
      <c r="B429" s="3">
        <f>CALC_GAMES_BASE!B429</f>
        <v>46010</v>
      </c>
      <c r="C429" s="3" t="str">
        <f>CALC_GAMES_BASE!C429</f>
        <v>SPA</v>
      </c>
      <c r="D429" s="3" t="str">
        <f>CALC_GAMES_BASE!D429</f>
        <v>LIT</v>
      </c>
      <c r="E429" s="7">
        <f>CALC_GAMES_BASE!E429</f>
        <v>0</v>
      </c>
      <c r="F429" s="6">
        <f>CALC_GAMES_BASE!N429</f>
        <v>-2.0399999999999996</v>
      </c>
      <c r="G429" s="7">
        <f>CALC_GAMES_BASE!K429</f>
        <v>0</v>
      </c>
      <c r="H429" s="7">
        <f t="shared" si="6"/>
        <v>1</v>
      </c>
      <c r="I429" s="6">
        <f>IF(H429=1,
  F429,
  G429*PARAMETRY!$B$11)</f>
        <v>-2.0399999999999996</v>
      </c>
      <c r="J429" s="6">
        <f>CALC_GAMES_BASE!U429-CALC_GAMES_BASE!V429</f>
        <v>0.11971153846153852</v>
      </c>
      <c r="K429" s="6">
        <f>_xlfn.XLOOKUP(CALC_GAMES_BASE!W429,
  CALC_GOALIES!B:B,
  CALC_GOALIES!K:K)</f>
        <v>3.5919237922225067E-3</v>
      </c>
      <c r="L429" s="6">
        <f>_xlfn.XLOOKUP(C429,CALC_TEAMS_SEASON!B:B,CALC_TEAMS_SEASON!L:L)</f>
        <v>6.4376750700279955E-2</v>
      </c>
      <c r="M429">
        <f>IF(CALC_GAMES_BASE!Z429="RS",1,1.2)</f>
        <v>1</v>
      </c>
      <c r="N429">
        <f xml:space="preserve"> CALC_GAMES_BASE!Y429</f>
        <v>0</v>
      </c>
    </row>
    <row r="430" spans="1:14" x14ac:dyDescent="0.25">
      <c r="A430" t="str">
        <f>CALC_GAMES_BASE!A430</f>
        <v>25/26</v>
      </c>
      <c r="B430" s="3">
        <f>CALC_GAMES_BASE!B430</f>
        <v>46010</v>
      </c>
      <c r="C430" s="3" t="str">
        <f>CALC_GAMES_BASE!C430</f>
        <v>KOM</v>
      </c>
      <c r="D430" s="3" t="str">
        <f>CALC_GAMES_BASE!D430</f>
        <v>LIB</v>
      </c>
      <c r="E430" s="7">
        <f>CALC_GAMES_BASE!E430</f>
        <v>1</v>
      </c>
      <c r="F430" s="6">
        <f>CALC_GAMES_BASE!N430</f>
        <v>1.6099999999999999</v>
      </c>
      <c r="G430" s="7">
        <f>CALC_GAMES_BASE!K430</f>
        <v>1</v>
      </c>
      <c r="H430" s="7">
        <f t="shared" si="6"/>
        <v>1</v>
      </c>
      <c r="I430" s="6">
        <f>IF(H430=1,
  F430,
  G430*PARAMETRY!$B$11)</f>
        <v>1.6099999999999999</v>
      </c>
      <c r="J430" s="6">
        <f>CALC_GAMES_BASE!U430-CALC_GAMES_BASE!V430</f>
        <v>-1.8315018315021026E-4</v>
      </c>
      <c r="K430" s="6">
        <f>_xlfn.XLOOKUP(CALC_GAMES_BASE!W430,
  CALC_GOALIES!B:B,
  CALC_GOALIES!K:K)</f>
        <v>-1.5147095063735572E-3</v>
      </c>
      <c r="L430" s="6">
        <f>_xlfn.XLOOKUP(C430,CALC_TEAMS_SEASON!B:B,CALC_TEAMS_SEASON!L:L)</f>
        <v>-0.37268207282913179</v>
      </c>
      <c r="M430">
        <f>IF(CALC_GAMES_BASE!Z430="RS",1,1.2)</f>
        <v>1</v>
      </c>
      <c r="N430">
        <f xml:space="preserve"> CALC_GAMES_BASE!Y430</f>
        <v>1</v>
      </c>
    </row>
    <row r="431" spans="1:14" x14ac:dyDescent="0.25">
      <c r="A431" t="str">
        <f>CALC_GAMES_BASE!A431</f>
        <v>25/26</v>
      </c>
      <c r="B431" s="3">
        <f>CALC_GAMES_BASE!B431</f>
        <v>46010</v>
      </c>
      <c r="C431" s="3" t="str">
        <f>CALC_GAMES_BASE!C431</f>
        <v>CEB</v>
      </c>
      <c r="D431" s="3" t="str">
        <f>CALC_GAMES_BASE!D431</f>
        <v>KLA</v>
      </c>
      <c r="E431" s="7">
        <f>CALC_GAMES_BASE!E431</f>
        <v>0</v>
      </c>
      <c r="F431" s="6" t="str">
        <f>CALC_GAMES_BASE!N431</f>
        <v/>
      </c>
      <c r="G431" s="7">
        <f>CALC_GAMES_BASE!K431</f>
        <v>17</v>
      </c>
      <c r="H431" s="7">
        <f t="shared" si="6"/>
        <v>0</v>
      </c>
      <c r="I431" s="6">
        <f>IF(H431=1,
  F431,
  G431*PARAMETRY!$B$11)</f>
        <v>0.85000000000000009</v>
      </c>
      <c r="J431" s="6">
        <f>CALC_GAMES_BASE!U431-CALC_GAMES_BASE!V431</f>
        <v>-9.9067599067595435E-4</v>
      </c>
      <c r="K431" s="6">
        <f>_xlfn.XLOOKUP(CALC_GAMES_BASE!W431,
  CALC_GOALIES!B:B,
  CALC_GOALIES!K:K)</f>
        <v>3.9343341510811314E-3</v>
      </c>
      <c r="L431" s="6">
        <f>_xlfn.XLOOKUP(C431,CALC_TEAMS_SEASON!B:B,CALC_TEAMS_SEASON!L:L)</f>
        <v>-0.24978011204481798</v>
      </c>
      <c r="M431">
        <f>IF(CALC_GAMES_BASE!Z431="RS",1,1.2)</f>
        <v>1</v>
      </c>
      <c r="N431">
        <f xml:space="preserve"> CALC_GAMES_BASE!Y431</f>
        <v>1</v>
      </c>
    </row>
    <row r="432" spans="1:14" x14ac:dyDescent="0.25">
      <c r="A432" t="str">
        <f>CALC_GAMES_BASE!A432</f>
        <v>25/26</v>
      </c>
      <c r="B432" s="3">
        <f>CALC_GAMES_BASE!B432</f>
        <v>46010</v>
      </c>
      <c r="C432" s="3" t="str">
        <f>CALC_GAMES_BASE!C432</f>
        <v>KLA</v>
      </c>
      <c r="D432" s="3" t="str">
        <f>CALC_GAMES_BASE!D432</f>
        <v>CEB</v>
      </c>
      <c r="E432" s="7">
        <f>CALC_GAMES_BASE!E432</f>
        <v>1</v>
      </c>
      <c r="F432" s="6" t="str">
        <f>CALC_GAMES_BASE!N432</f>
        <v/>
      </c>
      <c r="G432" s="7">
        <f>CALC_GAMES_BASE!K432</f>
        <v>-17</v>
      </c>
      <c r="H432" s="7">
        <f t="shared" si="6"/>
        <v>0</v>
      </c>
      <c r="I432" s="6">
        <f>IF(H432=1,
  F432,
  G432*PARAMETRY!$B$11)</f>
        <v>-0.85000000000000009</v>
      </c>
      <c r="J432" s="6">
        <f>CALC_GAMES_BASE!U432-CALC_GAMES_BASE!V432</f>
        <v>9.9067599067595435E-4</v>
      </c>
      <c r="K432" s="6">
        <f>_xlfn.XLOOKUP(CALC_GAMES_BASE!W432,
  CALC_GOALIES!B:B,
  CALC_GOALIES!K:K)</f>
        <v>1.2463190300688209E-2</v>
      </c>
      <c r="L432" s="6">
        <f>_xlfn.XLOOKUP(C432,CALC_TEAMS_SEASON!B:B,CALC_TEAMS_SEASON!L:L)</f>
        <v>-0.19819677871148478</v>
      </c>
      <c r="M432">
        <f>IF(CALC_GAMES_BASE!Z432="RS",1,1.2)</f>
        <v>1</v>
      </c>
      <c r="N432">
        <f xml:space="preserve"> CALC_GAMES_BASE!Y432</f>
        <v>0</v>
      </c>
    </row>
    <row r="433" spans="1:14" x14ac:dyDescent="0.25">
      <c r="A433" t="str">
        <f>CALC_GAMES_BASE!A433</f>
        <v>25/26</v>
      </c>
      <c r="B433" s="3">
        <f>CALC_GAMES_BASE!B433</f>
        <v>46010</v>
      </c>
      <c r="C433" s="3" t="str">
        <f>CALC_GAMES_BASE!C433</f>
        <v>KVA</v>
      </c>
      <c r="D433" s="3" t="str">
        <f>CALC_GAMES_BASE!D433</f>
        <v>MHK</v>
      </c>
      <c r="E433" s="7">
        <f>CALC_GAMES_BASE!E433</f>
        <v>1</v>
      </c>
      <c r="F433" s="6" t="str">
        <f>CALC_GAMES_BASE!N433</f>
        <v/>
      </c>
      <c r="G433" s="7">
        <f>CALC_GAMES_BASE!K433</f>
        <v>8</v>
      </c>
      <c r="H433" s="7">
        <f t="shared" si="6"/>
        <v>0</v>
      </c>
      <c r="I433" s="6">
        <f>IF(H433=1,
  F433,
  G433*PARAMETRY!$B$11)</f>
        <v>0.4</v>
      </c>
      <c r="J433" s="6">
        <f>CALC_GAMES_BASE!U433-CALC_GAMES_BASE!V433</f>
        <v>3.2020757020757018E-2</v>
      </c>
      <c r="K433" s="6">
        <f>_xlfn.XLOOKUP(CALC_GAMES_BASE!W433,
  CALC_GOALIES!B:B,
  CALC_GOALIES!K:K)</f>
        <v>1.2242809776983998E-2</v>
      </c>
      <c r="L433" s="6">
        <f>_xlfn.XLOOKUP(C433,CALC_TEAMS_SEASON!B:B,CALC_TEAMS_SEASON!L:L)</f>
        <v>-0.28757177871148476</v>
      </c>
      <c r="M433">
        <f>IF(CALC_GAMES_BASE!Z433="RS",1,1.2)</f>
        <v>1</v>
      </c>
      <c r="N433">
        <f xml:space="preserve"> CALC_GAMES_BASE!Y433</f>
        <v>1</v>
      </c>
    </row>
    <row r="434" spans="1:14" x14ac:dyDescent="0.25">
      <c r="A434" t="str">
        <f>CALC_GAMES_BASE!A434</f>
        <v>25/26</v>
      </c>
      <c r="B434" s="3">
        <f>CALC_GAMES_BASE!B434</f>
        <v>46010</v>
      </c>
      <c r="C434" s="3" t="str">
        <f>CALC_GAMES_BASE!C434</f>
        <v>LIB</v>
      </c>
      <c r="D434" s="3" t="str">
        <f>CALC_GAMES_BASE!D434</f>
        <v>KOM</v>
      </c>
      <c r="E434" s="7">
        <f>CALC_GAMES_BASE!E434</f>
        <v>0</v>
      </c>
      <c r="F434" s="6">
        <f>CALC_GAMES_BASE!N434</f>
        <v>-1.6099999999999999</v>
      </c>
      <c r="G434" s="7">
        <f>CALC_GAMES_BASE!K434</f>
        <v>-1</v>
      </c>
      <c r="H434" s="7">
        <f t="shared" si="6"/>
        <v>1</v>
      </c>
      <c r="I434" s="6">
        <f>IF(H434=1,
  F434,
  G434*PARAMETRY!$B$11)</f>
        <v>-1.6099999999999999</v>
      </c>
      <c r="J434" s="6">
        <f>CALC_GAMES_BASE!U434-CALC_GAMES_BASE!V434</f>
        <v>1.8315018315021026E-4</v>
      </c>
      <c r="K434" s="6">
        <f>_xlfn.XLOOKUP(CALC_GAMES_BASE!W434,
  CALC_GOALIES!B:B,
  CALC_GOALIES!K:K)</f>
        <v>1.2275709048813366E-2</v>
      </c>
      <c r="L434" s="6">
        <f>_xlfn.XLOOKUP(C434,CALC_TEAMS_SEASON!B:B,CALC_TEAMS_SEASON!L:L)</f>
        <v>0.22367822128851536</v>
      </c>
      <c r="M434">
        <f>IF(CALC_GAMES_BASE!Z434="RS",1,1.2)</f>
        <v>1</v>
      </c>
      <c r="N434">
        <f xml:space="preserve"> CALC_GAMES_BASE!Y434</f>
        <v>0</v>
      </c>
    </row>
    <row r="435" spans="1:14" x14ac:dyDescent="0.25">
      <c r="A435" t="str">
        <f>CALC_GAMES_BASE!A435</f>
        <v>25/26</v>
      </c>
      <c r="B435" s="3">
        <f>CALC_GAMES_BASE!B435</f>
        <v>46010</v>
      </c>
      <c r="C435" s="3" t="str">
        <f>CALC_GAMES_BASE!C435</f>
        <v>LIT</v>
      </c>
      <c r="D435" s="3" t="str">
        <f>CALC_GAMES_BASE!D435</f>
        <v>SPA</v>
      </c>
      <c r="E435" s="7">
        <f>CALC_GAMES_BASE!E435</f>
        <v>1</v>
      </c>
      <c r="F435" s="6">
        <f>CALC_GAMES_BASE!N435</f>
        <v>2.0399999999999996</v>
      </c>
      <c r="G435" s="7">
        <f>CALC_GAMES_BASE!K435</f>
        <v>0</v>
      </c>
      <c r="H435" s="7">
        <f t="shared" si="6"/>
        <v>1</v>
      </c>
      <c r="I435" s="6">
        <f>IF(H435=1,
  F435,
  G435*PARAMETRY!$B$11)</f>
        <v>2.0399999999999996</v>
      </c>
      <c r="J435" s="6">
        <f>CALC_GAMES_BASE!U435-CALC_GAMES_BASE!V435</f>
        <v>-0.11971153846153852</v>
      </c>
      <c r="K435" s="6">
        <f>_xlfn.XLOOKUP(CALC_GAMES_BASE!W435,
  CALC_GOALIES!B:B,
  CALC_GOALIES!K:K)</f>
        <v>-8.1125178551773036E-3</v>
      </c>
      <c r="L435" s="6">
        <f>_xlfn.XLOOKUP(C435,CALC_TEAMS_SEASON!B:B,CALC_TEAMS_SEASON!L:L)</f>
        <v>-1.4784467787114848</v>
      </c>
      <c r="M435">
        <f>IF(CALC_GAMES_BASE!Z435="RS",1,1.2)</f>
        <v>1</v>
      </c>
      <c r="N435">
        <f xml:space="preserve"> CALC_GAMES_BASE!Y435</f>
        <v>1</v>
      </c>
    </row>
    <row r="436" spans="1:14" x14ac:dyDescent="0.25">
      <c r="A436" t="str">
        <f>CALC_GAMES_BASE!A436</f>
        <v>25/26</v>
      </c>
      <c r="B436" s="3">
        <f>CALC_GAMES_BASE!B436</f>
        <v>46010</v>
      </c>
      <c r="C436" s="3" t="str">
        <f>CALC_GAMES_BASE!C436</f>
        <v>MBL</v>
      </c>
      <c r="D436" s="3" t="str">
        <f>CALC_GAMES_BASE!D436</f>
        <v>VIT</v>
      </c>
      <c r="E436" s="7">
        <f>CALC_GAMES_BASE!E436</f>
        <v>0</v>
      </c>
      <c r="F436" s="6" t="str">
        <f>CALC_GAMES_BASE!N436</f>
        <v/>
      </c>
      <c r="G436" s="7">
        <f>CALC_GAMES_BASE!K436</f>
        <v>8</v>
      </c>
      <c r="H436" s="7">
        <f t="shared" si="6"/>
        <v>0</v>
      </c>
      <c r="I436" s="6">
        <f>IF(H436=1,
  F436,
  G436*PARAMETRY!$B$11)</f>
        <v>0.4</v>
      </c>
      <c r="J436" s="6">
        <f>CALC_GAMES_BASE!U436-CALC_GAMES_BASE!V436</f>
        <v>-5.1579670329670355E-2</v>
      </c>
      <c r="K436" s="6">
        <f>_xlfn.XLOOKUP(CALC_GAMES_BASE!W436,
  CALC_GOALIES!B:B,
  CALC_GOALIES!K:K)</f>
        <v>-4.4670611186142795E-3</v>
      </c>
      <c r="L436" s="6">
        <f>_xlfn.XLOOKUP(C436,CALC_TEAMS_SEASON!B:B,CALC_TEAMS_SEASON!L:L)</f>
        <v>-0.89069677871148467</v>
      </c>
      <c r="M436">
        <f>IF(CALC_GAMES_BASE!Z436="RS",1,1.2)</f>
        <v>1</v>
      </c>
      <c r="N436">
        <f xml:space="preserve"> CALC_GAMES_BASE!Y436</f>
        <v>1</v>
      </c>
    </row>
    <row r="437" spans="1:14" x14ac:dyDescent="0.25">
      <c r="A437" t="str">
        <f>CALC_GAMES_BASE!A437</f>
        <v>25/26</v>
      </c>
      <c r="B437" s="3">
        <f>CALC_GAMES_BASE!B437</f>
        <v>46010</v>
      </c>
      <c r="C437" s="3" t="str">
        <f>CALC_GAMES_BASE!C437</f>
        <v>MHK</v>
      </c>
      <c r="D437" s="3" t="str">
        <f>CALC_GAMES_BASE!D437</f>
        <v>KVA</v>
      </c>
      <c r="E437" s="7">
        <f>CALC_GAMES_BASE!E437</f>
        <v>0</v>
      </c>
      <c r="F437" s="6" t="str">
        <f>CALC_GAMES_BASE!N437</f>
        <v/>
      </c>
      <c r="G437" s="7">
        <f>CALC_GAMES_BASE!K437</f>
        <v>-8</v>
      </c>
      <c r="H437" s="7">
        <f t="shared" si="6"/>
        <v>0</v>
      </c>
      <c r="I437" s="6">
        <f>IF(H437=1,
  F437,
  G437*PARAMETRY!$B$11)</f>
        <v>-0.4</v>
      </c>
      <c r="J437" s="6">
        <f>CALC_GAMES_BASE!U437-CALC_GAMES_BASE!V437</f>
        <v>-3.2020757020757018E-2</v>
      </c>
      <c r="K437" s="6">
        <f>_xlfn.XLOOKUP(CALC_GAMES_BASE!W437,
  CALC_GOALIES!B:B,
  CALC_GOALIES!K:K)</f>
        <v>2.1917994590268441E-2</v>
      </c>
      <c r="L437" s="6">
        <f>_xlfn.XLOOKUP(C437,CALC_TEAMS_SEASON!B:B,CALC_TEAMS_SEASON!L:L)</f>
        <v>0.14821988795518207</v>
      </c>
      <c r="M437">
        <f>IF(CALC_GAMES_BASE!Z437="RS",1,1.2)</f>
        <v>1</v>
      </c>
      <c r="N437">
        <f xml:space="preserve"> CALC_GAMES_BASE!Y437</f>
        <v>0</v>
      </c>
    </row>
    <row r="438" spans="1:14" x14ac:dyDescent="0.25">
      <c r="A438" t="str">
        <f>CALC_GAMES_BASE!A438</f>
        <v>25/26</v>
      </c>
      <c r="B438" s="3">
        <f>CALC_GAMES_BASE!B438</f>
        <v>46010</v>
      </c>
      <c r="C438" s="3" t="str">
        <f>CALC_GAMES_BASE!C438</f>
        <v>PLZ</v>
      </c>
      <c r="D438" s="3" t="str">
        <f>CALC_GAMES_BASE!D438</f>
        <v>TRI</v>
      </c>
      <c r="E438" s="7">
        <f>CALC_GAMES_BASE!E438</f>
        <v>0</v>
      </c>
      <c r="F438" s="6">
        <f>CALC_GAMES_BASE!N438</f>
        <v>-0.75</v>
      </c>
      <c r="G438" s="7">
        <f>CALC_GAMES_BASE!K438</f>
        <v>-6</v>
      </c>
      <c r="H438" s="7">
        <f t="shared" si="6"/>
        <v>1</v>
      </c>
      <c r="I438" s="6">
        <f>IF(H438=1,
  F438,
  G438*PARAMETRY!$B$11)</f>
        <v>-0.75</v>
      </c>
      <c r="J438" s="6">
        <f>CALC_GAMES_BASE!U438-CALC_GAMES_BASE!V438</f>
        <v>2.037545787545697E-3</v>
      </c>
      <c r="K438" s="6">
        <f>_xlfn.XLOOKUP(CALC_GAMES_BASE!W438,
  CALC_GOALIES!B:B,
  CALC_GOALIES!K:K)</f>
        <v>-1.4856765927271365E-3</v>
      </c>
      <c r="L438" s="6">
        <f>_xlfn.XLOOKUP(C438,CALC_TEAMS_SEASON!B:B,CALC_TEAMS_SEASON!L:L)</f>
        <v>7.3678221288515283E-2</v>
      </c>
      <c r="M438">
        <f>IF(CALC_GAMES_BASE!Z438="RS",1,1.2)</f>
        <v>1</v>
      </c>
      <c r="N438">
        <f xml:space="preserve"> CALC_GAMES_BASE!Y438</f>
        <v>0</v>
      </c>
    </row>
    <row r="439" spans="1:14" x14ac:dyDescent="0.25">
      <c r="A439" t="str">
        <f>CALC_GAMES_BASE!A439</f>
        <v>25/26</v>
      </c>
      <c r="B439" s="3">
        <f>CALC_GAMES_BASE!B439</f>
        <v>46010</v>
      </c>
      <c r="C439" s="3" t="str">
        <f>CALC_GAMES_BASE!C439</f>
        <v>VIT</v>
      </c>
      <c r="D439" s="3" t="str">
        <f>CALC_GAMES_BASE!D439</f>
        <v>MBL</v>
      </c>
      <c r="E439" s="7">
        <f>CALC_GAMES_BASE!E439</f>
        <v>1</v>
      </c>
      <c r="F439" s="6" t="str">
        <f>CALC_GAMES_BASE!N439</f>
        <v/>
      </c>
      <c r="G439" s="7">
        <f>CALC_GAMES_BASE!K439</f>
        <v>-8</v>
      </c>
      <c r="H439" s="7">
        <f t="shared" si="6"/>
        <v>0</v>
      </c>
      <c r="I439" s="6">
        <f>IF(H439=1,
  F439,
  G439*PARAMETRY!$B$11)</f>
        <v>-0.4</v>
      </c>
      <c r="J439" s="6">
        <f>CALC_GAMES_BASE!U439-CALC_GAMES_BASE!V439</f>
        <v>5.1579670329670355E-2</v>
      </c>
      <c r="K439" s="6">
        <f>_xlfn.XLOOKUP(CALC_GAMES_BASE!W439,
  CALC_GOALIES!B:B,
  CALC_GOALIES!K:K)</f>
        <v>1.905487900993541E-3</v>
      </c>
      <c r="L439" s="6">
        <f>_xlfn.XLOOKUP(C439,CALC_TEAMS_SEASON!B:B,CALC_TEAMS_SEASON!L:L)</f>
        <v>-1.0281967787114845</v>
      </c>
      <c r="M439">
        <f>IF(CALC_GAMES_BASE!Z439="RS",1,1.2)</f>
        <v>1</v>
      </c>
      <c r="N439">
        <f xml:space="preserve"> CALC_GAMES_BASE!Y439</f>
        <v>0</v>
      </c>
    </row>
    <row r="440" spans="1:14" x14ac:dyDescent="0.25">
      <c r="A440" t="str">
        <f>CALC_GAMES_BASE!A440</f>
        <v>25/26</v>
      </c>
      <c r="B440" s="3">
        <f>CALC_GAMES_BASE!B440</f>
        <v>46012</v>
      </c>
      <c r="C440" s="3" t="str">
        <f>CALC_GAMES_BASE!C440</f>
        <v>PCE</v>
      </c>
      <c r="D440" s="3" t="str">
        <f>CALC_GAMES_BASE!D440</f>
        <v>PLZ</v>
      </c>
      <c r="E440" s="7">
        <f>CALC_GAMES_BASE!E440</f>
        <v>0</v>
      </c>
      <c r="F440" s="6">
        <f>CALC_GAMES_BASE!N440</f>
        <v>5.0000000000000266E-2</v>
      </c>
      <c r="G440" s="7">
        <f>CALC_GAMES_BASE!K440</f>
        <v>9</v>
      </c>
      <c r="H440" s="7">
        <f t="shared" si="6"/>
        <v>1</v>
      </c>
      <c r="I440" s="6">
        <f>IF(H440=1,
  F440,
  G440*PARAMETRY!$B$11)</f>
        <v>5.0000000000000266E-2</v>
      </c>
      <c r="J440" s="6">
        <f>CALC_GAMES_BASE!U440-CALC_GAMES_BASE!V440</f>
        <v>2.6564407814407914E-2</v>
      </c>
      <c r="K440" s="6">
        <f>_xlfn.XLOOKUP(CALC_GAMES_BASE!W440,
  CALC_GOALIES!B:B,
  CALC_GOALIES!K:K)</f>
        <v>4.5881077393388203E-3</v>
      </c>
      <c r="L440" s="6">
        <f>_xlfn.XLOOKUP(C440,CALC_TEAMS_SEASON!B:B,CALC_TEAMS_SEASON!L:L)</f>
        <v>0.62437675070027965</v>
      </c>
      <c r="M440">
        <f>IF(CALC_GAMES_BASE!Z440="RS",1,1.2)</f>
        <v>1</v>
      </c>
      <c r="N440">
        <f xml:space="preserve"> CALC_GAMES_BASE!Y440</f>
        <v>1</v>
      </c>
    </row>
    <row r="441" spans="1:14" x14ac:dyDescent="0.25">
      <c r="A441" t="str">
        <f>CALC_GAMES_BASE!A441</f>
        <v>25/26</v>
      </c>
      <c r="B441" s="3">
        <f>CALC_GAMES_BASE!B441</f>
        <v>46012</v>
      </c>
      <c r="C441" s="3" t="str">
        <f>CALC_GAMES_BASE!C441</f>
        <v>TRI</v>
      </c>
      <c r="D441" s="3" t="str">
        <f>CALC_GAMES_BASE!D441</f>
        <v>CEB</v>
      </c>
      <c r="E441" s="7">
        <f>CALC_GAMES_BASE!E441</f>
        <v>0</v>
      </c>
      <c r="F441" s="6">
        <f>CALC_GAMES_BASE!N441</f>
        <v>1.33</v>
      </c>
      <c r="G441" s="7">
        <f>CALC_GAMES_BASE!K441</f>
        <v>7</v>
      </c>
      <c r="H441" s="7">
        <f t="shared" si="6"/>
        <v>1</v>
      </c>
      <c r="I441" s="6">
        <f>IF(H441=1,
  F441,
  G441*PARAMETRY!$B$11)</f>
        <v>1.33</v>
      </c>
      <c r="J441" s="6">
        <f>CALC_GAMES_BASE!U441-CALC_GAMES_BASE!V441</f>
        <v>4.4160700410700443E-2</v>
      </c>
      <c r="K441" s="6">
        <f>_xlfn.XLOOKUP(CALC_GAMES_BASE!W441,
  CALC_GOALIES!B:B,
  CALC_GOALIES!K:K)</f>
        <v>1.3707542055988897E-2</v>
      </c>
      <c r="L441" s="6">
        <f>_xlfn.XLOOKUP(C441,CALC_TEAMS_SEASON!B:B,CALC_TEAMS_SEASON!L:L)</f>
        <v>0.10805322128851533</v>
      </c>
      <c r="M441">
        <f>IF(CALC_GAMES_BASE!Z441="RS",1,1.2)</f>
        <v>1</v>
      </c>
      <c r="N441">
        <f xml:space="preserve"> CALC_GAMES_BASE!Y441</f>
        <v>0</v>
      </c>
    </row>
    <row r="442" spans="1:14" x14ac:dyDescent="0.25">
      <c r="A442" t="str">
        <f>CALC_GAMES_BASE!A442</f>
        <v>25/26</v>
      </c>
      <c r="B442" s="3">
        <f>CALC_GAMES_BASE!B442</f>
        <v>46012</v>
      </c>
      <c r="C442" s="3" t="str">
        <f>CALC_GAMES_BASE!C442</f>
        <v>SPA</v>
      </c>
      <c r="D442" s="3" t="str">
        <f>CALC_GAMES_BASE!D442</f>
        <v>VIT</v>
      </c>
      <c r="E442" s="7">
        <f>CALC_GAMES_BASE!E442</f>
        <v>1</v>
      </c>
      <c r="F442" s="6">
        <f>CALC_GAMES_BASE!N442</f>
        <v>0.14000000000000012</v>
      </c>
      <c r="G442" s="7">
        <f>CALC_GAMES_BASE!K442</f>
        <v>22</v>
      </c>
      <c r="H442" s="7">
        <f t="shared" si="6"/>
        <v>1</v>
      </c>
      <c r="I442" s="6">
        <f>IF(H442=1,
  F442,
  G442*PARAMETRY!$B$11)</f>
        <v>0.14000000000000012</v>
      </c>
      <c r="J442" s="6">
        <f>CALC_GAMES_BASE!U442-CALC_GAMES_BASE!V442</f>
        <v>5.0755494505494519E-2</v>
      </c>
      <c r="K442" s="6">
        <f>_xlfn.XLOOKUP(CALC_GAMES_BASE!W442,
  CALC_GOALIES!B:B,
  CALC_GOALIES!K:K)</f>
        <v>3.5919237922225067E-3</v>
      </c>
      <c r="L442" s="6">
        <f>_xlfn.XLOOKUP(C442,CALC_TEAMS_SEASON!B:B,CALC_TEAMS_SEASON!L:L)</f>
        <v>6.4376750700279955E-2</v>
      </c>
      <c r="M442">
        <f>IF(CALC_GAMES_BASE!Z442="RS",1,1.2)</f>
        <v>1</v>
      </c>
      <c r="N442">
        <f xml:space="preserve"> CALC_GAMES_BASE!Y442</f>
        <v>0</v>
      </c>
    </row>
    <row r="443" spans="1:14" x14ac:dyDescent="0.25">
      <c r="A443" t="str">
        <f>CALC_GAMES_BASE!A443</f>
        <v>25/26</v>
      </c>
      <c r="B443" s="3">
        <f>CALC_GAMES_BASE!B443</f>
        <v>46012</v>
      </c>
      <c r="C443" s="3" t="str">
        <f>CALC_GAMES_BASE!C443</f>
        <v>KOM</v>
      </c>
      <c r="D443" s="3" t="str">
        <f>CALC_GAMES_BASE!D443</f>
        <v>MHK</v>
      </c>
      <c r="E443" s="7">
        <f>CALC_GAMES_BASE!E443</f>
        <v>0</v>
      </c>
      <c r="F443" s="6">
        <f>CALC_GAMES_BASE!N443</f>
        <v>-3.0399999999999996</v>
      </c>
      <c r="G443" s="7">
        <f>CALC_GAMES_BASE!K443</f>
        <v>-23</v>
      </c>
      <c r="H443" s="7">
        <f t="shared" si="6"/>
        <v>1</v>
      </c>
      <c r="I443" s="6">
        <f>IF(H443=1,
  F443,
  G443*PARAMETRY!$B$11)</f>
        <v>-3.0399999999999996</v>
      </c>
      <c r="J443" s="6">
        <f>CALC_GAMES_BASE!U443-CALC_GAMES_BASE!V443</f>
        <v>1.739926739926706E-3</v>
      </c>
      <c r="K443" s="6">
        <f>_xlfn.XLOOKUP(CALC_GAMES_BASE!W443,
  CALC_GOALIES!B:B,
  CALC_GOALIES!K:K)</f>
        <v>-1.5147095063735572E-3</v>
      </c>
      <c r="L443" s="6">
        <f>_xlfn.XLOOKUP(C443,CALC_TEAMS_SEASON!B:B,CALC_TEAMS_SEASON!L:L)</f>
        <v>-0.37268207282913179</v>
      </c>
      <c r="M443">
        <f>IF(CALC_GAMES_BASE!Z443="RS",1,1.2)</f>
        <v>1</v>
      </c>
      <c r="N443">
        <f xml:space="preserve"> CALC_GAMES_BASE!Y443</f>
        <v>0</v>
      </c>
    </row>
    <row r="444" spans="1:14" x14ac:dyDescent="0.25">
      <c r="A444" t="str">
        <f>CALC_GAMES_BASE!A444</f>
        <v>25/26</v>
      </c>
      <c r="B444" s="3">
        <f>CALC_GAMES_BASE!B444</f>
        <v>46012</v>
      </c>
      <c r="C444" s="3" t="str">
        <f>CALC_GAMES_BASE!C444</f>
        <v>CEB</v>
      </c>
      <c r="D444" s="3" t="str">
        <f>CALC_GAMES_BASE!D444</f>
        <v>TRI</v>
      </c>
      <c r="E444" s="7">
        <f>CALC_GAMES_BASE!E444</f>
        <v>1</v>
      </c>
      <c r="F444" s="6">
        <f>CALC_GAMES_BASE!N444</f>
        <v>-1.33</v>
      </c>
      <c r="G444" s="7">
        <f>CALC_GAMES_BASE!K444</f>
        <v>-7</v>
      </c>
      <c r="H444" s="7">
        <f t="shared" si="6"/>
        <v>1</v>
      </c>
      <c r="I444" s="6">
        <f>IF(H444=1,
  F444,
  G444*PARAMETRY!$B$11)</f>
        <v>-1.33</v>
      </c>
      <c r="J444" s="6">
        <f>CALC_GAMES_BASE!U444-CALC_GAMES_BASE!V444</f>
        <v>-4.4160700410700443E-2</v>
      </c>
      <c r="K444" s="6">
        <f>_xlfn.XLOOKUP(CALC_GAMES_BASE!W444,
  CALC_GOALIES!B:B,
  CALC_GOALIES!K:K)</f>
        <v>-1.372632037787358E-2</v>
      </c>
      <c r="L444" s="6">
        <f>_xlfn.XLOOKUP(C444,CALC_TEAMS_SEASON!B:B,CALC_TEAMS_SEASON!L:L)</f>
        <v>-0.24978011204481798</v>
      </c>
      <c r="M444">
        <f>IF(CALC_GAMES_BASE!Z444="RS",1,1.2)</f>
        <v>1</v>
      </c>
      <c r="N444">
        <f xml:space="preserve"> CALC_GAMES_BASE!Y444</f>
        <v>1</v>
      </c>
    </row>
    <row r="445" spans="1:14" x14ac:dyDescent="0.25">
      <c r="A445" t="str">
        <f>CALC_GAMES_BASE!A445</f>
        <v>25/26</v>
      </c>
      <c r="B445" s="3">
        <f>CALC_GAMES_BASE!B445</f>
        <v>46012</v>
      </c>
      <c r="C445" s="3" t="str">
        <f>CALC_GAMES_BASE!C445</f>
        <v>KLA</v>
      </c>
      <c r="D445" s="3" t="str">
        <f>CALC_GAMES_BASE!D445</f>
        <v>LIB</v>
      </c>
      <c r="E445" s="7">
        <f>CALC_GAMES_BASE!E445</f>
        <v>0</v>
      </c>
      <c r="F445" s="6" t="str">
        <f>CALC_GAMES_BASE!N445</f>
        <v/>
      </c>
      <c r="G445" s="7">
        <f>CALC_GAMES_BASE!K445</f>
        <v>-16</v>
      </c>
      <c r="H445" s="7">
        <f t="shared" si="6"/>
        <v>0</v>
      </c>
      <c r="I445" s="6">
        <f>IF(H445=1,
  F445,
  G445*PARAMETRY!$B$11)</f>
        <v>-0.8</v>
      </c>
      <c r="J445" s="6">
        <f>CALC_GAMES_BASE!U445-CALC_GAMES_BASE!V445</f>
        <v>-1.2568681318681357E-2</v>
      </c>
      <c r="K445" s="6">
        <f>_xlfn.XLOOKUP(CALC_GAMES_BASE!W445,
  CALC_GOALIES!B:B,
  CALC_GOALIES!K:K)</f>
        <v>-1.9185137403854746E-2</v>
      </c>
      <c r="L445" s="6">
        <f>_xlfn.XLOOKUP(C445,CALC_TEAMS_SEASON!B:B,CALC_TEAMS_SEASON!L:L)</f>
        <v>-0.19819677871148478</v>
      </c>
      <c r="M445">
        <f>IF(CALC_GAMES_BASE!Z445="RS",1,1.2)</f>
        <v>1</v>
      </c>
      <c r="N445">
        <f xml:space="preserve"> CALC_GAMES_BASE!Y445</f>
        <v>0</v>
      </c>
    </row>
    <row r="446" spans="1:14" x14ac:dyDescent="0.25">
      <c r="A446" t="str">
        <f>CALC_GAMES_BASE!A446</f>
        <v>25/26</v>
      </c>
      <c r="B446" s="3">
        <f>CALC_GAMES_BASE!B446</f>
        <v>46012</v>
      </c>
      <c r="C446" s="3" t="str">
        <f>CALC_GAMES_BASE!C446</f>
        <v>KVA</v>
      </c>
      <c r="D446" s="3" t="str">
        <f>CALC_GAMES_BASE!D446</f>
        <v>MBL</v>
      </c>
      <c r="E446" s="7">
        <f>CALC_GAMES_BASE!E446</f>
        <v>0</v>
      </c>
      <c r="F446" s="6" t="str">
        <f>CALC_GAMES_BASE!N446</f>
        <v/>
      </c>
      <c r="G446" s="7">
        <f>CALC_GAMES_BASE!K446</f>
        <v>-12</v>
      </c>
      <c r="H446" s="7">
        <f t="shared" si="6"/>
        <v>0</v>
      </c>
      <c r="I446" s="6">
        <f>IF(H446=1,
  F446,
  G446*PARAMETRY!$B$11)</f>
        <v>-0.60000000000000009</v>
      </c>
      <c r="J446" s="6">
        <f>CALC_GAMES_BASE!U446-CALC_GAMES_BASE!V446</f>
        <v>5.5601343101343112E-2</v>
      </c>
      <c r="K446" s="6">
        <f>_xlfn.XLOOKUP(CALC_GAMES_BASE!W446,
  CALC_GOALIES!B:B,
  CALC_GOALIES!K:K)</f>
        <v>1.2242809776983998E-2</v>
      </c>
      <c r="L446" s="6">
        <f>_xlfn.XLOOKUP(C446,CALC_TEAMS_SEASON!B:B,CALC_TEAMS_SEASON!L:L)</f>
        <v>-0.28757177871148476</v>
      </c>
      <c r="M446">
        <f>IF(CALC_GAMES_BASE!Z446="RS",1,1.2)</f>
        <v>1</v>
      </c>
      <c r="N446">
        <f xml:space="preserve"> CALC_GAMES_BASE!Y446</f>
        <v>1</v>
      </c>
    </row>
    <row r="447" spans="1:14" x14ac:dyDescent="0.25">
      <c r="A447" t="str">
        <f>CALC_GAMES_BASE!A447</f>
        <v>25/26</v>
      </c>
      <c r="B447" s="3">
        <f>CALC_GAMES_BASE!B447</f>
        <v>46012</v>
      </c>
      <c r="C447" s="3" t="str">
        <f>CALC_GAMES_BASE!C447</f>
        <v>LIB</v>
      </c>
      <c r="D447" s="3" t="str">
        <f>CALC_GAMES_BASE!D447</f>
        <v>KLA</v>
      </c>
      <c r="E447" s="7">
        <f>CALC_GAMES_BASE!E447</f>
        <v>1</v>
      </c>
      <c r="F447" s="6" t="str">
        <f>CALC_GAMES_BASE!N447</f>
        <v/>
      </c>
      <c r="G447" s="7">
        <f>CALC_GAMES_BASE!K447</f>
        <v>16</v>
      </c>
      <c r="H447" s="7">
        <f t="shared" si="6"/>
        <v>0</v>
      </c>
      <c r="I447" s="6">
        <f>IF(H447=1,
  F447,
  G447*PARAMETRY!$B$11)</f>
        <v>0.8</v>
      </c>
      <c r="J447" s="6">
        <f>CALC_GAMES_BASE!U447-CALC_GAMES_BASE!V447</f>
        <v>1.2568681318681357E-2</v>
      </c>
      <c r="K447" s="6">
        <f>_xlfn.XLOOKUP(CALC_GAMES_BASE!W447,
  CALC_GOALIES!B:B,
  CALC_GOALIES!K:K)</f>
        <v>1.2275709048813366E-2</v>
      </c>
      <c r="L447" s="6">
        <f>_xlfn.XLOOKUP(C447,CALC_TEAMS_SEASON!B:B,CALC_TEAMS_SEASON!L:L)</f>
        <v>0.22367822128851536</v>
      </c>
      <c r="M447">
        <f>IF(CALC_GAMES_BASE!Z447="RS",1,1.2)</f>
        <v>1</v>
      </c>
      <c r="N447">
        <f xml:space="preserve"> CALC_GAMES_BASE!Y447</f>
        <v>1</v>
      </c>
    </row>
    <row r="448" spans="1:14" x14ac:dyDescent="0.25">
      <c r="A448" t="str">
        <f>CALC_GAMES_BASE!A448</f>
        <v>25/26</v>
      </c>
      <c r="B448" s="3">
        <f>CALC_GAMES_BASE!B448</f>
        <v>46012</v>
      </c>
      <c r="C448" s="3" t="str">
        <f>CALC_GAMES_BASE!C448</f>
        <v>LIT</v>
      </c>
      <c r="D448" s="3" t="str">
        <f>CALC_GAMES_BASE!D448</f>
        <v>OLO</v>
      </c>
      <c r="E448" s="7">
        <f>CALC_GAMES_BASE!E448</f>
        <v>0</v>
      </c>
      <c r="F448" s="6" t="str">
        <f>CALC_GAMES_BASE!N448</f>
        <v/>
      </c>
      <c r="G448" s="7">
        <f>CALC_GAMES_BASE!K448</f>
        <v>-5</v>
      </c>
      <c r="H448" s="7">
        <f t="shared" si="6"/>
        <v>0</v>
      </c>
      <c r="I448" s="6">
        <f>IF(H448=1,
  F448,
  G448*PARAMETRY!$B$11)</f>
        <v>-0.25</v>
      </c>
      <c r="J448" s="6">
        <f>CALC_GAMES_BASE!U448-CALC_GAMES_BASE!V448</f>
        <v>-4.9000305250305284E-2</v>
      </c>
      <c r="K448" s="6">
        <f>_xlfn.XLOOKUP(CALC_GAMES_BASE!W448,
  CALC_GOALIES!B:B,
  CALC_GOALIES!K:K)</f>
        <v>-8.1125178551773036E-3</v>
      </c>
      <c r="L448" s="6">
        <f>_xlfn.XLOOKUP(C448,CALC_TEAMS_SEASON!B:B,CALC_TEAMS_SEASON!L:L)</f>
        <v>-1.4784467787114848</v>
      </c>
      <c r="M448">
        <f>IF(CALC_GAMES_BASE!Z448="RS",1,1.2)</f>
        <v>1</v>
      </c>
      <c r="N448">
        <f xml:space="preserve"> CALC_GAMES_BASE!Y448</f>
        <v>0</v>
      </c>
    </row>
    <row r="449" spans="1:14" x14ac:dyDescent="0.25">
      <c r="A449" t="str">
        <f>CALC_GAMES_BASE!A449</f>
        <v>25/26</v>
      </c>
      <c r="B449" s="3">
        <f>CALC_GAMES_BASE!B449</f>
        <v>46012</v>
      </c>
      <c r="C449" s="3" t="str">
        <f>CALC_GAMES_BASE!C449</f>
        <v>MBL</v>
      </c>
      <c r="D449" s="3" t="str">
        <f>CALC_GAMES_BASE!D449</f>
        <v>KVA</v>
      </c>
      <c r="E449" s="7">
        <f>CALC_GAMES_BASE!E449</f>
        <v>1</v>
      </c>
      <c r="F449" s="6" t="str">
        <f>CALC_GAMES_BASE!N449</f>
        <v/>
      </c>
      <c r="G449" s="7">
        <f>CALC_GAMES_BASE!K449</f>
        <v>12</v>
      </c>
      <c r="H449" s="7">
        <f t="shared" si="6"/>
        <v>0</v>
      </c>
      <c r="I449" s="6">
        <f>IF(H449=1,
  F449,
  G449*PARAMETRY!$B$11)</f>
        <v>0.60000000000000009</v>
      </c>
      <c r="J449" s="6">
        <f>CALC_GAMES_BASE!U449-CALC_GAMES_BASE!V449</f>
        <v>-5.5601343101343112E-2</v>
      </c>
      <c r="K449" s="6">
        <f>_xlfn.XLOOKUP(CALC_GAMES_BASE!W449,
  CALC_GOALIES!B:B,
  CALC_GOALIES!K:K)</f>
        <v>-4.4670611186142795E-3</v>
      </c>
      <c r="L449" s="6">
        <f>_xlfn.XLOOKUP(C449,CALC_TEAMS_SEASON!B:B,CALC_TEAMS_SEASON!L:L)</f>
        <v>-0.89069677871148467</v>
      </c>
      <c r="M449">
        <f>IF(CALC_GAMES_BASE!Z449="RS",1,1.2)</f>
        <v>1</v>
      </c>
      <c r="N449">
        <f xml:space="preserve"> CALC_GAMES_BASE!Y449</f>
        <v>0</v>
      </c>
    </row>
    <row r="450" spans="1:14" x14ac:dyDescent="0.25">
      <c r="A450" t="str">
        <f>CALC_GAMES_BASE!A450</f>
        <v>25/26</v>
      </c>
      <c r="B450" s="3">
        <f>CALC_GAMES_BASE!B450</f>
        <v>46012</v>
      </c>
      <c r="C450" s="3" t="str">
        <f>CALC_GAMES_BASE!C450</f>
        <v>MHK</v>
      </c>
      <c r="D450" s="3" t="str">
        <f>CALC_GAMES_BASE!D450</f>
        <v>KOM</v>
      </c>
      <c r="E450" s="7">
        <f>CALC_GAMES_BASE!E450</f>
        <v>1</v>
      </c>
      <c r="F450" s="6">
        <f>CALC_GAMES_BASE!N450</f>
        <v>3.0399999999999996</v>
      </c>
      <c r="G450" s="7">
        <f>CALC_GAMES_BASE!K450</f>
        <v>23</v>
      </c>
      <c r="H450" s="7">
        <f t="shared" si="6"/>
        <v>1</v>
      </c>
      <c r="I450" s="6">
        <f>IF(H450=1,
  F450,
  G450*PARAMETRY!$B$11)</f>
        <v>3.0399999999999996</v>
      </c>
      <c r="J450" s="6">
        <f>CALC_GAMES_BASE!U450-CALC_GAMES_BASE!V450</f>
        <v>-1.739926739926706E-3</v>
      </c>
      <c r="K450" s="6">
        <f>_xlfn.XLOOKUP(CALC_GAMES_BASE!W450,
  CALC_GOALIES!B:B,
  CALC_GOALIES!K:K)</f>
        <v>2.1917994590268441E-2</v>
      </c>
      <c r="L450" s="6">
        <f>_xlfn.XLOOKUP(C450,CALC_TEAMS_SEASON!B:B,CALC_TEAMS_SEASON!L:L)</f>
        <v>0.14821988795518207</v>
      </c>
      <c r="M450">
        <f>IF(CALC_GAMES_BASE!Z450="RS",1,1.2)</f>
        <v>1</v>
      </c>
      <c r="N450">
        <f xml:space="preserve"> CALC_GAMES_BASE!Y450</f>
        <v>1</v>
      </c>
    </row>
    <row r="451" spans="1:14" x14ac:dyDescent="0.25">
      <c r="A451" t="str">
        <f>CALC_GAMES_BASE!A451</f>
        <v>25/26</v>
      </c>
      <c r="B451" s="3">
        <f>CALC_GAMES_BASE!B451</f>
        <v>46012</v>
      </c>
      <c r="C451" s="3" t="str">
        <f>CALC_GAMES_BASE!C451</f>
        <v>OLO</v>
      </c>
      <c r="D451" s="3" t="str">
        <f>CALC_GAMES_BASE!D451</f>
        <v>LIT</v>
      </c>
      <c r="E451" s="7">
        <f>CALC_GAMES_BASE!E451</f>
        <v>1</v>
      </c>
      <c r="F451" s="6" t="str">
        <f>CALC_GAMES_BASE!N451</f>
        <v/>
      </c>
      <c r="G451" s="7">
        <f>CALC_GAMES_BASE!K451</f>
        <v>5</v>
      </c>
      <c r="H451" s="7">
        <f t="shared" ref="H451:H514" si="7">IF(F451&lt;&gt;"",1,0)</f>
        <v>0</v>
      </c>
      <c r="I451" s="6">
        <f>IF(H451=1,
  F451,
  G451*PARAMETRY!$B$11)</f>
        <v>0.25</v>
      </c>
      <c r="J451" s="6">
        <f>CALC_GAMES_BASE!U451-CALC_GAMES_BASE!V451</f>
        <v>4.9000305250305284E-2</v>
      </c>
      <c r="K451" s="6">
        <f>_xlfn.XLOOKUP(CALC_GAMES_BASE!W451,
  CALC_GOALIES!B:B,
  CALC_GOALIES!K:K)</f>
        <v>4.4713327207696052E-3</v>
      </c>
      <c r="L451" s="6">
        <f>_xlfn.XLOOKUP(C451,CALC_TEAMS_SEASON!B:B,CALC_TEAMS_SEASON!L:L)</f>
        <v>-1.0613217787114846</v>
      </c>
      <c r="M451">
        <f>IF(CALC_GAMES_BASE!Z451="RS",1,1.2)</f>
        <v>1</v>
      </c>
      <c r="N451">
        <f xml:space="preserve"> CALC_GAMES_BASE!Y451</f>
        <v>1</v>
      </c>
    </row>
    <row r="452" spans="1:14" x14ac:dyDescent="0.25">
      <c r="A452" t="str">
        <f>CALC_GAMES_BASE!A452</f>
        <v>25/26</v>
      </c>
      <c r="B452" s="3">
        <f>CALC_GAMES_BASE!B452</f>
        <v>46012</v>
      </c>
      <c r="C452" s="3" t="str">
        <f>CALC_GAMES_BASE!C452</f>
        <v>PLZ</v>
      </c>
      <c r="D452" s="3" t="str">
        <f>CALC_GAMES_BASE!D452</f>
        <v>PCE</v>
      </c>
      <c r="E452" s="7">
        <f>CALC_GAMES_BASE!E452</f>
        <v>1</v>
      </c>
      <c r="F452" s="6">
        <f>CALC_GAMES_BASE!N452</f>
        <v>-5.0000000000000266E-2</v>
      </c>
      <c r="G452" s="7">
        <f>CALC_GAMES_BASE!K452</f>
        <v>-9</v>
      </c>
      <c r="H452" s="7">
        <f t="shared" si="7"/>
        <v>1</v>
      </c>
      <c r="I452" s="6">
        <f>IF(H452=1,
  F452,
  G452*PARAMETRY!$B$11)</f>
        <v>-5.0000000000000266E-2</v>
      </c>
      <c r="J452" s="6">
        <f>CALC_GAMES_BASE!U452-CALC_GAMES_BASE!V452</f>
        <v>-2.6564407814407914E-2</v>
      </c>
      <c r="K452" s="6">
        <f>_xlfn.XLOOKUP(CALC_GAMES_BASE!W452,
  CALC_GOALIES!B:B,
  CALC_GOALIES!K:K)</f>
        <v>1.7617039556646619E-2</v>
      </c>
      <c r="L452" s="6">
        <f>_xlfn.XLOOKUP(C452,CALC_TEAMS_SEASON!B:B,CALC_TEAMS_SEASON!L:L)</f>
        <v>7.3678221288515283E-2</v>
      </c>
      <c r="M452">
        <f>IF(CALC_GAMES_BASE!Z452="RS",1,1.2)</f>
        <v>1</v>
      </c>
      <c r="N452">
        <f xml:space="preserve"> CALC_GAMES_BASE!Y452</f>
        <v>0</v>
      </c>
    </row>
    <row r="453" spans="1:14" x14ac:dyDescent="0.25">
      <c r="A453" t="str">
        <f>CALC_GAMES_BASE!A453</f>
        <v>25/26</v>
      </c>
      <c r="B453" s="3">
        <f>CALC_GAMES_BASE!B453</f>
        <v>46012</v>
      </c>
      <c r="C453" s="3" t="str">
        <f>CALC_GAMES_BASE!C453</f>
        <v>VIT</v>
      </c>
      <c r="D453" s="3" t="str">
        <f>CALC_GAMES_BASE!D453</f>
        <v>SPA</v>
      </c>
      <c r="E453" s="7">
        <f>CALC_GAMES_BASE!E453</f>
        <v>0</v>
      </c>
      <c r="F453" s="6">
        <f>CALC_GAMES_BASE!N453</f>
        <v>-0.14000000000000012</v>
      </c>
      <c r="G453" s="7">
        <f>CALC_GAMES_BASE!K453</f>
        <v>-22</v>
      </c>
      <c r="H453" s="7">
        <f t="shared" si="7"/>
        <v>1</v>
      </c>
      <c r="I453" s="6">
        <f>IF(H453=1,
  F453,
  G453*PARAMETRY!$B$11)</f>
        <v>-0.14000000000000012</v>
      </c>
      <c r="J453" s="6">
        <f>CALC_GAMES_BASE!U453-CALC_GAMES_BASE!V453</f>
        <v>-5.0755494505494519E-2</v>
      </c>
      <c r="K453" s="6">
        <f>_xlfn.XLOOKUP(CALC_GAMES_BASE!W453,
  CALC_GOALIES!B:B,
  CALC_GOALIES!K:K)</f>
        <v>1.905487900993541E-3</v>
      </c>
      <c r="L453" s="6">
        <f>_xlfn.XLOOKUP(C453,CALC_TEAMS_SEASON!B:B,CALC_TEAMS_SEASON!L:L)</f>
        <v>-1.0281967787114845</v>
      </c>
      <c r="M453">
        <f>IF(CALC_GAMES_BASE!Z453="RS",1,1.2)</f>
        <v>1</v>
      </c>
      <c r="N453">
        <f xml:space="preserve"> CALC_GAMES_BASE!Y453</f>
        <v>1</v>
      </c>
    </row>
    <row r="454" spans="1:14" x14ac:dyDescent="0.25">
      <c r="A454" t="str">
        <f>CALC_GAMES_BASE!A454</f>
        <v>25/26</v>
      </c>
      <c r="B454" s="3">
        <f>CALC_GAMES_BASE!B454</f>
        <v>46014</v>
      </c>
      <c r="C454" s="3" t="str">
        <f>CALC_GAMES_BASE!C454</f>
        <v>PCE</v>
      </c>
      <c r="D454" s="3" t="str">
        <f>CALC_GAMES_BASE!D454</f>
        <v>KLA</v>
      </c>
      <c r="E454" s="7">
        <f>CALC_GAMES_BASE!E454</f>
        <v>0</v>
      </c>
      <c r="F454" s="6">
        <f>CALC_GAMES_BASE!N454</f>
        <v>0.48000000000000043</v>
      </c>
      <c r="G454" s="7">
        <f>CALC_GAMES_BASE!K454</f>
        <v>-2</v>
      </c>
      <c r="H454" s="7">
        <f t="shared" si="7"/>
        <v>1</v>
      </c>
      <c r="I454" s="6">
        <f>IF(H454=1,
  F454,
  G454*PARAMETRY!$B$11)</f>
        <v>0.48000000000000043</v>
      </c>
      <c r="J454" s="6">
        <f>CALC_GAMES_BASE!U454-CALC_GAMES_BASE!V454</f>
        <v>7.17719780219781E-2</v>
      </c>
      <c r="K454" s="6">
        <f>_xlfn.XLOOKUP(CALC_GAMES_BASE!W454,
  CALC_GOALIES!B:B,
  CALC_GOALIES!K:K)</f>
        <v>-6.7923502086092435E-3</v>
      </c>
      <c r="L454" s="6">
        <f>_xlfn.XLOOKUP(C454,CALC_TEAMS_SEASON!B:B,CALC_TEAMS_SEASON!L:L)</f>
        <v>0.62437675070027965</v>
      </c>
      <c r="M454">
        <f>IF(CALC_GAMES_BASE!Z454="RS",1,1.2)</f>
        <v>1</v>
      </c>
      <c r="N454">
        <f xml:space="preserve"> CALC_GAMES_BASE!Y454</f>
        <v>1</v>
      </c>
    </row>
    <row r="455" spans="1:14" x14ac:dyDescent="0.25">
      <c r="A455" t="str">
        <f>CALC_GAMES_BASE!A455</f>
        <v>25/26</v>
      </c>
      <c r="B455" s="3">
        <f>CALC_GAMES_BASE!B455</f>
        <v>46014</v>
      </c>
      <c r="C455" s="3" t="str">
        <f>CALC_GAMES_BASE!C455</f>
        <v>SPA</v>
      </c>
      <c r="D455" s="3" t="str">
        <f>CALC_GAMES_BASE!D455</f>
        <v>OLO</v>
      </c>
      <c r="E455" s="7">
        <f>CALC_GAMES_BASE!E455</f>
        <v>1</v>
      </c>
      <c r="F455" s="6">
        <f>CALC_GAMES_BASE!N455</f>
        <v>2.6099999999999994</v>
      </c>
      <c r="G455" s="7">
        <f>CALC_GAMES_BASE!K455</f>
        <v>23</v>
      </c>
      <c r="H455" s="7">
        <f t="shared" si="7"/>
        <v>1</v>
      </c>
      <c r="I455" s="6">
        <f>IF(H455=1,
  F455,
  G455*PARAMETRY!$B$11)</f>
        <v>2.6099999999999994</v>
      </c>
      <c r="J455" s="6">
        <f>CALC_GAMES_BASE!U455-CALC_GAMES_BASE!V455</f>
        <v>7.0711233211233238E-2</v>
      </c>
      <c r="K455" s="6">
        <f>_xlfn.XLOOKUP(CALC_GAMES_BASE!W455,
  CALC_GOALIES!B:B,
  CALC_GOALIES!K:K)</f>
        <v>-1.0634669404866681E-2</v>
      </c>
      <c r="L455" s="6">
        <f>_xlfn.XLOOKUP(C455,CALC_TEAMS_SEASON!B:B,CALC_TEAMS_SEASON!L:L)</f>
        <v>6.4376750700279955E-2</v>
      </c>
      <c r="M455">
        <f>IF(CALC_GAMES_BASE!Z455="RS",1,1.2)</f>
        <v>1</v>
      </c>
      <c r="N455">
        <f xml:space="preserve"> CALC_GAMES_BASE!Y455</f>
        <v>1</v>
      </c>
    </row>
    <row r="456" spans="1:14" x14ac:dyDescent="0.25">
      <c r="A456" t="str">
        <f>CALC_GAMES_BASE!A456</f>
        <v>25/26</v>
      </c>
      <c r="B456" s="3">
        <f>CALC_GAMES_BASE!B456</f>
        <v>46014</v>
      </c>
      <c r="C456" s="3" t="str">
        <f>CALC_GAMES_BASE!C456</f>
        <v>KOM</v>
      </c>
      <c r="D456" s="3" t="str">
        <f>CALC_GAMES_BASE!D456</f>
        <v>PLZ</v>
      </c>
      <c r="E456" s="7">
        <f>CALC_GAMES_BASE!E456</f>
        <v>1</v>
      </c>
      <c r="F456" s="6">
        <f>CALC_GAMES_BASE!N456</f>
        <v>-0.18999999999999995</v>
      </c>
      <c r="G456" s="7">
        <f>CALC_GAMES_BASE!K456</f>
        <v>-6</v>
      </c>
      <c r="H456" s="7">
        <f t="shared" si="7"/>
        <v>1</v>
      </c>
      <c r="I456" s="6">
        <f>IF(H456=1,
  F456,
  G456*PARAMETRY!$B$11)</f>
        <v>-0.18999999999999995</v>
      </c>
      <c r="J456" s="6">
        <f>CALC_GAMES_BASE!U456-CALC_GAMES_BASE!V456</f>
        <v>-3.2822039072039039E-2</v>
      </c>
      <c r="K456" s="6">
        <f>_xlfn.XLOOKUP(CALC_GAMES_BASE!W456,
  CALC_GOALIES!B:B,
  CALC_GOALIES!K:K)</f>
        <v>-1.5147095063735572E-3</v>
      </c>
      <c r="L456" s="6">
        <f>_xlfn.XLOOKUP(C456,CALC_TEAMS_SEASON!B:B,CALC_TEAMS_SEASON!L:L)</f>
        <v>-0.37268207282913179</v>
      </c>
      <c r="M456">
        <f>IF(CALC_GAMES_BASE!Z456="RS",1,1.2)</f>
        <v>1</v>
      </c>
      <c r="N456">
        <f xml:space="preserve"> CALC_GAMES_BASE!Y456</f>
        <v>1</v>
      </c>
    </row>
    <row r="457" spans="1:14" x14ac:dyDescent="0.25">
      <c r="A457" t="str">
        <f>CALC_GAMES_BASE!A457</f>
        <v>25/26</v>
      </c>
      <c r="B457" s="3">
        <f>CALC_GAMES_BASE!B457</f>
        <v>46014</v>
      </c>
      <c r="C457" s="3" t="str">
        <f>CALC_GAMES_BASE!C457</f>
        <v>CEB</v>
      </c>
      <c r="D457" s="3" t="str">
        <f>CALC_GAMES_BASE!D457</f>
        <v>KVA</v>
      </c>
      <c r="E457" s="7">
        <f>CALC_GAMES_BASE!E457</f>
        <v>0</v>
      </c>
      <c r="F457" s="6" t="str">
        <f>CALC_GAMES_BASE!N457</f>
        <v/>
      </c>
      <c r="G457" s="7">
        <f>CALC_GAMES_BASE!K457</f>
        <v>0</v>
      </c>
      <c r="H457" s="7">
        <f t="shared" si="7"/>
        <v>0</v>
      </c>
      <c r="I457" s="6">
        <f>IF(H457=1,
  F457,
  G457*PARAMETRY!$B$11)</f>
        <v>0</v>
      </c>
      <c r="J457" s="6">
        <f>CALC_GAMES_BASE!U457-CALC_GAMES_BASE!V457</f>
        <v>-4.3657037407037413E-2</v>
      </c>
      <c r="K457" s="6">
        <f>_xlfn.XLOOKUP(CALC_GAMES_BASE!W457,
  CALC_GOALIES!B:B,
  CALC_GOALIES!K:K)</f>
        <v>-1.372632037787358E-2</v>
      </c>
      <c r="L457" s="6">
        <f>_xlfn.XLOOKUP(C457,CALC_TEAMS_SEASON!B:B,CALC_TEAMS_SEASON!L:L)</f>
        <v>-0.24978011204481798</v>
      </c>
      <c r="M457">
        <f>IF(CALC_GAMES_BASE!Z457="RS",1,1.2)</f>
        <v>1</v>
      </c>
      <c r="N457">
        <f xml:space="preserve"> CALC_GAMES_BASE!Y457</f>
        <v>0</v>
      </c>
    </row>
    <row r="458" spans="1:14" x14ac:dyDescent="0.25">
      <c r="A458" t="str">
        <f>CALC_GAMES_BASE!A458</f>
        <v>25/26</v>
      </c>
      <c r="B458" s="3">
        <f>CALC_GAMES_BASE!B458</f>
        <v>46014</v>
      </c>
      <c r="C458" s="3" t="str">
        <f>CALC_GAMES_BASE!C458</f>
        <v>KLA</v>
      </c>
      <c r="D458" s="3" t="str">
        <f>CALC_GAMES_BASE!D458</f>
        <v>PCE</v>
      </c>
      <c r="E458" s="7">
        <f>CALC_GAMES_BASE!E458</f>
        <v>1</v>
      </c>
      <c r="F458" s="6">
        <f>CALC_GAMES_BASE!N458</f>
        <v>-0.48000000000000043</v>
      </c>
      <c r="G458" s="7">
        <f>CALC_GAMES_BASE!K458</f>
        <v>2</v>
      </c>
      <c r="H458" s="7">
        <f t="shared" si="7"/>
        <v>1</v>
      </c>
      <c r="I458" s="6">
        <f>IF(H458=1,
  F458,
  G458*PARAMETRY!$B$11)</f>
        <v>-0.48000000000000043</v>
      </c>
      <c r="J458" s="6">
        <f>CALC_GAMES_BASE!U458-CALC_GAMES_BASE!V458</f>
        <v>-7.17719780219781E-2</v>
      </c>
      <c r="K458" s="6">
        <f>_xlfn.XLOOKUP(CALC_GAMES_BASE!W458,
  CALC_GOALIES!B:B,
  CALC_GOALIES!K:K)</f>
        <v>-1.9185137403854746E-2</v>
      </c>
      <c r="L458" s="6">
        <f>_xlfn.XLOOKUP(C458,CALC_TEAMS_SEASON!B:B,CALC_TEAMS_SEASON!L:L)</f>
        <v>-0.19819677871148478</v>
      </c>
      <c r="M458">
        <f>IF(CALC_GAMES_BASE!Z458="RS",1,1.2)</f>
        <v>1</v>
      </c>
      <c r="N458">
        <f xml:space="preserve"> CALC_GAMES_BASE!Y458</f>
        <v>0</v>
      </c>
    </row>
    <row r="459" spans="1:14" x14ac:dyDescent="0.25">
      <c r="A459" t="str">
        <f>CALC_GAMES_BASE!A459</f>
        <v>25/26</v>
      </c>
      <c r="B459" s="3">
        <f>CALC_GAMES_BASE!B459</f>
        <v>46014</v>
      </c>
      <c r="C459" s="3" t="str">
        <f>CALC_GAMES_BASE!C459</f>
        <v>KVA</v>
      </c>
      <c r="D459" s="3" t="str">
        <f>CALC_GAMES_BASE!D459</f>
        <v>CEB</v>
      </c>
      <c r="E459" s="7">
        <f>CALC_GAMES_BASE!E459</f>
        <v>1</v>
      </c>
      <c r="F459" s="6" t="str">
        <f>CALC_GAMES_BASE!N459</f>
        <v/>
      </c>
      <c r="G459" s="7">
        <f>CALC_GAMES_BASE!K459</f>
        <v>0</v>
      </c>
      <c r="H459" s="7">
        <f t="shared" si="7"/>
        <v>0</v>
      </c>
      <c r="I459" s="6">
        <f>IF(H459=1,
  F459,
  G459*PARAMETRY!$B$11)</f>
        <v>0</v>
      </c>
      <c r="J459" s="6">
        <f>CALC_GAMES_BASE!U459-CALC_GAMES_BASE!V459</f>
        <v>4.3657037407037413E-2</v>
      </c>
      <c r="K459" s="6">
        <f>_xlfn.XLOOKUP(CALC_GAMES_BASE!W459,
  CALC_GOALIES!B:B,
  CALC_GOALIES!K:K)</f>
        <v>1.2242809776983998E-2</v>
      </c>
      <c r="L459" s="6">
        <f>_xlfn.XLOOKUP(C459,CALC_TEAMS_SEASON!B:B,CALC_TEAMS_SEASON!L:L)</f>
        <v>-0.28757177871148476</v>
      </c>
      <c r="M459">
        <f>IF(CALC_GAMES_BASE!Z459="RS",1,1.2)</f>
        <v>1</v>
      </c>
      <c r="N459">
        <f xml:space="preserve"> CALC_GAMES_BASE!Y459</f>
        <v>1</v>
      </c>
    </row>
    <row r="460" spans="1:14" x14ac:dyDescent="0.25">
      <c r="A460" t="str">
        <f>CALC_GAMES_BASE!A460</f>
        <v>25/26</v>
      </c>
      <c r="B460" s="3">
        <f>CALC_GAMES_BASE!B460</f>
        <v>46014</v>
      </c>
      <c r="C460" s="3" t="str">
        <f>CALC_GAMES_BASE!C460</f>
        <v>LIB</v>
      </c>
      <c r="D460" s="3" t="str">
        <f>CALC_GAMES_BASE!D460</f>
        <v>VIT</v>
      </c>
      <c r="E460" s="7">
        <f>CALC_GAMES_BASE!E460</f>
        <v>0</v>
      </c>
      <c r="F460" s="6" t="str">
        <f>CALC_GAMES_BASE!N460</f>
        <v/>
      </c>
      <c r="G460" s="7">
        <f>CALC_GAMES_BASE!K460</f>
        <v>12</v>
      </c>
      <c r="H460" s="7">
        <f t="shared" si="7"/>
        <v>0</v>
      </c>
      <c r="I460" s="6">
        <f>IF(H460=1,
  F460,
  G460*PARAMETRY!$B$11)</f>
        <v>0.60000000000000009</v>
      </c>
      <c r="J460" s="6">
        <f>CALC_GAMES_BASE!U460-CALC_GAMES_BASE!V460</f>
        <v>-2.6076007326007344E-2</v>
      </c>
      <c r="K460" s="6">
        <f>_xlfn.XLOOKUP(CALC_GAMES_BASE!W460,
  CALC_GOALIES!B:B,
  CALC_GOALIES!K:K)</f>
        <v>-2.7663687063931297E-2</v>
      </c>
      <c r="L460" s="6">
        <f>_xlfn.XLOOKUP(C460,CALC_TEAMS_SEASON!B:B,CALC_TEAMS_SEASON!L:L)</f>
        <v>0.22367822128851536</v>
      </c>
      <c r="M460">
        <f>IF(CALC_GAMES_BASE!Z460="RS",1,1.2)</f>
        <v>1</v>
      </c>
      <c r="N460">
        <f xml:space="preserve"> CALC_GAMES_BASE!Y460</f>
        <v>0</v>
      </c>
    </row>
    <row r="461" spans="1:14" x14ac:dyDescent="0.25">
      <c r="A461" t="str">
        <f>CALC_GAMES_BASE!A461</f>
        <v>25/26</v>
      </c>
      <c r="B461" s="3">
        <f>CALC_GAMES_BASE!B461</f>
        <v>46014</v>
      </c>
      <c r="C461" s="3" t="str">
        <f>CALC_GAMES_BASE!C461</f>
        <v>LIT</v>
      </c>
      <c r="D461" s="3" t="str">
        <f>CALC_GAMES_BASE!D461</f>
        <v>MBL</v>
      </c>
      <c r="E461" s="7">
        <f>CALC_GAMES_BASE!E461</f>
        <v>1</v>
      </c>
      <c r="F461" s="6" t="str">
        <f>CALC_GAMES_BASE!N461</f>
        <v/>
      </c>
      <c r="G461" s="7">
        <f>CALC_GAMES_BASE!K461</f>
        <v>1</v>
      </c>
      <c r="H461" s="7">
        <f t="shared" si="7"/>
        <v>0</v>
      </c>
      <c r="I461" s="6">
        <f>IF(H461=1,
  F461,
  G461*PARAMETRY!$B$11)</f>
        <v>0.05</v>
      </c>
      <c r="J461" s="6">
        <f>CALC_GAMES_BASE!U461-CALC_GAMES_BASE!V461</f>
        <v>-1.7376373626373648E-2</v>
      </c>
      <c r="K461" s="6">
        <f>_xlfn.XLOOKUP(CALC_GAMES_BASE!W461,
  CALC_GOALIES!B:B,
  CALC_GOALIES!K:K)</f>
        <v>-4.9010888963920696E-3</v>
      </c>
      <c r="L461" s="6">
        <f>_xlfn.XLOOKUP(C461,CALC_TEAMS_SEASON!B:B,CALC_TEAMS_SEASON!L:L)</f>
        <v>-1.4784467787114848</v>
      </c>
      <c r="M461">
        <f>IF(CALC_GAMES_BASE!Z461="RS",1,1.2)</f>
        <v>1</v>
      </c>
      <c r="N461">
        <f xml:space="preserve"> CALC_GAMES_BASE!Y461</f>
        <v>1</v>
      </c>
    </row>
    <row r="462" spans="1:14" x14ac:dyDescent="0.25">
      <c r="A462" t="str">
        <f>CALC_GAMES_BASE!A462</f>
        <v>25/26</v>
      </c>
      <c r="B462" s="3">
        <f>CALC_GAMES_BASE!B462</f>
        <v>46014</v>
      </c>
      <c r="C462" s="3" t="str">
        <f>CALC_GAMES_BASE!C462</f>
        <v>MBL</v>
      </c>
      <c r="D462" s="3" t="str">
        <f>CALC_GAMES_BASE!D462</f>
        <v>LIT</v>
      </c>
      <c r="E462" s="7">
        <f>CALC_GAMES_BASE!E462</f>
        <v>0</v>
      </c>
      <c r="F462" s="6" t="str">
        <f>CALC_GAMES_BASE!N462</f>
        <v/>
      </c>
      <c r="G462" s="7">
        <f>CALC_GAMES_BASE!K462</f>
        <v>-1</v>
      </c>
      <c r="H462" s="7">
        <f t="shared" si="7"/>
        <v>0</v>
      </c>
      <c r="I462" s="6">
        <f>IF(H462=1,
  F462,
  G462*PARAMETRY!$B$11)</f>
        <v>-0.05</v>
      </c>
      <c r="J462" s="6">
        <f>CALC_GAMES_BASE!U462-CALC_GAMES_BASE!V462</f>
        <v>1.7376373626373648E-2</v>
      </c>
      <c r="K462" s="6">
        <f>_xlfn.XLOOKUP(CALC_GAMES_BASE!W462,
  CALC_GOALIES!B:B,
  CALC_GOALIES!K:K)</f>
        <v>-4.4670611186142795E-3</v>
      </c>
      <c r="L462" s="6">
        <f>_xlfn.XLOOKUP(C462,CALC_TEAMS_SEASON!B:B,CALC_TEAMS_SEASON!L:L)</f>
        <v>-0.89069677871148467</v>
      </c>
      <c r="M462">
        <f>IF(CALC_GAMES_BASE!Z462="RS",1,1.2)</f>
        <v>1</v>
      </c>
      <c r="N462">
        <f xml:space="preserve"> CALC_GAMES_BASE!Y462</f>
        <v>0</v>
      </c>
    </row>
    <row r="463" spans="1:14" x14ac:dyDescent="0.25">
      <c r="A463" t="str">
        <f>CALC_GAMES_BASE!A463</f>
        <v>25/26</v>
      </c>
      <c r="B463" s="3">
        <f>CALC_GAMES_BASE!B463</f>
        <v>46014</v>
      </c>
      <c r="C463" s="3" t="str">
        <f>CALC_GAMES_BASE!C463</f>
        <v>OLO</v>
      </c>
      <c r="D463" s="3" t="str">
        <f>CALC_GAMES_BASE!D463</f>
        <v>SPA</v>
      </c>
      <c r="E463" s="7">
        <f>CALC_GAMES_BASE!E463</f>
        <v>0</v>
      </c>
      <c r="F463" s="6">
        <f>CALC_GAMES_BASE!N463</f>
        <v>-1.6099999999999994</v>
      </c>
      <c r="G463" s="7">
        <f>CALC_GAMES_BASE!K463</f>
        <v>-23</v>
      </c>
      <c r="H463" s="7">
        <f t="shared" si="7"/>
        <v>1</v>
      </c>
      <c r="I463" s="6">
        <f>IF(H463=1,
  F463,
  G463*PARAMETRY!$B$11)</f>
        <v>-1.6099999999999994</v>
      </c>
      <c r="J463" s="6">
        <f>CALC_GAMES_BASE!U463-CALC_GAMES_BASE!V463</f>
        <v>-7.0711233211233238E-2</v>
      </c>
      <c r="K463" s="6">
        <f>_xlfn.XLOOKUP(CALC_GAMES_BASE!W463,
  CALC_GOALIES!B:B,
  CALC_GOALIES!K:K)</f>
        <v>-2.0326878807700233E-2</v>
      </c>
      <c r="L463" s="6">
        <f>_xlfn.XLOOKUP(C463,CALC_TEAMS_SEASON!B:B,CALC_TEAMS_SEASON!L:L)</f>
        <v>-1.0613217787114846</v>
      </c>
      <c r="M463">
        <f>IF(CALC_GAMES_BASE!Z463="RS",1,1.2)</f>
        <v>1</v>
      </c>
      <c r="N463">
        <f xml:space="preserve"> CALC_GAMES_BASE!Y463</f>
        <v>0</v>
      </c>
    </row>
    <row r="464" spans="1:14" x14ac:dyDescent="0.25">
      <c r="A464" t="str">
        <f>CALC_GAMES_BASE!A464</f>
        <v>25/26</v>
      </c>
      <c r="B464" s="3">
        <f>CALC_GAMES_BASE!B464</f>
        <v>46014</v>
      </c>
      <c r="C464" s="3" t="str">
        <f>CALC_GAMES_BASE!C464</f>
        <v>PLZ</v>
      </c>
      <c r="D464" s="3" t="str">
        <f>CALC_GAMES_BASE!D464</f>
        <v>KOM</v>
      </c>
      <c r="E464" s="7">
        <f>CALC_GAMES_BASE!E464</f>
        <v>0</v>
      </c>
      <c r="F464" s="6">
        <f>CALC_GAMES_BASE!N464</f>
        <v>0.18999999999999995</v>
      </c>
      <c r="G464" s="7">
        <f>CALC_GAMES_BASE!K464</f>
        <v>6</v>
      </c>
      <c r="H464" s="7">
        <f t="shared" si="7"/>
        <v>1</v>
      </c>
      <c r="I464" s="6">
        <f>IF(H464=1,
  F464,
  G464*PARAMETRY!$B$11)</f>
        <v>0.18999999999999995</v>
      </c>
      <c r="J464" s="6">
        <f>CALC_GAMES_BASE!U464-CALC_GAMES_BASE!V464</f>
        <v>3.2822039072039039E-2</v>
      </c>
      <c r="K464" s="6">
        <f>_xlfn.XLOOKUP(CALC_GAMES_BASE!W464,
  CALC_GOALIES!B:B,
  CALC_GOALIES!K:K)</f>
        <v>1.7617039556646619E-2</v>
      </c>
      <c r="L464" s="6">
        <f>_xlfn.XLOOKUP(C464,CALC_TEAMS_SEASON!B:B,CALC_TEAMS_SEASON!L:L)</f>
        <v>7.3678221288515283E-2</v>
      </c>
      <c r="M464">
        <f>IF(CALC_GAMES_BASE!Z464="RS",1,1.2)</f>
        <v>1</v>
      </c>
      <c r="N464">
        <f xml:space="preserve"> CALC_GAMES_BASE!Y464</f>
        <v>0</v>
      </c>
    </row>
    <row r="465" spans="1:14" x14ac:dyDescent="0.25">
      <c r="A465" t="str">
        <f>CALC_GAMES_BASE!A465</f>
        <v>25/26</v>
      </c>
      <c r="B465" s="3">
        <f>CALC_GAMES_BASE!B465</f>
        <v>46014</v>
      </c>
      <c r="C465" s="3" t="str">
        <f>CALC_GAMES_BASE!C465</f>
        <v>VIT</v>
      </c>
      <c r="D465" s="3" t="str">
        <f>CALC_GAMES_BASE!D465</f>
        <v>LIB</v>
      </c>
      <c r="E465" s="7">
        <f>CALC_GAMES_BASE!E465</f>
        <v>1</v>
      </c>
      <c r="F465" s="6" t="str">
        <f>CALC_GAMES_BASE!N465</f>
        <v/>
      </c>
      <c r="G465" s="7">
        <f>CALC_GAMES_BASE!K465</f>
        <v>-12</v>
      </c>
      <c r="H465" s="7">
        <f t="shared" si="7"/>
        <v>0</v>
      </c>
      <c r="I465" s="6">
        <f>IF(H465=1,
  F465,
  G465*PARAMETRY!$B$11)</f>
        <v>-0.60000000000000009</v>
      </c>
      <c r="J465" s="6">
        <f>CALC_GAMES_BASE!U465-CALC_GAMES_BASE!V465</f>
        <v>2.6076007326007344E-2</v>
      </c>
      <c r="K465" s="6">
        <f>_xlfn.XLOOKUP(CALC_GAMES_BASE!W465,
  CALC_GOALIES!B:B,
  CALC_GOALIES!K:K)</f>
        <v>1.905487900993541E-3</v>
      </c>
      <c r="L465" s="6">
        <f>_xlfn.XLOOKUP(C465,CALC_TEAMS_SEASON!B:B,CALC_TEAMS_SEASON!L:L)</f>
        <v>-1.0281967787114845</v>
      </c>
      <c r="M465">
        <f>IF(CALC_GAMES_BASE!Z465="RS",1,1.2)</f>
        <v>1</v>
      </c>
      <c r="N465">
        <f xml:space="preserve"> CALC_GAMES_BASE!Y465</f>
        <v>1</v>
      </c>
    </row>
    <row r="466" spans="1:14" x14ac:dyDescent="0.25">
      <c r="A466" t="str">
        <f>CALC_GAMES_BASE!A466</f>
        <v>25/26</v>
      </c>
      <c r="B466" s="3">
        <f>CALC_GAMES_BASE!B466</f>
        <v>46017</v>
      </c>
      <c r="C466" s="3" t="str">
        <f>CALC_GAMES_BASE!C466</f>
        <v>PCE</v>
      </c>
      <c r="D466" s="3" t="str">
        <f>CALC_GAMES_BASE!D466</f>
        <v>TRI</v>
      </c>
      <c r="E466" s="7">
        <f>CALC_GAMES_BASE!E466</f>
        <v>1</v>
      </c>
      <c r="F466" s="6">
        <f>CALC_GAMES_BASE!N466</f>
        <v>3.3</v>
      </c>
      <c r="G466" s="7">
        <f>CALC_GAMES_BASE!K466</f>
        <v>35</v>
      </c>
      <c r="H466" s="7">
        <f t="shared" si="7"/>
        <v>1</v>
      </c>
      <c r="I466" s="6">
        <f>IF(H466=1,
  F466,
  G466*PARAMETRY!$B$11)</f>
        <v>3.3</v>
      </c>
      <c r="J466" s="6">
        <f>CALC_GAMES_BASE!U466-CALC_GAMES_BASE!V466</f>
        <v>2.8601953601953611E-2</v>
      </c>
      <c r="K466" s="6">
        <f>_xlfn.XLOOKUP(CALC_GAMES_BASE!W466,
  CALC_GOALIES!B:B,
  CALC_GOALIES!K:K)</f>
        <v>4.5881077393388203E-3</v>
      </c>
      <c r="L466" s="6">
        <f>_xlfn.XLOOKUP(C466,CALC_TEAMS_SEASON!B:B,CALC_TEAMS_SEASON!L:L)</f>
        <v>0.62437675070027965</v>
      </c>
      <c r="M466">
        <f>IF(CALC_GAMES_BASE!Z466="RS",1,1.2)</f>
        <v>1</v>
      </c>
      <c r="N466">
        <f xml:space="preserve"> CALC_GAMES_BASE!Y466</f>
        <v>1</v>
      </c>
    </row>
    <row r="467" spans="1:14" x14ac:dyDescent="0.25">
      <c r="A467" t="str">
        <f>CALC_GAMES_BASE!A467</f>
        <v>25/26</v>
      </c>
      <c r="B467" s="3">
        <f>CALC_GAMES_BASE!B467</f>
        <v>46017</v>
      </c>
      <c r="C467" s="3" t="str">
        <f>CALC_GAMES_BASE!C467</f>
        <v>TRI</v>
      </c>
      <c r="D467" s="3" t="str">
        <f>CALC_GAMES_BASE!D467</f>
        <v>PCE</v>
      </c>
      <c r="E467" s="7">
        <f>CALC_GAMES_BASE!E467</f>
        <v>0</v>
      </c>
      <c r="F467" s="6">
        <f>CALC_GAMES_BASE!N467</f>
        <v>-3.3</v>
      </c>
      <c r="G467" s="7">
        <f>CALC_GAMES_BASE!K467</f>
        <v>-35</v>
      </c>
      <c r="H467" s="7">
        <f t="shared" si="7"/>
        <v>1</v>
      </c>
      <c r="I467" s="6">
        <f>IF(H467=1,
  F467,
  G467*PARAMETRY!$B$11)</f>
        <v>-3.3</v>
      </c>
      <c r="J467" s="6">
        <f>CALC_GAMES_BASE!U467-CALC_GAMES_BASE!V467</f>
        <v>-2.8601953601953611E-2</v>
      </c>
      <c r="K467" s="6">
        <f>_xlfn.XLOOKUP(CALC_GAMES_BASE!W467,
  CALC_GOALIES!B:B,
  CALC_GOALIES!K:K)</f>
        <v>1.3707542055988897E-2</v>
      </c>
      <c r="L467" s="6">
        <f>_xlfn.XLOOKUP(C467,CALC_TEAMS_SEASON!B:B,CALC_TEAMS_SEASON!L:L)</f>
        <v>0.10805322128851533</v>
      </c>
      <c r="M467">
        <f>IF(CALC_GAMES_BASE!Z467="RS",1,1.2)</f>
        <v>1</v>
      </c>
      <c r="N467">
        <f xml:space="preserve"> CALC_GAMES_BASE!Y467</f>
        <v>0</v>
      </c>
    </row>
    <row r="468" spans="1:14" x14ac:dyDescent="0.25">
      <c r="A468" t="str">
        <f>CALC_GAMES_BASE!A468</f>
        <v>25/26</v>
      </c>
      <c r="B468" s="3">
        <f>CALC_GAMES_BASE!B468</f>
        <v>46017</v>
      </c>
      <c r="C468" s="3" t="str">
        <f>CALC_GAMES_BASE!C468</f>
        <v>KOM</v>
      </c>
      <c r="D468" s="3" t="str">
        <f>CALC_GAMES_BASE!D468</f>
        <v>CEB</v>
      </c>
      <c r="E468" s="7">
        <f>CALC_GAMES_BASE!E468</f>
        <v>0</v>
      </c>
      <c r="F468" s="6">
        <f>CALC_GAMES_BASE!N468</f>
        <v>0.64999999999999991</v>
      </c>
      <c r="G468" s="7">
        <f>CALC_GAMES_BASE!K468</f>
        <v>-8</v>
      </c>
      <c r="H468" s="7">
        <f t="shared" si="7"/>
        <v>1</v>
      </c>
      <c r="I468" s="6">
        <f>IF(H468=1,
  F468,
  G468*PARAMETRY!$B$11)</f>
        <v>0.64999999999999991</v>
      </c>
      <c r="J468" s="6">
        <f>CALC_GAMES_BASE!U468-CALC_GAMES_BASE!V468</f>
        <v>1.3376207126207101E-2</v>
      </c>
      <c r="K468" s="6">
        <f>_xlfn.XLOOKUP(CALC_GAMES_BASE!W468,
  CALC_GOALIES!B:B,
  CALC_GOALIES!K:K)</f>
        <v>-1.5147095063735572E-3</v>
      </c>
      <c r="L468" s="6">
        <f>_xlfn.XLOOKUP(C468,CALC_TEAMS_SEASON!B:B,CALC_TEAMS_SEASON!L:L)</f>
        <v>-0.37268207282913179</v>
      </c>
      <c r="M468">
        <f>IF(CALC_GAMES_BASE!Z468="RS",1,1.2)</f>
        <v>1</v>
      </c>
      <c r="N468">
        <f xml:space="preserve"> CALC_GAMES_BASE!Y468</f>
        <v>0</v>
      </c>
    </row>
    <row r="469" spans="1:14" x14ac:dyDescent="0.25">
      <c r="A469" t="str">
        <f>CALC_GAMES_BASE!A469</f>
        <v>25/26</v>
      </c>
      <c r="B469" s="3">
        <f>CALC_GAMES_BASE!B469</f>
        <v>46017</v>
      </c>
      <c r="C469" s="3" t="str">
        <f>CALC_GAMES_BASE!C469</f>
        <v>CEB</v>
      </c>
      <c r="D469" s="3" t="str">
        <f>CALC_GAMES_BASE!D469</f>
        <v>KOM</v>
      </c>
      <c r="E469" s="7">
        <f>CALC_GAMES_BASE!E469</f>
        <v>1</v>
      </c>
      <c r="F469" s="6">
        <f>CALC_GAMES_BASE!N469</f>
        <v>-0.64999999999999991</v>
      </c>
      <c r="G469" s="7">
        <f>CALC_GAMES_BASE!K469</f>
        <v>8</v>
      </c>
      <c r="H469" s="7">
        <f t="shared" si="7"/>
        <v>1</v>
      </c>
      <c r="I469" s="6">
        <f>IF(H469=1,
  F469,
  G469*PARAMETRY!$B$11)</f>
        <v>-0.64999999999999991</v>
      </c>
      <c r="J469" s="6">
        <f>CALC_GAMES_BASE!U469-CALC_GAMES_BASE!V469</f>
        <v>-1.3376207126207101E-2</v>
      </c>
      <c r="K469" s="6">
        <f>_xlfn.XLOOKUP(CALC_GAMES_BASE!W469,
  CALC_GOALIES!B:B,
  CALC_GOALIES!K:K)</f>
        <v>-1.372632037787358E-2</v>
      </c>
      <c r="L469" s="6">
        <f>_xlfn.XLOOKUP(C469,CALC_TEAMS_SEASON!B:B,CALC_TEAMS_SEASON!L:L)</f>
        <v>-0.24978011204481798</v>
      </c>
      <c r="M469">
        <f>IF(CALC_GAMES_BASE!Z469="RS",1,1.2)</f>
        <v>1</v>
      </c>
      <c r="N469">
        <f xml:space="preserve"> CALC_GAMES_BASE!Y469</f>
        <v>1</v>
      </c>
    </row>
    <row r="470" spans="1:14" x14ac:dyDescent="0.25">
      <c r="A470" t="str">
        <f>CALC_GAMES_BASE!A470</f>
        <v>25/26</v>
      </c>
      <c r="B470" s="3">
        <f>CALC_GAMES_BASE!B470</f>
        <v>46017</v>
      </c>
      <c r="C470" s="3" t="str">
        <f>CALC_GAMES_BASE!C470</f>
        <v>KLA</v>
      </c>
      <c r="D470" s="3" t="str">
        <f>CALC_GAMES_BASE!D470</f>
        <v>PLZ</v>
      </c>
      <c r="E470" s="7">
        <f>CALC_GAMES_BASE!E470</f>
        <v>0</v>
      </c>
      <c r="F470" s="6" t="str">
        <f>CALC_GAMES_BASE!N470</f>
        <v/>
      </c>
      <c r="G470" s="7">
        <f>CALC_GAMES_BASE!K470</f>
        <v>-8</v>
      </c>
      <c r="H470" s="7">
        <f t="shared" si="7"/>
        <v>0</v>
      </c>
      <c r="I470" s="6">
        <f>IF(H470=1,
  F470,
  G470*PARAMETRY!$B$11)</f>
        <v>-0.4</v>
      </c>
      <c r="J470" s="6">
        <f>CALC_GAMES_BASE!U470-CALC_GAMES_BASE!V470</f>
        <v>-4.5207570207570186E-2</v>
      </c>
      <c r="K470" s="6">
        <f>_xlfn.XLOOKUP(CALC_GAMES_BASE!W470,
  CALC_GOALIES!B:B,
  CALC_GOALIES!K:K)</f>
        <v>-1.9185137403854746E-2</v>
      </c>
      <c r="L470" s="6">
        <f>_xlfn.XLOOKUP(C470,CALC_TEAMS_SEASON!B:B,CALC_TEAMS_SEASON!L:L)</f>
        <v>-0.19819677871148478</v>
      </c>
      <c r="M470">
        <f>IF(CALC_GAMES_BASE!Z470="RS",1,1.2)</f>
        <v>1</v>
      </c>
      <c r="N470">
        <f xml:space="preserve"> CALC_GAMES_BASE!Y470</f>
        <v>0</v>
      </c>
    </row>
    <row r="471" spans="1:14" x14ac:dyDescent="0.25">
      <c r="A471" t="str">
        <f>CALC_GAMES_BASE!A471</f>
        <v>25/26</v>
      </c>
      <c r="B471" s="3">
        <f>CALC_GAMES_BASE!B471</f>
        <v>46017</v>
      </c>
      <c r="C471" s="3" t="str">
        <f>CALC_GAMES_BASE!C471</f>
        <v>KVA</v>
      </c>
      <c r="D471" s="3" t="str">
        <f>CALC_GAMES_BASE!D471</f>
        <v>LIB</v>
      </c>
      <c r="E471" s="7">
        <f>CALC_GAMES_BASE!E471</f>
        <v>0</v>
      </c>
      <c r="F471" s="6" t="str">
        <f>CALC_GAMES_BASE!N471</f>
        <v/>
      </c>
      <c r="G471" s="7">
        <f>CALC_GAMES_BASE!K471</f>
        <v>-5</v>
      </c>
      <c r="H471" s="7">
        <f t="shared" si="7"/>
        <v>0</v>
      </c>
      <c r="I471" s="6">
        <f>IF(H471=1,
  F471,
  G471*PARAMETRY!$B$11)</f>
        <v>-0.25</v>
      </c>
      <c r="J471" s="6">
        <f>CALC_GAMES_BASE!U471-CALC_GAMES_BASE!V471</f>
        <v>3.0097680097680102E-2</v>
      </c>
      <c r="K471" s="6">
        <f>_xlfn.XLOOKUP(CALC_GAMES_BASE!W471,
  CALC_GOALIES!B:B,
  CALC_GOALIES!K:K)</f>
        <v>-2.2629454281007488E-2</v>
      </c>
      <c r="L471" s="6">
        <f>_xlfn.XLOOKUP(C471,CALC_TEAMS_SEASON!B:B,CALC_TEAMS_SEASON!L:L)</f>
        <v>-0.28757177871148476</v>
      </c>
      <c r="M471">
        <f>IF(CALC_GAMES_BASE!Z471="RS",1,1.2)</f>
        <v>1</v>
      </c>
      <c r="N471">
        <f xml:space="preserve"> CALC_GAMES_BASE!Y471</f>
        <v>1</v>
      </c>
    </row>
    <row r="472" spans="1:14" x14ac:dyDescent="0.25">
      <c r="A472" t="str">
        <f>CALC_GAMES_BASE!A472</f>
        <v>25/26</v>
      </c>
      <c r="B472" s="3">
        <f>CALC_GAMES_BASE!B472</f>
        <v>46017</v>
      </c>
      <c r="C472" s="3" t="str">
        <f>CALC_GAMES_BASE!C472</f>
        <v>LIB</v>
      </c>
      <c r="D472" s="3" t="str">
        <f>CALC_GAMES_BASE!D472</f>
        <v>KVA</v>
      </c>
      <c r="E472" s="7">
        <f>CALC_GAMES_BASE!E472</f>
        <v>1</v>
      </c>
      <c r="F472" s="6" t="str">
        <f>CALC_GAMES_BASE!N472</f>
        <v/>
      </c>
      <c r="G472" s="7">
        <f>CALC_GAMES_BASE!K472</f>
        <v>5</v>
      </c>
      <c r="H472" s="7">
        <f t="shared" si="7"/>
        <v>0</v>
      </c>
      <c r="I472" s="6">
        <f>IF(H472=1,
  F472,
  G472*PARAMETRY!$B$11)</f>
        <v>0.25</v>
      </c>
      <c r="J472" s="6">
        <f>CALC_GAMES_BASE!U472-CALC_GAMES_BASE!V472</f>
        <v>-3.0097680097680102E-2</v>
      </c>
      <c r="K472" s="6">
        <f>_xlfn.XLOOKUP(CALC_GAMES_BASE!W472,
  CALC_GOALIES!B:B,
  CALC_GOALIES!K:K)</f>
        <v>1.2275709048813366E-2</v>
      </c>
      <c r="L472" s="6">
        <f>_xlfn.XLOOKUP(C472,CALC_TEAMS_SEASON!B:B,CALC_TEAMS_SEASON!L:L)</f>
        <v>0.22367822128851536</v>
      </c>
      <c r="M472">
        <f>IF(CALC_GAMES_BASE!Z472="RS",1,1.2)</f>
        <v>1</v>
      </c>
      <c r="N472">
        <f xml:space="preserve"> CALC_GAMES_BASE!Y472</f>
        <v>0</v>
      </c>
    </row>
    <row r="473" spans="1:14" x14ac:dyDescent="0.25">
      <c r="A473" t="str">
        <f>CALC_GAMES_BASE!A473</f>
        <v>25/26</v>
      </c>
      <c r="B473" s="3">
        <f>CALC_GAMES_BASE!B473</f>
        <v>46017</v>
      </c>
      <c r="C473" s="3" t="str">
        <f>CALC_GAMES_BASE!C473</f>
        <v>LIT</v>
      </c>
      <c r="D473" s="3" t="str">
        <f>CALC_GAMES_BASE!D473</f>
        <v>MHK</v>
      </c>
      <c r="E473" s="7">
        <f>CALC_GAMES_BASE!E473</f>
        <v>0</v>
      </c>
      <c r="F473" s="6" t="str">
        <f>CALC_GAMES_BASE!N473</f>
        <v/>
      </c>
      <c r="G473" s="7">
        <f>CALC_GAMES_BASE!K473</f>
        <v>-3</v>
      </c>
      <c r="H473" s="7">
        <f t="shared" si="7"/>
        <v>0</v>
      </c>
      <c r="I473" s="6">
        <f>IF(H473=1,
  F473,
  G473*PARAMETRY!$B$11)</f>
        <v>-0.15000000000000002</v>
      </c>
      <c r="J473" s="6">
        <f>CALC_GAMES_BASE!U473-CALC_GAMES_BASE!V473</f>
        <v>-4.0956959706959742E-2</v>
      </c>
      <c r="K473" s="6">
        <f>_xlfn.XLOOKUP(CALC_GAMES_BASE!W473,
  CALC_GOALIES!B:B,
  CALC_GOALIES!K:K)</f>
        <v>-4.9010888963920696E-3</v>
      </c>
      <c r="L473" s="6">
        <f>_xlfn.XLOOKUP(C473,CALC_TEAMS_SEASON!B:B,CALC_TEAMS_SEASON!L:L)</f>
        <v>-1.4784467787114848</v>
      </c>
      <c r="M473">
        <f>IF(CALC_GAMES_BASE!Z473="RS",1,1.2)</f>
        <v>1</v>
      </c>
      <c r="N473">
        <f xml:space="preserve"> CALC_GAMES_BASE!Y473</f>
        <v>1</v>
      </c>
    </row>
    <row r="474" spans="1:14" x14ac:dyDescent="0.25">
      <c r="A474" t="str">
        <f>CALC_GAMES_BASE!A474</f>
        <v>25/26</v>
      </c>
      <c r="B474" s="3">
        <f>CALC_GAMES_BASE!B474</f>
        <v>46017</v>
      </c>
      <c r="C474" s="3" t="str">
        <f>CALC_GAMES_BASE!C474</f>
        <v>MHK</v>
      </c>
      <c r="D474" s="3" t="str">
        <f>CALC_GAMES_BASE!D474</f>
        <v>LIT</v>
      </c>
      <c r="E474" s="7">
        <f>CALC_GAMES_BASE!E474</f>
        <v>1</v>
      </c>
      <c r="F474" s="6" t="str">
        <f>CALC_GAMES_BASE!N474</f>
        <v/>
      </c>
      <c r="G474" s="7">
        <f>CALC_GAMES_BASE!K474</f>
        <v>3</v>
      </c>
      <c r="H474" s="7">
        <f t="shared" si="7"/>
        <v>0</v>
      </c>
      <c r="I474" s="6">
        <f>IF(H474=1,
  F474,
  G474*PARAMETRY!$B$11)</f>
        <v>0.15000000000000002</v>
      </c>
      <c r="J474" s="6">
        <f>CALC_GAMES_BASE!U474-CALC_GAMES_BASE!V474</f>
        <v>4.0956959706959742E-2</v>
      </c>
      <c r="K474" s="6">
        <f>_xlfn.XLOOKUP(CALC_GAMES_BASE!W474,
  CALC_GOALIES!B:B,
  CALC_GOALIES!K:K)</f>
        <v>2.1917994590268441E-2</v>
      </c>
      <c r="L474" s="6">
        <f>_xlfn.XLOOKUP(C474,CALC_TEAMS_SEASON!B:B,CALC_TEAMS_SEASON!L:L)</f>
        <v>0.14821988795518207</v>
      </c>
      <c r="M474">
        <f>IF(CALC_GAMES_BASE!Z474="RS",1,1.2)</f>
        <v>1</v>
      </c>
      <c r="N474">
        <f xml:space="preserve"> CALC_GAMES_BASE!Y474</f>
        <v>0</v>
      </c>
    </row>
    <row r="475" spans="1:14" x14ac:dyDescent="0.25">
      <c r="A475" t="str">
        <f>CALC_GAMES_BASE!A475</f>
        <v>25/26</v>
      </c>
      <c r="B475" s="3">
        <f>CALC_GAMES_BASE!B475</f>
        <v>46017</v>
      </c>
      <c r="C475" s="3" t="str">
        <f>CALC_GAMES_BASE!C475</f>
        <v>OLO</v>
      </c>
      <c r="D475" s="3" t="str">
        <f>CALC_GAMES_BASE!D475</f>
        <v>VIT</v>
      </c>
      <c r="E475" s="7">
        <f>CALC_GAMES_BASE!E475</f>
        <v>1</v>
      </c>
      <c r="F475" s="6" t="str">
        <f>CALC_GAMES_BASE!N475</f>
        <v/>
      </c>
      <c r="G475" s="7">
        <f>CALC_GAMES_BASE!K475</f>
        <v>-8</v>
      </c>
      <c r="H475" s="7">
        <f t="shared" si="7"/>
        <v>0</v>
      </c>
      <c r="I475" s="6">
        <f>IF(H475=1,
  F475,
  G475*PARAMETRY!$B$11)</f>
        <v>-0.4</v>
      </c>
      <c r="J475" s="6">
        <f>CALC_GAMES_BASE!U475-CALC_GAMES_BASE!V475</f>
        <v>-1.9955738705738718E-2</v>
      </c>
      <c r="K475" s="6">
        <f>_xlfn.XLOOKUP(CALC_GAMES_BASE!W475,
  CALC_GOALIES!B:B,
  CALC_GOALIES!K:K)</f>
        <v>4.4713327207696052E-3</v>
      </c>
      <c r="L475" s="6">
        <f>_xlfn.XLOOKUP(C475,CALC_TEAMS_SEASON!B:B,CALC_TEAMS_SEASON!L:L)</f>
        <v>-1.0613217787114846</v>
      </c>
      <c r="M475">
        <f>IF(CALC_GAMES_BASE!Z475="RS",1,1.2)</f>
        <v>1</v>
      </c>
      <c r="N475">
        <f xml:space="preserve"> CALC_GAMES_BASE!Y475</f>
        <v>0</v>
      </c>
    </row>
    <row r="476" spans="1:14" x14ac:dyDescent="0.25">
      <c r="A476" t="str">
        <f>CALC_GAMES_BASE!A476</f>
        <v>25/26</v>
      </c>
      <c r="B476" s="3">
        <f>CALC_GAMES_BASE!B476</f>
        <v>46017</v>
      </c>
      <c r="C476" s="3" t="str">
        <f>CALC_GAMES_BASE!C476</f>
        <v>PLZ</v>
      </c>
      <c r="D476" s="3" t="str">
        <f>CALC_GAMES_BASE!D476</f>
        <v>KLA</v>
      </c>
      <c r="E476" s="7">
        <f>CALC_GAMES_BASE!E476</f>
        <v>1</v>
      </c>
      <c r="F476" s="6" t="str">
        <f>CALC_GAMES_BASE!N476</f>
        <v/>
      </c>
      <c r="G476" s="7">
        <f>CALC_GAMES_BASE!K476</f>
        <v>8</v>
      </c>
      <c r="H476" s="7">
        <f t="shared" si="7"/>
        <v>0</v>
      </c>
      <c r="I476" s="6">
        <f>IF(H476=1,
  F476,
  G476*PARAMETRY!$B$11)</f>
        <v>0.4</v>
      </c>
      <c r="J476" s="6">
        <f>CALC_GAMES_BASE!U476-CALC_GAMES_BASE!V476</f>
        <v>4.5207570207570186E-2</v>
      </c>
      <c r="K476" s="6">
        <f>_xlfn.XLOOKUP(CALC_GAMES_BASE!W476,
  CALC_GOALIES!B:B,
  CALC_GOALIES!K:K)</f>
        <v>1.7617039556646619E-2</v>
      </c>
      <c r="L476" s="6">
        <f>_xlfn.XLOOKUP(C476,CALC_TEAMS_SEASON!B:B,CALC_TEAMS_SEASON!L:L)</f>
        <v>7.3678221288515283E-2</v>
      </c>
      <c r="M476">
        <f>IF(CALC_GAMES_BASE!Z476="RS",1,1.2)</f>
        <v>1</v>
      </c>
      <c r="N476">
        <f xml:space="preserve"> CALC_GAMES_BASE!Y476</f>
        <v>1</v>
      </c>
    </row>
    <row r="477" spans="1:14" x14ac:dyDescent="0.25">
      <c r="A477" t="str">
        <f>CALC_GAMES_BASE!A477</f>
        <v>25/26</v>
      </c>
      <c r="B477" s="3">
        <f>CALC_GAMES_BASE!B477</f>
        <v>46017</v>
      </c>
      <c r="C477" s="3" t="str">
        <f>CALC_GAMES_BASE!C477</f>
        <v>VIT</v>
      </c>
      <c r="D477" s="3" t="str">
        <f>CALC_GAMES_BASE!D477</f>
        <v>OLO</v>
      </c>
      <c r="E477" s="7">
        <f>CALC_GAMES_BASE!E477</f>
        <v>0</v>
      </c>
      <c r="F477" s="6" t="str">
        <f>CALC_GAMES_BASE!N477</f>
        <v/>
      </c>
      <c r="G477" s="7">
        <f>CALC_GAMES_BASE!K477</f>
        <v>8</v>
      </c>
      <c r="H477" s="7">
        <f t="shared" si="7"/>
        <v>0</v>
      </c>
      <c r="I477" s="6">
        <f>IF(H477=1,
  F477,
  G477*PARAMETRY!$B$11)</f>
        <v>0.4</v>
      </c>
      <c r="J477" s="6">
        <f>CALC_GAMES_BASE!U477-CALC_GAMES_BASE!V477</f>
        <v>1.9955738705738718E-2</v>
      </c>
      <c r="K477" s="6">
        <f>_xlfn.XLOOKUP(CALC_GAMES_BASE!W477,
  CALC_GOALIES!B:B,
  CALC_GOALIES!K:K)</f>
        <v>1.905487900993541E-3</v>
      </c>
      <c r="L477" s="6">
        <f>_xlfn.XLOOKUP(C477,CALC_TEAMS_SEASON!B:B,CALC_TEAMS_SEASON!L:L)</f>
        <v>-1.0281967787114845</v>
      </c>
      <c r="M477">
        <f>IF(CALC_GAMES_BASE!Z477="RS",1,1.2)</f>
        <v>1</v>
      </c>
      <c r="N477">
        <f xml:space="preserve"> CALC_GAMES_BASE!Y477</f>
        <v>1</v>
      </c>
    </row>
    <row r="478" spans="1:14" x14ac:dyDescent="0.25">
      <c r="A478" t="str">
        <f>CALC_GAMES_BASE!A478</f>
        <v>25/26</v>
      </c>
      <c r="B478" s="3">
        <f>CALC_GAMES_BASE!B478</f>
        <v>46019</v>
      </c>
      <c r="C478" s="3" t="str">
        <f>CALC_GAMES_BASE!C478</f>
        <v>PCE</v>
      </c>
      <c r="D478" s="3" t="str">
        <f>CALC_GAMES_BASE!D478</f>
        <v>KOM</v>
      </c>
      <c r="E478" s="7">
        <f>CALC_GAMES_BASE!E478</f>
        <v>0</v>
      </c>
      <c r="F478" s="6">
        <f>CALC_GAMES_BASE!N478</f>
        <v>1.39</v>
      </c>
      <c r="G478" s="7">
        <f>CALC_GAMES_BASE!K478</f>
        <v>-5</v>
      </c>
      <c r="H478" s="7">
        <f t="shared" si="7"/>
        <v>1</v>
      </c>
      <c r="I478" s="6">
        <f>IF(H478=1,
  F478,
  G478*PARAMETRY!$B$11)</f>
        <v>1.39</v>
      </c>
      <c r="J478" s="6">
        <f>CALC_GAMES_BASE!U478-CALC_GAMES_BASE!V478</f>
        <v>5.9386446886446953E-2</v>
      </c>
      <c r="K478" s="6">
        <f>_xlfn.XLOOKUP(CALC_GAMES_BASE!W478,
  CALC_GOALIES!B:B,
  CALC_GOALIES!K:K)</f>
        <v>4.5881077393388203E-3</v>
      </c>
      <c r="L478" s="6">
        <f>_xlfn.XLOOKUP(C478,CALC_TEAMS_SEASON!B:B,CALC_TEAMS_SEASON!L:L)</f>
        <v>0.62437675070027965</v>
      </c>
      <c r="M478">
        <f>IF(CALC_GAMES_BASE!Z478="RS",1,1.2)</f>
        <v>1</v>
      </c>
      <c r="N478">
        <f xml:space="preserve"> CALC_GAMES_BASE!Y478</f>
        <v>1</v>
      </c>
    </row>
    <row r="479" spans="1:14" x14ac:dyDescent="0.25">
      <c r="A479" t="str">
        <f>CALC_GAMES_BASE!A479</f>
        <v>25/26</v>
      </c>
      <c r="B479" s="3">
        <f>CALC_GAMES_BASE!B479</f>
        <v>46019</v>
      </c>
      <c r="C479" s="3" t="str">
        <f>CALC_GAMES_BASE!C479</f>
        <v>TRI</v>
      </c>
      <c r="D479" s="3" t="str">
        <f>CALC_GAMES_BASE!D479</f>
        <v>KLA</v>
      </c>
      <c r="E479" s="7">
        <f>CALC_GAMES_BASE!E479</f>
        <v>1</v>
      </c>
      <c r="F479" s="6">
        <f>CALC_GAMES_BASE!N479</f>
        <v>2.36</v>
      </c>
      <c r="G479" s="7">
        <f>CALC_GAMES_BASE!K479</f>
        <v>8</v>
      </c>
      <c r="H479" s="7">
        <f t="shared" si="7"/>
        <v>1</v>
      </c>
      <c r="I479" s="6">
        <f>IF(H479=1,
  F479,
  G479*PARAMETRY!$B$11)</f>
        <v>2.36</v>
      </c>
      <c r="J479" s="6">
        <f>CALC_GAMES_BASE!U479-CALC_GAMES_BASE!V479</f>
        <v>4.3170024420024489E-2</v>
      </c>
      <c r="K479" s="6">
        <f>_xlfn.XLOOKUP(CALC_GAMES_BASE!W479,
  CALC_GOALIES!B:B,
  CALC_GOALIES!K:K)</f>
        <v>1.3707542055988897E-2</v>
      </c>
      <c r="L479" s="6">
        <f>_xlfn.XLOOKUP(C479,CALC_TEAMS_SEASON!B:B,CALC_TEAMS_SEASON!L:L)</f>
        <v>0.10805322128851533</v>
      </c>
      <c r="M479">
        <f>IF(CALC_GAMES_BASE!Z479="RS",1,1.2)</f>
        <v>1</v>
      </c>
      <c r="N479">
        <f xml:space="preserve"> CALC_GAMES_BASE!Y479</f>
        <v>1</v>
      </c>
    </row>
    <row r="480" spans="1:14" x14ac:dyDescent="0.25">
      <c r="A480" t="str">
        <f>CALC_GAMES_BASE!A480</f>
        <v>25/26</v>
      </c>
      <c r="B480" s="3">
        <f>CALC_GAMES_BASE!B480</f>
        <v>46019</v>
      </c>
      <c r="C480" s="3" t="str">
        <f>CALC_GAMES_BASE!C480</f>
        <v>KOM</v>
      </c>
      <c r="D480" s="3" t="str">
        <f>CALC_GAMES_BASE!D480</f>
        <v>PCE</v>
      </c>
      <c r="E480" s="7">
        <f>CALC_GAMES_BASE!E480</f>
        <v>1</v>
      </c>
      <c r="F480" s="6">
        <f>CALC_GAMES_BASE!N480</f>
        <v>-1.39</v>
      </c>
      <c r="G480" s="7">
        <f>CALC_GAMES_BASE!K480</f>
        <v>5</v>
      </c>
      <c r="H480" s="7">
        <f t="shared" si="7"/>
        <v>1</v>
      </c>
      <c r="I480" s="6">
        <f>IF(H480=1,
  F480,
  G480*PARAMETRY!$B$11)</f>
        <v>-1.39</v>
      </c>
      <c r="J480" s="6">
        <f>CALC_GAMES_BASE!U480-CALC_GAMES_BASE!V480</f>
        <v>-5.9386446886446953E-2</v>
      </c>
      <c r="K480" s="6">
        <f>_xlfn.XLOOKUP(CALC_GAMES_BASE!W480,
  CALC_GOALIES!B:B,
  CALC_GOALIES!K:K)</f>
        <v>-1.5147095063735572E-3</v>
      </c>
      <c r="L480" s="6">
        <f>_xlfn.XLOOKUP(C480,CALC_TEAMS_SEASON!B:B,CALC_TEAMS_SEASON!L:L)</f>
        <v>-0.37268207282913179</v>
      </c>
      <c r="M480">
        <f>IF(CALC_GAMES_BASE!Z480="RS",1,1.2)</f>
        <v>1</v>
      </c>
      <c r="N480">
        <f xml:space="preserve"> CALC_GAMES_BASE!Y480</f>
        <v>0</v>
      </c>
    </row>
    <row r="481" spans="1:14" x14ac:dyDescent="0.25">
      <c r="A481" t="str">
        <f>CALC_GAMES_BASE!A481</f>
        <v>25/26</v>
      </c>
      <c r="B481" s="3">
        <f>CALC_GAMES_BASE!B481</f>
        <v>46019</v>
      </c>
      <c r="C481" s="3" t="str">
        <f>CALC_GAMES_BASE!C481</f>
        <v>CEB</v>
      </c>
      <c r="D481" s="3" t="str">
        <f>CALC_GAMES_BASE!D481</f>
        <v>LIT</v>
      </c>
      <c r="E481" s="7">
        <f>CALC_GAMES_BASE!E481</f>
        <v>0</v>
      </c>
      <c r="F481" s="6" t="str">
        <f>CALC_GAMES_BASE!N481</f>
        <v/>
      </c>
      <c r="G481" s="7">
        <f>CALC_GAMES_BASE!K481</f>
        <v>5</v>
      </c>
      <c r="H481" s="7">
        <f t="shared" si="7"/>
        <v>0</v>
      </c>
      <c r="I481" s="6">
        <f>IF(H481=1,
  F481,
  G481*PARAMETRY!$B$11)</f>
        <v>0.25</v>
      </c>
      <c r="J481" s="6">
        <f>CALC_GAMES_BASE!U481-CALC_GAMES_BASE!V481</f>
        <v>2.9320679320679346E-2</v>
      </c>
      <c r="K481" s="6">
        <f>_xlfn.XLOOKUP(CALC_GAMES_BASE!W481,
  CALC_GOALIES!B:B,
  CALC_GOALIES!K:K)</f>
        <v>-1.372632037787358E-2</v>
      </c>
      <c r="L481" s="6">
        <f>_xlfn.XLOOKUP(C481,CALC_TEAMS_SEASON!B:B,CALC_TEAMS_SEASON!L:L)</f>
        <v>-0.24978011204481798</v>
      </c>
      <c r="M481">
        <f>IF(CALC_GAMES_BASE!Z481="RS",1,1.2)</f>
        <v>1</v>
      </c>
      <c r="N481">
        <f xml:space="preserve"> CALC_GAMES_BASE!Y481</f>
        <v>0</v>
      </c>
    </row>
    <row r="482" spans="1:14" x14ac:dyDescent="0.25">
      <c r="A482" t="str">
        <f>CALC_GAMES_BASE!A482</f>
        <v>25/26</v>
      </c>
      <c r="B482" s="3">
        <f>CALC_GAMES_BASE!B482</f>
        <v>46019</v>
      </c>
      <c r="C482" s="3" t="str">
        <f>CALC_GAMES_BASE!C482</f>
        <v>KLA</v>
      </c>
      <c r="D482" s="3" t="str">
        <f>CALC_GAMES_BASE!D482</f>
        <v>TRI</v>
      </c>
      <c r="E482" s="7">
        <f>CALC_GAMES_BASE!E482</f>
        <v>0</v>
      </c>
      <c r="F482" s="6">
        <f>CALC_GAMES_BASE!N482</f>
        <v>-2.36</v>
      </c>
      <c r="G482" s="7">
        <f>CALC_GAMES_BASE!K482</f>
        <v>-8</v>
      </c>
      <c r="H482" s="7">
        <f t="shared" si="7"/>
        <v>1</v>
      </c>
      <c r="I482" s="6">
        <f>IF(H482=1,
  F482,
  G482*PARAMETRY!$B$11)</f>
        <v>-2.36</v>
      </c>
      <c r="J482" s="6">
        <f>CALC_GAMES_BASE!U482-CALC_GAMES_BASE!V482</f>
        <v>-4.3170024420024489E-2</v>
      </c>
      <c r="K482" s="6">
        <f>_xlfn.XLOOKUP(CALC_GAMES_BASE!W482,
  CALC_GOALIES!B:B,
  CALC_GOALIES!K:K)</f>
        <v>1.2463190300688209E-2</v>
      </c>
      <c r="L482" s="6">
        <f>_xlfn.XLOOKUP(C482,CALC_TEAMS_SEASON!B:B,CALC_TEAMS_SEASON!L:L)</f>
        <v>-0.19819677871148478</v>
      </c>
      <c r="M482">
        <f>IF(CALC_GAMES_BASE!Z482="RS",1,1.2)</f>
        <v>1</v>
      </c>
      <c r="N482">
        <f xml:space="preserve"> CALC_GAMES_BASE!Y482</f>
        <v>0</v>
      </c>
    </row>
    <row r="483" spans="1:14" x14ac:dyDescent="0.25">
      <c r="A483" t="str">
        <f>CALC_GAMES_BASE!A483</f>
        <v>25/26</v>
      </c>
      <c r="B483" s="3">
        <f>CALC_GAMES_BASE!B483</f>
        <v>46019</v>
      </c>
      <c r="C483" s="3" t="str">
        <f>CALC_GAMES_BASE!C483</f>
        <v>KVA</v>
      </c>
      <c r="D483" s="3" t="str">
        <f>CALC_GAMES_BASE!D483</f>
        <v>PLZ</v>
      </c>
      <c r="E483" s="7">
        <f>CALC_GAMES_BASE!E483</f>
        <v>1</v>
      </c>
      <c r="F483" s="6" t="str">
        <f>CALC_GAMES_BASE!N483</f>
        <v/>
      </c>
      <c r="G483" s="7">
        <f>CALC_GAMES_BASE!K483</f>
        <v>3</v>
      </c>
      <c r="H483" s="7">
        <f t="shared" si="7"/>
        <v>0</v>
      </c>
      <c r="I483" s="6">
        <f>IF(H483=1,
  F483,
  G483*PARAMETRY!$B$11)</f>
        <v>0.15000000000000002</v>
      </c>
      <c r="J483" s="6">
        <f>CALC_GAMES_BASE!U483-CALC_GAMES_BASE!V483</f>
        <v>-2.5412087912087267E-3</v>
      </c>
      <c r="K483" s="6">
        <f>_xlfn.XLOOKUP(CALC_GAMES_BASE!W483,
  CALC_GOALIES!B:B,
  CALC_GOALIES!K:K)</f>
        <v>1.2242809776983998E-2</v>
      </c>
      <c r="L483" s="6">
        <f>_xlfn.XLOOKUP(C483,CALC_TEAMS_SEASON!B:B,CALC_TEAMS_SEASON!L:L)</f>
        <v>-0.28757177871148476</v>
      </c>
      <c r="M483">
        <f>IF(CALC_GAMES_BASE!Z483="RS",1,1.2)</f>
        <v>1</v>
      </c>
      <c r="N483">
        <f xml:space="preserve"> CALC_GAMES_BASE!Y483</f>
        <v>0</v>
      </c>
    </row>
    <row r="484" spans="1:14" x14ac:dyDescent="0.25">
      <c r="A484" t="str">
        <f>CALC_GAMES_BASE!A484</f>
        <v>25/26</v>
      </c>
      <c r="B484" s="3">
        <f>CALC_GAMES_BASE!B484</f>
        <v>46019</v>
      </c>
      <c r="C484" s="3" t="str">
        <f>CALC_GAMES_BASE!C484</f>
        <v>LIT</v>
      </c>
      <c r="D484" s="3" t="str">
        <f>CALC_GAMES_BASE!D484</f>
        <v>CEB</v>
      </c>
      <c r="E484" s="7">
        <f>CALC_GAMES_BASE!E484</f>
        <v>1</v>
      </c>
      <c r="F484" s="6" t="str">
        <f>CALC_GAMES_BASE!N484</f>
        <v/>
      </c>
      <c r="G484" s="7">
        <f>CALC_GAMES_BASE!K484</f>
        <v>-5</v>
      </c>
      <c r="H484" s="7">
        <f t="shared" si="7"/>
        <v>0</v>
      </c>
      <c r="I484" s="6">
        <f>IF(H484=1,
  F484,
  G484*PARAMETRY!$B$11)</f>
        <v>-0.25</v>
      </c>
      <c r="J484" s="6">
        <f>CALC_GAMES_BASE!U484-CALC_GAMES_BASE!V484</f>
        <v>-2.9320679320679346E-2</v>
      </c>
      <c r="K484" s="6">
        <f>_xlfn.XLOOKUP(CALC_GAMES_BASE!W484,
  CALC_GOALIES!B:B,
  CALC_GOALIES!K:K)</f>
        <v>-4.9010888963920696E-3</v>
      </c>
      <c r="L484" s="6">
        <f>_xlfn.XLOOKUP(C484,CALC_TEAMS_SEASON!B:B,CALC_TEAMS_SEASON!L:L)</f>
        <v>-1.4784467787114848</v>
      </c>
      <c r="M484">
        <f>IF(CALC_GAMES_BASE!Z484="RS",1,1.2)</f>
        <v>1</v>
      </c>
      <c r="N484">
        <f xml:space="preserve"> CALC_GAMES_BASE!Y484</f>
        <v>1</v>
      </c>
    </row>
    <row r="485" spans="1:14" x14ac:dyDescent="0.25">
      <c r="A485" t="str">
        <f>CALC_GAMES_BASE!A485</f>
        <v>25/26</v>
      </c>
      <c r="B485" s="3">
        <f>CALC_GAMES_BASE!B485</f>
        <v>46019</v>
      </c>
      <c r="C485" s="3" t="str">
        <f>CALC_GAMES_BASE!C485</f>
        <v>MBL</v>
      </c>
      <c r="D485" s="3" t="str">
        <f>CALC_GAMES_BASE!D485</f>
        <v>OLO</v>
      </c>
      <c r="E485" s="7">
        <f>CALC_GAMES_BASE!E485</f>
        <v>0</v>
      </c>
      <c r="F485" s="6" t="str">
        <f>CALC_GAMES_BASE!N485</f>
        <v/>
      </c>
      <c r="G485" s="7">
        <f>CALC_GAMES_BASE!K485</f>
        <v>1</v>
      </c>
      <c r="H485" s="7">
        <f t="shared" si="7"/>
        <v>0</v>
      </c>
      <c r="I485" s="6">
        <f>IF(H485=1,
  F485,
  G485*PARAMETRY!$B$11)</f>
        <v>0.05</v>
      </c>
      <c r="J485" s="6">
        <f>CALC_GAMES_BASE!U485-CALC_GAMES_BASE!V485</f>
        <v>-3.1623931623931636E-2</v>
      </c>
      <c r="K485" s="6">
        <f>_xlfn.XLOOKUP(CALC_GAMES_BASE!W485,
  CALC_GOALIES!B:B,
  CALC_GOALIES!K:K)</f>
        <v>1.9185678814779616E-2</v>
      </c>
      <c r="L485" s="6">
        <f>_xlfn.XLOOKUP(C485,CALC_TEAMS_SEASON!B:B,CALC_TEAMS_SEASON!L:L)</f>
        <v>-0.89069677871148467</v>
      </c>
      <c r="M485">
        <f>IF(CALC_GAMES_BASE!Z485="RS",1,1.2)</f>
        <v>1</v>
      </c>
      <c r="N485">
        <f xml:space="preserve"> CALC_GAMES_BASE!Y485</f>
        <v>1</v>
      </c>
    </row>
    <row r="486" spans="1:14" x14ac:dyDescent="0.25">
      <c r="A486" t="str">
        <f>CALC_GAMES_BASE!A486</f>
        <v>25/26</v>
      </c>
      <c r="B486" s="3">
        <f>CALC_GAMES_BASE!B486</f>
        <v>46019</v>
      </c>
      <c r="C486" s="3" t="str">
        <f>CALC_GAMES_BASE!C486</f>
        <v>MHK</v>
      </c>
      <c r="D486" s="3" t="str">
        <f>CALC_GAMES_BASE!D486</f>
        <v>VIT</v>
      </c>
      <c r="E486" s="7">
        <f>CALC_GAMES_BASE!E486</f>
        <v>0</v>
      </c>
      <c r="F486" s="6" t="str">
        <f>CALC_GAMES_BASE!N486</f>
        <v/>
      </c>
      <c r="G486" s="7">
        <f>CALC_GAMES_BASE!K486</f>
        <v>-2</v>
      </c>
      <c r="H486" s="7">
        <f t="shared" si="7"/>
        <v>0</v>
      </c>
      <c r="I486" s="6">
        <f>IF(H486=1,
  F486,
  G486*PARAMETRY!$B$11)</f>
        <v>-0.1</v>
      </c>
      <c r="J486" s="6">
        <f>CALC_GAMES_BASE!U486-CALC_GAMES_BASE!V486</f>
        <v>-2.7999084249084261E-2</v>
      </c>
      <c r="K486" s="6">
        <f>_xlfn.XLOOKUP(CALC_GAMES_BASE!W486,
  CALC_GOALIES!B:B,
  CALC_GOALIES!K:K)</f>
        <v>2.1917994590268441E-2</v>
      </c>
      <c r="L486" s="6">
        <f>_xlfn.XLOOKUP(C486,CALC_TEAMS_SEASON!B:B,CALC_TEAMS_SEASON!L:L)</f>
        <v>0.14821988795518207</v>
      </c>
      <c r="M486">
        <f>IF(CALC_GAMES_BASE!Z486="RS",1,1.2)</f>
        <v>1</v>
      </c>
      <c r="N486">
        <f xml:space="preserve"> CALC_GAMES_BASE!Y486</f>
        <v>1</v>
      </c>
    </row>
    <row r="487" spans="1:14" x14ac:dyDescent="0.25">
      <c r="A487" t="str">
        <f>CALC_GAMES_BASE!A487</f>
        <v>25/26</v>
      </c>
      <c r="B487" s="3">
        <f>CALC_GAMES_BASE!B487</f>
        <v>46019</v>
      </c>
      <c r="C487" s="3" t="str">
        <f>CALC_GAMES_BASE!C487</f>
        <v>OLO</v>
      </c>
      <c r="D487" s="3" t="str">
        <f>CALC_GAMES_BASE!D487</f>
        <v>MBL</v>
      </c>
      <c r="E487" s="7">
        <f>CALC_GAMES_BASE!E487</f>
        <v>1</v>
      </c>
      <c r="F487" s="6" t="str">
        <f>CALC_GAMES_BASE!N487</f>
        <v/>
      </c>
      <c r="G487" s="7">
        <f>CALC_GAMES_BASE!K487</f>
        <v>-1</v>
      </c>
      <c r="H487" s="7">
        <f t="shared" si="7"/>
        <v>0</v>
      </c>
      <c r="I487" s="6">
        <f>IF(H487=1,
  F487,
  G487*PARAMETRY!$B$11)</f>
        <v>-0.05</v>
      </c>
      <c r="J487" s="6">
        <f>CALC_GAMES_BASE!U487-CALC_GAMES_BASE!V487</f>
        <v>3.1623931623931636E-2</v>
      </c>
      <c r="K487" s="6">
        <f>_xlfn.XLOOKUP(CALC_GAMES_BASE!W487,
  CALC_GOALIES!B:B,
  CALC_GOALIES!K:K)</f>
        <v>4.4713327207696052E-3</v>
      </c>
      <c r="L487" s="6">
        <f>_xlfn.XLOOKUP(C487,CALC_TEAMS_SEASON!B:B,CALC_TEAMS_SEASON!L:L)</f>
        <v>-1.0613217787114846</v>
      </c>
      <c r="M487">
        <f>IF(CALC_GAMES_BASE!Z487="RS",1,1.2)</f>
        <v>1</v>
      </c>
      <c r="N487">
        <f xml:space="preserve"> CALC_GAMES_BASE!Y487</f>
        <v>0</v>
      </c>
    </row>
    <row r="488" spans="1:14" x14ac:dyDescent="0.25">
      <c r="A488" t="str">
        <f>CALC_GAMES_BASE!A488</f>
        <v>25/26</v>
      </c>
      <c r="B488" s="3">
        <f>CALC_GAMES_BASE!B488</f>
        <v>46019</v>
      </c>
      <c r="C488" s="3" t="str">
        <f>CALC_GAMES_BASE!C488</f>
        <v>PLZ</v>
      </c>
      <c r="D488" s="3" t="str">
        <f>CALC_GAMES_BASE!D488</f>
        <v>KVA</v>
      </c>
      <c r="E488" s="7">
        <f>CALC_GAMES_BASE!E488</f>
        <v>0</v>
      </c>
      <c r="F488" s="6" t="str">
        <f>CALC_GAMES_BASE!N488</f>
        <v/>
      </c>
      <c r="G488" s="7">
        <f>CALC_GAMES_BASE!K488</f>
        <v>-3</v>
      </c>
      <c r="H488" s="7">
        <f t="shared" si="7"/>
        <v>0</v>
      </c>
      <c r="I488" s="6">
        <f>IF(H488=1,
  F488,
  G488*PARAMETRY!$B$11)</f>
        <v>-0.15000000000000002</v>
      </c>
      <c r="J488" s="6">
        <f>CALC_GAMES_BASE!U488-CALC_GAMES_BASE!V488</f>
        <v>2.5412087912087267E-3</v>
      </c>
      <c r="K488" s="6">
        <f>_xlfn.XLOOKUP(CALC_GAMES_BASE!W488,
  CALC_GOALIES!B:B,
  CALC_GOALIES!K:K)</f>
        <v>1.7617039556646619E-2</v>
      </c>
      <c r="L488" s="6">
        <f>_xlfn.XLOOKUP(C488,CALC_TEAMS_SEASON!B:B,CALC_TEAMS_SEASON!L:L)</f>
        <v>7.3678221288515283E-2</v>
      </c>
      <c r="M488">
        <f>IF(CALC_GAMES_BASE!Z488="RS",1,1.2)</f>
        <v>1</v>
      </c>
      <c r="N488">
        <f xml:space="preserve"> CALC_GAMES_BASE!Y488</f>
        <v>1</v>
      </c>
    </row>
    <row r="489" spans="1:14" x14ac:dyDescent="0.25">
      <c r="A489" t="str">
        <f>CALC_GAMES_BASE!A489</f>
        <v>25/26</v>
      </c>
      <c r="B489" s="3">
        <f>CALC_GAMES_BASE!B489</f>
        <v>46019</v>
      </c>
      <c r="C489" s="3" t="str">
        <f>CALC_GAMES_BASE!C489</f>
        <v>VIT</v>
      </c>
      <c r="D489" s="3" t="str">
        <f>CALC_GAMES_BASE!D489</f>
        <v>MHK</v>
      </c>
      <c r="E489" s="7">
        <f>CALC_GAMES_BASE!E489</f>
        <v>1</v>
      </c>
      <c r="F489" s="6" t="str">
        <f>CALC_GAMES_BASE!N489</f>
        <v/>
      </c>
      <c r="G489" s="7">
        <f>CALC_GAMES_BASE!K489</f>
        <v>2</v>
      </c>
      <c r="H489" s="7">
        <f t="shared" si="7"/>
        <v>0</v>
      </c>
      <c r="I489" s="6">
        <f>IF(H489=1,
  F489,
  G489*PARAMETRY!$B$11)</f>
        <v>0.1</v>
      </c>
      <c r="J489" s="6">
        <f>CALC_GAMES_BASE!U489-CALC_GAMES_BASE!V489</f>
        <v>2.7999084249084261E-2</v>
      </c>
      <c r="K489" s="6">
        <f>_xlfn.XLOOKUP(CALC_GAMES_BASE!W489,
  CALC_GOALIES!B:B,
  CALC_GOALIES!K:K)</f>
        <v>1.905487900993541E-3</v>
      </c>
      <c r="L489" s="6">
        <f>_xlfn.XLOOKUP(C489,CALC_TEAMS_SEASON!B:B,CALC_TEAMS_SEASON!L:L)</f>
        <v>-1.0281967787114845</v>
      </c>
      <c r="M489">
        <f>IF(CALC_GAMES_BASE!Z489="RS",1,1.2)</f>
        <v>1</v>
      </c>
      <c r="N489">
        <f xml:space="preserve"> CALC_GAMES_BASE!Y489</f>
        <v>0</v>
      </c>
    </row>
    <row r="490" spans="1:14" x14ac:dyDescent="0.25">
      <c r="A490" t="str">
        <f>CALC_GAMES_BASE!A490</f>
        <v>25/26</v>
      </c>
      <c r="B490" s="3">
        <f>CALC_GAMES_BASE!B490</f>
        <v>46021</v>
      </c>
      <c r="C490" s="3" t="str">
        <f>CALC_GAMES_BASE!C490</f>
        <v>PCE</v>
      </c>
      <c r="D490" s="3" t="str">
        <f>CALC_GAMES_BASE!D490</f>
        <v>LIT</v>
      </c>
      <c r="E490" s="7">
        <f>CALC_GAMES_BASE!E490</f>
        <v>1</v>
      </c>
      <c r="F490" s="6">
        <f>CALC_GAMES_BASE!N490</f>
        <v>1.0999999999999999</v>
      </c>
      <c r="G490" s="7">
        <f>CALC_GAMES_BASE!K490</f>
        <v>15</v>
      </c>
      <c r="H490" s="7">
        <f t="shared" si="7"/>
        <v>1</v>
      </c>
      <c r="I490" s="6">
        <f>IF(H490=1,
  F490,
  G490*PARAMETRY!$B$11)</f>
        <v>1.0999999999999999</v>
      </c>
      <c r="J490" s="6">
        <f>CALC_GAMES_BASE!U490-CALC_GAMES_BASE!V490</f>
        <v>0.1020833333333334</v>
      </c>
      <c r="K490" s="6">
        <f>_xlfn.XLOOKUP(CALC_GAMES_BASE!W490,
  CALC_GOALIES!B:B,
  CALC_GOALIES!K:K)</f>
        <v>4.5881077393388203E-3</v>
      </c>
      <c r="L490" s="6">
        <f>_xlfn.XLOOKUP(C490,CALC_TEAMS_SEASON!B:B,CALC_TEAMS_SEASON!L:L)</f>
        <v>0.62437675070027965</v>
      </c>
      <c r="M490">
        <f>IF(CALC_GAMES_BASE!Z490="RS",1,1.2)</f>
        <v>1</v>
      </c>
      <c r="N490">
        <f xml:space="preserve"> CALC_GAMES_BASE!Y490</f>
        <v>1</v>
      </c>
    </row>
    <row r="491" spans="1:14" x14ac:dyDescent="0.25">
      <c r="A491" t="str">
        <f>CALC_GAMES_BASE!A491</f>
        <v>25/26</v>
      </c>
      <c r="B491" s="3">
        <f>CALC_GAMES_BASE!B491</f>
        <v>46021</v>
      </c>
      <c r="C491" s="3" t="str">
        <f>CALC_GAMES_BASE!C491</f>
        <v>TRI</v>
      </c>
      <c r="D491" s="3" t="str">
        <f>CALC_GAMES_BASE!D491</f>
        <v>KOM</v>
      </c>
      <c r="E491" s="7">
        <f>CALC_GAMES_BASE!E491</f>
        <v>1</v>
      </c>
      <c r="F491" s="6">
        <f>CALC_GAMES_BASE!N491</f>
        <v>-0.95000000000000018</v>
      </c>
      <c r="G491" s="7">
        <f>CALC_GAMES_BASE!K491</f>
        <v>-12</v>
      </c>
      <c r="H491" s="7">
        <f t="shared" si="7"/>
        <v>1</v>
      </c>
      <c r="I491" s="6">
        <f>IF(H491=1,
  F491,
  G491*PARAMETRY!$B$11)</f>
        <v>-0.95000000000000018</v>
      </c>
      <c r="J491" s="6">
        <f>CALC_GAMES_BASE!U491-CALC_GAMES_BASE!V491</f>
        <v>3.0784493284493342E-2</v>
      </c>
      <c r="K491" s="6">
        <f>_xlfn.XLOOKUP(CALC_GAMES_BASE!W491,
  CALC_GOALIES!B:B,
  CALC_GOALIES!K:K)</f>
        <v>1.3707542055988897E-2</v>
      </c>
      <c r="L491" s="6">
        <f>_xlfn.XLOOKUP(C491,CALC_TEAMS_SEASON!B:B,CALC_TEAMS_SEASON!L:L)</f>
        <v>0.10805322128851533</v>
      </c>
      <c r="M491">
        <f>IF(CALC_GAMES_BASE!Z491="RS",1,1.2)</f>
        <v>1</v>
      </c>
      <c r="N491">
        <f xml:space="preserve"> CALC_GAMES_BASE!Y491</f>
        <v>1</v>
      </c>
    </row>
    <row r="492" spans="1:14" x14ac:dyDescent="0.25">
      <c r="A492" t="str">
        <f>CALC_GAMES_BASE!A492</f>
        <v>25/26</v>
      </c>
      <c r="B492" s="3">
        <f>CALC_GAMES_BASE!B492</f>
        <v>46021</v>
      </c>
      <c r="C492" s="3" t="str">
        <f>CALC_GAMES_BASE!C492</f>
        <v>KOM</v>
      </c>
      <c r="D492" s="3" t="str">
        <f>CALC_GAMES_BASE!D492</f>
        <v>TRI</v>
      </c>
      <c r="E492" s="7">
        <f>CALC_GAMES_BASE!E492</f>
        <v>0</v>
      </c>
      <c r="F492" s="6">
        <f>CALC_GAMES_BASE!N492</f>
        <v>0.95000000000000018</v>
      </c>
      <c r="G492" s="7">
        <f>CALC_GAMES_BASE!K492</f>
        <v>12</v>
      </c>
      <c r="H492" s="7">
        <f t="shared" si="7"/>
        <v>1</v>
      </c>
      <c r="I492" s="6">
        <f>IF(H492=1,
  F492,
  G492*PARAMETRY!$B$11)</f>
        <v>0.95000000000000018</v>
      </c>
      <c r="J492" s="6">
        <f>CALC_GAMES_BASE!U492-CALC_GAMES_BASE!V492</f>
        <v>-3.0784493284493342E-2</v>
      </c>
      <c r="K492" s="6">
        <f>_xlfn.XLOOKUP(CALC_GAMES_BASE!W492,
  CALC_GOALIES!B:B,
  CALC_GOALIES!K:K)</f>
        <v>-1.5147095063735572E-3</v>
      </c>
      <c r="L492" s="6">
        <f>_xlfn.XLOOKUP(C492,CALC_TEAMS_SEASON!B:B,CALC_TEAMS_SEASON!L:L)</f>
        <v>-0.37268207282913179</v>
      </c>
      <c r="M492">
        <f>IF(CALC_GAMES_BASE!Z492="RS",1,1.2)</f>
        <v>1</v>
      </c>
      <c r="N492">
        <f xml:space="preserve"> CALC_GAMES_BASE!Y492</f>
        <v>0</v>
      </c>
    </row>
    <row r="493" spans="1:14" x14ac:dyDescent="0.25">
      <c r="A493" t="str">
        <f>CALC_GAMES_BASE!A493</f>
        <v>25/26</v>
      </c>
      <c r="B493" s="3">
        <f>CALC_GAMES_BASE!B493</f>
        <v>46021</v>
      </c>
      <c r="C493" s="3" t="str">
        <f>CALC_GAMES_BASE!C493</f>
        <v>CEB</v>
      </c>
      <c r="D493" s="3" t="str">
        <f>CALC_GAMES_BASE!D493</f>
        <v>VIT</v>
      </c>
      <c r="E493" s="7">
        <f>CALC_GAMES_BASE!E493</f>
        <v>1</v>
      </c>
      <c r="F493" s="6" t="str">
        <f>CALC_GAMES_BASE!N493</f>
        <v/>
      </c>
      <c r="G493" s="7">
        <f>CALC_GAMES_BASE!K493</f>
        <v>20</v>
      </c>
      <c r="H493" s="7">
        <f t="shared" si="7"/>
        <v>0</v>
      </c>
      <c r="I493" s="6">
        <f>IF(H493=1,
  F493,
  G493*PARAMETRY!$B$11)</f>
        <v>1</v>
      </c>
      <c r="J493" s="6">
        <f>CALC_GAMES_BASE!U493-CALC_GAMES_BASE!V493</f>
        <v>-3.9635364635364656E-2</v>
      </c>
      <c r="K493" s="6">
        <f>_xlfn.XLOOKUP(CALC_GAMES_BASE!W493,
  CALC_GOALIES!B:B,
  CALC_GOALIES!K:K)</f>
        <v>-1.372632037787358E-2</v>
      </c>
      <c r="L493" s="6">
        <f>_xlfn.XLOOKUP(C493,CALC_TEAMS_SEASON!B:B,CALC_TEAMS_SEASON!L:L)</f>
        <v>-0.24978011204481798</v>
      </c>
      <c r="M493">
        <f>IF(CALC_GAMES_BASE!Z493="RS",1,1.2)</f>
        <v>1</v>
      </c>
      <c r="N493">
        <f xml:space="preserve"> CALC_GAMES_BASE!Y493</f>
        <v>0</v>
      </c>
    </row>
    <row r="494" spans="1:14" x14ac:dyDescent="0.25">
      <c r="A494" t="str">
        <f>CALC_GAMES_BASE!A494</f>
        <v>25/26</v>
      </c>
      <c r="B494" s="3">
        <f>CALC_GAMES_BASE!B494</f>
        <v>46021</v>
      </c>
      <c r="C494" s="3" t="str">
        <f>CALC_GAMES_BASE!C494</f>
        <v>KLA</v>
      </c>
      <c r="D494" s="3" t="str">
        <f>CALC_GAMES_BASE!D494</f>
        <v>KVA</v>
      </c>
      <c r="E494" s="7">
        <f>CALC_GAMES_BASE!E494</f>
        <v>1</v>
      </c>
      <c r="F494" s="6" t="str">
        <f>CALC_GAMES_BASE!N494</f>
        <v/>
      </c>
      <c r="G494" s="7">
        <f>CALC_GAMES_BASE!K494</f>
        <v>10</v>
      </c>
      <c r="H494" s="7">
        <f t="shared" si="7"/>
        <v>0</v>
      </c>
      <c r="I494" s="6">
        <f>IF(H494=1,
  F494,
  G494*PARAMETRY!$B$11)</f>
        <v>0.5</v>
      </c>
      <c r="J494" s="6">
        <f>CALC_GAMES_BASE!U494-CALC_GAMES_BASE!V494</f>
        <v>-4.2666361416361459E-2</v>
      </c>
      <c r="K494" s="6">
        <f>_xlfn.XLOOKUP(CALC_GAMES_BASE!W494,
  CALC_GOALIES!B:B,
  CALC_GOALIES!K:K)</f>
        <v>1.2463190300688209E-2</v>
      </c>
      <c r="L494" s="6">
        <f>_xlfn.XLOOKUP(C494,CALC_TEAMS_SEASON!B:B,CALC_TEAMS_SEASON!L:L)</f>
        <v>-0.19819677871148478</v>
      </c>
      <c r="M494">
        <f>IF(CALC_GAMES_BASE!Z494="RS",1,1.2)</f>
        <v>1</v>
      </c>
      <c r="N494">
        <f xml:space="preserve"> CALC_GAMES_BASE!Y494</f>
        <v>1</v>
      </c>
    </row>
    <row r="495" spans="1:14" x14ac:dyDescent="0.25">
      <c r="A495" t="str">
        <f>CALC_GAMES_BASE!A495</f>
        <v>25/26</v>
      </c>
      <c r="B495" s="3">
        <f>CALC_GAMES_BASE!B495</f>
        <v>46021</v>
      </c>
      <c r="C495" s="3" t="str">
        <f>CALC_GAMES_BASE!C495</f>
        <v>KVA</v>
      </c>
      <c r="D495" s="3" t="str">
        <f>CALC_GAMES_BASE!D495</f>
        <v>KLA</v>
      </c>
      <c r="E495" s="7">
        <f>CALC_GAMES_BASE!E495</f>
        <v>0</v>
      </c>
      <c r="F495" s="6" t="str">
        <f>CALC_GAMES_BASE!N495</f>
        <v/>
      </c>
      <c r="G495" s="7">
        <f>CALC_GAMES_BASE!K495</f>
        <v>10</v>
      </c>
      <c r="H495" s="7">
        <f t="shared" si="7"/>
        <v>0</v>
      </c>
      <c r="I495" s="6">
        <f>IF(H495=1,
  F495,
  G495*PARAMETRY!$B$11)</f>
        <v>0.5</v>
      </c>
      <c r="J495" s="6">
        <f>CALC_GAMES_BASE!U495-CALC_GAMES_BASE!V495</f>
        <v>4.2666361416361459E-2</v>
      </c>
      <c r="K495" s="6">
        <f>_xlfn.XLOOKUP(CALC_GAMES_BASE!W495,
  CALC_GOALIES!B:B,
  CALC_GOALIES!K:K)</f>
        <v>1.2242809776983998E-2</v>
      </c>
      <c r="L495" s="6">
        <f>_xlfn.XLOOKUP(C495,CALC_TEAMS_SEASON!B:B,CALC_TEAMS_SEASON!L:L)</f>
        <v>-0.28757177871148476</v>
      </c>
      <c r="M495">
        <f>IF(CALC_GAMES_BASE!Z495="RS",1,1.2)</f>
        <v>1</v>
      </c>
      <c r="N495">
        <f xml:space="preserve"> CALC_GAMES_BASE!Y495</f>
        <v>0</v>
      </c>
    </row>
    <row r="496" spans="1:14" x14ac:dyDescent="0.25">
      <c r="A496" t="str">
        <f>CALC_GAMES_BASE!A496</f>
        <v>25/26</v>
      </c>
      <c r="B496" s="3">
        <f>CALC_GAMES_BASE!B496</f>
        <v>46021</v>
      </c>
      <c r="C496" s="3" t="str">
        <f>CALC_GAMES_BASE!C496</f>
        <v>LIB</v>
      </c>
      <c r="D496" s="3" t="str">
        <f>CALC_GAMES_BASE!D496</f>
        <v>MBL</v>
      </c>
      <c r="E496" s="7">
        <f>CALC_GAMES_BASE!E496</f>
        <v>1</v>
      </c>
      <c r="F496" s="6" t="str">
        <f>CALC_GAMES_BASE!N496</f>
        <v/>
      </c>
      <c r="G496" s="7">
        <f>CALC_GAMES_BASE!K496</f>
        <v>-3</v>
      </c>
      <c r="H496" s="7">
        <f t="shared" si="7"/>
        <v>0</v>
      </c>
      <c r="I496" s="6">
        <f>IF(H496=1,
  F496,
  G496*PARAMETRY!$B$11)</f>
        <v>-0.15000000000000002</v>
      </c>
      <c r="J496" s="6">
        <f>CALC_GAMES_BASE!U496-CALC_GAMES_BASE!V496</f>
        <v>2.550366300366301E-2</v>
      </c>
      <c r="K496" s="6">
        <f>_xlfn.XLOOKUP(CALC_GAMES_BASE!W496,
  CALC_GOALIES!B:B,
  CALC_GOALIES!K:K)</f>
        <v>1.2275709048813366E-2</v>
      </c>
      <c r="L496" s="6">
        <f>_xlfn.XLOOKUP(C496,CALC_TEAMS_SEASON!B:B,CALC_TEAMS_SEASON!L:L)</f>
        <v>0.22367822128851536</v>
      </c>
      <c r="M496">
        <f>IF(CALC_GAMES_BASE!Z496="RS",1,1.2)</f>
        <v>1</v>
      </c>
      <c r="N496">
        <f xml:space="preserve"> CALC_GAMES_BASE!Y496</f>
        <v>1</v>
      </c>
    </row>
    <row r="497" spans="1:14" x14ac:dyDescent="0.25">
      <c r="A497" t="str">
        <f>CALC_GAMES_BASE!A497</f>
        <v>25/26</v>
      </c>
      <c r="B497" s="3">
        <f>CALC_GAMES_BASE!B497</f>
        <v>46021</v>
      </c>
      <c r="C497" s="3" t="str">
        <f>CALC_GAMES_BASE!C497</f>
        <v>LIT</v>
      </c>
      <c r="D497" s="3" t="str">
        <f>CALC_GAMES_BASE!D497</f>
        <v>PCE</v>
      </c>
      <c r="E497" s="7">
        <f>CALC_GAMES_BASE!E497</f>
        <v>0</v>
      </c>
      <c r="F497" s="6">
        <f>CALC_GAMES_BASE!N497</f>
        <v>-1.0999999999999999</v>
      </c>
      <c r="G497" s="7">
        <f>CALC_GAMES_BASE!K497</f>
        <v>-15</v>
      </c>
      <c r="H497" s="7">
        <f t="shared" si="7"/>
        <v>1</v>
      </c>
      <c r="I497" s="6">
        <f>IF(H497=1,
  F497,
  G497*PARAMETRY!$B$11)</f>
        <v>-1.0999999999999999</v>
      </c>
      <c r="J497" s="6">
        <f>CALC_GAMES_BASE!U497-CALC_GAMES_BASE!V497</f>
        <v>-0.1020833333333334</v>
      </c>
      <c r="K497" s="6">
        <f>_xlfn.XLOOKUP(CALC_GAMES_BASE!W497,
  CALC_GOALIES!B:B,
  CALC_GOALIES!K:K)</f>
        <v>-8.1125178551773036E-3</v>
      </c>
      <c r="L497" s="6">
        <f>_xlfn.XLOOKUP(C497,CALC_TEAMS_SEASON!B:B,CALC_TEAMS_SEASON!L:L)</f>
        <v>-1.4784467787114848</v>
      </c>
      <c r="M497">
        <f>IF(CALC_GAMES_BASE!Z497="RS",1,1.2)</f>
        <v>1</v>
      </c>
      <c r="N497">
        <f xml:space="preserve"> CALC_GAMES_BASE!Y497</f>
        <v>0</v>
      </c>
    </row>
    <row r="498" spans="1:14" x14ac:dyDescent="0.25">
      <c r="A498" t="str">
        <f>CALC_GAMES_BASE!A498</f>
        <v>25/26</v>
      </c>
      <c r="B498" s="3">
        <f>CALC_GAMES_BASE!B498</f>
        <v>46021</v>
      </c>
      <c r="C498" s="3" t="str">
        <f>CALC_GAMES_BASE!C498</f>
        <v>MBL</v>
      </c>
      <c r="D498" s="3" t="str">
        <f>CALC_GAMES_BASE!D498</f>
        <v>LIB</v>
      </c>
      <c r="E498" s="7">
        <f>CALC_GAMES_BASE!E498</f>
        <v>0</v>
      </c>
      <c r="F498" s="6" t="str">
        <f>CALC_GAMES_BASE!N498</f>
        <v/>
      </c>
      <c r="G498" s="7">
        <f>CALC_GAMES_BASE!K498</f>
        <v>3</v>
      </c>
      <c r="H498" s="7">
        <f t="shared" si="7"/>
        <v>0</v>
      </c>
      <c r="I498" s="6">
        <f>IF(H498=1,
  F498,
  G498*PARAMETRY!$B$11)</f>
        <v>0.15000000000000002</v>
      </c>
      <c r="J498" s="6">
        <f>CALC_GAMES_BASE!U498-CALC_GAMES_BASE!V498</f>
        <v>-2.550366300366301E-2</v>
      </c>
      <c r="K498" s="6">
        <f>_xlfn.XLOOKUP(CALC_GAMES_BASE!W498,
  CALC_GOALIES!B:B,
  CALC_GOALIES!K:K)</f>
        <v>1.9185678814779616E-2</v>
      </c>
      <c r="L498" s="6">
        <f>_xlfn.XLOOKUP(C498,CALC_TEAMS_SEASON!B:B,CALC_TEAMS_SEASON!L:L)</f>
        <v>-0.89069677871148467</v>
      </c>
      <c r="M498">
        <f>IF(CALC_GAMES_BASE!Z498="RS",1,1.2)</f>
        <v>1</v>
      </c>
      <c r="N498">
        <f xml:space="preserve"> CALC_GAMES_BASE!Y498</f>
        <v>0</v>
      </c>
    </row>
    <row r="499" spans="1:14" x14ac:dyDescent="0.25">
      <c r="A499" t="str">
        <f>CALC_GAMES_BASE!A499</f>
        <v>25/26</v>
      </c>
      <c r="B499" s="3">
        <f>CALC_GAMES_BASE!B499</f>
        <v>46021</v>
      </c>
      <c r="C499" s="3" t="str">
        <f>CALC_GAMES_BASE!C499</f>
        <v>MHK</v>
      </c>
      <c r="D499" s="3" t="str">
        <f>CALC_GAMES_BASE!D499</f>
        <v>OLO</v>
      </c>
      <c r="E499" s="7">
        <f>CALC_GAMES_BASE!E499</f>
        <v>1</v>
      </c>
      <c r="F499" s="6" t="str">
        <f>CALC_GAMES_BASE!N499</f>
        <v/>
      </c>
      <c r="G499" s="7">
        <f>CALC_GAMES_BASE!K499</f>
        <v>5</v>
      </c>
      <c r="H499" s="7">
        <f t="shared" si="7"/>
        <v>0</v>
      </c>
      <c r="I499" s="6">
        <f>IF(H499=1,
  F499,
  G499*PARAMETRY!$B$11)</f>
        <v>0.25</v>
      </c>
      <c r="J499" s="6">
        <f>CALC_GAMES_BASE!U499-CALC_GAMES_BASE!V499</f>
        <v>-8.0433455433455425E-3</v>
      </c>
      <c r="K499" s="6">
        <f>_xlfn.XLOOKUP(CALC_GAMES_BASE!W499,
  CALC_GOALIES!B:B,
  CALC_GOALIES!K:K)</f>
        <v>-6.4024499913341248E-2</v>
      </c>
      <c r="L499" s="6">
        <f>_xlfn.XLOOKUP(C499,CALC_TEAMS_SEASON!B:B,CALC_TEAMS_SEASON!L:L)</f>
        <v>0.14821988795518207</v>
      </c>
      <c r="M499">
        <f>IF(CALC_GAMES_BASE!Z499="RS",1,1.2)</f>
        <v>1</v>
      </c>
      <c r="N499">
        <f xml:space="preserve"> CALC_GAMES_BASE!Y499</f>
        <v>1</v>
      </c>
    </row>
    <row r="500" spans="1:14" x14ac:dyDescent="0.25">
      <c r="A500" t="str">
        <f>CALC_GAMES_BASE!A500</f>
        <v>25/26</v>
      </c>
      <c r="B500" s="3">
        <f>CALC_GAMES_BASE!B500</f>
        <v>46021</v>
      </c>
      <c r="C500" s="3" t="str">
        <f>CALC_GAMES_BASE!C500</f>
        <v>OLO</v>
      </c>
      <c r="D500" s="3" t="str">
        <f>CALC_GAMES_BASE!D500</f>
        <v>MHK</v>
      </c>
      <c r="E500" s="7">
        <f>CALC_GAMES_BASE!E500</f>
        <v>0</v>
      </c>
      <c r="F500" s="6" t="str">
        <f>CALC_GAMES_BASE!N500</f>
        <v/>
      </c>
      <c r="G500" s="7">
        <f>CALC_GAMES_BASE!K500</f>
        <v>-5</v>
      </c>
      <c r="H500" s="7">
        <f t="shared" si="7"/>
        <v>0</v>
      </c>
      <c r="I500" s="6">
        <f>IF(H500=1,
  F500,
  G500*PARAMETRY!$B$11)</f>
        <v>-0.25</v>
      </c>
      <c r="J500" s="6">
        <f>CALC_GAMES_BASE!U500-CALC_GAMES_BASE!V500</f>
        <v>8.0433455433455425E-3</v>
      </c>
      <c r="K500" s="6">
        <f>_xlfn.XLOOKUP(CALC_GAMES_BASE!W500,
  CALC_GOALIES!B:B,
  CALC_GOALIES!K:K)</f>
        <v>-2.0326878807700233E-2</v>
      </c>
      <c r="L500" s="6">
        <f>_xlfn.XLOOKUP(C500,CALC_TEAMS_SEASON!B:B,CALC_TEAMS_SEASON!L:L)</f>
        <v>-1.0613217787114846</v>
      </c>
      <c r="M500">
        <f>IF(CALC_GAMES_BASE!Z500="RS",1,1.2)</f>
        <v>1</v>
      </c>
      <c r="N500">
        <f xml:space="preserve"> CALC_GAMES_BASE!Y500</f>
        <v>0</v>
      </c>
    </row>
    <row r="501" spans="1:14" x14ac:dyDescent="0.25">
      <c r="A501" t="str">
        <f>CALC_GAMES_BASE!A501</f>
        <v>25/26</v>
      </c>
      <c r="B501" s="3">
        <f>CALC_GAMES_BASE!B501</f>
        <v>46021</v>
      </c>
      <c r="C501" s="3" t="str">
        <f>CALC_GAMES_BASE!C501</f>
        <v>VIT</v>
      </c>
      <c r="D501" s="3" t="str">
        <f>CALC_GAMES_BASE!D501</f>
        <v>CEB</v>
      </c>
      <c r="E501" s="7">
        <f>CALC_GAMES_BASE!E501</f>
        <v>0</v>
      </c>
      <c r="F501" s="6" t="str">
        <f>CALC_GAMES_BASE!N501</f>
        <v/>
      </c>
      <c r="G501" s="7">
        <f>CALC_GAMES_BASE!K501</f>
        <v>-20</v>
      </c>
      <c r="H501" s="7">
        <f t="shared" si="7"/>
        <v>0</v>
      </c>
      <c r="I501" s="6">
        <f>IF(H501=1,
  F501,
  G501*PARAMETRY!$B$11)</f>
        <v>-1</v>
      </c>
      <c r="J501" s="6">
        <f>CALC_GAMES_BASE!U501-CALC_GAMES_BASE!V501</f>
        <v>3.9635364635364656E-2</v>
      </c>
      <c r="K501" s="6">
        <f>_xlfn.XLOOKUP(CALC_GAMES_BASE!W501,
  CALC_GOALIES!B:B,
  CALC_GOALIES!K:K)</f>
        <v>1.905487900993541E-3</v>
      </c>
      <c r="L501" s="6">
        <f>_xlfn.XLOOKUP(C501,CALC_TEAMS_SEASON!B:B,CALC_TEAMS_SEASON!L:L)</f>
        <v>-1.0281967787114845</v>
      </c>
      <c r="M501">
        <f>IF(CALC_GAMES_BASE!Z501="RS",1,1.2)</f>
        <v>1</v>
      </c>
      <c r="N501">
        <f xml:space="preserve"> CALC_GAMES_BASE!Y501</f>
        <v>1</v>
      </c>
    </row>
    <row r="502" spans="1:14" x14ac:dyDescent="0.25">
      <c r="A502" t="str">
        <f>CALC_GAMES_BASE!A502</f>
        <v>25/26</v>
      </c>
      <c r="B502" s="3">
        <f>CALC_GAMES_BASE!B502</f>
        <v>46024</v>
      </c>
      <c r="C502" s="3" t="str">
        <f>CALC_GAMES_BASE!C502</f>
        <v>PCE</v>
      </c>
      <c r="D502" s="3" t="str">
        <f>CALC_GAMES_BASE!D502</f>
        <v>KVA</v>
      </c>
      <c r="E502" s="7">
        <f>CALC_GAMES_BASE!E502</f>
        <v>0</v>
      </c>
      <c r="F502" s="6">
        <f>CALC_GAMES_BASE!N502</f>
        <v>-0.33000000000000007</v>
      </c>
      <c r="G502" s="7">
        <f>CALC_GAMES_BASE!K502</f>
        <v>6</v>
      </c>
      <c r="H502" s="7">
        <f t="shared" si="7"/>
        <v>1</v>
      </c>
      <c r="I502" s="6">
        <f>IF(H502=1,
  F502,
  G502*PARAMETRY!$B$11)</f>
        <v>-0.33000000000000007</v>
      </c>
      <c r="J502" s="6">
        <f>CALC_GAMES_BASE!U502-CALC_GAMES_BASE!V502</f>
        <v>2.9105616605616641E-2</v>
      </c>
      <c r="K502" s="6">
        <f>_xlfn.XLOOKUP(CALC_GAMES_BASE!W502,
  CALC_GOALIES!B:B,
  CALC_GOALIES!K:K)</f>
        <v>4.5881077393388203E-3</v>
      </c>
      <c r="L502" s="6">
        <f>_xlfn.XLOOKUP(C502,CALC_TEAMS_SEASON!B:B,CALC_TEAMS_SEASON!L:L)</f>
        <v>0.62437675070027965</v>
      </c>
      <c r="M502">
        <f>IF(CALC_GAMES_BASE!Z502="RS",1,1.2)</f>
        <v>1</v>
      </c>
      <c r="N502">
        <f xml:space="preserve"> CALC_GAMES_BASE!Y502</f>
        <v>0</v>
      </c>
    </row>
    <row r="503" spans="1:14" x14ac:dyDescent="0.25">
      <c r="A503" t="str">
        <f>CALC_GAMES_BASE!A503</f>
        <v>25/26</v>
      </c>
      <c r="B503" s="3">
        <f>CALC_GAMES_BASE!B503</f>
        <v>46024</v>
      </c>
      <c r="C503" s="3" t="str">
        <f>CALC_GAMES_BASE!C503</f>
        <v>TRI</v>
      </c>
      <c r="D503" s="3" t="str">
        <f>CALC_GAMES_BASE!D503</f>
        <v>VIT</v>
      </c>
      <c r="E503" s="7">
        <f>CALC_GAMES_BASE!E503</f>
        <v>0</v>
      </c>
      <c r="F503" s="6">
        <f>CALC_GAMES_BASE!N503</f>
        <v>0.75999999999999979</v>
      </c>
      <c r="G503" s="7">
        <f>CALC_GAMES_BASE!K503</f>
        <v>-6</v>
      </c>
      <c r="H503" s="7">
        <f t="shared" si="7"/>
        <v>1</v>
      </c>
      <c r="I503" s="6">
        <f>IF(H503=1,
  F503,
  G503*PARAMETRY!$B$11)</f>
        <v>0.75999999999999979</v>
      </c>
      <c r="J503" s="6">
        <f>CALC_GAMES_BASE!U503-CALC_GAMES_BASE!V503</f>
        <v>4.525335775335787E-3</v>
      </c>
      <c r="K503" s="6">
        <f>_xlfn.XLOOKUP(CALC_GAMES_BASE!W503,
  CALC_GOALIES!B:B,
  CALC_GOALIES!K:K)</f>
        <v>1.3707542055988897E-2</v>
      </c>
      <c r="L503" s="6">
        <f>_xlfn.XLOOKUP(C503,CALC_TEAMS_SEASON!B:B,CALC_TEAMS_SEASON!L:L)</f>
        <v>0.10805322128851533</v>
      </c>
      <c r="M503">
        <f>IF(CALC_GAMES_BASE!Z503="RS",1,1.2)</f>
        <v>1</v>
      </c>
      <c r="N503">
        <f xml:space="preserve"> CALC_GAMES_BASE!Y503</f>
        <v>1</v>
      </c>
    </row>
    <row r="504" spans="1:14" x14ac:dyDescent="0.25">
      <c r="A504" t="str">
        <f>CALC_GAMES_BASE!A504</f>
        <v>25/26</v>
      </c>
      <c r="B504" s="3">
        <f>CALC_GAMES_BASE!B504</f>
        <v>46024</v>
      </c>
      <c r="C504" s="3" t="str">
        <f>CALC_GAMES_BASE!C504</f>
        <v>KOM</v>
      </c>
      <c r="D504" s="3" t="str">
        <f>CALC_GAMES_BASE!D504</f>
        <v>KLA</v>
      </c>
      <c r="E504" s="7">
        <f>CALC_GAMES_BASE!E504</f>
        <v>1</v>
      </c>
      <c r="F504" s="6">
        <f>CALC_GAMES_BASE!N504</f>
        <v>-0.96</v>
      </c>
      <c r="G504" s="7">
        <f>CALC_GAMES_BASE!K504</f>
        <v>2</v>
      </c>
      <c r="H504" s="7">
        <f t="shared" si="7"/>
        <v>1</v>
      </c>
      <c r="I504" s="6">
        <f>IF(H504=1,
  F504,
  G504*PARAMETRY!$B$11)</f>
        <v>-0.96</v>
      </c>
      <c r="J504" s="6">
        <f>CALC_GAMES_BASE!U504-CALC_GAMES_BASE!V504</f>
        <v>1.2385531135531147E-2</v>
      </c>
      <c r="K504" s="6">
        <f>_xlfn.XLOOKUP(CALC_GAMES_BASE!W504,
  CALC_GOALIES!B:B,
  CALC_GOALIES!K:K)</f>
        <v>-1.7945945907462235E-2</v>
      </c>
      <c r="L504" s="6">
        <f>_xlfn.XLOOKUP(C504,CALC_TEAMS_SEASON!B:B,CALC_TEAMS_SEASON!L:L)</f>
        <v>-0.37268207282913179</v>
      </c>
      <c r="M504">
        <f>IF(CALC_GAMES_BASE!Z504="RS",1,1.2)</f>
        <v>1</v>
      </c>
      <c r="N504">
        <f xml:space="preserve"> CALC_GAMES_BASE!Y504</f>
        <v>0</v>
      </c>
    </row>
    <row r="505" spans="1:14" x14ac:dyDescent="0.25">
      <c r="A505" t="str">
        <f>CALC_GAMES_BASE!A505</f>
        <v>25/26</v>
      </c>
      <c r="B505" s="3">
        <f>CALC_GAMES_BASE!B505</f>
        <v>46024</v>
      </c>
      <c r="C505" s="3" t="str">
        <f>CALC_GAMES_BASE!C505</f>
        <v>CEB</v>
      </c>
      <c r="D505" s="3" t="str">
        <f>CALC_GAMES_BASE!D505</f>
        <v>MBL</v>
      </c>
      <c r="E505" s="7">
        <f>CALC_GAMES_BASE!E505</f>
        <v>0</v>
      </c>
      <c r="F505" s="6" t="str">
        <f>CALC_GAMES_BASE!N505</f>
        <v/>
      </c>
      <c r="G505" s="7">
        <f>CALC_GAMES_BASE!K505</f>
        <v>6</v>
      </c>
      <c r="H505" s="7">
        <f t="shared" si="7"/>
        <v>0</v>
      </c>
      <c r="I505" s="6">
        <f>IF(H505=1,
  F505,
  G505*PARAMETRY!$B$11)</f>
        <v>0.30000000000000004</v>
      </c>
      <c r="J505" s="6">
        <f>CALC_GAMES_BASE!U505-CALC_GAMES_BASE!V505</f>
        <v>1.1944305694305699E-2</v>
      </c>
      <c r="K505" s="6">
        <f>_xlfn.XLOOKUP(CALC_GAMES_BASE!W505,
  CALC_GOALIES!B:B,
  CALC_GOALIES!K:K)</f>
        <v>-1.372632037787358E-2</v>
      </c>
      <c r="L505" s="6">
        <f>_xlfn.XLOOKUP(C505,CALC_TEAMS_SEASON!B:B,CALC_TEAMS_SEASON!L:L)</f>
        <v>-0.24978011204481798</v>
      </c>
      <c r="M505">
        <f>IF(CALC_GAMES_BASE!Z505="RS",1,1.2)</f>
        <v>1</v>
      </c>
      <c r="N505">
        <f xml:space="preserve"> CALC_GAMES_BASE!Y505</f>
        <v>0</v>
      </c>
    </row>
    <row r="506" spans="1:14" x14ac:dyDescent="0.25">
      <c r="A506" t="str">
        <f>CALC_GAMES_BASE!A506</f>
        <v>25/26</v>
      </c>
      <c r="B506" s="3">
        <f>CALC_GAMES_BASE!B506</f>
        <v>46024</v>
      </c>
      <c r="C506" s="3" t="str">
        <f>CALC_GAMES_BASE!C506</f>
        <v>KLA</v>
      </c>
      <c r="D506" s="3" t="str">
        <f>CALC_GAMES_BASE!D506</f>
        <v>KOM</v>
      </c>
      <c r="E506" s="7">
        <f>CALC_GAMES_BASE!E506</f>
        <v>0</v>
      </c>
      <c r="F506" s="6">
        <f>CALC_GAMES_BASE!N506</f>
        <v>0.96</v>
      </c>
      <c r="G506" s="7">
        <f>CALC_GAMES_BASE!K506</f>
        <v>-2</v>
      </c>
      <c r="H506" s="7">
        <f t="shared" si="7"/>
        <v>1</v>
      </c>
      <c r="I506" s="6">
        <f>IF(H506=1,
  F506,
  G506*PARAMETRY!$B$11)</f>
        <v>0.96</v>
      </c>
      <c r="J506" s="6">
        <f>CALC_GAMES_BASE!U506-CALC_GAMES_BASE!V506</f>
        <v>-1.2385531135531147E-2</v>
      </c>
      <c r="K506" s="6">
        <f>_xlfn.XLOOKUP(CALC_GAMES_BASE!W506,
  CALC_GOALIES!B:B,
  CALC_GOALIES!K:K)</f>
        <v>1.2463190300688209E-2</v>
      </c>
      <c r="L506" s="6">
        <f>_xlfn.XLOOKUP(C506,CALC_TEAMS_SEASON!B:B,CALC_TEAMS_SEASON!L:L)</f>
        <v>-0.19819677871148478</v>
      </c>
      <c r="M506">
        <f>IF(CALC_GAMES_BASE!Z506="RS",1,1.2)</f>
        <v>1</v>
      </c>
      <c r="N506">
        <f xml:space="preserve"> CALC_GAMES_BASE!Y506</f>
        <v>1</v>
      </c>
    </row>
    <row r="507" spans="1:14" x14ac:dyDescent="0.25">
      <c r="A507" t="str">
        <f>CALC_GAMES_BASE!A507</f>
        <v>25/26</v>
      </c>
      <c r="B507" s="3">
        <f>CALC_GAMES_BASE!B507</f>
        <v>46024</v>
      </c>
      <c r="C507" s="3" t="str">
        <f>CALC_GAMES_BASE!C507</f>
        <v>KVA</v>
      </c>
      <c r="D507" s="3" t="str">
        <f>CALC_GAMES_BASE!D507</f>
        <v>PCE</v>
      </c>
      <c r="E507" s="7">
        <f>CALC_GAMES_BASE!E507</f>
        <v>1</v>
      </c>
      <c r="F507" s="6">
        <f>CALC_GAMES_BASE!N507</f>
        <v>0.33000000000000007</v>
      </c>
      <c r="G507" s="7">
        <f>CALC_GAMES_BASE!K507</f>
        <v>-6</v>
      </c>
      <c r="H507" s="7">
        <f t="shared" si="7"/>
        <v>1</v>
      </c>
      <c r="I507" s="6">
        <f>IF(H507=1,
  F507,
  G507*PARAMETRY!$B$11)</f>
        <v>0.33000000000000007</v>
      </c>
      <c r="J507" s="6">
        <f>CALC_GAMES_BASE!U507-CALC_GAMES_BASE!V507</f>
        <v>-2.9105616605616641E-2</v>
      </c>
      <c r="K507" s="6">
        <f>_xlfn.XLOOKUP(CALC_GAMES_BASE!W507,
  CALC_GOALIES!B:B,
  CALC_GOALIES!K:K)</f>
        <v>-2.2629454281007488E-2</v>
      </c>
      <c r="L507" s="6">
        <f>_xlfn.XLOOKUP(C507,CALC_TEAMS_SEASON!B:B,CALC_TEAMS_SEASON!L:L)</f>
        <v>-0.28757177871148476</v>
      </c>
      <c r="M507">
        <f>IF(CALC_GAMES_BASE!Z507="RS",1,1.2)</f>
        <v>1</v>
      </c>
      <c r="N507">
        <f xml:space="preserve"> CALC_GAMES_BASE!Y507</f>
        <v>1</v>
      </c>
    </row>
    <row r="508" spans="1:14" x14ac:dyDescent="0.25">
      <c r="A508" t="str">
        <f>CALC_GAMES_BASE!A508</f>
        <v>25/26</v>
      </c>
      <c r="B508" s="3">
        <f>CALC_GAMES_BASE!B508</f>
        <v>46024</v>
      </c>
      <c r="C508" s="3" t="str">
        <f>CALC_GAMES_BASE!C508</f>
        <v>LIB</v>
      </c>
      <c r="D508" s="3" t="str">
        <f>CALC_GAMES_BASE!D508</f>
        <v>OLO</v>
      </c>
      <c r="E508" s="7">
        <f>CALC_GAMES_BASE!E508</f>
        <v>0</v>
      </c>
      <c r="F508" s="6" t="str">
        <f>CALC_GAMES_BASE!N508</f>
        <v/>
      </c>
      <c r="G508" s="7">
        <f>CALC_GAMES_BASE!K508</f>
        <v>-10</v>
      </c>
      <c r="H508" s="7">
        <f t="shared" si="7"/>
        <v>0</v>
      </c>
      <c r="I508" s="6">
        <f>IF(H508=1,
  F508,
  G508*PARAMETRY!$B$11)</f>
        <v>-0.5</v>
      </c>
      <c r="J508" s="6">
        <f>CALC_GAMES_BASE!U508-CALC_GAMES_BASE!V508</f>
        <v>-6.1202686202686263E-3</v>
      </c>
      <c r="K508" s="6">
        <f>_xlfn.XLOOKUP(CALC_GAMES_BASE!W508,
  CALC_GOALIES!B:B,
  CALC_GOALIES!K:K)</f>
        <v>1.2275709048813366E-2</v>
      </c>
      <c r="L508" s="6">
        <f>_xlfn.XLOOKUP(C508,CALC_TEAMS_SEASON!B:B,CALC_TEAMS_SEASON!L:L)</f>
        <v>0.22367822128851536</v>
      </c>
      <c r="M508">
        <f>IF(CALC_GAMES_BASE!Z508="RS",1,1.2)</f>
        <v>1</v>
      </c>
      <c r="N508">
        <f xml:space="preserve"> CALC_GAMES_BASE!Y508</f>
        <v>0</v>
      </c>
    </row>
    <row r="509" spans="1:14" x14ac:dyDescent="0.25">
      <c r="A509" t="str">
        <f>CALC_GAMES_BASE!A509</f>
        <v>25/26</v>
      </c>
      <c r="B509" s="3">
        <f>CALC_GAMES_BASE!B509</f>
        <v>46024</v>
      </c>
      <c r="C509" s="3" t="str">
        <f>CALC_GAMES_BASE!C509</f>
        <v>LIT</v>
      </c>
      <c r="D509" s="3" t="str">
        <f>CALC_GAMES_BASE!D509</f>
        <v>PLZ</v>
      </c>
      <c r="E509" s="7">
        <f>CALC_GAMES_BASE!E509</f>
        <v>1</v>
      </c>
      <c r="F509" s="6" t="str">
        <f>CALC_GAMES_BASE!N509</f>
        <v/>
      </c>
      <c r="G509" s="7">
        <f>CALC_GAMES_BASE!K509</f>
        <v>-11</v>
      </c>
      <c r="H509" s="7">
        <f t="shared" si="7"/>
        <v>0</v>
      </c>
      <c r="I509" s="6">
        <f>IF(H509=1,
  F509,
  G509*PARAMETRY!$B$11)</f>
        <v>-0.55000000000000004</v>
      </c>
      <c r="J509" s="6">
        <f>CALC_GAMES_BASE!U509-CALC_GAMES_BASE!V509</f>
        <v>-7.5518925518925487E-2</v>
      </c>
      <c r="K509" s="6">
        <f>_xlfn.XLOOKUP(CALC_GAMES_BASE!W509,
  CALC_GOALIES!B:B,
  CALC_GOALIES!K:K)</f>
        <v>-4.9010888963920696E-3</v>
      </c>
      <c r="L509" s="6">
        <f>_xlfn.XLOOKUP(C509,CALC_TEAMS_SEASON!B:B,CALC_TEAMS_SEASON!L:L)</f>
        <v>-1.4784467787114848</v>
      </c>
      <c r="M509">
        <f>IF(CALC_GAMES_BASE!Z509="RS",1,1.2)</f>
        <v>1</v>
      </c>
      <c r="N509">
        <f xml:space="preserve"> CALC_GAMES_BASE!Y509</f>
        <v>0</v>
      </c>
    </row>
    <row r="510" spans="1:14" x14ac:dyDescent="0.25">
      <c r="A510" t="str">
        <f>CALC_GAMES_BASE!A510</f>
        <v>25/26</v>
      </c>
      <c r="B510" s="3">
        <f>CALC_GAMES_BASE!B510</f>
        <v>46024</v>
      </c>
      <c r="C510" s="3" t="str">
        <f>CALC_GAMES_BASE!C510</f>
        <v>MBL</v>
      </c>
      <c r="D510" s="3" t="str">
        <f>CALC_GAMES_BASE!D510</f>
        <v>CEB</v>
      </c>
      <c r="E510" s="7">
        <f>CALC_GAMES_BASE!E510</f>
        <v>1</v>
      </c>
      <c r="F510" s="6" t="str">
        <f>CALC_GAMES_BASE!N510</f>
        <v/>
      </c>
      <c r="G510" s="7">
        <f>CALC_GAMES_BASE!K510</f>
        <v>-6</v>
      </c>
      <c r="H510" s="7">
        <f t="shared" si="7"/>
        <v>0</v>
      </c>
      <c r="I510" s="6">
        <f>IF(H510=1,
  F510,
  G510*PARAMETRY!$B$11)</f>
        <v>-0.30000000000000004</v>
      </c>
      <c r="J510" s="6">
        <f>CALC_GAMES_BASE!U510-CALC_GAMES_BASE!V510</f>
        <v>-1.1944305694305699E-2</v>
      </c>
      <c r="K510" s="6">
        <f>_xlfn.XLOOKUP(CALC_GAMES_BASE!W510,
  CALC_GOALIES!B:B,
  CALC_GOALIES!K:K)</f>
        <v>-4.4670611186142795E-3</v>
      </c>
      <c r="L510" s="6">
        <f>_xlfn.XLOOKUP(C510,CALC_TEAMS_SEASON!B:B,CALC_TEAMS_SEASON!L:L)</f>
        <v>-0.89069677871148467</v>
      </c>
      <c r="M510">
        <f>IF(CALC_GAMES_BASE!Z510="RS",1,1.2)</f>
        <v>1</v>
      </c>
      <c r="N510">
        <f xml:space="preserve"> CALC_GAMES_BASE!Y510</f>
        <v>1</v>
      </c>
    </row>
    <row r="511" spans="1:14" x14ac:dyDescent="0.25">
      <c r="A511" t="str">
        <f>CALC_GAMES_BASE!A511</f>
        <v>25/26</v>
      </c>
      <c r="B511" s="3">
        <f>CALC_GAMES_BASE!B511</f>
        <v>46024</v>
      </c>
      <c r="C511" s="3" t="str">
        <f>CALC_GAMES_BASE!C511</f>
        <v>OLO</v>
      </c>
      <c r="D511" s="3" t="str">
        <f>CALC_GAMES_BASE!D511</f>
        <v>LIB</v>
      </c>
      <c r="E511" s="7">
        <f>CALC_GAMES_BASE!E511</f>
        <v>1</v>
      </c>
      <c r="F511" s="6" t="str">
        <f>CALC_GAMES_BASE!N511</f>
        <v/>
      </c>
      <c r="G511" s="7">
        <f>CALC_GAMES_BASE!K511</f>
        <v>10</v>
      </c>
      <c r="H511" s="7">
        <f t="shared" si="7"/>
        <v>0</v>
      </c>
      <c r="I511" s="6">
        <f>IF(H511=1,
  F511,
  G511*PARAMETRY!$B$11)</f>
        <v>0.5</v>
      </c>
      <c r="J511" s="6">
        <f>CALC_GAMES_BASE!U511-CALC_GAMES_BASE!V511</f>
        <v>6.1202686202686263E-3</v>
      </c>
      <c r="K511" s="6">
        <f>_xlfn.XLOOKUP(CALC_GAMES_BASE!W511,
  CALC_GOALIES!B:B,
  CALC_GOALIES!K:K)</f>
        <v>-2.0326878807700233E-2</v>
      </c>
      <c r="L511" s="6">
        <f>_xlfn.XLOOKUP(C511,CALC_TEAMS_SEASON!B:B,CALC_TEAMS_SEASON!L:L)</f>
        <v>-1.0613217787114846</v>
      </c>
      <c r="M511">
        <f>IF(CALC_GAMES_BASE!Z511="RS",1,1.2)</f>
        <v>1</v>
      </c>
      <c r="N511">
        <f xml:space="preserve"> CALC_GAMES_BASE!Y511</f>
        <v>1</v>
      </c>
    </row>
    <row r="512" spans="1:14" x14ac:dyDescent="0.25">
      <c r="A512" t="str">
        <f>CALC_GAMES_BASE!A512</f>
        <v>25/26</v>
      </c>
      <c r="B512" s="3">
        <f>CALC_GAMES_BASE!B512</f>
        <v>46024</v>
      </c>
      <c r="C512" s="3" t="str">
        <f>CALC_GAMES_BASE!C512</f>
        <v>PLZ</v>
      </c>
      <c r="D512" s="3" t="str">
        <f>CALC_GAMES_BASE!D512</f>
        <v>LIT</v>
      </c>
      <c r="E512" s="7">
        <f>CALC_GAMES_BASE!E512</f>
        <v>0</v>
      </c>
      <c r="F512" s="6" t="str">
        <f>CALC_GAMES_BASE!N512</f>
        <v/>
      </c>
      <c r="G512" s="7">
        <f>CALC_GAMES_BASE!K512</f>
        <v>11</v>
      </c>
      <c r="H512" s="7">
        <f t="shared" si="7"/>
        <v>0</v>
      </c>
      <c r="I512" s="6">
        <f>IF(H512=1,
  F512,
  G512*PARAMETRY!$B$11)</f>
        <v>0.55000000000000004</v>
      </c>
      <c r="J512" s="6">
        <f>CALC_GAMES_BASE!U512-CALC_GAMES_BASE!V512</f>
        <v>7.5518925518925487E-2</v>
      </c>
      <c r="K512" s="6">
        <f>_xlfn.XLOOKUP(CALC_GAMES_BASE!W512,
  CALC_GOALIES!B:B,
  CALC_GOALIES!K:K)</f>
        <v>1.7617039556646619E-2</v>
      </c>
      <c r="L512" s="6">
        <f>_xlfn.XLOOKUP(C512,CALC_TEAMS_SEASON!B:B,CALC_TEAMS_SEASON!L:L)</f>
        <v>7.3678221288515283E-2</v>
      </c>
      <c r="M512">
        <f>IF(CALC_GAMES_BASE!Z512="RS",1,1.2)</f>
        <v>1</v>
      </c>
      <c r="N512">
        <f xml:space="preserve"> CALC_GAMES_BASE!Y512</f>
        <v>1</v>
      </c>
    </row>
    <row r="513" spans="1:14" x14ac:dyDescent="0.25">
      <c r="A513" t="str">
        <f>CALC_GAMES_BASE!A513</f>
        <v>25/26</v>
      </c>
      <c r="B513" s="3">
        <f>CALC_GAMES_BASE!B513</f>
        <v>46024</v>
      </c>
      <c r="C513" s="3" t="str">
        <f>CALC_GAMES_BASE!C513</f>
        <v>VIT</v>
      </c>
      <c r="D513" s="3" t="str">
        <f>CALC_GAMES_BASE!D513</f>
        <v>TRI</v>
      </c>
      <c r="E513" s="7">
        <f>CALC_GAMES_BASE!E513</f>
        <v>1</v>
      </c>
      <c r="F513" s="6">
        <f>CALC_GAMES_BASE!N513</f>
        <v>-0.75999999999999979</v>
      </c>
      <c r="G513" s="7">
        <f>CALC_GAMES_BASE!K513</f>
        <v>6</v>
      </c>
      <c r="H513" s="7">
        <f t="shared" si="7"/>
        <v>1</v>
      </c>
      <c r="I513" s="6">
        <f>IF(H513=1,
  F513,
  G513*PARAMETRY!$B$11)</f>
        <v>-0.75999999999999979</v>
      </c>
      <c r="J513" s="6">
        <f>CALC_GAMES_BASE!U513-CALC_GAMES_BASE!V513</f>
        <v>-4.525335775335787E-3</v>
      </c>
      <c r="K513" s="6">
        <f>_xlfn.XLOOKUP(CALC_GAMES_BASE!W513,
  CALC_GOALIES!B:B,
  CALC_GOALIES!K:K)</f>
        <v>1.905487900993541E-3</v>
      </c>
      <c r="L513" s="6">
        <f>_xlfn.XLOOKUP(C513,CALC_TEAMS_SEASON!B:B,CALC_TEAMS_SEASON!L:L)</f>
        <v>-1.0281967787114845</v>
      </c>
      <c r="M513">
        <f>IF(CALC_GAMES_BASE!Z513="RS",1,1.2)</f>
        <v>1</v>
      </c>
      <c r="N513">
        <f xml:space="preserve"> CALC_GAMES_BASE!Y513</f>
        <v>0</v>
      </c>
    </row>
    <row r="514" spans="1:14" x14ac:dyDescent="0.25">
      <c r="A514" t="str">
        <f>CALC_GAMES_BASE!A514</f>
        <v>25/26</v>
      </c>
      <c r="B514" s="3">
        <f>CALC_GAMES_BASE!B514</f>
        <v>46026</v>
      </c>
      <c r="C514" s="3" t="str">
        <f>CALC_GAMES_BASE!C514</f>
        <v>PCE</v>
      </c>
      <c r="D514" s="3" t="str">
        <f>CALC_GAMES_BASE!D514</f>
        <v>VIT</v>
      </c>
      <c r="E514" s="7">
        <f>CALC_GAMES_BASE!E514</f>
        <v>1</v>
      </c>
      <c r="F514" s="6">
        <f>CALC_GAMES_BASE!N514</f>
        <v>1.2800000000000002</v>
      </c>
      <c r="G514" s="7">
        <f>CALC_GAMES_BASE!K514</f>
        <v>17</v>
      </c>
      <c r="H514" s="7">
        <f t="shared" si="7"/>
        <v>1</v>
      </c>
      <c r="I514" s="6">
        <f>IF(H514=1,
  F514,
  G514*PARAMETRY!$B$11)</f>
        <v>1.2800000000000002</v>
      </c>
      <c r="J514" s="6">
        <f>CALC_GAMES_BASE!U514-CALC_GAMES_BASE!V514</f>
        <v>3.3127289377289398E-2</v>
      </c>
      <c r="K514" s="6">
        <f>_xlfn.XLOOKUP(CALC_GAMES_BASE!W514,
  CALC_GOALIES!B:B,
  CALC_GOALIES!K:K)</f>
        <v>4.5881077393388203E-3</v>
      </c>
      <c r="L514" s="6">
        <f>_xlfn.XLOOKUP(C514,CALC_TEAMS_SEASON!B:B,CALC_TEAMS_SEASON!L:L)</f>
        <v>0.62437675070027965</v>
      </c>
      <c r="M514">
        <f>IF(CALC_GAMES_BASE!Z514="RS",1,1.2)</f>
        <v>1</v>
      </c>
      <c r="N514">
        <f xml:space="preserve"> CALC_GAMES_BASE!Y514</f>
        <v>1</v>
      </c>
    </row>
    <row r="515" spans="1:14" x14ac:dyDescent="0.25">
      <c r="A515" t="str">
        <f>CALC_GAMES_BASE!A515</f>
        <v>25/26</v>
      </c>
      <c r="B515" s="3">
        <f>CALC_GAMES_BASE!B515</f>
        <v>46026</v>
      </c>
      <c r="C515" s="3" t="str">
        <f>CALC_GAMES_BASE!C515</f>
        <v>TRI</v>
      </c>
      <c r="D515" s="3" t="str">
        <f>CALC_GAMES_BASE!D515</f>
        <v>LIT</v>
      </c>
      <c r="E515" s="7">
        <f>CALC_GAMES_BASE!E515</f>
        <v>1</v>
      </c>
      <c r="F515" s="6">
        <f>CALC_GAMES_BASE!N515</f>
        <v>0.78</v>
      </c>
      <c r="G515" s="7">
        <f>CALC_GAMES_BASE!K515</f>
        <v>2</v>
      </c>
      <c r="H515" s="7">
        <f t="shared" ref="H515:H578" si="8">IF(F515&lt;&gt;"",1,0)</f>
        <v>1</v>
      </c>
      <c r="I515" s="6">
        <f>IF(H515=1,
  F515,
  G515*PARAMETRY!$B$11)</f>
        <v>0.78</v>
      </c>
      <c r="J515" s="6">
        <f>CALC_GAMES_BASE!U515-CALC_GAMES_BASE!V515</f>
        <v>7.348137973137979E-2</v>
      </c>
      <c r="K515" s="6">
        <f>_xlfn.XLOOKUP(CALC_GAMES_BASE!W515,
  CALC_GOALIES!B:B,
  CALC_GOALIES!K:K)</f>
        <v>1.3707542055988897E-2</v>
      </c>
      <c r="L515" s="6">
        <f>_xlfn.XLOOKUP(C515,CALC_TEAMS_SEASON!B:B,CALC_TEAMS_SEASON!L:L)</f>
        <v>0.10805322128851533</v>
      </c>
      <c r="M515">
        <f>IF(CALC_GAMES_BASE!Z515="RS",1,1.2)</f>
        <v>1</v>
      </c>
      <c r="N515">
        <f xml:space="preserve"> CALC_GAMES_BASE!Y515</f>
        <v>1</v>
      </c>
    </row>
    <row r="516" spans="1:14" x14ac:dyDescent="0.25">
      <c r="A516" t="str">
        <f>CALC_GAMES_BASE!A516</f>
        <v>25/26</v>
      </c>
      <c r="B516" s="3">
        <f>CALC_GAMES_BASE!B516</f>
        <v>46026</v>
      </c>
      <c r="C516" s="3" t="str">
        <f>CALC_GAMES_BASE!C516</f>
        <v>SPA</v>
      </c>
      <c r="D516" s="3" t="str">
        <f>CALC_GAMES_BASE!D516</f>
        <v>KLA</v>
      </c>
      <c r="E516" s="7">
        <f>CALC_GAMES_BASE!E516</f>
        <v>1</v>
      </c>
      <c r="F516" s="6">
        <f>CALC_GAMES_BASE!N516</f>
        <v>1.1400000000000001</v>
      </c>
      <c r="G516" s="7">
        <f>CALC_GAMES_BASE!K516</f>
        <v>5</v>
      </c>
      <c r="H516" s="7">
        <f t="shared" si="8"/>
        <v>1</v>
      </c>
      <c r="I516" s="6">
        <f>IF(H516=1,
  F516,
  G516*PARAMETRY!$B$11)</f>
        <v>1.1400000000000001</v>
      </c>
      <c r="J516" s="6">
        <f>CALC_GAMES_BASE!U516-CALC_GAMES_BASE!V516</f>
        <v>8.9400183150183221E-2</v>
      </c>
      <c r="K516" s="6">
        <f>_xlfn.XLOOKUP(CALC_GAMES_BASE!W516,
  CALC_GOALIES!B:B,
  CALC_GOALIES!K:K)</f>
        <v>-1.0634669404866681E-2</v>
      </c>
      <c r="L516" s="6">
        <f>_xlfn.XLOOKUP(C516,CALC_TEAMS_SEASON!B:B,CALC_TEAMS_SEASON!L:L)</f>
        <v>6.4376750700279955E-2</v>
      </c>
      <c r="M516">
        <f>IF(CALC_GAMES_BASE!Z516="RS",1,1.2)</f>
        <v>1</v>
      </c>
      <c r="N516">
        <f xml:space="preserve"> CALC_GAMES_BASE!Y516</f>
        <v>0</v>
      </c>
    </row>
    <row r="517" spans="1:14" x14ac:dyDescent="0.25">
      <c r="A517" t="str">
        <f>CALC_GAMES_BASE!A517</f>
        <v>25/26</v>
      </c>
      <c r="B517" s="3">
        <f>CALC_GAMES_BASE!B517</f>
        <v>46026</v>
      </c>
      <c r="C517" s="3" t="str">
        <f>CALC_GAMES_BASE!C517</f>
        <v>KOM</v>
      </c>
      <c r="D517" s="3" t="str">
        <f>CALC_GAMES_BASE!D517</f>
        <v>KVA</v>
      </c>
      <c r="E517" s="7">
        <f>CALC_GAMES_BASE!E517</f>
        <v>1</v>
      </c>
      <c r="F517" s="6">
        <f>CALC_GAMES_BASE!N517</f>
        <v>0.16000000000000014</v>
      </c>
      <c r="G517" s="7">
        <f>CALC_GAMES_BASE!K517</f>
        <v>13</v>
      </c>
      <c r="H517" s="7">
        <f t="shared" si="8"/>
        <v>1</v>
      </c>
      <c r="I517" s="6">
        <f>IF(H517=1,
  F517,
  G517*PARAMETRY!$B$11)</f>
        <v>0.16000000000000014</v>
      </c>
      <c r="J517" s="6">
        <f>CALC_GAMES_BASE!U517-CALC_GAMES_BASE!V517</f>
        <v>-3.0280830280830312E-2</v>
      </c>
      <c r="K517" s="6">
        <f>_xlfn.XLOOKUP(CALC_GAMES_BASE!W517,
  CALC_GOALIES!B:B,
  CALC_GOALIES!K:K)</f>
        <v>-1.7945945907462235E-2</v>
      </c>
      <c r="L517" s="6">
        <f>_xlfn.XLOOKUP(C517,CALC_TEAMS_SEASON!B:B,CALC_TEAMS_SEASON!L:L)</f>
        <v>-0.37268207282913179</v>
      </c>
      <c r="M517">
        <f>IF(CALC_GAMES_BASE!Z517="RS",1,1.2)</f>
        <v>1</v>
      </c>
      <c r="N517">
        <f xml:space="preserve"> CALC_GAMES_BASE!Y517</f>
        <v>0</v>
      </c>
    </row>
    <row r="518" spans="1:14" x14ac:dyDescent="0.25">
      <c r="A518" t="str">
        <f>CALC_GAMES_BASE!A518</f>
        <v>25/26</v>
      </c>
      <c r="B518" s="3">
        <f>CALC_GAMES_BASE!B518</f>
        <v>46026</v>
      </c>
      <c r="C518" s="3" t="str">
        <f>CALC_GAMES_BASE!C518</f>
        <v>CEB</v>
      </c>
      <c r="D518" s="3" t="str">
        <f>CALC_GAMES_BASE!D518</f>
        <v>OLO</v>
      </c>
      <c r="E518" s="7">
        <f>CALC_GAMES_BASE!E518</f>
        <v>1</v>
      </c>
      <c r="F518" s="6" t="str">
        <f>CALC_GAMES_BASE!N518</f>
        <v/>
      </c>
      <c r="G518" s="7">
        <f>CALC_GAMES_BASE!K518</f>
        <v>-4</v>
      </c>
      <c r="H518" s="7">
        <f t="shared" si="8"/>
        <v>0</v>
      </c>
      <c r="I518" s="6">
        <f>IF(H518=1,
  F518,
  G518*PARAMETRY!$B$11)</f>
        <v>-0.2</v>
      </c>
      <c r="J518" s="6">
        <f>CALC_GAMES_BASE!U518-CALC_GAMES_BASE!V518</f>
        <v>-1.9679625929625938E-2</v>
      </c>
      <c r="K518" s="6">
        <f>_xlfn.XLOOKUP(CALC_GAMES_BASE!W518,
  CALC_GOALIES!B:B,
  CALC_GOALIES!K:K)</f>
        <v>3.9343341510811314E-3</v>
      </c>
      <c r="L518" s="6">
        <f>_xlfn.XLOOKUP(C518,CALC_TEAMS_SEASON!B:B,CALC_TEAMS_SEASON!L:L)</f>
        <v>-0.24978011204481798</v>
      </c>
      <c r="M518">
        <f>IF(CALC_GAMES_BASE!Z518="RS",1,1.2)</f>
        <v>1</v>
      </c>
      <c r="N518">
        <f xml:space="preserve"> CALC_GAMES_BASE!Y518</f>
        <v>1</v>
      </c>
    </row>
    <row r="519" spans="1:14" x14ac:dyDescent="0.25">
      <c r="A519" t="str">
        <f>CALC_GAMES_BASE!A519</f>
        <v>25/26</v>
      </c>
      <c r="B519" s="3">
        <f>CALC_GAMES_BASE!B519</f>
        <v>46026</v>
      </c>
      <c r="C519" s="3" t="str">
        <f>CALC_GAMES_BASE!C519</f>
        <v>KLA</v>
      </c>
      <c r="D519" s="3" t="str">
        <f>CALC_GAMES_BASE!D519</f>
        <v>SPA</v>
      </c>
      <c r="E519" s="7">
        <f>CALC_GAMES_BASE!E519</f>
        <v>0</v>
      </c>
      <c r="F519" s="6">
        <f>CALC_GAMES_BASE!N519</f>
        <v>-1.1400000000000001</v>
      </c>
      <c r="G519" s="7">
        <f>CALC_GAMES_BASE!K519</f>
        <v>-5</v>
      </c>
      <c r="H519" s="7">
        <f t="shared" si="8"/>
        <v>1</v>
      </c>
      <c r="I519" s="6">
        <f>IF(H519=1,
  F519,
  G519*PARAMETRY!$B$11)</f>
        <v>-1.1400000000000001</v>
      </c>
      <c r="J519" s="6">
        <f>CALC_GAMES_BASE!U519-CALC_GAMES_BASE!V519</f>
        <v>-8.9400183150183221E-2</v>
      </c>
      <c r="K519" s="6">
        <f>_xlfn.XLOOKUP(CALC_GAMES_BASE!W519,
  CALC_GOALIES!B:B,
  CALC_GOALIES!K:K)</f>
        <v>1.2463190300688209E-2</v>
      </c>
      <c r="L519" s="6">
        <f>_xlfn.XLOOKUP(C519,CALC_TEAMS_SEASON!B:B,CALC_TEAMS_SEASON!L:L)</f>
        <v>-0.19819677871148478</v>
      </c>
      <c r="M519">
        <f>IF(CALC_GAMES_BASE!Z519="RS",1,1.2)</f>
        <v>1</v>
      </c>
      <c r="N519">
        <f xml:space="preserve"> CALC_GAMES_BASE!Y519</f>
        <v>1</v>
      </c>
    </row>
    <row r="520" spans="1:14" x14ac:dyDescent="0.25">
      <c r="A520" t="str">
        <f>CALC_GAMES_BASE!A520</f>
        <v>25/26</v>
      </c>
      <c r="B520" s="3">
        <f>CALC_GAMES_BASE!B520</f>
        <v>46026</v>
      </c>
      <c r="C520" s="3" t="str">
        <f>CALC_GAMES_BASE!C520</f>
        <v>KVA</v>
      </c>
      <c r="D520" s="3" t="str">
        <f>CALC_GAMES_BASE!D520</f>
        <v>KOM</v>
      </c>
      <c r="E520" s="7">
        <f>CALC_GAMES_BASE!E520</f>
        <v>0</v>
      </c>
      <c r="F520" s="6">
        <f>CALC_GAMES_BASE!N520</f>
        <v>-0.16000000000000014</v>
      </c>
      <c r="G520" s="7">
        <f>CALC_GAMES_BASE!K520</f>
        <v>-13</v>
      </c>
      <c r="H520" s="7">
        <f t="shared" si="8"/>
        <v>1</v>
      </c>
      <c r="I520" s="6">
        <f>IF(H520=1,
  F520,
  G520*PARAMETRY!$B$11)</f>
        <v>-0.16000000000000014</v>
      </c>
      <c r="J520" s="6">
        <f>CALC_GAMES_BASE!U520-CALC_GAMES_BASE!V520</f>
        <v>3.0280830280830312E-2</v>
      </c>
      <c r="K520" s="6">
        <f>_xlfn.XLOOKUP(CALC_GAMES_BASE!W520,
  CALC_GOALIES!B:B,
  CALC_GOALIES!K:K)</f>
        <v>1.2242809776983998E-2</v>
      </c>
      <c r="L520" s="6">
        <f>_xlfn.XLOOKUP(C520,CALC_TEAMS_SEASON!B:B,CALC_TEAMS_SEASON!L:L)</f>
        <v>-0.28757177871148476</v>
      </c>
      <c r="M520">
        <f>IF(CALC_GAMES_BASE!Z520="RS",1,1.2)</f>
        <v>1</v>
      </c>
      <c r="N520">
        <f xml:space="preserve"> CALC_GAMES_BASE!Y520</f>
        <v>1</v>
      </c>
    </row>
    <row r="521" spans="1:14" x14ac:dyDescent="0.25">
      <c r="A521" t="str">
        <f>CALC_GAMES_BASE!A521</f>
        <v>25/26</v>
      </c>
      <c r="B521" s="3">
        <f>CALC_GAMES_BASE!B521</f>
        <v>46026</v>
      </c>
      <c r="C521" s="3" t="str">
        <f>CALC_GAMES_BASE!C521</f>
        <v>LIB</v>
      </c>
      <c r="D521" s="3" t="str">
        <f>CALC_GAMES_BASE!D521</f>
        <v>MHK</v>
      </c>
      <c r="E521" s="7">
        <f>CALC_GAMES_BASE!E521</f>
        <v>0</v>
      </c>
      <c r="F521" s="6" t="str">
        <f>CALC_GAMES_BASE!N521</f>
        <v/>
      </c>
      <c r="G521" s="7">
        <f>CALC_GAMES_BASE!K521</f>
        <v>1</v>
      </c>
      <c r="H521" s="7">
        <f t="shared" si="8"/>
        <v>0</v>
      </c>
      <c r="I521" s="6">
        <f>IF(H521=1,
  F521,
  G521*PARAMETRY!$B$11)</f>
        <v>0.05</v>
      </c>
      <c r="J521" s="6">
        <f>CALC_GAMES_BASE!U521-CALC_GAMES_BASE!V521</f>
        <v>1.9230769230769162E-3</v>
      </c>
      <c r="K521" s="6">
        <f>_xlfn.XLOOKUP(CALC_GAMES_BASE!W521,
  CALC_GOALIES!B:B,
  CALC_GOALIES!K:K)</f>
        <v>-2.7663687063931297E-2</v>
      </c>
      <c r="L521" s="6">
        <f>_xlfn.XLOOKUP(C521,CALC_TEAMS_SEASON!B:B,CALC_TEAMS_SEASON!L:L)</f>
        <v>0.22367822128851536</v>
      </c>
      <c r="M521">
        <f>IF(CALC_GAMES_BASE!Z521="RS",1,1.2)</f>
        <v>1</v>
      </c>
      <c r="N521">
        <f xml:space="preserve"> CALC_GAMES_BASE!Y521</f>
        <v>1</v>
      </c>
    </row>
    <row r="522" spans="1:14" x14ac:dyDescent="0.25">
      <c r="A522" t="str">
        <f>CALC_GAMES_BASE!A522</f>
        <v>25/26</v>
      </c>
      <c r="B522" s="3">
        <f>CALC_GAMES_BASE!B522</f>
        <v>46026</v>
      </c>
      <c r="C522" s="3" t="str">
        <f>CALC_GAMES_BASE!C522</f>
        <v>LIT</v>
      </c>
      <c r="D522" s="3" t="str">
        <f>CALC_GAMES_BASE!D522</f>
        <v>TRI</v>
      </c>
      <c r="E522" s="7">
        <f>CALC_GAMES_BASE!E522</f>
        <v>0</v>
      </c>
      <c r="F522" s="6">
        <f>CALC_GAMES_BASE!N522</f>
        <v>-0.78</v>
      </c>
      <c r="G522" s="7">
        <f>CALC_GAMES_BASE!K522</f>
        <v>-2</v>
      </c>
      <c r="H522" s="7">
        <f t="shared" si="8"/>
        <v>1</v>
      </c>
      <c r="I522" s="6">
        <f>IF(H522=1,
  F522,
  G522*PARAMETRY!$B$11)</f>
        <v>-0.78</v>
      </c>
      <c r="J522" s="6">
        <f>CALC_GAMES_BASE!U522-CALC_GAMES_BASE!V522</f>
        <v>-7.348137973137979E-2</v>
      </c>
      <c r="K522" s="6">
        <f>_xlfn.XLOOKUP(CALC_GAMES_BASE!W522,
  CALC_GOALIES!B:B,
  CALC_GOALIES!K:K)</f>
        <v>-8.1125178551773036E-3</v>
      </c>
      <c r="L522" s="6">
        <f>_xlfn.XLOOKUP(C522,CALC_TEAMS_SEASON!B:B,CALC_TEAMS_SEASON!L:L)</f>
        <v>-1.4784467787114848</v>
      </c>
      <c r="M522">
        <f>IF(CALC_GAMES_BASE!Z522="RS",1,1.2)</f>
        <v>1</v>
      </c>
      <c r="N522">
        <f xml:space="preserve"> CALC_GAMES_BASE!Y522</f>
        <v>0</v>
      </c>
    </row>
    <row r="523" spans="1:14" x14ac:dyDescent="0.25">
      <c r="A523" t="str">
        <f>CALC_GAMES_BASE!A523</f>
        <v>25/26</v>
      </c>
      <c r="B523" s="3">
        <f>CALC_GAMES_BASE!B523</f>
        <v>46026</v>
      </c>
      <c r="C523" s="3" t="str">
        <f>CALC_GAMES_BASE!C523</f>
        <v>MBL</v>
      </c>
      <c r="D523" s="3" t="str">
        <f>CALC_GAMES_BASE!D523</f>
        <v>PLZ</v>
      </c>
      <c r="E523" s="7">
        <f>CALC_GAMES_BASE!E523</f>
        <v>0</v>
      </c>
      <c r="F523" s="6" t="str">
        <f>CALC_GAMES_BASE!N523</f>
        <v/>
      </c>
      <c r="G523" s="7">
        <f>CALC_GAMES_BASE!K523</f>
        <v>-22</v>
      </c>
      <c r="H523" s="7">
        <f t="shared" si="8"/>
        <v>0</v>
      </c>
      <c r="I523" s="6">
        <f>IF(H523=1,
  F523,
  G523*PARAMETRY!$B$11)</f>
        <v>-1.1000000000000001</v>
      </c>
      <c r="J523" s="6">
        <f>CALC_GAMES_BASE!U523-CALC_GAMES_BASE!V523</f>
        <v>-5.8142551892551839E-2</v>
      </c>
      <c r="K523" s="6">
        <f>_xlfn.XLOOKUP(CALC_GAMES_BASE!W523,
  CALC_GOALIES!B:B,
  CALC_GOALIES!K:K)</f>
        <v>-4.4670611186142795E-3</v>
      </c>
      <c r="L523" s="6">
        <f>_xlfn.XLOOKUP(C523,CALC_TEAMS_SEASON!B:B,CALC_TEAMS_SEASON!L:L)</f>
        <v>-0.89069677871148467</v>
      </c>
      <c r="M523">
        <f>IF(CALC_GAMES_BASE!Z523="RS",1,1.2)</f>
        <v>1</v>
      </c>
      <c r="N523">
        <f xml:space="preserve"> CALC_GAMES_BASE!Y523</f>
        <v>0</v>
      </c>
    </row>
    <row r="524" spans="1:14" x14ac:dyDescent="0.25">
      <c r="A524" t="str">
        <f>CALC_GAMES_BASE!A524</f>
        <v>25/26</v>
      </c>
      <c r="B524" s="3">
        <f>CALC_GAMES_BASE!B524</f>
        <v>46026</v>
      </c>
      <c r="C524" s="3" t="str">
        <f>CALC_GAMES_BASE!C524</f>
        <v>MHK</v>
      </c>
      <c r="D524" s="3" t="str">
        <f>CALC_GAMES_BASE!D524</f>
        <v>LIB</v>
      </c>
      <c r="E524" s="7">
        <f>CALC_GAMES_BASE!E524</f>
        <v>1</v>
      </c>
      <c r="F524" s="6" t="str">
        <f>CALC_GAMES_BASE!N524</f>
        <v/>
      </c>
      <c r="G524" s="7">
        <f>CALC_GAMES_BASE!K524</f>
        <v>-1</v>
      </c>
      <c r="H524" s="7">
        <f t="shared" si="8"/>
        <v>0</v>
      </c>
      <c r="I524" s="6">
        <f>IF(H524=1,
  F524,
  G524*PARAMETRY!$B$11)</f>
        <v>-0.05</v>
      </c>
      <c r="J524" s="6">
        <f>CALC_GAMES_BASE!U524-CALC_GAMES_BASE!V524</f>
        <v>-1.9230769230769162E-3</v>
      </c>
      <c r="K524" s="6">
        <f>_xlfn.XLOOKUP(CALC_GAMES_BASE!W524,
  CALC_GOALIES!B:B,
  CALC_GOALIES!K:K)</f>
        <v>2.1917994590268441E-2</v>
      </c>
      <c r="L524" s="6">
        <f>_xlfn.XLOOKUP(C524,CALC_TEAMS_SEASON!B:B,CALC_TEAMS_SEASON!L:L)</f>
        <v>0.14821988795518207</v>
      </c>
      <c r="M524">
        <f>IF(CALC_GAMES_BASE!Z524="RS",1,1.2)</f>
        <v>1</v>
      </c>
      <c r="N524">
        <f xml:space="preserve"> CALC_GAMES_BASE!Y524</f>
        <v>0</v>
      </c>
    </row>
    <row r="525" spans="1:14" x14ac:dyDescent="0.25">
      <c r="A525" t="str">
        <f>CALC_GAMES_BASE!A525</f>
        <v>25/26</v>
      </c>
      <c r="B525" s="3">
        <f>CALC_GAMES_BASE!B525</f>
        <v>46026</v>
      </c>
      <c r="C525" s="3" t="str">
        <f>CALC_GAMES_BASE!C525</f>
        <v>OLO</v>
      </c>
      <c r="D525" s="3" t="str">
        <f>CALC_GAMES_BASE!D525</f>
        <v>CEB</v>
      </c>
      <c r="E525" s="7">
        <f>CALC_GAMES_BASE!E525</f>
        <v>0</v>
      </c>
      <c r="F525" s="6" t="str">
        <f>CALC_GAMES_BASE!N525</f>
        <v/>
      </c>
      <c r="G525" s="7">
        <f>CALC_GAMES_BASE!K525</f>
        <v>4</v>
      </c>
      <c r="H525" s="7">
        <f t="shared" si="8"/>
        <v>0</v>
      </c>
      <c r="I525" s="6">
        <f>IF(H525=1,
  F525,
  G525*PARAMETRY!$B$11)</f>
        <v>0.2</v>
      </c>
      <c r="J525" s="6">
        <f>CALC_GAMES_BASE!U525-CALC_GAMES_BASE!V525</f>
        <v>1.9679625929625938E-2</v>
      </c>
      <c r="K525" s="6">
        <f>_xlfn.XLOOKUP(CALC_GAMES_BASE!W525,
  CALC_GOALIES!B:B,
  CALC_GOALIES!K:K)</f>
        <v>-2.0326878807700233E-2</v>
      </c>
      <c r="L525" s="6">
        <f>_xlfn.XLOOKUP(C525,CALC_TEAMS_SEASON!B:B,CALC_TEAMS_SEASON!L:L)</f>
        <v>-1.0613217787114846</v>
      </c>
      <c r="M525">
        <f>IF(CALC_GAMES_BASE!Z525="RS",1,1.2)</f>
        <v>1</v>
      </c>
      <c r="N525">
        <f xml:space="preserve"> CALC_GAMES_BASE!Y525</f>
        <v>0</v>
      </c>
    </row>
    <row r="526" spans="1:14" x14ac:dyDescent="0.25">
      <c r="A526" t="str">
        <f>CALC_GAMES_BASE!A526</f>
        <v>25/26</v>
      </c>
      <c r="B526" s="3">
        <f>CALC_GAMES_BASE!B526</f>
        <v>46026</v>
      </c>
      <c r="C526" s="3" t="str">
        <f>CALC_GAMES_BASE!C526</f>
        <v>PLZ</v>
      </c>
      <c r="D526" s="3" t="str">
        <f>CALC_GAMES_BASE!D526</f>
        <v>MBL</v>
      </c>
      <c r="E526" s="7">
        <f>CALC_GAMES_BASE!E526</f>
        <v>1</v>
      </c>
      <c r="F526" s="6" t="str">
        <f>CALC_GAMES_BASE!N526</f>
        <v/>
      </c>
      <c r="G526" s="7">
        <f>CALC_GAMES_BASE!K526</f>
        <v>22</v>
      </c>
      <c r="H526" s="7">
        <f t="shared" si="8"/>
        <v>0</v>
      </c>
      <c r="I526" s="6">
        <f>IF(H526=1,
  F526,
  G526*PARAMETRY!$B$11)</f>
        <v>1.1000000000000001</v>
      </c>
      <c r="J526" s="6">
        <f>CALC_GAMES_BASE!U526-CALC_GAMES_BASE!V526</f>
        <v>5.8142551892551839E-2</v>
      </c>
      <c r="K526" s="6">
        <f>_xlfn.XLOOKUP(CALC_GAMES_BASE!W526,
  CALC_GOALIES!B:B,
  CALC_GOALIES!K:K)</f>
        <v>1.7617039556646619E-2</v>
      </c>
      <c r="L526" s="6">
        <f>_xlfn.XLOOKUP(C526,CALC_TEAMS_SEASON!B:B,CALC_TEAMS_SEASON!L:L)</f>
        <v>7.3678221288515283E-2</v>
      </c>
      <c r="M526">
        <f>IF(CALC_GAMES_BASE!Z526="RS",1,1.2)</f>
        <v>1</v>
      </c>
      <c r="N526">
        <f xml:space="preserve"> CALC_GAMES_BASE!Y526</f>
        <v>1</v>
      </c>
    </row>
    <row r="527" spans="1:14" x14ac:dyDescent="0.25">
      <c r="A527" t="str">
        <f>CALC_GAMES_BASE!A527</f>
        <v>25/26</v>
      </c>
      <c r="B527" s="3">
        <f>CALC_GAMES_BASE!B527</f>
        <v>46026</v>
      </c>
      <c r="C527" s="3" t="str">
        <f>CALC_GAMES_BASE!C527</f>
        <v>VIT</v>
      </c>
      <c r="D527" s="3" t="str">
        <f>CALC_GAMES_BASE!D527</f>
        <v>PCE</v>
      </c>
      <c r="E527" s="7">
        <f>CALC_GAMES_BASE!E527</f>
        <v>0</v>
      </c>
      <c r="F527" s="6">
        <f>CALC_GAMES_BASE!N527</f>
        <v>-1.2800000000000002</v>
      </c>
      <c r="G527" s="7">
        <f>CALC_GAMES_BASE!K527</f>
        <v>-17</v>
      </c>
      <c r="H527" s="7">
        <f t="shared" si="8"/>
        <v>1</v>
      </c>
      <c r="I527" s="6">
        <f>IF(H527=1,
  F527,
  G527*PARAMETRY!$B$11)</f>
        <v>-1.2800000000000002</v>
      </c>
      <c r="J527" s="6">
        <f>CALC_GAMES_BASE!U527-CALC_GAMES_BASE!V527</f>
        <v>-3.3127289377289398E-2</v>
      </c>
      <c r="K527" s="6">
        <f>_xlfn.XLOOKUP(CALC_GAMES_BASE!W527,
  CALC_GOALIES!B:B,
  CALC_GOALIES!K:K)</f>
        <v>1.905487900993541E-3</v>
      </c>
      <c r="L527" s="6">
        <f>_xlfn.XLOOKUP(C527,CALC_TEAMS_SEASON!B:B,CALC_TEAMS_SEASON!L:L)</f>
        <v>-1.0281967787114845</v>
      </c>
      <c r="M527">
        <f>IF(CALC_GAMES_BASE!Z527="RS",1,1.2)</f>
        <v>1</v>
      </c>
      <c r="N527">
        <f xml:space="preserve"> CALC_GAMES_BASE!Y527</f>
        <v>0</v>
      </c>
    </row>
    <row r="528" spans="1:14" x14ac:dyDescent="0.25">
      <c r="A528" t="str">
        <f>CALC_GAMES_BASE!A528</f>
        <v>25/26</v>
      </c>
      <c r="B528" s="3">
        <f>CALC_GAMES_BASE!B528</f>
        <v>46028</v>
      </c>
      <c r="C528" s="3" t="str">
        <f>CALC_GAMES_BASE!C528</f>
        <v>PCE</v>
      </c>
      <c r="D528" s="3" t="str">
        <f>CALC_GAMES_BASE!D528</f>
        <v>SPA</v>
      </c>
      <c r="E528" s="7">
        <f>CALC_GAMES_BASE!E528</f>
        <v>0</v>
      </c>
      <c r="F528" s="6">
        <f>CALC_GAMES_BASE!N528</f>
        <v>-0.91999999999999993</v>
      </c>
      <c r="G528" s="7">
        <f>CALC_GAMES_BASE!K528</f>
        <v>2</v>
      </c>
      <c r="H528" s="7">
        <f t="shared" si="8"/>
        <v>1</v>
      </c>
      <c r="I528" s="6">
        <f>IF(H528=1,
  F528,
  G528*PARAMETRY!$B$11)</f>
        <v>-0.91999999999999993</v>
      </c>
      <c r="J528" s="6">
        <f>CALC_GAMES_BASE!U528-CALC_GAMES_BASE!V528</f>
        <v>-1.7628205128205121E-2</v>
      </c>
      <c r="K528" s="6">
        <f>_xlfn.XLOOKUP(CALC_GAMES_BASE!W528,
  CALC_GOALIES!B:B,
  CALC_GOALIES!K:K)</f>
        <v>4.5881077393388203E-3</v>
      </c>
      <c r="L528" s="6">
        <f>_xlfn.XLOOKUP(C528,CALC_TEAMS_SEASON!B:B,CALC_TEAMS_SEASON!L:L)</f>
        <v>0.62437675070027965</v>
      </c>
      <c r="M528">
        <f>IF(CALC_GAMES_BASE!Z528="RS",1,1.2)</f>
        <v>1</v>
      </c>
      <c r="N528">
        <f xml:space="preserve"> CALC_GAMES_BASE!Y528</f>
        <v>1</v>
      </c>
    </row>
    <row r="529" spans="1:14" x14ac:dyDescent="0.25">
      <c r="A529" t="str">
        <f>CALC_GAMES_BASE!A529</f>
        <v>25/26</v>
      </c>
      <c r="B529" s="3">
        <f>CALC_GAMES_BASE!B529</f>
        <v>46028</v>
      </c>
      <c r="C529" s="3" t="str">
        <f>CALC_GAMES_BASE!C529</f>
        <v>SPA</v>
      </c>
      <c r="D529" s="3" t="str">
        <f>CALC_GAMES_BASE!D529</f>
        <v>PCE</v>
      </c>
      <c r="E529" s="7">
        <f>CALC_GAMES_BASE!E529</f>
        <v>1</v>
      </c>
      <c r="F529" s="6">
        <f>CALC_GAMES_BASE!N529</f>
        <v>0.91999999999999993</v>
      </c>
      <c r="G529" s="7">
        <f>CALC_GAMES_BASE!K529</f>
        <v>-2</v>
      </c>
      <c r="H529" s="7">
        <f t="shared" si="8"/>
        <v>1</v>
      </c>
      <c r="I529" s="6">
        <f>IF(H529=1,
  F529,
  G529*PARAMETRY!$B$11)</f>
        <v>0.91999999999999993</v>
      </c>
      <c r="J529" s="6">
        <f>CALC_GAMES_BASE!U529-CALC_GAMES_BASE!V529</f>
        <v>1.7628205128205121E-2</v>
      </c>
      <c r="K529" s="6">
        <f>_xlfn.XLOOKUP(CALC_GAMES_BASE!W529,
  CALC_GOALIES!B:B,
  CALC_GOALIES!K:K)</f>
        <v>3.5919237922225067E-3</v>
      </c>
      <c r="L529" s="6">
        <f>_xlfn.XLOOKUP(C529,CALC_TEAMS_SEASON!B:B,CALC_TEAMS_SEASON!L:L)</f>
        <v>6.4376750700279955E-2</v>
      </c>
      <c r="M529">
        <f>IF(CALC_GAMES_BASE!Z529="RS",1,1.2)</f>
        <v>1</v>
      </c>
      <c r="N529">
        <f xml:space="preserve"> CALC_GAMES_BASE!Y529</f>
        <v>0</v>
      </c>
    </row>
    <row r="530" spans="1:14" x14ac:dyDescent="0.25">
      <c r="A530" t="str">
        <f>CALC_GAMES_BASE!A530</f>
        <v>25/26</v>
      </c>
      <c r="B530" s="3">
        <f>CALC_GAMES_BASE!B530</f>
        <v>46028</v>
      </c>
      <c r="C530" s="3" t="str">
        <f>CALC_GAMES_BASE!C530</f>
        <v>KOM</v>
      </c>
      <c r="D530" s="3" t="str">
        <f>CALC_GAMES_BASE!D530</f>
        <v>OLO</v>
      </c>
      <c r="E530" s="7">
        <f>CALC_GAMES_BASE!E530</f>
        <v>0</v>
      </c>
      <c r="F530" s="6">
        <f>CALC_GAMES_BASE!N530</f>
        <v>-0.20000000000000018</v>
      </c>
      <c r="G530" s="7">
        <f>CALC_GAMES_BASE!K530</f>
        <v>12</v>
      </c>
      <c r="H530" s="7">
        <f t="shared" si="8"/>
        <v>1</v>
      </c>
      <c r="I530" s="6">
        <f>IF(H530=1,
  F530,
  G530*PARAMETRY!$B$11)</f>
        <v>-0.20000000000000018</v>
      </c>
      <c r="J530" s="6">
        <f>CALC_GAMES_BASE!U530-CALC_GAMES_BASE!V530</f>
        <v>-6.3034188034188365E-3</v>
      </c>
      <c r="K530" s="6">
        <f>_xlfn.XLOOKUP(CALC_GAMES_BASE!W530,
  CALC_GOALIES!B:B,
  CALC_GOALIES!K:K)</f>
        <v>-1.5147095063735572E-3</v>
      </c>
      <c r="L530" s="6">
        <f>_xlfn.XLOOKUP(C530,CALC_TEAMS_SEASON!B:B,CALC_TEAMS_SEASON!L:L)</f>
        <v>-0.37268207282913179</v>
      </c>
      <c r="M530">
        <f>IF(CALC_GAMES_BASE!Z530="RS",1,1.2)</f>
        <v>1</v>
      </c>
      <c r="N530">
        <f xml:space="preserve"> CALC_GAMES_BASE!Y530</f>
        <v>0</v>
      </c>
    </row>
    <row r="531" spans="1:14" x14ac:dyDescent="0.25">
      <c r="A531" t="str">
        <f>CALC_GAMES_BASE!A531</f>
        <v>25/26</v>
      </c>
      <c r="B531" s="3">
        <f>CALC_GAMES_BASE!B531</f>
        <v>46028</v>
      </c>
      <c r="C531" s="3" t="str">
        <f>CALC_GAMES_BASE!C531</f>
        <v>KLA</v>
      </c>
      <c r="D531" s="3" t="str">
        <f>CALC_GAMES_BASE!D531</f>
        <v>LIT</v>
      </c>
      <c r="E531" s="7">
        <f>CALC_GAMES_BASE!E531</f>
        <v>0</v>
      </c>
      <c r="F531" s="6" t="str">
        <f>CALC_GAMES_BASE!N531</f>
        <v/>
      </c>
      <c r="G531" s="7">
        <f>CALC_GAMES_BASE!K531</f>
        <v>5</v>
      </c>
      <c r="H531" s="7">
        <f t="shared" si="8"/>
        <v>0</v>
      </c>
      <c r="I531" s="6">
        <f>IF(H531=1,
  F531,
  G531*PARAMETRY!$B$11)</f>
        <v>0.25</v>
      </c>
      <c r="J531" s="6">
        <f>CALC_GAMES_BASE!U531-CALC_GAMES_BASE!V531</f>
        <v>3.0311355311355301E-2</v>
      </c>
      <c r="K531" s="6">
        <f>_xlfn.XLOOKUP(CALC_GAMES_BASE!W531,
  CALC_GOALIES!B:B,
  CALC_GOALIES!K:K)</f>
        <v>1.2463190300688209E-2</v>
      </c>
      <c r="L531" s="6">
        <f>_xlfn.XLOOKUP(C531,CALC_TEAMS_SEASON!B:B,CALC_TEAMS_SEASON!L:L)</f>
        <v>-0.19819677871148478</v>
      </c>
      <c r="M531">
        <f>IF(CALC_GAMES_BASE!Z531="RS",1,1.2)</f>
        <v>1</v>
      </c>
      <c r="N531">
        <f xml:space="preserve"> CALC_GAMES_BASE!Y531</f>
        <v>0</v>
      </c>
    </row>
    <row r="532" spans="1:14" x14ac:dyDescent="0.25">
      <c r="A532" t="str">
        <f>CALC_GAMES_BASE!A532</f>
        <v>25/26</v>
      </c>
      <c r="B532" s="3">
        <f>CALC_GAMES_BASE!B532</f>
        <v>46028</v>
      </c>
      <c r="C532" s="3" t="str">
        <f>CALC_GAMES_BASE!C532</f>
        <v>LIT</v>
      </c>
      <c r="D532" s="3" t="str">
        <f>CALC_GAMES_BASE!D532</f>
        <v>KLA</v>
      </c>
      <c r="E532" s="7">
        <f>CALC_GAMES_BASE!E532</f>
        <v>1</v>
      </c>
      <c r="F532" s="6" t="str">
        <f>CALC_GAMES_BASE!N532</f>
        <v/>
      </c>
      <c r="G532" s="7">
        <f>CALC_GAMES_BASE!K532</f>
        <v>-5</v>
      </c>
      <c r="H532" s="7">
        <f t="shared" si="8"/>
        <v>0</v>
      </c>
      <c r="I532" s="6">
        <f>IF(H532=1,
  F532,
  G532*PARAMETRY!$B$11)</f>
        <v>-0.25</v>
      </c>
      <c r="J532" s="6">
        <f>CALC_GAMES_BASE!U532-CALC_GAMES_BASE!V532</f>
        <v>-3.0311355311355301E-2</v>
      </c>
      <c r="K532" s="6">
        <f>_xlfn.XLOOKUP(CALC_GAMES_BASE!W532,
  CALC_GOALIES!B:B,
  CALC_GOALIES!K:K)</f>
        <v>-8.1125178551773036E-3</v>
      </c>
      <c r="L532" s="6">
        <f>_xlfn.XLOOKUP(C532,CALC_TEAMS_SEASON!B:B,CALC_TEAMS_SEASON!L:L)</f>
        <v>-1.4784467787114848</v>
      </c>
      <c r="M532">
        <f>IF(CALC_GAMES_BASE!Z532="RS",1,1.2)</f>
        <v>1</v>
      </c>
      <c r="N532">
        <f xml:space="preserve"> CALC_GAMES_BASE!Y532</f>
        <v>1</v>
      </c>
    </row>
    <row r="533" spans="1:14" x14ac:dyDescent="0.25">
      <c r="A533" t="str">
        <f>CALC_GAMES_BASE!A533</f>
        <v>25/26</v>
      </c>
      <c r="B533" s="3">
        <f>CALC_GAMES_BASE!B533</f>
        <v>46028</v>
      </c>
      <c r="C533" s="3" t="str">
        <f>CALC_GAMES_BASE!C533</f>
        <v>OLO</v>
      </c>
      <c r="D533" s="3" t="str">
        <f>CALC_GAMES_BASE!D533</f>
        <v>KOM</v>
      </c>
      <c r="E533" s="7">
        <f>CALC_GAMES_BASE!E533</f>
        <v>1</v>
      </c>
      <c r="F533" s="6">
        <f>CALC_GAMES_BASE!N533</f>
        <v>0.20000000000000018</v>
      </c>
      <c r="G533" s="7">
        <f>CALC_GAMES_BASE!K533</f>
        <v>-12</v>
      </c>
      <c r="H533" s="7">
        <f t="shared" si="8"/>
        <v>1</v>
      </c>
      <c r="I533" s="6">
        <f>IF(H533=1,
  F533,
  G533*PARAMETRY!$B$11)</f>
        <v>0.20000000000000018</v>
      </c>
      <c r="J533" s="6">
        <f>CALC_GAMES_BASE!U533-CALC_GAMES_BASE!V533</f>
        <v>6.3034188034188365E-3</v>
      </c>
      <c r="K533" s="6">
        <f>_xlfn.XLOOKUP(CALC_GAMES_BASE!W533,
  CALC_GOALIES!B:B,
  CALC_GOALIES!K:K)</f>
        <v>-2.0326878807700233E-2</v>
      </c>
      <c r="L533" s="6">
        <f>_xlfn.XLOOKUP(C533,CALC_TEAMS_SEASON!B:B,CALC_TEAMS_SEASON!L:L)</f>
        <v>-1.0613217787114846</v>
      </c>
      <c r="M533">
        <f>IF(CALC_GAMES_BASE!Z533="RS",1,1.2)</f>
        <v>1</v>
      </c>
      <c r="N533">
        <f xml:space="preserve"> CALC_GAMES_BASE!Y533</f>
        <v>1</v>
      </c>
    </row>
    <row r="534" spans="1:14" x14ac:dyDescent="0.25">
      <c r="A534" t="str">
        <f>CALC_GAMES_BASE!A534</f>
        <v>25/26</v>
      </c>
      <c r="B534" s="3">
        <f>CALC_GAMES_BASE!B534</f>
        <v>46028</v>
      </c>
      <c r="C534" s="3" t="str">
        <f>CALC_GAMES_BASE!C534</f>
        <v>PLZ</v>
      </c>
      <c r="D534" s="3" t="str">
        <f>CALC_GAMES_BASE!D534</f>
        <v>VIT</v>
      </c>
      <c r="E534" s="7">
        <f>CALC_GAMES_BASE!E534</f>
        <v>0</v>
      </c>
      <c r="F534" s="6" t="str">
        <f>CALC_GAMES_BASE!N534</f>
        <v/>
      </c>
      <c r="G534" s="7">
        <f>CALC_GAMES_BASE!K534</f>
        <v>8</v>
      </c>
      <c r="H534" s="7">
        <f t="shared" si="8"/>
        <v>0</v>
      </c>
      <c r="I534" s="6">
        <f>IF(H534=1,
  F534,
  G534*PARAMETRY!$B$11)</f>
        <v>0.4</v>
      </c>
      <c r="J534" s="6">
        <f>CALC_GAMES_BASE!U534-CALC_GAMES_BASE!V534</f>
        <v>6.5628815628814841E-3</v>
      </c>
      <c r="K534" s="6">
        <f>_xlfn.XLOOKUP(CALC_GAMES_BASE!W534,
  CALC_GOALIES!B:B,
  CALC_GOALIES!K:K)</f>
        <v>-1.4856765927271365E-3</v>
      </c>
      <c r="L534" s="6">
        <f>_xlfn.XLOOKUP(C534,CALC_TEAMS_SEASON!B:B,CALC_TEAMS_SEASON!L:L)</f>
        <v>7.3678221288515283E-2</v>
      </c>
      <c r="M534">
        <f>IF(CALC_GAMES_BASE!Z534="RS",1,1.2)</f>
        <v>1</v>
      </c>
      <c r="N534">
        <f xml:space="preserve"> CALC_GAMES_BASE!Y534</f>
        <v>1</v>
      </c>
    </row>
    <row r="535" spans="1:14" x14ac:dyDescent="0.25">
      <c r="A535" t="str">
        <f>CALC_GAMES_BASE!A535</f>
        <v>25/26</v>
      </c>
      <c r="B535" s="3">
        <f>CALC_GAMES_BASE!B535</f>
        <v>46028</v>
      </c>
      <c r="C535" s="3" t="str">
        <f>CALC_GAMES_BASE!C535</f>
        <v>VIT</v>
      </c>
      <c r="D535" s="3" t="str">
        <f>CALC_GAMES_BASE!D535</f>
        <v>PLZ</v>
      </c>
      <c r="E535" s="7">
        <f>CALC_GAMES_BASE!E535</f>
        <v>1</v>
      </c>
      <c r="F535" s="6" t="str">
        <f>CALC_GAMES_BASE!N535</f>
        <v/>
      </c>
      <c r="G535" s="7">
        <f>CALC_GAMES_BASE!K535</f>
        <v>-8</v>
      </c>
      <c r="H535" s="7">
        <f t="shared" si="8"/>
        <v>0</v>
      </c>
      <c r="I535" s="6">
        <f>IF(H535=1,
  F535,
  G535*PARAMETRY!$B$11)</f>
        <v>-0.4</v>
      </c>
      <c r="J535" s="6">
        <f>CALC_GAMES_BASE!U535-CALC_GAMES_BASE!V535</f>
        <v>-6.5628815628814841E-3</v>
      </c>
      <c r="K535" s="6">
        <f>_xlfn.XLOOKUP(CALC_GAMES_BASE!W535,
  CALC_GOALIES!B:B,
  CALC_GOALIES!K:K)</f>
        <v>1.905487900993541E-3</v>
      </c>
      <c r="L535" s="6">
        <f>_xlfn.XLOOKUP(C535,CALC_TEAMS_SEASON!B:B,CALC_TEAMS_SEASON!L:L)</f>
        <v>-1.0281967787114845</v>
      </c>
      <c r="M535">
        <f>IF(CALC_GAMES_BASE!Z535="RS",1,1.2)</f>
        <v>1</v>
      </c>
      <c r="N535">
        <f xml:space="preserve"> CALC_GAMES_BASE!Y535</f>
        <v>0</v>
      </c>
    </row>
    <row r="536" spans="1:14" x14ac:dyDescent="0.25">
      <c r="A536" t="str">
        <f>CALC_GAMES_BASE!A536</f>
        <v>25/26</v>
      </c>
      <c r="B536" s="3">
        <f>CALC_GAMES_BASE!B536</f>
        <v>46029</v>
      </c>
      <c r="C536" s="3" t="str">
        <f>CALC_GAMES_BASE!C536</f>
        <v>TRI</v>
      </c>
      <c r="D536" s="3" t="str">
        <f>CALC_GAMES_BASE!D536</f>
        <v>KVA</v>
      </c>
      <c r="E536" s="7">
        <f>CALC_GAMES_BASE!E536</f>
        <v>1</v>
      </c>
      <c r="F536" s="6">
        <f>CALC_GAMES_BASE!N536</f>
        <v>9.9999999999997868E-3</v>
      </c>
      <c r="G536" s="7">
        <f>CALC_GAMES_BASE!K536</f>
        <v>4</v>
      </c>
      <c r="H536" s="7">
        <f t="shared" si="8"/>
        <v>1</v>
      </c>
      <c r="I536" s="6">
        <f>IF(H536=1,
  F536,
  G536*PARAMETRY!$B$11)</f>
        <v>9.9999999999997868E-3</v>
      </c>
      <c r="J536" s="6">
        <f>CALC_GAMES_BASE!U536-CALC_GAMES_BASE!V536</f>
        <v>5.0366300366302963E-4</v>
      </c>
      <c r="K536" s="6">
        <f>_xlfn.XLOOKUP(CALC_GAMES_BASE!W536,
  CALC_GOALIES!B:B,
  CALC_GOALIES!K:K)</f>
        <v>1.3707542055988897E-2</v>
      </c>
      <c r="L536" s="6">
        <f>_xlfn.XLOOKUP(C536,CALC_TEAMS_SEASON!B:B,CALC_TEAMS_SEASON!L:L)</f>
        <v>0.10805322128851533</v>
      </c>
      <c r="M536">
        <f>IF(CALC_GAMES_BASE!Z536="RS",1,1.2)</f>
        <v>1</v>
      </c>
      <c r="N536">
        <f xml:space="preserve"> CALC_GAMES_BASE!Y536</f>
        <v>1</v>
      </c>
    </row>
    <row r="537" spans="1:14" x14ac:dyDescent="0.25">
      <c r="A537" t="str">
        <f>CALC_GAMES_BASE!A537</f>
        <v>25/26</v>
      </c>
      <c r="B537" s="3">
        <f>CALC_GAMES_BASE!B537</f>
        <v>46029</v>
      </c>
      <c r="C537" s="3" t="str">
        <f>CALC_GAMES_BASE!C537</f>
        <v>KVA</v>
      </c>
      <c r="D537" s="3" t="str">
        <f>CALC_GAMES_BASE!D537</f>
        <v>TRI</v>
      </c>
      <c r="E537" s="7">
        <f>CALC_GAMES_BASE!E537</f>
        <v>0</v>
      </c>
      <c r="F537" s="6">
        <f>CALC_GAMES_BASE!N537</f>
        <v>-9.9999999999997868E-3</v>
      </c>
      <c r="G537" s="7">
        <f>CALC_GAMES_BASE!K537</f>
        <v>-4</v>
      </c>
      <c r="H537" s="7">
        <f t="shared" si="8"/>
        <v>1</v>
      </c>
      <c r="I537" s="6">
        <f>IF(H537=1,
  F537,
  G537*PARAMETRY!$B$11)</f>
        <v>-9.9999999999997868E-3</v>
      </c>
      <c r="J537" s="6">
        <f>CALC_GAMES_BASE!U537-CALC_GAMES_BASE!V537</f>
        <v>-5.0366300366302963E-4</v>
      </c>
      <c r="K537" s="6">
        <f>_xlfn.XLOOKUP(CALC_GAMES_BASE!W537,
  CALC_GOALIES!B:B,
  CALC_GOALIES!K:K)</f>
        <v>1.2242809776983998E-2</v>
      </c>
      <c r="L537" s="6">
        <f>_xlfn.XLOOKUP(C537,CALC_TEAMS_SEASON!B:B,CALC_TEAMS_SEASON!L:L)</f>
        <v>-0.28757177871148476</v>
      </c>
      <c r="M537">
        <f>IF(CALC_GAMES_BASE!Z537="RS",1,1.2)</f>
        <v>1</v>
      </c>
      <c r="N537">
        <f xml:space="preserve"> CALC_GAMES_BASE!Y537</f>
        <v>0</v>
      </c>
    </row>
    <row r="538" spans="1:14" x14ac:dyDescent="0.25">
      <c r="A538" t="str">
        <f>CALC_GAMES_BASE!A538</f>
        <v>25/26</v>
      </c>
      <c r="B538" s="3">
        <f>CALC_GAMES_BASE!B538</f>
        <v>46031</v>
      </c>
      <c r="C538" s="3" t="str">
        <f>CALC_GAMES_BASE!C538</f>
        <v>PCE</v>
      </c>
      <c r="D538" s="3" t="str">
        <f>CALC_GAMES_BASE!D538</f>
        <v>MHK</v>
      </c>
      <c r="E538" s="7">
        <f>CALC_GAMES_BASE!E538</f>
        <v>0</v>
      </c>
      <c r="F538" s="6">
        <f>CALC_GAMES_BASE!N538</f>
        <v>0.85999999999999988</v>
      </c>
      <c r="G538" s="7">
        <f>CALC_GAMES_BASE!K538</f>
        <v>-5</v>
      </c>
      <c r="H538" s="7">
        <f t="shared" si="8"/>
        <v>1</v>
      </c>
      <c r="I538" s="6">
        <f>IF(H538=1,
  F538,
  G538*PARAMETRY!$B$11)</f>
        <v>0.85999999999999988</v>
      </c>
      <c r="J538" s="6">
        <f>CALC_GAMES_BASE!U538-CALC_GAMES_BASE!V538</f>
        <v>6.1126373626373659E-2</v>
      </c>
      <c r="K538" s="6">
        <f>_xlfn.XLOOKUP(CALC_GAMES_BASE!W538,
  CALC_GOALIES!B:B,
  CALC_GOALIES!K:K)</f>
        <v>4.5881077393388203E-3</v>
      </c>
      <c r="L538" s="6">
        <f>_xlfn.XLOOKUP(C538,CALC_TEAMS_SEASON!B:B,CALC_TEAMS_SEASON!L:L)</f>
        <v>0.62437675070027965</v>
      </c>
      <c r="M538">
        <f>IF(CALC_GAMES_BASE!Z538="RS",1,1.2)</f>
        <v>1</v>
      </c>
      <c r="N538">
        <f xml:space="preserve"> CALC_GAMES_BASE!Y538</f>
        <v>0</v>
      </c>
    </row>
    <row r="539" spans="1:14" x14ac:dyDescent="0.25">
      <c r="A539" t="str">
        <f>CALC_GAMES_BASE!A539</f>
        <v>25/26</v>
      </c>
      <c r="B539" s="3">
        <f>CALC_GAMES_BASE!B539</f>
        <v>46031</v>
      </c>
      <c r="C539" s="3" t="str">
        <f>CALC_GAMES_BASE!C539</f>
        <v>TRI</v>
      </c>
      <c r="D539" s="3" t="str">
        <f>CALC_GAMES_BASE!D539</f>
        <v>OLO</v>
      </c>
      <c r="E539" s="7">
        <f>CALC_GAMES_BASE!E539</f>
        <v>0</v>
      </c>
      <c r="F539" s="6">
        <f>CALC_GAMES_BASE!N539</f>
        <v>-0.72999999999999976</v>
      </c>
      <c r="G539" s="7">
        <f>CALC_GAMES_BASE!K539</f>
        <v>-5</v>
      </c>
      <c r="H539" s="7">
        <f t="shared" si="8"/>
        <v>1</v>
      </c>
      <c r="I539" s="6">
        <f>IF(H539=1,
  F539,
  G539*PARAMETRY!$B$11)</f>
        <v>-0.72999999999999976</v>
      </c>
      <c r="J539" s="6">
        <f>CALC_GAMES_BASE!U539-CALC_GAMES_BASE!V539</f>
        <v>2.4481074481074505E-2</v>
      </c>
      <c r="K539" s="6">
        <f>_xlfn.XLOOKUP(CALC_GAMES_BASE!W539,
  CALC_GOALIES!B:B,
  CALC_GOALIES!K:K)</f>
        <v>1.3707542055988897E-2</v>
      </c>
      <c r="L539" s="6">
        <f>_xlfn.XLOOKUP(C539,CALC_TEAMS_SEASON!B:B,CALC_TEAMS_SEASON!L:L)</f>
        <v>0.10805322128851533</v>
      </c>
      <c r="M539">
        <f>IF(CALC_GAMES_BASE!Z539="RS",1,1.2)</f>
        <v>1</v>
      </c>
      <c r="N539">
        <f xml:space="preserve"> CALC_GAMES_BASE!Y539</f>
        <v>0</v>
      </c>
    </row>
    <row r="540" spans="1:14" x14ac:dyDescent="0.25">
      <c r="A540" t="str">
        <f>CALC_GAMES_BASE!A540</f>
        <v>25/26</v>
      </c>
      <c r="B540" s="3">
        <f>CALC_GAMES_BASE!B540</f>
        <v>46031</v>
      </c>
      <c r="C540" s="3" t="str">
        <f>CALC_GAMES_BASE!C540</f>
        <v>KOM</v>
      </c>
      <c r="D540" s="3" t="str">
        <f>CALC_GAMES_BASE!D540</f>
        <v>LIT</v>
      </c>
      <c r="E540" s="7">
        <f>CALC_GAMES_BASE!E540</f>
        <v>1</v>
      </c>
      <c r="F540" s="6">
        <f>CALC_GAMES_BASE!N540</f>
        <v>2.33</v>
      </c>
      <c r="G540" s="7">
        <f>CALC_GAMES_BASE!K540</f>
        <v>19</v>
      </c>
      <c r="H540" s="7">
        <f t="shared" si="8"/>
        <v>1</v>
      </c>
      <c r="I540" s="6">
        <f>IF(H540=1,
  F540,
  G540*PARAMETRY!$B$11)</f>
        <v>2.33</v>
      </c>
      <c r="J540" s="6">
        <f>CALC_GAMES_BASE!U540-CALC_GAMES_BASE!V540</f>
        <v>4.2696886446886448E-2</v>
      </c>
      <c r="K540" s="6">
        <f>_xlfn.XLOOKUP(CALC_GAMES_BASE!W540,
  CALC_GOALIES!B:B,
  CALC_GOALIES!K:K)</f>
        <v>-1.5147095063735572E-3</v>
      </c>
      <c r="L540" s="6">
        <f>_xlfn.XLOOKUP(C540,CALC_TEAMS_SEASON!B:B,CALC_TEAMS_SEASON!L:L)</f>
        <v>-0.37268207282913179</v>
      </c>
      <c r="M540">
        <f>IF(CALC_GAMES_BASE!Z540="RS",1,1.2)</f>
        <v>1</v>
      </c>
      <c r="N540">
        <f xml:space="preserve"> CALC_GAMES_BASE!Y540</f>
        <v>1</v>
      </c>
    </row>
    <row r="541" spans="1:14" x14ac:dyDescent="0.25">
      <c r="A541" t="str">
        <f>CALC_GAMES_BASE!A541</f>
        <v>25/26</v>
      </c>
      <c r="B541" s="3">
        <f>CALC_GAMES_BASE!B541</f>
        <v>46031</v>
      </c>
      <c r="C541" s="3" t="str">
        <f>CALC_GAMES_BASE!C541</f>
        <v>KLA</v>
      </c>
      <c r="D541" s="3" t="str">
        <f>CALC_GAMES_BASE!D541</f>
        <v>MBL</v>
      </c>
      <c r="E541" s="7">
        <f>CALC_GAMES_BASE!E541</f>
        <v>0</v>
      </c>
      <c r="F541" s="6" t="str">
        <f>CALC_GAMES_BASE!N541</f>
        <v/>
      </c>
      <c r="G541" s="7">
        <f>CALC_GAMES_BASE!K541</f>
        <v>-2</v>
      </c>
      <c r="H541" s="7">
        <f t="shared" si="8"/>
        <v>0</v>
      </c>
      <c r="I541" s="6">
        <f>IF(H541=1,
  F541,
  G541*PARAMETRY!$B$11)</f>
        <v>-0.1</v>
      </c>
      <c r="J541" s="6">
        <f>CALC_GAMES_BASE!U541-CALC_GAMES_BASE!V541</f>
        <v>1.2934981684981653E-2</v>
      </c>
      <c r="K541" s="6">
        <f>_xlfn.XLOOKUP(CALC_GAMES_BASE!W541,
  CALC_GOALIES!B:B,
  CALC_GOALIES!K:K)</f>
        <v>1.2463190300688209E-2</v>
      </c>
      <c r="L541" s="6">
        <f>_xlfn.XLOOKUP(C541,CALC_TEAMS_SEASON!B:B,CALC_TEAMS_SEASON!L:L)</f>
        <v>-0.19819677871148478</v>
      </c>
      <c r="M541">
        <f>IF(CALC_GAMES_BASE!Z541="RS",1,1.2)</f>
        <v>1</v>
      </c>
      <c r="N541">
        <f xml:space="preserve"> CALC_GAMES_BASE!Y541</f>
        <v>1</v>
      </c>
    </row>
    <row r="542" spans="1:14" x14ac:dyDescent="0.25">
      <c r="A542" t="str">
        <f>CALC_GAMES_BASE!A542</f>
        <v>25/26</v>
      </c>
      <c r="B542" s="3">
        <f>CALC_GAMES_BASE!B542</f>
        <v>46031</v>
      </c>
      <c r="C542" s="3" t="str">
        <f>CALC_GAMES_BASE!C542</f>
        <v>KVA</v>
      </c>
      <c r="D542" s="3" t="str">
        <f>CALC_GAMES_BASE!D542</f>
        <v>VIT</v>
      </c>
      <c r="E542" s="7">
        <f>CALC_GAMES_BASE!E542</f>
        <v>0</v>
      </c>
      <c r="F542" s="6" t="str">
        <f>CALC_GAMES_BASE!N542</f>
        <v/>
      </c>
      <c r="G542" s="7">
        <f>CALC_GAMES_BASE!K542</f>
        <v>-3</v>
      </c>
      <c r="H542" s="7">
        <f t="shared" si="8"/>
        <v>0</v>
      </c>
      <c r="I542" s="6">
        <f>IF(H542=1,
  F542,
  G542*PARAMETRY!$B$11)</f>
        <v>-0.15000000000000002</v>
      </c>
      <c r="J542" s="6">
        <f>CALC_GAMES_BASE!U542-CALC_GAMES_BASE!V542</f>
        <v>4.0216727716727574E-3</v>
      </c>
      <c r="K542" s="6">
        <f>_xlfn.XLOOKUP(CALC_GAMES_BASE!W542,
  CALC_GOALIES!B:B,
  CALC_GOALIES!K:K)</f>
        <v>-2.2629454281007488E-2</v>
      </c>
      <c r="L542" s="6">
        <f>_xlfn.XLOOKUP(C542,CALC_TEAMS_SEASON!B:B,CALC_TEAMS_SEASON!L:L)</f>
        <v>-0.28757177871148476</v>
      </c>
      <c r="M542">
        <f>IF(CALC_GAMES_BASE!Z542="RS",1,1.2)</f>
        <v>1</v>
      </c>
      <c r="N542">
        <f xml:space="preserve"> CALC_GAMES_BASE!Y542</f>
        <v>1</v>
      </c>
    </row>
    <row r="543" spans="1:14" x14ac:dyDescent="0.25">
      <c r="A543" t="str">
        <f>CALC_GAMES_BASE!A543</f>
        <v>25/26</v>
      </c>
      <c r="B543" s="3">
        <f>CALC_GAMES_BASE!B543</f>
        <v>46031</v>
      </c>
      <c r="C543" s="3" t="str">
        <f>CALC_GAMES_BASE!C543</f>
        <v>LIB</v>
      </c>
      <c r="D543" s="3" t="str">
        <f>CALC_GAMES_BASE!D543</f>
        <v>PLZ</v>
      </c>
      <c r="E543" s="7">
        <f>CALC_GAMES_BASE!E543</f>
        <v>1</v>
      </c>
      <c r="F543" s="6" t="str">
        <f>CALC_GAMES_BASE!N543</f>
        <v/>
      </c>
      <c r="G543" s="7">
        <f>CALC_GAMES_BASE!K543</f>
        <v>2</v>
      </c>
      <c r="H543" s="7">
        <f t="shared" si="8"/>
        <v>0</v>
      </c>
      <c r="I543" s="6">
        <f>IF(H543=1,
  F543,
  G543*PARAMETRY!$B$11)</f>
        <v>0.1</v>
      </c>
      <c r="J543" s="6">
        <f>CALC_GAMES_BASE!U543-CALC_GAMES_BASE!V543</f>
        <v>-3.2638888888888828E-2</v>
      </c>
      <c r="K543" s="6">
        <f>_xlfn.XLOOKUP(CALC_GAMES_BASE!W543,
  CALC_GOALIES!B:B,
  CALC_GOALIES!K:K)</f>
        <v>1.2275709048813366E-2</v>
      </c>
      <c r="L543" s="6">
        <f>_xlfn.XLOOKUP(C543,CALC_TEAMS_SEASON!B:B,CALC_TEAMS_SEASON!L:L)</f>
        <v>0.22367822128851536</v>
      </c>
      <c r="M543">
        <f>IF(CALC_GAMES_BASE!Z543="RS",1,1.2)</f>
        <v>1</v>
      </c>
      <c r="N543">
        <f xml:space="preserve"> CALC_GAMES_BASE!Y543</f>
        <v>1</v>
      </c>
    </row>
    <row r="544" spans="1:14" x14ac:dyDescent="0.25">
      <c r="A544" t="str">
        <f>CALC_GAMES_BASE!A544</f>
        <v>25/26</v>
      </c>
      <c r="B544" s="3">
        <f>CALC_GAMES_BASE!B544</f>
        <v>46031</v>
      </c>
      <c r="C544" s="3" t="str">
        <f>CALC_GAMES_BASE!C544</f>
        <v>LIT</v>
      </c>
      <c r="D544" s="3" t="str">
        <f>CALC_GAMES_BASE!D544</f>
        <v>KOM</v>
      </c>
      <c r="E544" s="7">
        <f>CALC_GAMES_BASE!E544</f>
        <v>0</v>
      </c>
      <c r="F544" s="6">
        <f>CALC_GAMES_BASE!N544</f>
        <v>-2.33</v>
      </c>
      <c r="G544" s="7">
        <f>CALC_GAMES_BASE!K544</f>
        <v>-19</v>
      </c>
      <c r="H544" s="7">
        <f t="shared" si="8"/>
        <v>1</v>
      </c>
      <c r="I544" s="6">
        <f>IF(H544=1,
  F544,
  G544*PARAMETRY!$B$11)</f>
        <v>-2.33</v>
      </c>
      <c r="J544" s="6">
        <f>CALC_GAMES_BASE!U544-CALC_GAMES_BASE!V544</f>
        <v>-4.2696886446886448E-2</v>
      </c>
      <c r="K544" s="6">
        <f>_xlfn.XLOOKUP(CALC_GAMES_BASE!W544,
  CALC_GOALIES!B:B,
  CALC_GOALIES!K:K)</f>
        <v>-4.9010888963920696E-3</v>
      </c>
      <c r="L544" s="6">
        <f>_xlfn.XLOOKUP(C544,CALC_TEAMS_SEASON!B:B,CALC_TEAMS_SEASON!L:L)</f>
        <v>-1.4784467787114848</v>
      </c>
      <c r="M544">
        <f>IF(CALC_GAMES_BASE!Z544="RS",1,1.2)</f>
        <v>1</v>
      </c>
      <c r="N544">
        <f xml:space="preserve"> CALC_GAMES_BASE!Y544</f>
        <v>0</v>
      </c>
    </row>
    <row r="545" spans="1:14" x14ac:dyDescent="0.25">
      <c r="A545" t="str">
        <f>CALC_GAMES_BASE!A545</f>
        <v>25/26</v>
      </c>
      <c r="B545" s="3">
        <f>CALC_GAMES_BASE!B545</f>
        <v>46031</v>
      </c>
      <c r="C545" s="3" t="str">
        <f>CALC_GAMES_BASE!C545</f>
        <v>MBL</v>
      </c>
      <c r="D545" s="3" t="str">
        <f>CALC_GAMES_BASE!D545</f>
        <v>KLA</v>
      </c>
      <c r="E545" s="7">
        <f>CALC_GAMES_BASE!E545</f>
        <v>1</v>
      </c>
      <c r="F545" s="6" t="str">
        <f>CALC_GAMES_BASE!N545</f>
        <v/>
      </c>
      <c r="G545" s="7">
        <f>CALC_GAMES_BASE!K545</f>
        <v>2</v>
      </c>
      <c r="H545" s="7">
        <f t="shared" si="8"/>
        <v>0</v>
      </c>
      <c r="I545" s="6">
        <f>IF(H545=1,
  F545,
  G545*PARAMETRY!$B$11)</f>
        <v>0.1</v>
      </c>
      <c r="J545" s="6">
        <f>CALC_GAMES_BASE!U545-CALC_GAMES_BASE!V545</f>
        <v>-1.2934981684981653E-2</v>
      </c>
      <c r="K545" s="6">
        <f>_xlfn.XLOOKUP(CALC_GAMES_BASE!W545,
  CALC_GOALIES!B:B,
  CALC_GOALIES!K:K)</f>
        <v>-4.4670611186142795E-3</v>
      </c>
      <c r="L545" s="6">
        <f>_xlfn.XLOOKUP(C545,CALC_TEAMS_SEASON!B:B,CALC_TEAMS_SEASON!L:L)</f>
        <v>-0.89069677871148467</v>
      </c>
      <c r="M545">
        <f>IF(CALC_GAMES_BASE!Z545="RS",1,1.2)</f>
        <v>1</v>
      </c>
      <c r="N545">
        <f xml:space="preserve"> CALC_GAMES_BASE!Y545</f>
        <v>0</v>
      </c>
    </row>
    <row r="546" spans="1:14" x14ac:dyDescent="0.25">
      <c r="A546" t="str">
        <f>CALC_GAMES_BASE!A546</f>
        <v>25/26</v>
      </c>
      <c r="B546" s="3">
        <f>CALC_GAMES_BASE!B546</f>
        <v>46031</v>
      </c>
      <c r="C546" s="3" t="str">
        <f>CALC_GAMES_BASE!C546</f>
        <v>MHK</v>
      </c>
      <c r="D546" s="3" t="str">
        <f>CALC_GAMES_BASE!D546</f>
        <v>PCE</v>
      </c>
      <c r="E546" s="7">
        <f>CALC_GAMES_BASE!E546</f>
        <v>1</v>
      </c>
      <c r="F546" s="6">
        <f>CALC_GAMES_BASE!N546</f>
        <v>-0.85999999999999988</v>
      </c>
      <c r="G546" s="7">
        <f>CALC_GAMES_BASE!K546</f>
        <v>5</v>
      </c>
      <c r="H546" s="7">
        <f t="shared" si="8"/>
        <v>1</v>
      </c>
      <c r="I546" s="6">
        <f>IF(H546=1,
  F546,
  G546*PARAMETRY!$B$11)</f>
        <v>-0.85999999999999988</v>
      </c>
      <c r="J546" s="6">
        <f>CALC_GAMES_BASE!U546-CALC_GAMES_BASE!V546</f>
        <v>-6.1126373626373659E-2</v>
      </c>
      <c r="K546" s="6">
        <f>_xlfn.XLOOKUP(CALC_GAMES_BASE!W546,
  CALC_GOALIES!B:B,
  CALC_GOALIES!K:K)</f>
        <v>2.1917994590268441E-2</v>
      </c>
      <c r="L546" s="6">
        <f>_xlfn.XLOOKUP(C546,CALC_TEAMS_SEASON!B:B,CALC_TEAMS_SEASON!L:L)</f>
        <v>0.14821988795518207</v>
      </c>
      <c r="M546">
        <f>IF(CALC_GAMES_BASE!Z546="RS",1,1.2)</f>
        <v>1</v>
      </c>
      <c r="N546">
        <f xml:space="preserve"> CALC_GAMES_BASE!Y546</f>
        <v>1</v>
      </c>
    </row>
    <row r="547" spans="1:14" x14ac:dyDescent="0.25">
      <c r="A547" t="str">
        <f>CALC_GAMES_BASE!A547</f>
        <v>25/26</v>
      </c>
      <c r="B547" s="3">
        <f>CALC_GAMES_BASE!B547</f>
        <v>46031</v>
      </c>
      <c r="C547" s="3" t="str">
        <f>CALC_GAMES_BASE!C547</f>
        <v>OLO</v>
      </c>
      <c r="D547" s="3" t="str">
        <f>CALC_GAMES_BASE!D547</f>
        <v>TRI</v>
      </c>
      <c r="E547" s="7">
        <f>CALC_GAMES_BASE!E547</f>
        <v>1</v>
      </c>
      <c r="F547" s="6">
        <f>CALC_GAMES_BASE!N547</f>
        <v>0.72999999999999976</v>
      </c>
      <c r="G547" s="7">
        <f>CALC_GAMES_BASE!K547</f>
        <v>5</v>
      </c>
      <c r="H547" s="7">
        <f t="shared" si="8"/>
        <v>1</v>
      </c>
      <c r="I547" s="6">
        <f>IF(H547=1,
  F547,
  G547*PARAMETRY!$B$11)</f>
        <v>0.72999999999999976</v>
      </c>
      <c r="J547" s="6">
        <f>CALC_GAMES_BASE!U547-CALC_GAMES_BASE!V547</f>
        <v>-2.4481074481074505E-2</v>
      </c>
      <c r="K547" s="6">
        <f>_xlfn.XLOOKUP(CALC_GAMES_BASE!W547,
  CALC_GOALIES!B:B,
  CALC_GOALIES!K:K)</f>
        <v>4.4713327207696052E-3</v>
      </c>
      <c r="L547" s="6">
        <f>_xlfn.XLOOKUP(C547,CALC_TEAMS_SEASON!B:B,CALC_TEAMS_SEASON!L:L)</f>
        <v>-1.0613217787114846</v>
      </c>
      <c r="M547">
        <f>IF(CALC_GAMES_BASE!Z547="RS",1,1.2)</f>
        <v>1</v>
      </c>
      <c r="N547">
        <f xml:space="preserve"> CALC_GAMES_BASE!Y547</f>
        <v>1</v>
      </c>
    </row>
    <row r="548" spans="1:14" x14ac:dyDescent="0.25">
      <c r="A548" t="str">
        <f>CALC_GAMES_BASE!A548</f>
        <v>25/26</v>
      </c>
      <c r="B548" s="3">
        <f>CALC_GAMES_BASE!B548</f>
        <v>46031</v>
      </c>
      <c r="C548" s="3" t="str">
        <f>CALC_GAMES_BASE!C548</f>
        <v>PLZ</v>
      </c>
      <c r="D548" s="3" t="str">
        <f>CALC_GAMES_BASE!D548</f>
        <v>LIB</v>
      </c>
      <c r="E548" s="7">
        <f>CALC_GAMES_BASE!E548</f>
        <v>0</v>
      </c>
      <c r="F548" s="6" t="str">
        <f>CALC_GAMES_BASE!N548</f>
        <v/>
      </c>
      <c r="G548" s="7">
        <f>CALC_GAMES_BASE!K548</f>
        <v>-2</v>
      </c>
      <c r="H548" s="7">
        <f t="shared" si="8"/>
        <v>0</v>
      </c>
      <c r="I548" s="6">
        <f>IF(H548=1,
  F548,
  G548*PARAMETRY!$B$11)</f>
        <v>-0.1</v>
      </c>
      <c r="J548" s="6">
        <f>CALC_GAMES_BASE!U548-CALC_GAMES_BASE!V548</f>
        <v>3.2638888888888828E-2</v>
      </c>
      <c r="K548" s="6">
        <f>_xlfn.XLOOKUP(CALC_GAMES_BASE!W548,
  CALC_GOALIES!B:B,
  CALC_GOALIES!K:K)</f>
        <v>1.7617039556646619E-2</v>
      </c>
      <c r="L548" s="6">
        <f>_xlfn.XLOOKUP(C548,CALC_TEAMS_SEASON!B:B,CALC_TEAMS_SEASON!L:L)</f>
        <v>7.3678221288515283E-2</v>
      </c>
      <c r="M548">
        <f>IF(CALC_GAMES_BASE!Z548="RS",1,1.2)</f>
        <v>1</v>
      </c>
      <c r="N548">
        <f xml:space="preserve"> CALC_GAMES_BASE!Y548</f>
        <v>0</v>
      </c>
    </row>
    <row r="549" spans="1:14" x14ac:dyDescent="0.25">
      <c r="A549" t="str">
        <f>CALC_GAMES_BASE!A549</f>
        <v>25/26</v>
      </c>
      <c r="B549" s="3">
        <f>CALC_GAMES_BASE!B549</f>
        <v>46031</v>
      </c>
      <c r="C549" s="3" t="str">
        <f>CALC_GAMES_BASE!C549</f>
        <v>VIT</v>
      </c>
      <c r="D549" s="3" t="str">
        <f>CALC_GAMES_BASE!D549</f>
        <v>KVA</v>
      </c>
      <c r="E549" s="7">
        <f>CALC_GAMES_BASE!E549</f>
        <v>1</v>
      </c>
      <c r="F549" s="6" t="str">
        <f>CALC_GAMES_BASE!N549</f>
        <v/>
      </c>
      <c r="G549" s="7">
        <f>CALC_GAMES_BASE!K549</f>
        <v>3</v>
      </c>
      <c r="H549" s="7">
        <f t="shared" si="8"/>
        <v>0</v>
      </c>
      <c r="I549" s="6">
        <f>IF(H549=1,
  F549,
  G549*PARAMETRY!$B$11)</f>
        <v>0.15000000000000002</v>
      </c>
      <c r="J549" s="6">
        <f>CALC_GAMES_BASE!U549-CALC_GAMES_BASE!V549</f>
        <v>-4.0216727716727574E-3</v>
      </c>
      <c r="K549" s="6">
        <f>_xlfn.XLOOKUP(CALC_GAMES_BASE!W549,
  CALC_GOALIES!B:B,
  CALC_GOALIES!K:K)</f>
        <v>1.905487900993541E-3</v>
      </c>
      <c r="L549" s="6">
        <f>_xlfn.XLOOKUP(C549,CALC_TEAMS_SEASON!B:B,CALC_TEAMS_SEASON!L:L)</f>
        <v>-1.0281967787114845</v>
      </c>
      <c r="M549">
        <f>IF(CALC_GAMES_BASE!Z549="RS",1,1.2)</f>
        <v>1</v>
      </c>
      <c r="N549">
        <f xml:space="preserve"> CALC_GAMES_BASE!Y549</f>
        <v>0</v>
      </c>
    </row>
    <row r="550" spans="1:14" x14ac:dyDescent="0.25">
      <c r="A550" t="str">
        <f>CALC_GAMES_BASE!A550</f>
        <v>25/26</v>
      </c>
      <c r="B550" s="3">
        <f>CALC_GAMES_BASE!B550</f>
        <v>46033</v>
      </c>
      <c r="C550" s="3" t="str">
        <f>CALC_GAMES_BASE!C550</f>
        <v>PCE</v>
      </c>
      <c r="D550" s="3" t="str">
        <f>CALC_GAMES_BASE!D550</f>
        <v>LIB</v>
      </c>
      <c r="E550" s="7">
        <f>CALC_GAMES_BASE!E550</f>
        <v>1</v>
      </c>
      <c r="F550" s="6">
        <f>CALC_GAMES_BASE!N550</f>
        <v>-1.42</v>
      </c>
      <c r="G550" s="7">
        <f>CALC_GAMES_BASE!K550</f>
        <v>-4</v>
      </c>
      <c r="H550" s="7">
        <f t="shared" si="8"/>
        <v>1</v>
      </c>
      <c r="I550" s="6">
        <f>IF(H550=1,
  F550,
  G550*PARAMETRY!$B$11)</f>
        <v>-1.42</v>
      </c>
      <c r="J550" s="6">
        <f>CALC_GAMES_BASE!U550-CALC_GAMES_BASE!V550</f>
        <v>5.9203296703296743E-2</v>
      </c>
      <c r="K550" s="6">
        <f>_xlfn.XLOOKUP(CALC_GAMES_BASE!W550,
  CALC_GOALIES!B:B,
  CALC_GOALIES!K:K)</f>
        <v>4.5881077393388203E-3</v>
      </c>
      <c r="L550" s="6">
        <f>_xlfn.XLOOKUP(C550,CALC_TEAMS_SEASON!B:B,CALC_TEAMS_SEASON!L:L)</f>
        <v>0.62437675070027965</v>
      </c>
      <c r="M550">
        <f>IF(CALC_GAMES_BASE!Z550="RS",1,1.2)</f>
        <v>1</v>
      </c>
      <c r="N550">
        <f xml:space="preserve"> CALC_GAMES_BASE!Y550</f>
        <v>1</v>
      </c>
    </row>
    <row r="551" spans="1:14" x14ac:dyDescent="0.25">
      <c r="A551" t="str">
        <f>CALC_GAMES_BASE!A551</f>
        <v>25/26</v>
      </c>
      <c r="B551" s="3">
        <f>CALC_GAMES_BASE!B551</f>
        <v>46033</v>
      </c>
      <c r="C551" s="3" t="str">
        <f>CALC_GAMES_BASE!C551</f>
        <v>TRI</v>
      </c>
      <c r="D551" s="3" t="str">
        <f>CALC_GAMES_BASE!D551</f>
        <v>SPA</v>
      </c>
      <c r="E551" s="7">
        <f>CALC_GAMES_BASE!E551</f>
        <v>1</v>
      </c>
      <c r="F551" s="6">
        <f>CALC_GAMES_BASE!N551</f>
        <v>0.41000000000000014</v>
      </c>
      <c r="G551" s="7">
        <f>CALC_GAMES_BASE!K551</f>
        <v>1</v>
      </c>
      <c r="H551" s="7">
        <f t="shared" si="8"/>
        <v>1</v>
      </c>
      <c r="I551" s="6">
        <f>IF(H551=1,
  F551,
  G551*PARAMETRY!$B$11)</f>
        <v>0.41000000000000014</v>
      </c>
      <c r="J551" s="6">
        <f>CALC_GAMES_BASE!U551-CALC_GAMES_BASE!V551</f>
        <v>-4.6230158730158732E-2</v>
      </c>
      <c r="K551" s="6">
        <f>_xlfn.XLOOKUP(CALC_GAMES_BASE!W551,
  CALC_GOALIES!B:B,
  CALC_GOALIES!K:K)</f>
        <v>-1.9657016882340561E-2</v>
      </c>
      <c r="L551" s="6">
        <f>_xlfn.XLOOKUP(C551,CALC_TEAMS_SEASON!B:B,CALC_TEAMS_SEASON!L:L)</f>
        <v>0.10805322128851533</v>
      </c>
      <c r="M551">
        <f>IF(CALC_GAMES_BASE!Z551="RS",1,1.2)</f>
        <v>1</v>
      </c>
      <c r="N551">
        <f xml:space="preserve"> CALC_GAMES_BASE!Y551</f>
        <v>1</v>
      </c>
    </row>
    <row r="552" spans="1:14" x14ac:dyDescent="0.25">
      <c r="A552" t="str">
        <f>CALC_GAMES_BASE!A552</f>
        <v>25/26</v>
      </c>
      <c r="B552" s="3">
        <f>CALC_GAMES_BASE!B552</f>
        <v>46033</v>
      </c>
      <c r="C552" s="3" t="str">
        <f>CALC_GAMES_BASE!C552</f>
        <v>SPA</v>
      </c>
      <c r="D552" s="3" t="str">
        <f>CALC_GAMES_BASE!D552</f>
        <v>TRI</v>
      </c>
      <c r="E552" s="7">
        <f>CALC_GAMES_BASE!E552</f>
        <v>0</v>
      </c>
      <c r="F552" s="6">
        <f>CALC_GAMES_BASE!N552</f>
        <v>-0.41000000000000014</v>
      </c>
      <c r="G552" s="7">
        <f>CALC_GAMES_BASE!K552</f>
        <v>-1</v>
      </c>
      <c r="H552" s="7">
        <f t="shared" si="8"/>
        <v>1</v>
      </c>
      <c r="I552" s="6">
        <f>IF(H552=1,
  F552,
  G552*PARAMETRY!$B$11)</f>
        <v>-0.41000000000000014</v>
      </c>
      <c r="J552" s="6">
        <f>CALC_GAMES_BASE!U552-CALC_GAMES_BASE!V552</f>
        <v>4.6230158730158732E-2</v>
      </c>
      <c r="K552" s="6">
        <f>_xlfn.XLOOKUP(CALC_GAMES_BASE!W552,
  CALC_GOALIES!B:B,
  CALC_GOALIES!K:K)</f>
        <v>3.5919237922225067E-3</v>
      </c>
      <c r="L552" s="6">
        <f>_xlfn.XLOOKUP(C552,CALC_TEAMS_SEASON!B:B,CALC_TEAMS_SEASON!L:L)</f>
        <v>6.4376750700279955E-2</v>
      </c>
      <c r="M552">
        <f>IF(CALC_GAMES_BASE!Z552="RS",1,1.2)</f>
        <v>1</v>
      </c>
      <c r="N552">
        <f xml:space="preserve"> CALC_GAMES_BASE!Y552</f>
        <v>0</v>
      </c>
    </row>
    <row r="553" spans="1:14" x14ac:dyDescent="0.25">
      <c r="A553" t="str">
        <f>CALC_GAMES_BASE!A553</f>
        <v>25/26</v>
      </c>
      <c r="B553" s="3">
        <f>CALC_GAMES_BASE!B553</f>
        <v>46033</v>
      </c>
      <c r="C553" s="3" t="str">
        <f>CALC_GAMES_BASE!C553</f>
        <v>KOM</v>
      </c>
      <c r="D553" s="3" t="str">
        <f>CALC_GAMES_BASE!D553</f>
        <v>MBL</v>
      </c>
      <c r="E553" s="7">
        <f>CALC_GAMES_BASE!E553</f>
        <v>1</v>
      </c>
      <c r="F553" s="6">
        <f>CALC_GAMES_BASE!N553</f>
        <v>0.46000000000000019</v>
      </c>
      <c r="G553" s="7">
        <f>CALC_GAMES_BASE!K553</f>
        <v>10</v>
      </c>
      <c r="H553" s="7">
        <f t="shared" si="8"/>
        <v>1</v>
      </c>
      <c r="I553" s="6">
        <f>IF(H553=1,
  F553,
  G553*PARAMETRY!$B$11)</f>
        <v>0.46000000000000019</v>
      </c>
      <c r="J553" s="6">
        <f>CALC_GAMES_BASE!U553-CALC_GAMES_BASE!V553</f>
        <v>2.53205128205128E-2</v>
      </c>
      <c r="K553" s="6">
        <f>_xlfn.XLOOKUP(CALC_GAMES_BASE!W553,
  CALC_GOALIES!B:B,
  CALC_GOALIES!K:K)</f>
        <v>-1.5147095063735572E-3</v>
      </c>
      <c r="L553" s="6">
        <f>_xlfn.XLOOKUP(C553,CALC_TEAMS_SEASON!B:B,CALC_TEAMS_SEASON!L:L)</f>
        <v>-0.37268207282913179</v>
      </c>
      <c r="M553">
        <f>IF(CALC_GAMES_BASE!Z553="RS",1,1.2)</f>
        <v>1</v>
      </c>
      <c r="N553">
        <f xml:space="preserve"> CALC_GAMES_BASE!Y553</f>
        <v>1</v>
      </c>
    </row>
    <row r="554" spans="1:14" x14ac:dyDescent="0.25">
      <c r="A554" t="str">
        <f>CALC_GAMES_BASE!A554</f>
        <v>25/26</v>
      </c>
      <c r="B554" s="3">
        <f>CALC_GAMES_BASE!B554</f>
        <v>46033</v>
      </c>
      <c r="C554" s="3" t="str">
        <f>CALC_GAMES_BASE!C554</f>
        <v>CEB</v>
      </c>
      <c r="D554" s="3" t="str">
        <f>CALC_GAMES_BASE!D554</f>
        <v>MHK</v>
      </c>
      <c r="E554" s="7">
        <f>CALC_GAMES_BASE!E554</f>
        <v>1</v>
      </c>
      <c r="F554" s="6" t="str">
        <f>CALC_GAMES_BASE!N554</f>
        <v/>
      </c>
      <c r="G554" s="7">
        <f>CALC_GAMES_BASE!K554</f>
        <v>11</v>
      </c>
      <c r="H554" s="7">
        <f t="shared" si="8"/>
        <v>0</v>
      </c>
      <c r="I554" s="6">
        <f>IF(H554=1,
  F554,
  G554*PARAMETRY!$B$11)</f>
        <v>0.55000000000000004</v>
      </c>
      <c r="J554" s="6">
        <f>CALC_GAMES_BASE!U554-CALC_GAMES_BASE!V554</f>
        <v>-1.1636280386280395E-2</v>
      </c>
      <c r="K554" s="6">
        <f>_xlfn.XLOOKUP(CALC_GAMES_BASE!W554,
  CALC_GOALIES!B:B,
  CALC_GOALIES!K:K)</f>
        <v>3.9343341510811314E-3</v>
      </c>
      <c r="L554" s="6">
        <f>_xlfn.XLOOKUP(C554,CALC_TEAMS_SEASON!B:B,CALC_TEAMS_SEASON!L:L)</f>
        <v>-0.24978011204481798</v>
      </c>
      <c r="M554">
        <f>IF(CALC_GAMES_BASE!Z554="RS",1,1.2)</f>
        <v>1</v>
      </c>
      <c r="N554">
        <f xml:space="preserve"> CALC_GAMES_BASE!Y554</f>
        <v>1</v>
      </c>
    </row>
    <row r="555" spans="1:14" x14ac:dyDescent="0.25">
      <c r="A555" t="str">
        <f>CALC_GAMES_BASE!A555</f>
        <v>25/26</v>
      </c>
      <c r="B555" s="3">
        <f>CALC_GAMES_BASE!B555</f>
        <v>46033</v>
      </c>
      <c r="C555" s="3" t="str">
        <f>CALC_GAMES_BASE!C555</f>
        <v>KLA</v>
      </c>
      <c r="D555" s="3" t="str">
        <f>CALC_GAMES_BASE!D555</f>
        <v>VIT</v>
      </c>
      <c r="E555" s="7">
        <f>CALC_GAMES_BASE!E555</f>
        <v>1</v>
      </c>
      <c r="F555" s="6" t="str">
        <f>CALC_GAMES_BASE!N555</f>
        <v/>
      </c>
      <c r="G555" s="7">
        <f>CALC_GAMES_BASE!K555</f>
        <v>19</v>
      </c>
      <c r="H555" s="7">
        <f t="shared" si="8"/>
        <v>0</v>
      </c>
      <c r="I555" s="6">
        <f>IF(H555=1,
  F555,
  G555*PARAMETRY!$B$11)</f>
        <v>0.95000000000000007</v>
      </c>
      <c r="J555" s="6">
        <f>CALC_GAMES_BASE!U555-CALC_GAMES_BASE!V555</f>
        <v>-3.8644688644688702E-2</v>
      </c>
      <c r="K555" s="6">
        <f>_xlfn.XLOOKUP(CALC_GAMES_BASE!W555,
  CALC_GOALIES!B:B,
  CALC_GOALIES!K:K)</f>
        <v>1.2463190300688209E-2</v>
      </c>
      <c r="L555" s="6">
        <f>_xlfn.XLOOKUP(C555,CALC_TEAMS_SEASON!B:B,CALC_TEAMS_SEASON!L:L)</f>
        <v>-0.19819677871148478</v>
      </c>
      <c r="M555">
        <f>IF(CALC_GAMES_BASE!Z555="RS",1,1.2)</f>
        <v>1</v>
      </c>
      <c r="N555">
        <f xml:space="preserve"> CALC_GAMES_BASE!Y555</f>
        <v>1</v>
      </c>
    </row>
    <row r="556" spans="1:14" x14ac:dyDescent="0.25">
      <c r="A556" t="str">
        <f>CALC_GAMES_BASE!A556</f>
        <v>25/26</v>
      </c>
      <c r="B556" s="3">
        <f>CALC_GAMES_BASE!B556</f>
        <v>46033</v>
      </c>
      <c r="C556" s="3" t="str">
        <f>CALC_GAMES_BASE!C556</f>
        <v>KVA</v>
      </c>
      <c r="D556" s="3" t="str">
        <f>CALC_GAMES_BASE!D556</f>
        <v>LIT</v>
      </c>
      <c r="E556" s="7">
        <f>CALC_GAMES_BASE!E556</f>
        <v>1</v>
      </c>
      <c r="F556" s="6" t="str">
        <f>CALC_GAMES_BASE!N556</f>
        <v/>
      </c>
      <c r="G556" s="7">
        <f>CALC_GAMES_BASE!K556</f>
        <v>23</v>
      </c>
      <c r="H556" s="7">
        <f t="shared" si="8"/>
        <v>0</v>
      </c>
      <c r="I556" s="6">
        <f>IF(H556=1,
  F556,
  G556*PARAMETRY!$B$11)</f>
        <v>1.1500000000000001</v>
      </c>
      <c r="J556" s="6">
        <f>CALC_GAMES_BASE!U556-CALC_GAMES_BASE!V556</f>
        <v>7.297771672771676E-2</v>
      </c>
      <c r="K556" s="6">
        <f>_xlfn.XLOOKUP(CALC_GAMES_BASE!W556,
  CALC_GOALIES!B:B,
  CALC_GOALIES!K:K)</f>
        <v>1.2242809776983998E-2</v>
      </c>
      <c r="L556" s="6">
        <f>_xlfn.XLOOKUP(C556,CALC_TEAMS_SEASON!B:B,CALC_TEAMS_SEASON!L:L)</f>
        <v>-0.28757177871148476</v>
      </c>
      <c r="M556">
        <f>IF(CALC_GAMES_BASE!Z556="RS",1,1.2)</f>
        <v>1</v>
      </c>
      <c r="N556">
        <f xml:space="preserve"> CALC_GAMES_BASE!Y556</f>
        <v>0</v>
      </c>
    </row>
    <row r="557" spans="1:14" x14ac:dyDescent="0.25">
      <c r="A557" t="str">
        <f>CALC_GAMES_BASE!A557</f>
        <v>25/26</v>
      </c>
      <c r="B557" s="3">
        <f>CALC_GAMES_BASE!B557</f>
        <v>46033</v>
      </c>
      <c r="C557" s="3" t="str">
        <f>CALC_GAMES_BASE!C557</f>
        <v>LIB</v>
      </c>
      <c r="D557" s="3" t="str">
        <f>CALC_GAMES_BASE!D557</f>
        <v>PCE</v>
      </c>
      <c r="E557" s="7">
        <f>CALC_GAMES_BASE!E557</f>
        <v>0</v>
      </c>
      <c r="F557" s="6">
        <f>CALC_GAMES_BASE!N557</f>
        <v>1.42</v>
      </c>
      <c r="G557" s="7">
        <f>CALC_GAMES_BASE!K557</f>
        <v>4</v>
      </c>
      <c r="H557" s="7">
        <f t="shared" si="8"/>
        <v>1</v>
      </c>
      <c r="I557" s="6">
        <f>IF(H557=1,
  F557,
  G557*PARAMETRY!$B$11)</f>
        <v>1.42</v>
      </c>
      <c r="J557" s="6">
        <f>CALC_GAMES_BASE!U557-CALC_GAMES_BASE!V557</f>
        <v>-5.9203296703296743E-2</v>
      </c>
      <c r="K557" s="6">
        <f>_xlfn.XLOOKUP(CALC_GAMES_BASE!W557,
  CALC_GOALIES!B:B,
  CALC_GOALIES!K:K)</f>
        <v>1.2275709048813366E-2</v>
      </c>
      <c r="L557" s="6">
        <f>_xlfn.XLOOKUP(C557,CALC_TEAMS_SEASON!B:B,CALC_TEAMS_SEASON!L:L)</f>
        <v>0.22367822128851536</v>
      </c>
      <c r="M557">
        <f>IF(CALC_GAMES_BASE!Z557="RS",1,1.2)</f>
        <v>1</v>
      </c>
      <c r="N557">
        <f xml:space="preserve"> CALC_GAMES_BASE!Y557</f>
        <v>0</v>
      </c>
    </row>
    <row r="558" spans="1:14" x14ac:dyDescent="0.25">
      <c r="A558" t="str">
        <f>CALC_GAMES_BASE!A558</f>
        <v>25/26</v>
      </c>
      <c r="B558" s="3">
        <f>CALC_GAMES_BASE!B558</f>
        <v>46033</v>
      </c>
      <c r="C558" s="3" t="str">
        <f>CALC_GAMES_BASE!C558</f>
        <v>LIT</v>
      </c>
      <c r="D558" s="3" t="str">
        <f>CALC_GAMES_BASE!D558</f>
        <v>KVA</v>
      </c>
      <c r="E558" s="7">
        <f>CALC_GAMES_BASE!E558</f>
        <v>0</v>
      </c>
      <c r="F558" s="6" t="str">
        <f>CALC_GAMES_BASE!N558</f>
        <v/>
      </c>
      <c r="G558" s="7">
        <f>CALC_GAMES_BASE!K558</f>
        <v>-23</v>
      </c>
      <c r="H558" s="7">
        <f t="shared" si="8"/>
        <v>0</v>
      </c>
      <c r="I558" s="6">
        <f>IF(H558=1,
  F558,
  G558*PARAMETRY!$B$11)</f>
        <v>-1.1500000000000001</v>
      </c>
      <c r="J558" s="6">
        <f>CALC_GAMES_BASE!U558-CALC_GAMES_BASE!V558</f>
        <v>-7.297771672771676E-2</v>
      </c>
      <c r="K558" s="6">
        <f>_xlfn.XLOOKUP(CALC_GAMES_BASE!W558,
  CALC_GOALIES!B:B,
  CALC_GOALIES!K:K)</f>
        <v>-8.1125178551773036E-3</v>
      </c>
      <c r="L558" s="6">
        <f>_xlfn.XLOOKUP(C558,CALC_TEAMS_SEASON!B:B,CALC_TEAMS_SEASON!L:L)</f>
        <v>-1.4784467787114848</v>
      </c>
      <c r="M558">
        <f>IF(CALC_GAMES_BASE!Z558="RS",1,1.2)</f>
        <v>1</v>
      </c>
      <c r="N558">
        <f xml:space="preserve"> CALC_GAMES_BASE!Y558</f>
        <v>1</v>
      </c>
    </row>
    <row r="559" spans="1:14" x14ac:dyDescent="0.25">
      <c r="A559" t="str">
        <f>CALC_GAMES_BASE!A559</f>
        <v>25/26</v>
      </c>
      <c r="B559" s="3">
        <f>CALC_GAMES_BASE!B559</f>
        <v>46033</v>
      </c>
      <c r="C559" s="3" t="str">
        <f>CALC_GAMES_BASE!C559</f>
        <v>MBL</v>
      </c>
      <c r="D559" s="3" t="str">
        <f>CALC_GAMES_BASE!D559</f>
        <v>KOM</v>
      </c>
      <c r="E559" s="7">
        <f>CALC_GAMES_BASE!E559</f>
        <v>0</v>
      </c>
      <c r="F559" s="6">
        <f>CALC_GAMES_BASE!N559</f>
        <v>-0.46000000000000019</v>
      </c>
      <c r="G559" s="7">
        <f>CALC_GAMES_BASE!K559</f>
        <v>-10</v>
      </c>
      <c r="H559" s="7">
        <f t="shared" si="8"/>
        <v>1</v>
      </c>
      <c r="I559" s="6">
        <f>IF(H559=1,
  F559,
  G559*PARAMETRY!$B$11)</f>
        <v>-0.46000000000000019</v>
      </c>
      <c r="J559" s="6">
        <f>CALC_GAMES_BASE!U559-CALC_GAMES_BASE!V559</f>
        <v>-2.53205128205128E-2</v>
      </c>
      <c r="K559" s="6">
        <f>_xlfn.XLOOKUP(CALC_GAMES_BASE!W559,
  CALC_GOALIES!B:B,
  CALC_GOALIES!K:K)</f>
        <v>1.9185678814779616E-2</v>
      </c>
      <c r="L559" s="6">
        <f>_xlfn.XLOOKUP(C559,CALC_TEAMS_SEASON!B:B,CALC_TEAMS_SEASON!L:L)</f>
        <v>-0.89069677871148467</v>
      </c>
      <c r="M559">
        <f>IF(CALC_GAMES_BASE!Z559="RS",1,1.2)</f>
        <v>1</v>
      </c>
      <c r="N559">
        <f xml:space="preserve"> CALC_GAMES_BASE!Y559</f>
        <v>0</v>
      </c>
    </row>
    <row r="560" spans="1:14" x14ac:dyDescent="0.25">
      <c r="A560" t="str">
        <f>CALC_GAMES_BASE!A560</f>
        <v>25/26</v>
      </c>
      <c r="B560" s="3">
        <f>CALC_GAMES_BASE!B560</f>
        <v>46033</v>
      </c>
      <c r="C560" s="3" t="str">
        <f>CALC_GAMES_BASE!C560</f>
        <v>MHK</v>
      </c>
      <c r="D560" s="3" t="str">
        <f>CALC_GAMES_BASE!D560</f>
        <v>CEB</v>
      </c>
      <c r="E560" s="7">
        <f>CALC_GAMES_BASE!E560</f>
        <v>0</v>
      </c>
      <c r="F560" s="6" t="str">
        <f>CALC_GAMES_BASE!N560</f>
        <v/>
      </c>
      <c r="G560" s="7">
        <f>CALC_GAMES_BASE!K560</f>
        <v>-11</v>
      </c>
      <c r="H560" s="7">
        <f t="shared" si="8"/>
        <v>0</v>
      </c>
      <c r="I560" s="6">
        <f>IF(H560=1,
  F560,
  G560*PARAMETRY!$B$11)</f>
        <v>-0.55000000000000004</v>
      </c>
      <c r="J560" s="6">
        <f>CALC_GAMES_BASE!U560-CALC_GAMES_BASE!V560</f>
        <v>1.1636280386280395E-2</v>
      </c>
      <c r="K560" s="6">
        <f>_xlfn.XLOOKUP(CALC_GAMES_BASE!W560,
  CALC_GOALIES!B:B,
  CALC_GOALIES!K:K)</f>
        <v>2.1917994590268441E-2</v>
      </c>
      <c r="L560" s="6">
        <f>_xlfn.XLOOKUP(C560,CALC_TEAMS_SEASON!B:B,CALC_TEAMS_SEASON!L:L)</f>
        <v>0.14821988795518207</v>
      </c>
      <c r="M560">
        <f>IF(CALC_GAMES_BASE!Z560="RS",1,1.2)</f>
        <v>1</v>
      </c>
      <c r="N560">
        <f xml:space="preserve"> CALC_GAMES_BASE!Y560</f>
        <v>0</v>
      </c>
    </row>
    <row r="561" spans="1:14" x14ac:dyDescent="0.25">
      <c r="A561" t="str">
        <f>CALC_GAMES_BASE!A561</f>
        <v>25/26</v>
      </c>
      <c r="B561" s="3">
        <f>CALC_GAMES_BASE!B561</f>
        <v>46033</v>
      </c>
      <c r="C561" s="3" t="str">
        <f>CALC_GAMES_BASE!C561</f>
        <v>VIT</v>
      </c>
      <c r="D561" s="3" t="str">
        <f>CALC_GAMES_BASE!D561</f>
        <v>KLA</v>
      </c>
      <c r="E561" s="7">
        <f>CALC_GAMES_BASE!E561</f>
        <v>0</v>
      </c>
      <c r="F561" s="6" t="str">
        <f>CALC_GAMES_BASE!N561</f>
        <v/>
      </c>
      <c r="G561" s="7">
        <f>CALC_GAMES_BASE!K561</f>
        <v>-19</v>
      </c>
      <c r="H561" s="7">
        <f t="shared" si="8"/>
        <v>0</v>
      </c>
      <c r="I561" s="6">
        <f>IF(H561=1,
  F561,
  G561*PARAMETRY!$B$11)</f>
        <v>-0.95000000000000007</v>
      </c>
      <c r="J561" s="6">
        <f>CALC_GAMES_BASE!U561-CALC_GAMES_BASE!V561</f>
        <v>3.8644688644688702E-2</v>
      </c>
      <c r="K561" s="6">
        <f>_xlfn.XLOOKUP(CALC_GAMES_BASE!W561,
  CALC_GOALIES!B:B,
  CALC_GOALIES!K:K)</f>
        <v>-4.0156231301455403E-2</v>
      </c>
      <c r="L561" s="6">
        <f>_xlfn.XLOOKUP(C561,CALC_TEAMS_SEASON!B:B,CALC_TEAMS_SEASON!L:L)</f>
        <v>-1.0281967787114845</v>
      </c>
      <c r="M561">
        <f>IF(CALC_GAMES_BASE!Z561="RS",1,1.2)</f>
        <v>1</v>
      </c>
      <c r="N561">
        <f xml:space="preserve"> CALC_GAMES_BASE!Y561</f>
        <v>0</v>
      </c>
    </row>
    <row r="562" spans="1:14" x14ac:dyDescent="0.25">
      <c r="A562" t="str">
        <f>CALC_GAMES_BASE!A562</f>
        <v>25/26</v>
      </c>
      <c r="B562" s="3">
        <f>CALC_GAMES_BASE!B562</f>
        <v>46034</v>
      </c>
      <c r="C562" s="3" t="str">
        <f>CALC_GAMES_BASE!C562</f>
        <v>OLO</v>
      </c>
      <c r="D562" s="3" t="str">
        <f>CALC_GAMES_BASE!D562</f>
        <v>PLZ</v>
      </c>
      <c r="E562" s="7">
        <f>CALC_GAMES_BASE!E562</f>
        <v>0</v>
      </c>
      <c r="F562" s="6" t="str">
        <f>CALC_GAMES_BASE!N562</f>
        <v/>
      </c>
      <c r="G562" s="7">
        <f>CALC_GAMES_BASE!K562</f>
        <v>-6</v>
      </c>
      <c r="H562" s="7">
        <f t="shared" si="8"/>
        <v>0</v>
      </c>
      <c r="I562" s="6">
        <f>IF(H562=1,
  F562,
  G562*PARAMETRY!$B$11)</f>
        <v>-0.30000000000000004</v>
      </c>
      <c r="J562" s="6">
        <f>CALC_GAMES_BASE!U562-CALC_GAMES_BASE!V562</f>
        <v>-2.6518620268620202E-2</v>
      </c>
      <c r="K562" s="6">
        <f>_xlfn.XLOOKUP(CALC_GAMES_BASE!W562,
  CALC_GOALIES!B:B,
  CALC_GOALIES!K:K)</f>
        <v>4.4713327207696052E-3</v>
      </c>
      <c r="L562" s="6">
        <f>_xlfn.XLOOKUP(C562,CALC_TEAMS_SEASON!B:B,CALC_TEAMS_SEASON!L:L)</f>
        <v>-1.0613217787114846</v>
      </c>
      <c r="M562">
        <f>IF(CALC_GAMES_BASE!Z562="RS",1,1.2)</f>
        <v>1</v>
      </c>
      <c r="N562">
        <f xml:space="preserve"> CALC_GAMES_BASE!Y562</f>
        <v>0</v>
      </c>
    </row>
    <row r="563" spans="1:14" x14ac:dyDescent="0.25">
      <c r="A563" t="str">
        <f>CALC_GAMES_BASE!A563</f>
        <v>25/26</v>
      </c>
      <c r="B563" s="3">
        <f>CALC_GAMES_BASE!B563</f>
        <v>46034</v>
      </c>
      <c r="C563" s="3" t="str">
        <f>CALC_GAMES_BASE!C563</f>
        <v>PLZ</v>
      </c>
      <c r="D563" s="3" t="str">
        <f>CALC_GAMES_BASE!D563</f>
        <v>OLO</v>
      </c>
      <c r="E563" s="7">
        <f>CALC_GAMES_BASE!E563</f>
        <v>1</v>
      </c>
      <c r="F563" s="6" t="str">
        <f>CALC_GAMES_BASE!N563</f>
        <v/>
      </c>
      <c r="G563" s="7">
        <f>CALC_GAMES_BASE!K563</f>
        <v>6</v>
      </c>
      <c r="H563" s="7">
        <f t="shared" si="8"/>
        <v>0</v>
      </c>
      <c r="I563" s="6">
        <f>IF(H563=1,
  F563,
  G563*PARAMETRY!$B$11)</f>
        <v>0.30000000000000004</v>
      </c>
      <c r="J563" s="6">
        <f>CALC_GAMES_BASE!U563-CALC_GAMES_BASE!V563</f>
        <v>2.6518620268620202E-2</v>
      </c>
      <c r="K563" s="6">
        <f>_xlfn.XLOOKUP(CALC_GAMES_BASE!W563,
  CALC_GOALIES!B:B,
  CALC_GOALIES!K:K)</f>
        <v>1.7617039556646619E-2</v>
      </c>
      <c r="L563" s="6">
        <f>_xlfn.XLOOKUP(C563,CALC_TEAMS_SEASON!B:B,CALC_TEAMS_SEASON!L:L)</f>
        <v>7.3678221288515283E-2</v>
      </c>
      <c r="M563">
        <f>IF(CALC_GAMES_BASE!Z563="RS",1,1.2)</f>
        <v>1</v>
      </c>
      <c r="N563">
        <f xml:space="preserve"> CALC_GAMES_BASE!Y563</f>
        <v>1</v>
      </c>
    </row>
    <row r="564" spans="1:14" x14ac:dyDescent="0.25">
      <c r="A564" t="str">
        <f>CALC_GAMES_BASE!A564</f>
        <v>25/26</v>
      </c>
      <c r="B564" s="3">
        <f>CALC_GAMES_BASE!B564</f>
        <v>46035</v>
      </c>
      <c r="C564" s="3" t="str">
        <f>CALC_GAMES_BASE!C564</f>
        <v>SPA</v>
      </c>
      <c r="D564" s="3" t="str">
        <f>CALC_GAMES_BASE!D564</f>
        <v>LIT</v>
      </c>
      <c r="E564" s="7">
        <f>CALC_GAMES_BASE!E564</f>
        <v>1</v>
      </c>
      <c r="F564" s="6">
        <f>CALC_GAMES_BASE!N564</f>
        <v>2.0499999999999998</v>
      </c>
      <c r="G564" s="7">
        <f>CALC_GAMES_BASE!K564</f>
        <v>10</v>
      </c>
      <c r="H564" s="7">
        <f t="shared" si="8"/>
        <v>1</v>
      </c>
      <c r="I564" s="6">
        <f>IF(H564=1,
  F564,
  G564*PARAMETRY!$B$11)</f>
        <v>2.0499999999999998</v>
      </c>
      <c r="J564" s="6">
        <f>CALC_GAMES_BASE!U564-CALC_GAMES_BASE!V564</f>
        <v>0.11971153846153852</v>
      </c>
      <c r="K564" s="6">
        <f>_xlfn.XLOOKUP(CALC_GAMES_BASE!W564,
  CALC_GOALIES!B:B,
  CALC_GOALIES!K:K)</f>
        <v>-1.0634669404866681E-2</v>
      </c>
      <c r="L564" s="6">
        <f>_xlfn.XLOOKUP(C564,CALC_TEAMS_SEASON!B:B,CALC_TEAMS_SEASON!L:L)</f>
        <v>6.4376750700279955E-2</v>
      </c>
      <c r="M564">
        <f>IF(CALC_GAMES_BASE!Z564="RS",1,1.2)</f>
        <v>1</v>
      </c>
      <c r="N564">
        <f xml:space="preserve"> CALC_GAMES_BASE!Y564</f>
        <v>1</v>
      </c>
    </row>
    <row r="565" spans="1:14" x14ac:dyDescent="0.25">
      <c r="A565" t="str">
        <f>CALC_GAMES_BASE!A565</f>
        <v>25/26</v>
      </c>
      <c r="B565" s="3">
        <f>CALC_GAMES_BASE!B565</f>
        <v>46035</v>
      </c>
      <c r="C565" s="3" t="str">
        <f>CALC_GAMES_BASE!C565</f>
        <v>CEB</v>
      </c>
      <c r="D565" s="3" t="str">
        <f>CALC_GAMES_BASE!D565</f>
        <v>LIB</v>
      </c>
      <c r="E565" s="7">
        <f>CALC_GAMES_BASE!E565</f>
        <v>0</v>
      </c>
      <c r="F565" s="6" t="str">
        <f>CALC_GAMES_BASE!N565</f>
        <v/>
      </c>
      <c r="G565" s="7">
        <f>CALC_GAMES_BASE!K565</f>
        <v>-6</v>
      </c>
      <c r="H565" s="7">
        <f t="shared" si="8"/>
        <v>0</v>
      </c>
      <c r="I565" s="6">
        <f>IF(H565=1,
  F565,
  G565*PARAMETRY!$B$11)</f>
        <v>-0.30000000000000004</v>
      </c>
      <c r="J565" s="6">
        <f>CALC_GAMES_BASE!U565-CALC_GAMES_BASE!V565</f>
        <v>-1.3559357309357312E-2</v>
      </c>
      <c r="K565" s="6">
        <f>_xlfn.XLOOKUP(CALC_GAMES_BASE!W565,
  CALC_GOALIES!B:B,
  CALC_GOALIES!K:K)</f>
        <v>3.9343341510811314E-3</v>
      </c>
      <c r="L565" s="6">
        <f>_xlfn.XLOOKUP(C565,CALC_TEAMS_SEASON!B:B,CALC_TEAMS_SEASON!L:L)</f>
        <v>-0.24978011204481798</v>
      </c>
      <c r="M565">
        <f>IF(CALC_GAMES_BASE!Z565="RS",1,1.2)</f>
        <v>1</v>
      </c>
      <c r="N565">
        <f xml:space="preserve"> CALC_GAMES_BASE!Y565</f>
        <v>0</v>
      </c>
    </row>
    <row r="566" spans="1:14" x14ac:dyDescent="0.25">
      <c r="A566" t="str">
        <f>CALC_GAMES_BASE!A566</f>
        <v>25/26</v>
      </c>
      <c r="B566" s="3">
        <f>CALC_GAMES_BASE!B566</f>
        <v>46035</v>
      </c>
      <c r="C566" s="3" t="str">
        <f>CALC_GAMES_BASE!C566</f>
        <v>LIB</v>
      </c>
      <c r="D566" s="3" t="str">
        <f>CALC_GAMES_BASE!D566</f>
        <v>CEB</v>
      </c>
      <c r="E566" s="7">
        <f>CALC_GAMES_BASE!E566</f>
        <v>1</v>
      </c>
      <c r="F566" s="6" t="str">
        <f>CALC_GAMES_BASE!N566</f>
        <v/>
      </c>
      <c r="G566" s="7">
        <f>CALC_GAMES_BASE!K566</f>
        <v>6</v>
      </c>
      <c r="H566" s="7">
        <f t="shared" si="8"/>
        <v>0</v>
      </c>
      <c r="I566" s="6">
        <f>IF(H566=1,
  F566,
  G566*PARAMETRY!$B$11)</f>
        <v>0.30000000000000004</v>
      </c>
      <c r="J566" s="6">
        <f>CALC_GAMES_BASE!U566-CALC_GAMES_BASE!V566</f>
        <v>1.3559357309357312E-2</v>
      </c>
      <c r="K566" s="6">
        <f>_xlfn.XLOOKUP(CALC_GAMES_BASE!W566,
  CALC_GOALIES!B:B,
  CALC_GOALIES!K:K)</f>
        <v>-2.7663687063931297E-2</v>
      </c>
      <c r="L566" s="6">
        <f>_xlfn.XLOOKUP(C566,CALC_TEAMS_SEASON!B:B,CALC_TEAMS_SEASON!L:L)</f>
        <v>0.22367822128851536</v>
      </c>
      <c r="M566">
        <f>IF(CALC_GAMES_BASE!Z566="RS",1,1.2)</f>
        <v>1</v>
      </c>
      <c r="N566">
        <f xml:space="preserve"> CALC_GAMES_BASE!Y566</f>
        <v>1</v>
      </c>
    </row>
    <row r="567" spans="1:14" x14ac:dyDescent="0.25">
      <c r="A567" t="str">
        <f>CALC_GAMES_BASE!A567</f>
        <v>25/26</v>
      </c>
      <c r="B567" s="3">
        <f>CALC_GAMES_BASE!B567</f>
        <v>46035</v>
      </c>
      <c r="C567" s="3" t="str">
        <f>CALC_GAMES_BASE!C567</f>
        <v>LIT</v>
      </c>
      <c r="D567" s="3" t="str">
        <f>CALC_GAMES_BASE!D567</f>
        <v>SPA</v>
      </c>
      <c r="E567" s="7">
        <f>CALC_GAMES_BASE!E567</f>
        <v>0</v>
      </c>
      <c r="F567" s="6">
        <f>CALC_GAMES_BASE!N567</f>
        <v>-2.0499999999999998</v>
      </c>
      <c r="G567" s="7">
        <f>CALC_GAMES_BASE!K567</f>
        <v>-10</v>
      </c>
      <c r="H567" s="7">
        <f t="shared" si="8"/>
        <v>1</v>
      </c>
      <c r="I567" s="6">
        <f>IF(H567=1,
  F567,
  G567*PARAMETRY!$B$11)</f>
        <v>-2.0499999999999998</v>
      </c>
      <c r="J567" s="6">
        <f>CALC_GAMES_BASE!U567-CALC_GAMES_BASE!V567</f>
        <v>-0.11971153846153852</v>
      </c>
      <c r="K567" s="6">
        <f>_xlfn.XLOOKUP(CALC_GAMES_BASE!W567,
  CALC_GOALIES!B:B,
  CALC_GOALIES!K:K)</f>
        <v>-8.1125178551773036E-3</v>
      </c>
      <c r="L567" s="6">
        <f>_xlfn.XLOOKUP(C567,CALC_TEAMS_SEASON!B:B,CALC_TEAMS_SEASON!L:L)</f>
        <v>-1.4784467787114848</v>
      </c>
      <c r="M567">
        <f>IF(CALC_GAMES_BASE!Z567="RS",1,1.2)</f>
        <v>1</v>
      </c>
      <c r="N567">
        <f xml:space="preserve"> CALC_GAMES_BASE!Y567</f>
        <v>0</v>
      </c>
    </row>
    <row r="568" spans="1:14" x14ac:dyDescent="0.25">
      <c r="A568" t="str">
        <f>CALC_GAMES_BASE!A568</f>
        <v>25/26</v>
      </c>
      <c r="B568" s="3">
        <f>CALC_GAMES_BASE!B568</f>
        <v>46035</v>
      </c>
      <c r="C568" s="3" t="str">
        <f>CALC_GAMES_BASE!C568</f>
        <v>MBL</v>
      </c>
      <c r="D568" s="3" t="str">
        <f>CALC_GAMES_BASE!D568</f>
        <v>MHK</v>
      </c>
      <c r="E568" s="7">
        <f>CALC_GAMES_BASE!E568</f>
        <v>1</v>
      </c>
      <c r="F568" s="6" t="str">
        <f>CALC_GAMES_BASE!N568</f>
        <v/>
      </c>
      <c r="G568" s="7">
        <f>CALC_GAMES_BASE!K568</f>
        <v>3</v>
      </c>
      <c r="H568" s="7">
        <f t="shared" si="8"/>
        <v>0</v>
      </c>
      <c r="I568" s="6">
        <f>IF(H568=1,
  F568,
  G568*PARAMETRY!$B$11)</f>
        <v>0.15000000000000002</v>
      </c>
      <c r="J568" s="6">
        <f>CALC_GAMES_BASE!U568-CALC_GAMES_BASE!V568</f>
        <v>-2.3580586080586094E-2</v>
      </c>
      <c r="K568" s="6">
        <f>_xlfn.XLOOKUP(CALC_GAMES_BASE!W568,
  CALC_GOALIES!B:B,
  CALC_GOALIES!K:K)</f>
        <v>1.9185678814779616E-2</v>
      </c>
      <c r="L568" s="6">
        <f>_xlfn.XLOOKUP(C568,CALC_TEAMS_SEASON!B:B,CALC_TEAMS_SEASON!L:L)</f>
        <v>-0.89069677871148467</v>
      </c>
      <c r="M568">
        <f>IF(CALC_GAMES_BASE!Z568="RS",1,1.2)</f>
        <v>1</v>
      </c>
      <c r="N568">
        <f xml:space="preserve"> CALC_GAMES_BASE!Y568</f>
        <v>1</v>
      </c>
    </row>
    <row r="569" spans="1:14" x14ac:dyDescent="0.25">
      <c r="A569" t="str">
        <f>CALC_GAMES_BASE!A569</f>
        <v>25/26</v>
      </c>
      <c r="B569" s="3">
        <f>CALC_GAMES_BASE!B569</f>
        <v>46035</v>
      </c>
      <c r="C569" s="3" t="str">
        <f>CALC_GAMES_BASE!C569</f>
        <v>MHK</v>
      </c>
      <c r="D569" s="3" t="str">
        <f>CALC_GAMES_BASE!D569</f>
        <v>MBL</v>
      </c>
      <c r="E569" s="7">
        <f>CALC_GAMES_BASE!E569</f>
        <v>0</v>
      </c>
      <c r="F569" s="6" t="str">
        <f>CALC_GAMES_BASE!N569</f>
        <v/>
      </c>
      <c r="G569" s="7">
        <f>CALC_GAMES_BASE!K569</f>
        <v>-3</v>
      </c>
      <c r="H569" s="7">
        <f t="shared" si="8"/>
        <v>0</v>
      </c>
      <c r="I569" s="6">
        <f>IF(H569=1,
  F569,
  G569*PARAMETRY!$B$11)</f>
        <v>-0.15000000000000002</v>
      </c>
      <c r="J569" s="6">
        <f>CALC_GAMES_BASE!U569-CALC_GAMES_BASE!V569</f>
        <v>2.3580586080586094E-2</v>
      </c>
      <c r="K569" s="6">
        <f>_xlfn.XLOOKUP(CALC_GAMES_BASE!W569,
  CALC_GOALIES!B:B,
  CALC_GOALIES!K:K)</f>
        <v>-6.4024499913341248E-2</v>
      </c>
      <c r="L569" s="6">
        <f>_xlfn.XLOOKUP(C569,CALC_TEAMS_SEASON!B:B,CALC_TEAMS_SEASON!L:L)</f>
        <v>0.14821988795518207</v>
      </c>
      <c r="M569">
        <f>IF(CALC_GAMES_BASE!Z569="RS",1,1.2)</f>
        <v>1</v>
      </c>
      <c r="N569">
        <f xml:space="preserve"> CALC_GAMES_BASE!Y569</f>
        <v>0</v>
      </c>
    </row>
    <row r="570" spans="1:14" x14ac:dyDescent="0.25">
      <c r="A570" t="str">
        <f>CALC_GAMES_BASE!A570</f>
        <v>25/26</v>
      </c>
      <c r="B570" s="3">
        <f>CALC_GAMES_BASE!B570</f>
        <v>46037</v>
      </c>
      <c r="C570" s="3" t="str">
        <f>CALC_GAMES_BASE!C570</f>
        <v>SPA</v>
      </c>
      <c r="D570" s="3" t="str">
        <f>CALC_GAMES_BASE!D570</f>
        <v>KOM</v>
      </c>
      <c r="E570" s="7">
        <f>CALC_GAMES_BASE!E570</f>
        <v>1</v>
      </c>
      <c r="F570" s="6">
        <f>CALC_GAMES_BASE!N570</f>
        <v>2.5299999999999998</v>
      </c>
      <c r="G570" s="7">
        <f>CALC_GAMES_BASE!K570</f>
        <v>20</v>
      </c>
      <c r="H570" s="7">
        <f t="shared" si="8"/>
        <v>1</v>
      </c>
      <c r="I570" s="6">
        <f>IF(H570=1,
  F570,
  G570*PARAMETRY!$B$11)</f>
        <v>2.5299999999999998</v>
      </c>
      <c r="J570" s="6">
        <f>CALC_GAMES_BASE!U570-CALC_GAMES_BASE!V570</f>
        <v>7.7014652014652074E-2</v>
      </c>
      <c r="K570" s="6">
        <f>_xlfn.XLOOKUP(CALC_GAMES_BASE!W570,
  CALC_GOALIES!B:B,
  CALC_GOALIES!K:K)</f>
        <v>-1.0634669404866681E-2</v>
      </c>
      <c r="L570" s="6">
        <f>_xlfn.XLOOKUP(C570,CALC_TEAMS_SEASON!B:B,CALC_TEAMS_SEASON!L:L)</f>
        <v>6.4376750700279955E-2</v>
      </c>
      <c r="M570">
        <f>IF(CALC_GAMES_BASE!Z570="RS",1,1.2)</f>
        <v>1</v>
      </c>
      <c r="N570">
        <f xml:space="preserve"> CALC_GAMES_BASE!Y570</f>
        <v>0</v>
      </c>
    </row>
    <row r="571" spans="1:14" x14ac:dyDescent="0.25">
      <c r="A571" t="str">
        <f>CALC_GAMES_BASE!A571</f>
        <v>25/26</v>
      </c>
      <c r="B571" s="3">
        <f>CALC_GAMES_BASE!B571</f>
        <v>46037</v>
      </c>
      <c r="C571" s="3" t="str">
        <f>CALC_GAMES_BASE!C571</f>
        <v>KOM</v>
      </c>
      <c r="D571" s="3" t="str">
        <f>CALC_GAMES_BASE!D571</f>
        <v>SPA</v>
      </c>
      <c r="E571" s="7">
        <f>CALC_GAMES_BASE!E571</f>
        <v>0</v>
      </c>
      <c r="F571" s="6">
        <f>CALC_GAMES_BASE!N571</f>
        <v>-2.5299999999999998</v>
      </c>
      <c r="G571" s="7">
        <f>CALC_GAMES_BASE!K571</f>
        <v>-20</v>
      </c>
      <c r="H571" s="7">
        <f t="shared" si="8"/>
        <v>1</v>
      </c>
      <c r="I571" s="6">
        <f>IF(H571=1,
  F571,
  G571*PARAMETRY!$B$11)</f>
        <v>-2.5299999999999998</v>
      </c>
      <c r="J571" s="6">
        <f>CALC_GAMES_BASE!U571-CALC_GAMES_BASE!V571</f>
        <v>-7.7014652014652074E-2</v>
      </c>
      <c r="K571" s="6">
        <f>_xlfn.XLOOKUP(CALC_GAMES_BASE!W571,
  CALC_GOALIES!B:B,
  CALC_GOALIES!K:K)</f>
        <v>-1.5147095063735572E-3</v>
      </c>
      <c r="L571" s="6">
        <f>_xlfn.XLOOKUP(C571,CALC_TEAMS_SEASON!B:B,CALC_TEAMS_SEASON!L:L)</f>
        <v>-0.37268207282913179</v>
      </c>
      <c r="M571">
        <f>IF(CALC_GAMES_BASE!Z571="RS",1,1.2)</f>
        <v>1</v>
      </c>
      <c r="N571">
        <f xml:space="preserve"> CALC_GAMES_BASE!Y571</f>
        <v>1</v>
      </c>
    </row>
    <row r="572" spans="1:14" x14ac:dyDescent="0.25">
      <c r="A572" t="str">
        <f>CALC_GAMES_BASE!A572</f>
        <v>25/26</v>
      </c>
      <c r="B572" s="3">
        <f>CALC_GAMES_BASE!B572</f>
        <v>46038</v>
      </c>
      <c r="C572" s="3" t="str">
        <f>CALC_GAMES_BASE!C572</f>
        <v>PCE</v>
      </c>
      <c r="D572" s="3" t="str">
        <f>CALC_GAMES_BASE!D572</f>
        <v>MBL</v>
      </c>
      <c r="E572" s="7">
        <f>CALC_GAMES_BASE!E572</f>
        <v>0</v>
      </c>
      <c r="F572" s="6">
        <f>CALC_GAMES_BASE!N572</f>
        <v>-0.37999999999999989</v>
      </c>
      <c r="G572" s="7">
        <f>CALC_GAMES_BASE!K572</f>
        <v>17</v>
      </c>
      <c r="H572" s="7">
        <f t="shared" si="8"/>
        <v>1</v>
      </c>
      <c r="I572" s="6">
        <f>IF(H572=1,
  F572,
  G572*PARAMETRY!$B$11)</f>
        <v>-0.37999999999999989</v>
      </c>
      <c r="J572" s="6">
        <f>CALC_GAMES_BASE!U572-CALC_GAMES_BASE!V572</f>
        <v>8.4706959706959753E-2</v>
      </c>
      <c r="K572" s="6">
        <f>_xlfn.XLOOKUP(CALC_GAMES_BASE!W572,
  CALC_GOALIES!B:B,
  CALC_GOALIES!K:K)</f>
        <v>4.5881077393388203E-3</v>
      </c>
      <c r="L572" s="6">
        <f>_xlfn.XLOOKUP(C572,CALC_TEAMS_SEASON!B:B,CALC_TEAMS_SEASON!L:L)</f>
        <v>0.62437675070027965</v>
      </c>
      <c r="M572">
        <f>IF(CALC_GAMES_BASE!Z572="RS",1,1.2)</f>
        <v>1</v>
      </c>
      <c r="N572">
        <f xml:space="preserve"> CALC_GAMES_BASE!Y572</f>
        <v>0</v>
      </c>
    </row>
    <row r="573" spans="1:14" x14ac:dyDescent="0.25">
      <c r="A573" t="str">
        <f>CALC_GAMES_BASE!A573</f>
        <v>25/26</v>
      </c>
      <c r="B573" s="3">
        <f>CALC_GAMES_BASE!B573</f>
        <v>46038</v>
      </c>
      <c r="C573" s="3" t="str">
        <f>CALC_GAMES_BASE!C573</f>
        <v>TRI</v>
      </c>
      <c r="D573" s="3" t="str">
        <f>CALC_GAMES_BASE!D573</f>
        <v>LIB</v>
      </c>
      <c r="E573" s="7">
        <f>CALC_GAMES_BASE!E573</f>
        <v>0</v>
      </c>
      <c r="F573" s="6">
        <f>CALC_GAMES_BASE!N573</f>
        <v>-0.2300000000000002</v>
      </c>
      <c r="G573" s="7">
        <f>CALC_GAMES_BASE!K573</f>
        <v>12</v>
      </c>
      <c r="H573" s="7">
        <f t="shared" si="8"/>
        <v>1</v>
      </c>
      <c r="I573" s="6">
        <f>IF(H573=1,
  F573,
  G573*PARAMETRY!$B$11)</f>
        <v>-0.2300000000000002</v>
      </c>
      <c r="J573" s="6">
        <f>CALC_GAMES_BASE!U573-CALC_GAMES_BASE!V573</f>
        <v>3.0601343101343131E-2</v>
      </c>
      <c r="K573" s="6">
        <f>_xlfn.XLOOKUP(CALC_GAMES_BASE!W573,
  CALC_GOALIES!B:B,
  CALC_GOALIES!K:K)</f>
        <v>-1.9657016882340561E-2</v>
      </c>
      <c r="L573" s="6">
        <f>_xlfn.XLOOKUP(C573,CALC_TEAMS_SEASON!B:B,CALC_TEAMS_SEASON!L:L)</f>
        <v>0.10805322128851533</v>
      </c>
      <c r="M573">
        <f>IF(CALC_GAMES_BASE!Z573="RS",1,1.2)</f>
        <v>1</v>
      </c>
      <c r="N573">
        <f xml:space="preserve"> CALC_GAMES_BASE!Y573</f>
        <v>0</v>
      </c>
    </row>
    <row r="574" spans="1:14" x14ac:dyDescent="0.25">
      <c r="A574" t="str">
        <f>CALC_GAMES_BASE!A574</f>
        <v>25/26</v>
      </c>
      <c r="B574" s="3">
        <f>CALC_GAMES_BASE!B574</f>
        <v>46038</v>
      </c>
      <c r="C574" s="3" t="str">
        <f>CALC_GAMES_BASE!C574</f>
        <v>CEB</v>
      </c>
      <c r="D574" s="3" t="str">
        <f>CALC_GAMES_BASE!D574</f>
        <v>PLZ</v>
      </c>
      <c r="E574" s="7">
        <f>CALC_GAMES_BASE!E574</f>
        <v>1</v>
      </c>
      <c r="F574" s="6" t="str">
        <f>CALC_GAMES_BASE!N574</f>
        <v/>
      </c>
      <c r="G574" s="7">
        <f>CALC_GAMES_BASE!K574</f>
        <v>-7</v>
      </c>
      <c r="H574" s="7">
        <f t="shared" si="8"/>
        <v>0</v>
      </c>
      <c r="I574" s="6">
        <f>IF(H574=1,
  F574,
  G574*PARAMETRY!$B$11)</f>
        <v>-0.35000000000000003</v>
      </c>
      <c r="J574" s="6">
        <f>CALC_GAMES_BASE!U574-CALC_GAMES_BASE!V574</f>
        <v>-4.619824619824614E-2</v>
      </c>
      <c r="K574" s="6">
        <f>_xlfn.XLOOKUP(CALC_GAMES_BASE!W574,
  CALC_GOALIES!B:B,
  CALC_GOALIES!K:K)</f>
        <v>3.9343341510811314E-3</v>
      </c>
      <c r="L574" s="6">
        <f>_xlfn.XLOOKUP(C574,CALC_TEAMS_SEASON!B:B,CALC_TEAMS_SEASON!L:L)</f>
        <v>-0.24978011204481798</v>
      </c>
      <c r="M574">
        <f>IF(CALC_GAMES_BASE!Z574="RS",1,1.2)</f>
        <v>1</v>
      </c>
      <c r="N574">
        <f xml:space="preserve"> CALC_GAMES_BASE!Y574</f>
        <v>1</v>
      </c>
    </row>
    <row r="575" spans="1:14" x14ac:dyDescent="0.25">
      <c r="A575" t="str">
        <f>CALC_GAMES_BASE!A575</f>
        <v>25/26</v>
      </c>
      <c r="B575" s="3">
        <f>CALC_GAMES_BASE!B575</f>
        <v>46038</v>
      </c>
      <c r="C575" s="3" t="str">
        <f>CALC_GAMES_BASE!C575</f>
        <v>KLA</v>
      </c>
      <c r="D575" s="3" t="str">
        <f>CALC_GAMES_BASE!D575</f>
        <v>MHK</v>
      </c>
      <c r="E575" s="7">
        <f>CALC_GAMES_BASE!E575</f>
        <v>0</v>
      </c>
      <c r="F575" s="6" t="str">
        <f>CALC_GAMES_BASE!N575</f>
        <v/>
      </c>
      <c r="G575" s="7">
        <f>CALC_GAMES_BASE!K575</f>
        <v>-5</v>
      </c>
      <c r="H575" s="7">
        <f t="shared" si="8"/>
        <v>0</v>
      </c>
      <c r="I575" s="6">
        <f>IF(H575=1,
  F575,
  G575*PARAMETRY!$B$11)</f>
        <v>-0.25</v>
      </c>
      <c r="J575" s="6">
        <f>CALC_GAMES_BASE!U575-CALC_GAMES_BASE!V575</f>
        <v>-1.0645604395604441E-2</v>
      </c>
      <c r="K575" s="6">
        <f>_xlfn.XLOOKUP(CALC_GAMES_BASE!W575,
  CALC_GOALIES!B:B,
  CALC_GOALIES!K:K)</f>
        <v>1.2463190300688209E-2</v>
      </c>
      <c r="L575" s="6">
        <f>_xlfn.XLOOKUP(C575,CALC_TEAMS_SEASON!B:B,CALC_TEAMS_SEASON!L:L)</f>
        <v>-0.19819677871148478</v>
      </c>
      <c r="M575">
        <f>IF(CALC_GAMES_BASE!Z575="RS",1,1.2)</f>
        <v>1</v>
      </c>
      <c r="N575">
        <f xml:space="preserve"> CALC_GAMES_BASE!Y575</f>
        <v>0</v>
      </c>
    </row>
    <row r="576" spans="1:14" x14ac:dyDescent="0.25">
      <c r="A576" t="str">
        <f>CALC_GAMES_BASE!A576</f>
        <v>25/26</v>
      </c>
      <c r="B576" s="3">
        <f>CALC_GAMES_BASE!B576</f>
        <v>46038</v>
      </c>
      <c r="C576" s="3" t="str">
        <f>CALC_GAMES_BASE!C576</f>
        <v>KVA</v>
      </c>
      <c r="D576" s="3" t="str">
        <f>CALC_GAMES_BASE!D576</f>
        <v>OLO</v>
      </c>
      <c r="E576" s="7">
        <f>CALC_GAMES_BASE!E576</f>
        <v>0</v>
      </c>
      <c r="F576" s="6" t="str">
        <f>CALC_GAMES_BASE!N576</f>
        <v/>
      </c>
      <c r="G576" s="7">
        <f>CALC_GAMES_BASE!K576</f>
        <v>11</v>
      </c>
      <c r="H576" s="7">
        <f t="shared" si="8"/>
        <v>0</v>
      </c>
      <c r="I576" s="6">
        <f>IF(H576=1,
  F576,
  G576*PARAMETRY!$B$11)</f>
        <v>0.55000000000000004</v>
      </c>
      <c r="J576" s="6">
        <f>CALC_GAMES_BASE!U576-CALC_GAMES_BASE!V576</f>
        <v>2.3977411477411475E-2</v>
      </c>
      <c r="K576" s="6">
        <f>_xlfn.XLOOKUP(CALC_GAMES_BASE!W576,
  CALC_GOALIES!B:B,
  CALC_GOALIES!K:K)</f>
        <v>-2.2629454281007488E-2</v>
      </c>
      <c r="L576" s="6">
        <f>_xlfn.XLOOKUP(C576,CALC_TEAMS_SEASON!B:B,CALC_TEAMS_SEASON!L:L)</f>
        <v>-0.28757177871148476</v>
      </c>
      <c r="M576">
        <f>IF(CALC_GAMES_BASE!Z576="RS",1,1.2)</f>
        <v>1</v>
      </c>
      <c r="N576">
        <f xml:space="preserve"> CALC_GAMES_BASE!Y576</f>
        <v>1</v>
      </c>
    </row>
    <row r="577" spans="1:14" x14ac:dyDescent="0.25">
      <c r="A577" t="str">
        <f>CALC_GAMES_BASE!A577</f>
        <v>25/26</v>
      </c>
      <c r="B577" s="3">
        <f>CALC_GAMES_BASE!B577</f>
        <v>46038</v>
      </c>
      <c r="C577" s="3" t="str">
        <f>CALC_GAMES_BASE!C577</f>
        <v>LIB</v>
      </c>
      <c r="D577" s="3" t="str">
        <f>CALC_GAMES_BASE!D577</f>
        <v>TRI</v>
      </c>
      <c r="E577" s="7">
        <f>CALC_GAMES_BASE!E577</f>
        <v>1</v>
      </c>
      <c r="F577" s="6">
        <f>CALC_GAMES_BASE!N577</f>
        <v>0.2300000000000002</v>
      </c>
      <c r="G577" s="7">
        <f>CALC_GAMES_BASE!K577</f>
        <v>-12</v>
      </c>
      <c r="H577" s="7">
        <f t="shared" si="8"/>
        <v>1</v>
      </c>
      <c r="I577" s="6">
        <f>IF(H577=1,
  F577,
  G577*PARAMETRY!$B$11)</f>
        <v>0.2300000000000002</v>
      </c>
      <c r="J577" s="6">
        <f>CALC_GAMES_BASE!U577-CALC_GAMES_BASE!V577</f>
        <v>-3.0601343101343131E-2</v>
      </c>
      <c r="K577" s="6">
        <f>_xlfn.XLOOKUP(CALC_GAMES_BASE!W577,
  CALC_GOALIES!B:B,
  CALC_GOALIES!K:K)</f>
        <v>1.2275709048813366E-2</v>
      </c>
      <c r="L577" s="6">
        <f>_xlfn.XLOOKUP(C577,CALC_TEAMS_SEASON!B:B,CALC_TEAMS_SEASON!L:L)</f>
        <v>0.22367822128851536</v>
      </c>
      <c r="M577">
        <f>IF(CALC_GAMES_BASE!Z577="RS",1,1.2)</f>
        <v>1</v>
      </c>
      <c r="N577">
        <f xml:space="preserve"> CALC_GAMES_BASE!Y577</f>
        <v>1</v>
      </c>
    </row>
    <row r="578" spans="1:14" x14ac:dyDescent="0.25">
      <c r="A578" t="str">
        <f>CALC_GAMES_BASE!A578</f>
        <v>25/26</v>
      </c>
      <c r="B578" s="3">
        <f>CALC_GAMES_BASE!B578</f>
        <v>46038</v>
      </c>
      <c r="C578" s="3" t="str">
        <f>CALC_GAMES_BASE!C578</f>
        <v>LIT</v>
      </c>
      <c r="D578" s="3" t="str">
        <f>CALC_GAMES_BASE!D578</f>
        <v>VIT</v>
      </c>
      <c r="E578" s="7">
        <f>CALC_GAMES_BASE!E578</f>
        <v>0</v>
      </c>
      <c r="F578" s="6" t="str">
        <f>CALC_GAMES_BASE!N578</f>
        <v/>
      </c>
      <c r="G578" s="7">
        <f>CALC_GAMES_BASE!K578</f>
        <v>-1</v>
      </c>
      <c r="H578" s="7">
        <f t="shared" si="8"/>
        <v>0</v>
      </c>
      <c r="I578" s="6">
        <f>IF(H578=1,
  F578,
  G578*PARAMETRY!$B$11)</f>
        <v>-0.05</v>
      </c>
      <c r="J578" s="6">
        <f>CALC_GAMES_BASE!U578-CALC_GAMES_BASE!V578</f>
        <v>-6.8956043956044002E-2</v>
      </c>
      <c r="K578" s="6">
        <f>_xlfn.XLOOKUP(CALC_GAMES_BASE!W578,
  CALC_GOALIES!B:B,
  CALC_GOALIES!K:K)</f>
        <v>-4.9010888963920696E-3</v>
      </c>
      <c r="L578" s="6">
        <f>_xlfn.XLOOKUP(C578,CALC_TEAMS_SEASON!B:B,CALC_TEAMS_SEASON!L:L)</f>
        <v>-1.4784467787114848</v>
      </c>
      <c r="M578">
        <f>IF(CALC_GAMES_BASE!Z578="RS",1,1.2)</f>
        <v>1</v>
      </c>
      <c r="N578">
        <f xml:space="preserve"> CALC_GAMES_BASE!Y578</f>
        <v>0</v>
      </c>
    </row>
    <row r="579" spans="1:14" x14ac:dyDescent="0.25">
      <c r="A579" t="str">
        <f>CALC_GAMES_BASE!A579</f>
        <v>25/26</v>
      </c>
      <c r="B579" s="3">
        <f>CALC_GAMES_BASE!B579</f>
        <v>46038</v>
      </c>
      <c r="C579" s="3" t="str">
        <f>CALC_GAMES_BASE!C579</f>
        <v>MBL</v>
      </c>
      <c r="D579" s="3" t="str">
        <f>CALC_GAMES_BASE!D579</f>
        <v>PCE</v>
      </c>
      <c r="E579" s="7">
        <f>CALC_GAMES_BASE!E579</f>
        <v>1</v>
      </c>
      <c r="F579" s="6">
        <f>CALC_GAMES_BASE!N579</f>
        <v>0.37999999999999989</v>
      </c>
      <c r="G579" s="7">
        <f>CALC_GAMES_BASE!K579</f>
        <v>-17</v>
      </c>
      <c r="H579" s="7">
        <f t="shared" ref="H579:H642" si="9">IF(F579&lt;&gt;"",1,0)</f>
        <v>1</v>
      </c>
      <c r="I579" s="6">
        <f>IF(H579=1,
  F579,
  G579*PARAMETRY!$B$11)</f>
        <v>0.37999999999999989</v>
      </c>
      <c r="J579" s="6">
        <f>CALC_GAMES_BASE!U579-CALC_GAMES_BASE!V579</f>
        <v>-8.4706959706959753E-2</v>
      </c>
      <c r="K579" s="6">
        <f>_xlfn.XLOOKUP(CALC_GAMES_BASE!W579,
  CALC_GOALIES!B:B,
  CALC_GOALIES!K:K)</f>
        <v>-4.4670611186142795E-3</v>
      </c>
      <c r="L579" s="6">
        <f>_xlfn.XLOOKUP(C579,CALC_TEAMS_SEASON!B:B,CALC_TEAMS_SEASON!L:L)</f>
        <v>-0.89069677871148467</v>
      </c>
      <c r="M579">
        <f>IF(CALC_GAMES_BASE!Z579="RS",1,1.2)</f>
        <v>1</v>
      </c>
      <c r="N579">
        <f xml:space="preserve"> CALC_GAMES_BASE!Y579</f>
        <v>1</v>
      </c>
    </row>
    <row r="580" spans="1:14" x14ac:dyDescent="0.25">
      <c r="A580" t="str">
        <f>CALC_GAMES_BASE!A580</f>
        <v>25/26</v>
      </c>
      <c r="B580" s="3">
        <f>CALC_GAMES_BASE!B580</f>
        <v>46038</v>
      </c>
      <c r="C580" s="3" t="str">
        <f>CALC_GAMES_BASE!C580</f>
        <v>MHK</v>
      </c>
      <c r="D580" s="3" t="str">
        <f>CALC_GAMES_BASE!D580</f>
        <v>KLA</v>
      </c>
      <c r="E580" s="7">
        <f>CALC_GAMES_BASE!E580</f>
        <v>1</v>
      </c>
      <c r="F580" s="6" t="str">
        <f>CALC_GAMES_BASE!N580</f>
        <v/>
      </c>
      <c r="G580" s="7">
        <f>CALC_GAMES_BASE!K580</f>
        <v>5</v>
      </c>
      <c r="H580" s="7">
        <f t="shared" si="9"/>
        <v>0</v>
      </c>
      <c r="I580" s="6">
        <f>IF(H580=1,
  F580,
  G580*PARAMETRY!$B$11)</f>
        <v>0.25</v>
      </c>
      <c r="J580" s="6">
        <f>CALC_GAMES_BASE!U580-CALC_GAMES_BASE!V580</f>
        <v>1.0645604395604441E-2</v>
      </c>
      <c r="K580" s="6">
        <f>_xlfn.XLOOKUP(CALC_GAMES_BASE!W580,
  CALC_GOALIES!B:B,
  CALC_GOALIES!K:K)</f>
        <v>2.1917994590268441E-2</v>
      </c>
      <c r="L580" s="6">
        <f>_xlfn.XLOOKUP(C580,CALC_TEAMS_SEASON!B:B,CALC_TEAMS_SEASON!L:L)</f>
        <v>0.14821988795518207</v>
      </c>
      <c r="M580">
        <f>IF(CALC_GAMES_BASE!Z580="RS",1,1.2)</f>
        <v>1</v>
      </c>
      <c r="N580">
        <f xml:space="preserve"> CALC_GAMES_BASE!Y580</f>
        <v>1</v>
      </c>
    </row>
    <row r="581" spans="1:14" x14ac:dyDescent="0.25">
      <c r="A581" t="str">
        <f>CALC_GAMES_BASE!A581</f>
        <v>25/26</v>
      </c>
      <c r="B581" s="3">
        <f>CALC_GAMES_BASE!B581</f>
        <v>46038</v>
      </c>
      <c r="C581" s="3" t="str">
        <f>CALC_GAMES_BASE!C581</f>
        <v>OLO</v>
      </c>
      <c r="D581" s="3" t="str">
        <f>CALC_GAMES_BASE!D581</f>
        <v>KVA</v>
      </c>
      <c r="E581" s="7">
        <f>CALC_GAMES_BASE!E581</f>
        <v>1</v>
      </c>
      <c r="F581" s="6" t="str">
        <f>CALC_GAMES_BASE!N581</f>
        <v/>
      </c>
      <c r="G581" s="7">
        <f>CALC_GAMES_BASE!K581</f>
        <v>-11</v>
      </c>
      <c r="H581" s="7">
        <f t="shared" si="9"/>
        <v>0</v>
      </c>
      <c r="I581" s="6">
        <f>IF(H581=1,
  F581,
  G581*PARAMETRY!$B$11)</f>
        <v>-0.55000000000000004</v>
      </c>
      <c r="J581" s="6">
        <f>CALC_GAMES_BASE!U581-CALC_GAMES_BASE!V581</f>
        <v>-2.3977411477411475E-2</v>
      </c>
      <c r="K581" s="6">
        <f>_xlfn.XLOOKUP(CALC_GAMES_BASE!W581,
  CALC_GOALIES!B:B,
  CALC_GOALIES!K:K)</f>
        <v>4.4713327207696052E-3</v>
      </c>
      <c r="L581" s="6">
        <f>_xlfn.XLOOKUP(C581,CALC_TEAMS_SEASON!B:B,CALC_TEAMS_SEASON!L:L)</f>
        <v>-1.0613217787114846</v>
      </c>
      <c r="M581">
        <f>IF(CALC_GAMES_BASE!Z581="RS",1,1.2)</f>
        <v>1</v>
      </c>
      <c r="N581">
        <f xml:space="preserve"> CALC_GAMES_BASE!Y581</f>
        <v>0</v>
      </c>
    </row>
    <row r="582" spans="1:14" x14ac:dyDescent="0.25">
      <c r="A582" t="str">
        <f>CALC_GAMES_BASE!A582</f>
        <v>25/26</v>
      </c>
      <c r="B582" s="3">
        <f>CALC_GAMES_BASE!B582</f>
        <v>46038</v>
      </c>
      <c r="C582" s="3" t="str">
        <f>CALC_GAMES_BASE!C582</f>
        <v>PLZ</v>
      </c>
      <c r="D582" s="3" t="str">
        <f>CALC_GAMES_BASE!D582</f>
        <v>CEB</v>
      </c>
      <c r="E582" s="7">
        <f>CALC_GAMES_BASE!E582</f>
        <v>0</v>
      </c>
      <c r="F582" s="6" t="str">
        <f>CALC_GAMES_BASE!N582</f>
        <v/>
      </c>
      <c r="G582" s="7">
        <f>CALC_GAMES_BASE!K582</f>
        <v>7</v>
      </c>
      <c r="H582" s="7">
        <f t="shared" si="9"/>
        <v>0</v>
      </c>
      <c r="I582" s="6">
        <f>IF(H582=1,
  F582,
  G582*PARAMETRY!$B$11)</f>
        <v>0.35000000000000003</v>
      </c>
      <c r="J582" s="6">
        <f>CALC_GAMES_BASE!U582-CALC_GAMES_BASE!V582</f>
        <v>4.619824619824614E-2</v>
      </c>
      <c r="K582" s="6">
        <f>_xlfn.XLOOKUP(CALC_GAMES_BASE!W582,
  CALC_GOALIES!B:B,
  CALC_GOALIES!K:K)</f>
        <v>-1.4856765927271365E-3</v>
      </c>
      <c r="L582" s="6">
        <f>_xlfn.XLOOKUP(C582,CALC_TEAMS_SEASON!B:B,CALC_TEAMS_SEASON!L:L)</f>
        <v>7.3678221288515283E-2</v>
      </c>
      <c r="M582">
        <f>IF(CALC_GAMES_BASE!Z582="RS",1,1.2)</f>
        <v>1</v>
      </c>
      <c r="N582">
        <f xml:space="preserve"> CALC_GAMES_BASE!Y582</f>
        <v>0</v>
      </c>
    </row>
    <row r="583" spans="1:14" x14ac:dyDescent="0.25">
      <c r="A583" t="str">
        <f>CALC_GAMES_BASE!A583</f>
        <v>25/26</v>
      </c>
      <c r="B583" s="3">
        <f>CALC_GAMES_BASE!B583</f>
        <v>46038</v>
      </c>
      <c r="C583" s="3" t="str">
        <f>CALC_GAMES_BASE!C583</f>
        <v>VIT</v>
      </c>
      <c r="D583" s="3" t="str">
        <f>CALC_GAMES_BASE!D583</f>
        <v>LIT</v>
      </c>
      <c r="E583" s="7">
        <f>CALC_GAMES_BASE!E583</f>
        <v>1</v>
      </c>
      <c r="F583" s="6" t="str">
        <f>CALC_GAMES_BASE!N583</f>
        <v/>
      </c>
      <c r="G583" s="7">
        <f>CALC_GAMES_BASE!K583</f>
        <v>1</v>
      </c>
      <c r="H583" s="7">
        <f t="shared" si="9"/>
        <v>0</v>
      </c>
      <c r="I583" s="6">
        <f>IF(H583=1,
  F583,
  G583*PARAMETRY!$B$11)</f>
        <v>0.05</v>
      </c>
      <c r="J583" s="6">
        <f>CALC_GAMES_BASE!U583-CALC_GAMES_BASE!V583</f>
        <v>6.8956043956044002E-2</v>
      </c>
      <c r="K583" s="6">
        <f>_xlfn.XLOOKUP(CALC_GAMES_BASE!W583,
  CALC_GOALIES!B:B,
  CALC_GOALIES!K:K)</f>
        <v>1.905487900993541E-3</v>
      </c>
      <c r="L583" s="6">
        <f>_xlfn.XLOOKUP(C583,CALC_TEAMS_SEASON!B:B,CALC_TEAMS_SEASON!L:L)</f>
        <v>-1.0281967787114845</v>
      </c>
      <c r="M583">
        <f>IF(CALC_GAMES_BASE!Z583="RS",1,1.2)</f>
        <v>1</v>
      </c>
      <c r="N583">
        <f xml:space="preserve"> CALC_GAMES_BASE!Y583</f>
        <v>1</v>
      </c>
    </row>
    <row r="584" spans="1:14" x14ac:dyDescent="0.25">
      <c r="A584" t="str">
        <f>CALC_GAMES_BASE!A584</f>
        <v>25/26</v>
      </c>
      <c r="B584" s="3">
        <f>CALC_GAMES_BASE!B584</f>
        <v>46040</v>
      </c>
      <c r="C584" s="3" t="str">
        <f>CALC_GAMES_BASE!C584</f>
        <v>PCE</v>
      </c>
      <c r="D584" s="3" t="str">
        <f>CALC_GAMES_BASE!D584</f>
        <v>CEB</v>
      </c>
      <c r="E584" s="7">
        <f>CALC_GAMES_BASE!E584</f>
        <v>1</v>
      </c>
      <c r="F584" s="6">
        <f>CALC_GAMES_BASE!N584</f>
        <v>-0.8400000000000003</v>
      </c>
      <c r="G584" s="7">
        <f>CALC_GAMES_BASE!K584</f>
        <v>-5</v>
      </c>
      <c r="H584" s="7">
        <f t="shared" si="9"/>
        <v>1</v>
      </c>
      <c r="I584" s="6">
        <f>IF(H584=1,
  F584,
  G584*PARAMETRY!$B$11)</f>
        <v>-0.8400000000000003</v>
      </c>
      <c r="J584" s="6">
        <f>CALC_GAMES_BASE!U584-CALC_GAMES_BASE!V584</f>
        <v>7.2762654012654054E-2</v>
      </c>
      <c r="K584" s="6">
        <f>_xlfn.XLOOKUP(CALC_GAMES_BASE!W584,
  CALC_GOALIES!B:B,
  CALC_GOALIES!K:K)</f>
        <v>4.5881077393388203E-3</v>
      </c>
      <c r="L584" s="6">
        <f>_xlfn.XLOOKUP(C584,CALC_TEAMS_SEASON!B:B,CALC_TEAMS_SEASON!L:L)</f>
        <v>0.62437675070027965</v>
      </c>
      <c r="M584">
        <f>IF(CALC_GAMES_BASE!Z584="RS",1,1.2)</f>
        <v>1</v>
      </c>
      <c r="N584">
        <f xml:space="preserve"> CALC_GAMES_BASE!Y584</f>
        <v>1</v>
      </c>
    </row>
    <row r="585" spans="1:14" x14ac:dyDescent="0.25">
      <c r="A585" t="str">
        <f>CALC_GAMES_BASE!A585</f>
        <v>25/26</v>
      </c>
      <c r="B585" s="3">
        <f>CALC_GAMES_BASE!B585</f>
        <v>46040</v>
      </c>
      <c r="C585" s="3" t="str">
        <f>CALC_GAMES_BASE!C585</f>
        <v>TRI</v>
      </c>
      <c r="D585" s="3" t="str">
        <f>CALC_GAMES_BASE!D585</f>
        <v>MBL</v>
      </c>
      <c r="E585" s="7">
        <f>CALC_GAMES_BASE!E585</f>
        <v>0</v>
      </c>
      <c r="F585" s="6">
        <f>CALC_GAMES_BASE!N585</f>
        <v>0.20999999999999996</v>
      </c>
      <c r="G585" s="7">
        <f>CALC_GAMES_BASE!K585</f>
        <v>4</v>
      </c>
      <c r="H585" s="7">
        <f t="shared" si="9"/>
        <v>1</v>
      </c>
      <c r="I585" s="6">
        <f>IF(H585=1,
  F585,
  G585*PARAMETRY!$B$11)</f>
        <v>0.20999999999999996</v>
      </c>
      <c r="J585" s="6">
        <f>CALC_GAMES_BASE!U585-CALC_GAMES_BASE!V585</f>
        <v>5.6105006105006142E-2</v>
      </c>
      <c r="K585" s="6">
        <f>_xlfn.XLOOKUP(CALC_GAMES_BASE!W585,
  CALC_GOALIES!B:B,
  CALC_GOALIES!K:K)</f>
        <v>1.3707542055988897E-2</v>
      </c>
      <c r="L585" s="6">
        <f>_xlfn.XLOOKUP(C585,CALC_TEAMS_SEASON!B:B,CALC_TEAMS_SEASON!L:L)</f>
        <v>0.10805322128851533</v>
      </c>
      <c r="M585">
        <f>IF(CALC_GAMES_BASE!Z585="RS",1,1.2)</f>
        <v>1</v>
      </c>
      <c r="N585">
        <f xml:space="preserve"> CALC_GAMES_BASE!Y585</f>
        <v>0</v>
      </c>
    </row>
    <row r="586" spans="1:14" x14ac:dyDescent="0.25">
      <c r="A586" t="str">
        <f>CALC_GAMES_BASE!A586</f>
        <v>25/26</v>
      </c>
      <c r="B586" s="3">
        <f>CALC_GAMES_BASE!B586</f>
        <v>46040</v>
      </c>
      <c r="C586" s="3" t="str">
        <f>CALC_GAMES_BASE!C586</f>
        <v>KOM</v>
      </c>
      <c r="D586" s="3" t="str">
        <f>CALC_GAMES_BASE!D586</f>
        <v>VIT</v>
      </c>
      <c r="E586" s="7">
        <f>CALC_GAMES_BASE!E586</f>
        <v>0</v>
      </c>
      <c r="F586" s="6">
        <f>CALC_GAMES_BASE!N586</f>
        <v>-0.33999999999999986</v>
      </c>
      <c r="G586" s="7">
        <f>CALC_GAMES_BASE!K586</f>
        <v>-3</v>
      </c>
      <c r="H586" s="7">
        <f t="shared" si="9"/>
        <v>1</v>
      </c>
      <c r="I586" s="6">
        <f>IF(H586=1,
  F586,
  G586*PARAMETRY!$B$11)</f>
        <v>-0.33999999999999986</v>
      </c>
      <c r="J586" s="6">
        <f>CALC_GAMES_BASE!U586-CALC_GAMES_BASE!V586</f>
        <v>-2.6259157509157555E-2</v>
      </c>
      <c r="K586" s="6">
        <f>_xlfn.XLOOKUP(CALC_GAMES_BASE!W586,
  CALC_GOALIES!B:B,
  CALC_GOALIES!K:K)</f>
        <v>-1.5147095063735572E-3</v>
      </c>
      <c r="L586" s="6">
        <f>_xlfn.XLOOKUP(C586,CALC_TEAMS_SEASON!B:B,CALC_TEAMS_SEASON!L:L)</f>
        <v>-0.37268207282913179</v>
      </c>
      <c r="M586">
        <f>IF(CALC_GAMES_BASE!Z586="RS",1,1.2)</f>
        <v>1</v>
      </c>
      <c r="N586">
        <f xml:space="preserve"> CALC_GAMES_BASE!Y586</f>
        <v>1</v>
      </c>
    </row>
    <row r="587" spans="1:14" x14ac:dyDescent="0.25">
      <c r="A587" t="str">
        <f>CALC_GAMES_BASE!A587</f>
        <v>25/26</v>
      </c>
      <c r="B587" s="3">
        <f>CALC_GAMES_BASE!B587</f>
        <v>46040</v>
      </c>
      <c r="C587" s="3" t="str">
        <f>CALC_GAMES_BASE!C587</f>
        <v>CEB</v>
      </c>
      <c r="D587" s="3" t="str">
        <f>CALC_GAMES_BASE!D587</f>
        <v>PCE</v>
      </c>
      <c r="E587" s="7">
        <f>CALC_GAMES_BASE!E587</f>
        <v>0</v>
      </c>
      <c r="F587" s="6">
        <f>CALC_GAMES_BASE!N587</f>
        <v>0.8400000000000003</v>
      </c>
      <c r="G587" s="7">
        <f>CALC_GAMES_BASE!K587</f>
        <v>5</v>
      </c>
      <c r="H587" s="7">
        <f t="shared" si="9"/>
        <v>1</v>
      </c>
      <c r="I587" s="6">
        <f>IF(H587=1,
  F587,
  G587*PARAMETRY!$B$11)</f>
        <v>0.8400000000000003</v>
      </c>
      <c r="J587" s="6">
        <f>CALC_GAMES_BASE!U587-CALC_GAMES_BASE!V587</f>
        <v>-7.2762654012654054E-2</v>
      </c>
      <c r="K587" s="6">
        <f>_xlfn.XLOOKUP(CALC_GAMES_BASE!W587,
  CALC_GOALIES!B:B,
  CALC_GOALIES!K:K)</f>
        <v>3.9343341510811314E-3</v>
      </c>
      <c r="L587" s="6">
        <f>_xlfn.XLOOKUP(C587,CALC_TEAMS_SEASON!B:B,CALC_TEAMS_SEASON!L:L)</f>
        <v>-0.24978011204481798</v>
      </c>
      <c r="M587">
        <f>IF(CALC_GAMES_BASE!Z587="RS",1,1.2)</f>
        <v>1</v>
      </c>
      <c r="N587">
        <f xml:space="preserve"> CALC_GAMES_BASE!Y587</f>
        <v>0</v>
      </c>
    </row>
    <row r="588" spans="1:14" x14ac:dyDescent="0.25">
      <c r="A588" t="str">
        <f>CALC_GAMES_BASE!A588</f>
        <v>25/26</v>
      </c>
      <c r="B588" s="3">
        <f>CALC_GAMES_BASE!B588</f>
        <v>46040</v>
      </c>
      <c r="C588" s="3" t="str">
        <f>CALC_GAMES_BASE!C588</f>
        <v>KLA</v>
      </c>
      <c r="D588" s="3" t="str">
        <f>CALC_GAMES_BASE!D588</f>
        <v>OLO</v>
      </c>
      <c r="E588" s="7">
        <f>CALC_GAMES_BASE!E588</f>
        <v>1</v>
      </c>
      <c r="F588" s="6" t="str">
        <f>CALC_GAMES_BASE!N588</f>
        <v/>
      </c>
      <c r="G588" s="7">
        <f>CALC_GAMES_BASE!K588</f>
        <v>19</v>
      </c>
      <c r="H588" s="7">
        <f t="shared" si="9"/>
        <v>0</v>
      </c>
      <c r="I588" s="6">
        <f>IF(H588=1,
  F588,
  G588*PARAMETRY!$B$11)</f>
        <v>0.95000000000000007</v>
      </c>
      <c r="J588" s="6">
        <f>CALC_GAMES_BASE!U588-CALC_GAMES_BASE!V588</f>
        <v>-1.8688949938949984E-2</v>
      </c>
      <c r="K588" s="6">
        <f>_xlfn.XLOOKUP(CALC_GAMES_BASE!W588,
  CALC_GOALIES!B:B,
  CALC_GOALIES!K:K)</f>
        <v>1.2463190300688209E-2</v>
      </c>
      <c r="L588" s="6">
        <f>_xlfn.XLOOKUP(C588,CALC_TEAMS_SEASON!B:B,CALC_TEAMS_SEASON!L:L)</f>
        <v>-0.19819677871148478</v>
      </c>
      <c r="M588">
        <f>IF(CALC_GAMES_BASE!Z588="RS",1,1.2)</f>
        <v>1</v>
      </c>
      <c r="N588">
        <f xml:space="preserve"> CALC_GAMES_BASE!Y588</f>
        <v>1</v>
      </c>
    </row>
    <row r="589" spans="1:14" x14ac:dyDescent="0.25">
      <c r="A589" t="str">
        <f>CALC_GAMES_BASE!A589</f>
        <v>25/26</v>
      </c>
      <c r="B589" s="3">
        <f>CALC_GAMES_BASE!B589</f>
        <v>46040</v>
      </c>
      <c r="C589" s="3" t="str">
        <f>CALC_GAMES_BASE!C589</f>
        <v>SPA</v>
      </c>
      <c r="D589" s="3" t="str">
        <f>CALC_GAMES_BASE!D589</f>
        <v>KVA</v>
      </c>
      <c r="E589" s="7">
        <f>CALC_GAMES_BASE!E589</f>
        <v>0</v>
      </c>
      <c r="F589" s="6">
        <f>CALC_GAMES_BASE!N589</f>
        <v>-4.9999999999999822E-2</v>
      </c>
      <c r="G589" s="7">
        <f>CALC_GAMES_BASE!K589</f>
        <v>1</v>
      </c>
      <c r="H589" s="7">
        <f t="shared" si="9"/>
        <v>1</v>
      </c>
      <c r="I589" s="6">
        <f>IF(H589=1,
  F589,
  G589*PARAMETRY!$B$11)</f>
        <v>-4.9999999999999822E-2</v>
      </c>
      <c r="J589" s="6">
        <f>CALC_GAMES_BASE!U589-CALC_GAMES_BASE!V589</f>
        <v>4.6733821733821762E-2</v>
      </c>
      <c r="K589" s="6">
        <f>_xlfn.XLOOKUP(CALC_GAMES_BASE!W589,
  CALC_GOALIES!B:B,
  CALC_GOALIES!K:K)</f>
        <v>3.5919237922225067E-3</v>
      </c>
      <c r="L589" s="6">
        <f>_xlfn.XLOOKUP(C589,CALC_TEAMS_SEASON!B:B,CALC_TEAMS_SEASON!L:L)</f>
        <v>6.4376750700279955E-2</v>
      </c>
      <c r="M589">
        <f>IF(CALC_GAMES_BASE!Z589="RS",1,1.2)</f>
        <v>1</v>
      </c>
      <c r="N589">
        <f xml:space="preserve"> CALC_GAMES_BASE!Y589</f>
        <v>1</v>
      </c>
    </row>
    <row r="590" spans="1:14" x14ac:dyDescent="0.25">
      <c r="A590" t="str">
        <f>CALC_GAMES_BASE!A590</f>
        <v>25/26</v>
      </c>
      <c r="B590" s="3">
        <f>CALC_GAMES_BASE!B590</f>
        <v>46040</v>
      </c>
      <c r="C590" s="3" t="str">
        <f>CALC_GAMES_BASE!C590</f>
        <v>KVA</v>
      </c>
      <c r="D590" s="3" t="str">
        <f>CALC_GAMES_BASE!D590</f>
        <v>SPA</v>
      </c>
      <c r="E590" s="7">
        <f>CALC_GAMES_BASE!E590</f>
        <v>1</v>
      </c>
      <c r="F590" s="6">
        <f>CALC_GAMES_BASE!N590</f>
        <v>4.9999999999999822E-2</v>
      </c>
      <c r="G590" s="7">
        <f>CALC_GAMES_BASE!K590</f>
        <v>-1</v>
      </c>
      <c r="H590" s="7">
        <f t="shared" si="9"/>
        <v>1</v>
      </c>
      <c r="I590" s="6">
        <f>IF(H590=1,
  F590,
  G590*PARAMETRY!$B$11)</f>
        <v>4.9999999999999822E-2</v>
      </c>
      <c r="J590" s="6">
        <f>CALC_GAMES_BASE!U590-CALC_GAMES_BASE!V590</f>
        <v>-4.6733821733821762E-2</v>
      </c>
      <c r="K590" s="6">
        <f>_xlfn.XLOOKUP(CALC_GAMES_BASE!W590,
  CALC_GOALIES!B:B,
  CALC_GOALIES!K:K)</f>
        <v>-2.2629454281007488E-2</v>
      </c>
      <c r="L590" s="6">
        <f>_xlfn.XLOOKUP(C590,CALC_TEAMS_SEASON!B:B,CALC_TEAMS_SEASON!L:L)</f>
        <v>-0.28757177871148476</v>
      </c>
      <c r="M590">
        <f>IF(CALC_GAMES_BASE!Z590="RS",1,1.2)</f>
        <v>1</v>
      </c>
      <c r="N590">
        <f xml:space="preserve"> CALC_GAMES_BASE!Y590</f>
        <v>0</v>
      </c>
    </row>
    <row r="591" spans="1:14" x14ac:dyDescent="0.25">
      <c r="A591" t="str">
        <f>CALC_GAMES_BASE!A591</f>
        <v>25/26</v>
      </c>
      <c r="B591" s="3">
        <f>CALC_GAMES_BASE!B591</f>
        <v>46040</v>
      </c>
      <c r="C591" s="3" t="str">
        <f>CALC_GAMES_BASE!C591</f>
        <v>LIB</v>
      </c>
      <c r="D591" s="3" t="str">
        <f>CALC_GAMES_BASE!D591</f>
        <v>LIT</v>
      </c>
      <c r="E591" s="7">
        <f>CALC_GAMES_BASE!E591</f>
        <v>1</v>
      </c>
      <c r="F591" s="6" t="str">
        <f>CALC_GAMES_BASE!N591</f>
        <v/>
      </c>
      <c r="G591" s="7">
        <f>CALC_GAMES_BASE!K591</f>
        <v>4</v>
      </c>
      <c r="H591" s="7">
        <f t="shared" si="9"/>
        <v>0</v>
      </c>
      <c r="I591" s="6">
        <f>IF(H591=1,
  F591,
  G591*PARAMETRY!$B$11)</f>
        <v>0.2</v>
      </c>
      <c r="J591" s="6">
        <f>CALC_GAMES_BASE!U591-CALC_GAMES_BASE!V591</f>
        <v>4.2880036630036658E-2</v>
      </c>
      <c r="K591" s="6">
        <f>_xlfn.XLOOKUP(CALC_GAMES_BASE!W591,
  CALC_GOALIES!B:B,
  CALC_GOALIES!K:K)</f>
        <v>1.2275709048813366E-2</v>
      </c>
      <c r="L591" s="6">
        <f>_xlfn.XLOOKUP(C591,CALC_TEAMS_SEASON!B:B,CALC_TEAMS_SEASON!L:L)</f>
        <v>0.22367822128851536</v>
      </c>
      <c r="M591">
        <f>IF(CALC_GAMES_BASE!Z591="RS",1,1.2)</f>
        <v>1</v>
      </c>
      <c r="N591">
        <f xml:space="preserve"> CALC_GAMES_BASE!Y591</f>
        <v>1</v>
      </c>
    </row>
    <row r="592" spans="1:14" x14ac:dyDescent="0.25">
      <c r="A592" t="str">
        <f>CALC_GAMES_BASE!A592</f>
        <v>25/26</v>
      </c>
      <c r="B592" s="3">
        <f>CALC_GAMES_BASE!B592</f>
        <v>46040</v>
      </c>
      <c r="C592" s="3" t="str">
        <f>CALC_GAMES_BASE!C592</f>
        <v>LIT</v>
      </c>
      <c r="D592" s="3" t="str">
        <f>CALC_GAMES_BASE!D592</f>
        <v>LIB</v>
      </c>
      <c r="E592" s="7">
        <f>CALC_GAMES_BASE!E592</f>
        <v>0</v>
      </c>
      <c r="F592" s="6" t="str">
        <f>CALC_GAMES_BASE!N592</f>
        <v/>
      </c>
      <c r="G592" s="7">
        <f>CALC_GAMES_BASE!K592</f>
        <v>-4</v>
      </c>
      <c r="H592" s="7">
        <f t="shared" si="9"/>
        <v>0</v>
      </c>
      <c r="I592" s="6">
        <f>IF(H592=1,
  F592,
  G592*PARAMETRY!$B$11)</f>
        <v>-0.2</v>
      </c>
      <c r="J592" s="6">
        <f>CALC_GAMES_BASE!U592-CALC_GAMES_BASE!V592</f>
        <v>-4.2880036630036658E-2</v>
      </c>
      <c r="K592" s="6">
        <f>_xlfn.XLOOKUP(CALC_GAMES_BASE!W592,
  CALC_GOALIES!B:B,
  CALC_GOALIES!K:K)</f>
        <v>-4.9010888963920696E-3</v>
      </c>
      <c r="L592" s="6">
        <f>_xlfn.XLOOKUP(C592,CALC_TEAMS_SEASON!B:B,CALC_TEAMS_SEASON!L:L)</f>
        <v>-1.4784467787114848</v>
      </c>
      <c r="M592">
        <f>IF(CALC_GAMES_BASE!Z592="RS",1,1.2)</f>
        <v>1</v>
      </c>
      <c r="N592">
        <f xml:space="preserve"> CALC_GAMES_BASE!Y592</f>
        <v>0</v>
      </c>
    </row>
    <row r="593" spans="1:14" x14ac:dyDescent="0.25">
      <c r="A593" t="str">
        <f>CALC_GAMES_BASE!A593</f>
        <v>25/26</v>
      </c>
      <c r="B593" s="3">
        <f>CALC_GAMES_BASE!B593</f>
        <v>46040</v>
      </c>
      <c r="C593" s="3" t="str">
        <f>CALC_GAMES_BASE!C593</f>
        <v>MBL</v>
      </c>
      <c r="D593" s="3" t="str">
        <f>CALC_GAMES_BASE!D593</f>
        <v>TRI</v>
      </c>
      <c r="E593" s="7">
        <f>CALC_GAMES_BASE!E593</f>
        <v>1</v>
      </c>
      <c r="F593" s="6">
        <f>CALC_GAMES_BASE!N593</f>
        <v>-0.20999999999999996</v>
      </c>
      <c r="G593" s="7">
        <f>CALC_GAMES_BASE!K593</f>
        <v>-4</v>
      </c>
      <c r="H593" s="7">
        <f t="shared" si="9"/>
        <v>1</v>
      </c>
      <c r="I593" s="6">
        <f>IF(H593=1,
  F593,
  G593*PARAMETRY!$B$11)</f>
        <v>-0.20999999999999996</v>
      </c>
      <c r="J593" s="6">
        <f>CALC_GAMES_BASE!U593-CALC_GAMES_BASE!V593</f>
        <v>-5.6105006105006142E-2</v>
      </c>
      <c r="K593" s="6">
        <f>_xlfn.XLOOKUP(CALC_GAMES_BASE!W593,
  CALC_GOALIES!B:B,
  CALC_GOALIES!K:K)</f>
        <v>-4.4670611186142795E-3</v>
      </c>
      <c r="L593" s="6">
        <f>_xlfn.XLOOKUP(C593,CALC_TEAMS_SEASON!B:B,CALC_TEAMS_SEASON!L:L)</f>
        <v>-0.89069677871148467</v>
      </c>
      <c r="M593">
        <f>IF(CALC_GAMES_BASE!Z593="RS",1,1.2)</f>
        <v>1</v>
      </c>
      <c r="N593">
        <f xml:space="preserve"> CALC_GAMES_BASE!Y593</f>
        <v>1</v>
      </c>
    </row>
    <row r="594" spans="1:14" x14ac:dyDescent="0.25">
      <c r="A594" t="str">
        <f>CALC_GAMES_BASE!A594</f>
        <v>25/26</v>
      </c>
      <c r="B594" s="3">
        <f>CALC_GAMES_BASE!B594</f>
        <v>46040</v>
      </c>
      <c r="C594" s="3" t="str">
        <f>CALC_GAMES_BASE!C594</f>
        <v>MHK</v>
      </c>
      <c r="D594" s="3" t="str">
        <f>CALC_GAMES_BASE!D594</f>
        <v>PLZ</v>
      </c>
      <c r="E594" s="7">
        <f>CALC_GAMES_BASE!E594</f>
        <v>0</v>
      </c>
      <c r="F594" s="6" t="str">
        <f>CALC_GAMES_BASE!N594</f>
        <v/>
      </c>
      <c r="G594" s="7">
        <f>CALC_GAMES_BASE!K594</f>
        <v>-4</v>
      </c>
      <c r="H594" s="7">
        <f t="shared" si="9"/>
        <v>0</v>
      </c>
      <c r="I594" s="6">
        <f>IF(H594=1,
  F594,
  G594*PARAMETRY!$B$11)</f>
        <v>-0.2</v>
      </c>
      <c r="J594" s="6">
        <f>CALC_GAMES_BASE!U594-CALC_GAMES_BASE!V594</f>
        <v>-3.4561965811965745E-2</v>
      </c>
      <c r="K594" s="6">
        <f>_xlfn.XLOOKUP(CALC_GAMES_BASE!W594,
  CALC_GOALIES!B:B,
  CALC_GOALIES!K:K)</f>
        <v>2.1917994590268441E-2</v>
      </c>
      <c r="L594" s="6">
        <f>_xlfn.XLOOKUP(C594,CALC_TEAMS_SEASON!B:B,CALC_TEAMS_SEASON!L:L)</f>
        <v>0.14821988795518207</v>
      </c>
      <c r="M594">
        <f>IF(CALC_GAMES_BASE!Z594="RS",1,1.2)</f>
        <v>1</v>
      </c>
      <c r="N594">
        <f xml:space="preserve"> CALC_GAMES_BASE!Y594</f>
        <v>1</v>
      </c>
    </row>
    <row r="595" spans="1:14" x14ac:dyDescent="0.25">
      <c r="A595" t="str">
        <f>CALC_GAMES_BASE!A595</f>
        <v>25/26</v>
      </c>
      <c r="B595" s="3">
        <f>CALC_GAMES_BASE!B595</f>
        <v>46040</v>
      </c>
      <c r="C595" s="3" t="str">
        <f>CALC_GAMES_BASE!C595</f>
        <v>OLO</v>
      </c>
      <c r="D595" s="3" t="str">
        <f>CALC_GAMES_BASE!D595</f>
        <v>KLA</v>
      </c>
      <c r="E595" s="7">
        <f>CALC_GAMES_BASE!E595</f>
        <v>0</v>
      </c>
      <c r="F595" s="6" t="str">
        <f>CALC_GAMES_BASE!N595</f>
        <v/>
      </c>
      <c r="G595" s="7">
        <f>CALC_GAMES_BASE!K595</f>
        <v>-19</v>
      </c>
      <c r="H595" s="7">
        <f t="shared" si="9"/>
        <v>0</v>
      </c>
      <c r="I595" s="6">
        <f>IF(H595=1,
  F595,
  G595*PARAMETRY!$B$11)</f>
        <v>-0.95000000000000007</v>
      </c>
      <c r="J595" s="6">
        <f>CALC_GAMES_BASE!U595-CALC_GAMES_BASE!V595</f>
        <v>1.8688949938949984E-2</v>
      </c>
      <c r="K595" s="6">
        <f>_xlfn.XLOOKUP(CALC_GAMES_BASE!W595,
  CALC_GOALIES!B:B,
  CALC_GOALIES!K:K)</f>
        <v>4.4713327207696052E-3</v>
      </c>
      <c r="L595" s="6">
        <f>_xlfn.XLOOKUP(C595,CALC_TEAMS_SEASON!B:B,CALC_TEAMS_SEASON!L:L)</f>
        <v>-1.0613217787114846</v>
      </c>
      <c r="M595">
        <f>IF(CALC_GAMES_BASE!Z595="RS",1,1.2)</f>
        <v>1</v>
      </c>
      <c r="N595">
        <f xml:space="preserve"> CALC_GAMES_BASE!Y595</f>
        <v>0</v>
      </c>
    </row>
    <row r="596" spans="1:14" x14ac:dyDescent="0.25">
      <c r="A596" t="str">
        <f>CALC_GAMES_BASE!A596</f>
        <v>25/26</v>
      </c>
      <c r="B596" s="3">
        <f>CALC_GAMES_BASE!B596</f>
        <v>46040</v>
      </c>
      <c r="C596" s="3" t="str">
        <f>CALC_GAMES_BASE!C596</f>
        <v>PLZ</v>
      </c>
      <c r="D596" s="3" t="str">
        <f>CALC_GAMES_BASE!D596</f>
        <v>MHK</v>
      </c>
      <c r="E596" s="7">
        <f>CALC_GAMES_BASE!E596</f>
        <v>1</v>
      </c>
      <c r="F596" s="6" t="str">
        <f>CALC_GAMES_BASE!N596</f>
        <v/>
      </c>
      <c r="G596" s="7">
        <f>CALC_GAMES_BASE!K596</f>
        <v>4</v>
      </c>
      <c r="H596" s="7">
        <f t="shared" si="9"/>
        <v>0</v>
      </c>
      <c r="I596" s="6">
        <f>IF(H596=1,
  F596,
  G596*PARAMETRY!$B$11)</f>
        <v>0.2</v>
      </c>
      <c r="J596" s="6">
        <f>CALC_GAMES_BASE!U596-CALC_GAMES_BASE!V596</f>
        <v>3.4561965811965745E-2</v>
      </c>
      <c r="K596" s="6">
        <f>_xlfn.XLOOKUP(CALC_GAMES_BASE!W596,
  CALC_GOALIES!B:B,
  CALC_GOALIES!K:K)</f>
        <v>1.7617039556646619E-2</v>
      </c>
      <c r="L596" s="6">
        <f>_xlfn.XLOOKUP(C596,CALC_TEAMS_SEASON!B:B,CALC_TEAMS_SEASON!L:L)</f>
        <v>7.3678221288515283E-2</v>
      </c>
      <c r="M596">
        <f>IF(CALC_GAMES_BASE!Z596="RS",1,1.2)</f>
        <v>1</v>
      </c>
      <c r="N596">
        <f xml:space="preserve"> CALC_GAMES_BASE!Y596</f>
        <v>0</v>
      </c>
    </row>
    <row r="597" spans="1:14" x14ac:dyDescent="0.25">
      <c r="A597" t="str">
        <f>CALC_GAMES_BASE!A597</f>
        <v>25/26</v>
      </c>
      <c r="B597" s="3">
        <f>CALC_GAMES_BASE!B597</f>
        <v>46040</v>
      </c>
      <c r="C597" s="3" t="str">
        <f>CALC_GAMES_BASE!C597</f>
        <v>VIT</v>
      </c>
      <c r="D597" s="3" t="str">
        <f>CALC_GAMES_BASE!D597</f>
        <v>KOM</v>
      </c>
      <c r="E597" s="7">
        <f>CALC_GAMES_BASE!E597</f>
        <v>1</v>
      </c>
      <c r="F597" s="6">
        <f>CALC_GAMES_BASE!N597</f>
        <v>0.33999999999999986</v>
      </c>
      <c r="G597" s="7">
        <f>CALC_GAMES_BASE!K597</f>
        <v>3</v>
      </c>
      <c r="H597" s="7">
        <f t="shared" si="9"/>
        <v>1</v>
      </c>
      <c r="I597" s="6">
        <f>IF(H597=1,
  F597,
  G597*PARAMETRY!$B$11)</f>
        <v>0.33999999999999986</v>
      </c>
      <c r="J597" s="6">
        <f>CALC_GAMES_BASE!U597-CALC_GAMES_BASE!V597</f>
        <v>2.6259157509157555E-2</v>
      </c>
      <c r="K597" s="6">
        <f>_xlfn.XLOOKUP(CALC_GAMES_BASE!W597,
  CALC_GOALIES!B:B,
  CALC_GOALIES!K:K)</f>
        <v>1.905487900993541E-3</v>
      </c>
      <c r="L597" s="6">
        <f>_xlfn.XLOOKUP(C597,CALC_TEAMS_SEASON!B:B,CALC_TEAMS_SEASON!L:L)</f>
        <v>-1.0281967787114845</v>
      </c>
      <c r="M597">
        <f>IF(CALC_GAMES_BASE!Z597="RS",1,1.2)</f>
        <v>1</v>
      </c>
      <c r="N597">
        <f xml:space="preserve"> CALC_GAMES_BASE!Y597</f>
        <v>0</v>
      </c>
    </row>
    <row r="598" spans="1:14" x14ac:dyDescent="0.25">
      <c r="A598" t="str">
        <f>CALC_GAMES_BASE!A598</f>
        <v>25/26</v>
      </c>
      <c r="B598" s="3">
        <f>CALC_GAMES_BASE!B598</f>
        <v>46042</v>
      </c>
      <c r="C598" s="3" t="str">
        <f>CALC_GAMES_BASE!C598</f>
        <v>TRI</v>
      </c>
      <c r="D598" s="3" t="str">
        <f>CALC_GAMES_BASE!D598</f>
        <v>PLZ</v>
      </c>
      <c r="E598" s="7">
        <f>CALC_GAMES_BASE!E598</f>
        <v>0</v>
      </c>
      <c r="F598" s="6">
        <f>CALC_GAMES_BASE!N598</f>
        <v>0.8</v>
      </c>
      <c r="G598" s="7">
        <f>CALC_GAMES_BASE!K598</f>
        <v>1</v>
      </c>
      <c r="H598" s="7">
        <f t="shared" si="9"/>
        <v>1</v>
      </c>
      <c r="I598" s="6">
        <f>IF(H598=1,
  F598,
  G598*PARAMETRY!$B$11)</f>
        <v>0.8</v>
      </c>
      <c r="J598" s="6">
        <f>CALC_GAMES_BASE!U598-CALC_GAMES_BASE!V598</f>
        <v>-2.037545787545697E-3</v>
      </c>
      <c r="K598" s="6">
        <f>_xlfn.XLOOKUP(CALC_GAMES_BASE!W598,
  CALC_GOALIES!B:B,
  CALC_GOALIES!K:K)</f>
        <v>1.3707542055988897E-2</v>
      </c>
      <c r="L598" s="6">
        <f>_xlfn.XLOOKUP(C598,CALC_TEAMS_SEASON!B:B,CALC_TEAMS_SEASON!L:L)</f>
        <v>0.10805322128851533</v>
      </c>
      <c r="M598">
        <f>IF(CALC_GAMES_BASE!Z598="RS",1,1.2)</f>
        <v>1</v>
      </c>
      <c r="N598">
        <f xml:space="preserve"> CALC_GAMES_BASE!Y598</f>
        <v>0</v>
      </c>
    </row>
    <row r="599" spans="1:14" x14ac:dyDescent="0.25">
      <c r="A599" t="str">
        <f>CALC_GAMES_BASE!A599</f>
        <v>25/26</v>
      </c>
      <c r="B599" s="3">
        <f>CALC_GAMES_BASE!B599</f>
        <v>46042</v>
      </c>
      <c r="C599" s="3" t="str">
        <f>CALC_GAMES_BASE!C599</f>
        <v>SPA</v>
      </c>
      <c r="D599" s="3" t="str">
        <f>CALC_GAMES_BASE!D599</f>
        <v>MHK</v>
      </c>
      <c r="E599" s="7">
        <f>CALC_GAMES_BASE!E599</f>
        <v>1</v>
      </c>
      <c r="F599" s="6">
        <f>CALC_GAMES_BASE!N599</f>
        <v>-6.0000000000000053E-2</v>
      </c>
      <c r="G599" s="7">
        <f>CALC_GAMES_BASE!K599</f>
        <v>8</v>
      </c>
      <c r="H599" s="7">
        <f t="shared" si="9"/>
        <v>1</v>
      </c>
      <c r="I599" s="6">
        <f>IF(H599=1,
  F599,
  G599*PARAMETRY!$B$11)</f>
        <v>-6.0000000000000053E-2</v>
      </c>
      <c r="J599" s="6">
        <f>CALC_GAMES_BASE!U599-CALC_GAMES_BASE!V599</f>
        <v>7.875457875457878E-2</v>
      </c>
      <c r="K599" s="6">
        <f>_xlfn.XLOOKUP(CALC_GAMES_BASE!W599,
  CALC_GOALIES!B:B,
  CALC_GOALIES!K:K)</f>
        <v>3.5919237922225067E-3</v>
      </c>
      <c r="L599" s="6">
        <f>_xlfn.XLOOKUP(C599,CALC_TEAMS_SEASON!B:B,CALC_TEAMS_SEASON!L:L)</f>
        <v>6.4376750700279955E-2</v>
      </c>
      <c r="M599">
        <f>IF(CALC_GAMES_BASE!Z599="RS",1,1.2)</f>
        <v>1</v>
      </c>
      <c r="N599">
        <f xml:space="preserve"> CALC_GAMES_BASE!Y599</f>
        <v>0</v>
      </c>
    </row>
    <row r="600" spans="1:14" x14ac:dyDescent="0.25">
      <c r="A600" t="str">
        <f>CALC_GAMES_BASE!A600</f>
        <v>25/26</v>
      </c>
      <c r="B600" s="3">
        <f>CALC_GAMES_BASE!B600</f>
        <v>46042</v>
      </c>
      <c r="C600" s="3" t="str">
        <f>CALC_GAMES_BASE!C600</f>
        <v>MHK</v>
      </c>
      <c r="D600" s="3" t="str">
        <f>CALC_GAMES_BASE!D600</f>
        <v>SPA</v>
      </c>
      <c r="E600" s="7">
        <f>CALC_GAMES_BASE!E600</f>
        <v>0</v>
      </c>
      <c r="F600" s="6">
        <f>CALC_GAMES_BASE!N600</f>
        <v>6.0000000000000053E-2</v>
      </c>
      <c r="G600" s="7">
        <f>CALC_GAMES_BASE!K600</f>
        <v>-8</v>
      </c>
      <c r="H600" s="7">
        <f t="shared" si="9"/>
        <v>1</v>
      </c>
      <c r="I600" s="6">
        <f>IF(H600=1,
  F600,
  G600*PARAMETRY!$B$11)</f>
        <v>6.0000000000000053E-2</v>
      </c>
      <c r="J600" s="6">
        <f>CALC_GAMES_BASE!U600-CALC_GAMES_BASE!V600</f>
        <v>-7.875457875457878E-2</v>
      </c>
      <c r="K600" s="6">
        <f>_xlfn.XLOOKUP(CALC_GAMES_BASE!W600,
  CALC_GOALIES!B:B,
  CALC_GOALIES!K:K)</f>
        <v>2.1917994590268441E-2</v>
      </c>
      <c r="L600" s="6">
        <f>_xlfn.XLOOKUP(C600,CALC_TEAMS_SEASON!B:B,CALC_TEAMS_SEASON!L:L)</f>
        <v>0.14821988795518207</v>
      </c>
      <c r="M600">
        <f>IF(CALC_GAMES_BASE!Z600="RS",1,1.2)</f>
        <v>1</v>
      </c>
      <c r="N600">
        <f xml:space="preserve"> CALC_GAMES_BASE!Y600</f>
        <v>1</v>
      </c>
    </row>
    <row r="601" spans="1:14" x14ac:dyDescent="0.25">
      <c r="A601" t="str">
        <f>CALC_GAMES_BASE!A601</f>
        <v>25/26</v>
      </c>
      <c r="B601" s="3">
        <f>CALC_GAMES_BASE!B601</f>
        <v>46042</v>
      </c>
      <c r="C601" s="3" t="str">
        <f>CALC_GAMES_BASE!C601</f>
        <v>PLZ</v>
      </c>
      <c r="D601" s="3" t="str">
        <f>CALC_GAMES_BASE!D601</f>
        <v>TRI</v>
      </c>
      <c r="E601" s="7">
        <f>CALC_GAMES_BASE!E601</f>
        <v>1</v>
      </c>
      <c r="F601" s="6">
        <f>CALC_GAMES_BASE!N601</f>
        <v>-0.8</v>
      </c>
      <c r="G601" s="7">
        <f>CALC_GAMES_BASE!K601</f>
        <v>-1</v>
      </c>
      <c r="H601" s="7">
        <f t="shared" si="9"/>
        <v>1</v>
      </c>
      <c r="I601" s="6">
        <f>IF(H601=1,
  F601,
  G601*PARAMETRY!$B$11)</f>
        <v>-0.8</v>
      </c>
      <c r="J601" s="6">
        <f>CALC_GAMES_BASE!U601-CALC_GAMES_BASE!V601</f>
        <v>2.037545787545697E-3</v>
      </c>
      <c r="K601" s="6">
        <f>_xlfn.XLOOKUP(CALC_GAMES_BASE!W601,
  CALC_GOALIES!B:B,
  CALC_GOALIES!K:K)</f>
        <v>1.7617039556646619E-2</v>
      </c>
      <c r="L601" s="6">
        <f>_xlfn.XLOOKUP(C601,CALC_TEAMS_SEASON!B:B,CALC_TEAMS_SEASON!L:L)</f>
        <v>7.3678221288515283E-2</v>
      </c>
      <c r="M601">
        <f>IF(CALC_GAMES_BASE!Z601="RS",1,1.2)</f>
        <v>1</v>
      </c>
      <c r="N601">
        <f xml:space="preserve"> CALC_GAMES_BASE!Y601</f>
        <v>1</v>
      </c>
    </row>
    <row r="602" spans="1:14" x14ac:dyDescent="0.25">
      <c r="A602" t="str">
        <f>CALC_GAMES_BASE!A602</f>
        <v>25/26</v>
      </c>
      <c r="B602" s="3">
        <f>CALC_GAMES_BASE!B602</f>
        <v>46043</v>
      </c>
      <c r="C602" s="3" t="str">
        <f>CALC_GAMES_BASE!C602</f>
        <v>PCE</v>
      </c>
      <c r="D602" s="3" t="str">
        <f>CALC_GAMES_BASE!D602</f>
        <v>KOM</v>
      </c>
      <c r="E602" s="7">
        <f>CALC_GAMES_BASE!E602</f>
        <v>1</v>
      </c>
      <c r="F602" s="6">
        <f>CALC_GAMES_BASE!N602</f>
        <v>1.9599999999999995</v>
      </c>
      <c r="G602" s="7">
        <f>CALC_GAMES_BASE!K602</f>
        <v>25</v>
      </c>
      <c r="H602" s="7">
        <f t="shared" si="9"/>
        <v>1</v>
      </c>
      <c r="I602" s="6">
        <f>IF(H602=1,
  F602,
  G602*PARAMETRY!$B$11)</f>
        <v>1.9599999999999995</v>
      </c>
      <c r="J602" s="6">
        <f>CALC_GAMES_BASE!U602-CALC_GAMES_BASE!V602</f>
        <v>5.9386446886446953E-2</v>
      </c>
      <c r="K602" s="6">
        <f>_xlfn.XLOOKUP(CALC_GAMES_BASE!W602,
  CALC_GOALIES!B:B,
  CALC_GOALIES!K:K)</f>
        <v>4.5881077393388203E-3</v>
      </c>
      <c r="L602" s="6">
        <f>_xlfn.XLOOKUP(C602,CALC_TEAMS_SEASON!B:B,CALC_TEAMS_SEASON!L:L)</f>
        <v>0.62437675070027965</v>
      </c>
      <c r="M602">
        <f>IF(CALC_GAMES_BASE!Z602="RS",1,1.2)</f>
        <v>1</v>
      </c>
      <c r="N602">
        <f xml:space="preserve"> CALC_GAMES_BASE!Y602</f>
        <v>1</v>
      </c>
    </row>
    <row r="603" spans="1:14" x14ac:dyDescent="0.25">
      <c r="A603" t="str">
        <f>CALC_GAMES_BASE!A603</f>
        <v>25/26</v>
      </c>
      <c r="B603" s="3">
        <f>CALC_GAMES_BASE!B603</f>
        <v>46043</v>
      </c>
      <c r="C603" s="3" t="str">
        <f>CALC_GAMES_BASE!C603</f>
        <v>KOM</v>
      </c>
      <c r="D603" s="3" t="str">
        <f>CALC_GAMES_BASE!D603</f>
        <v>PCE</v>
      </c>
      <c r="E603" s="7">
        <f>CALC_GAMES_BASE!E603</f>
        <v>0</v>
      </c>
      <c r="F603" s="6">
        <f>CALC_GAMES_BASE!N603</f>
        <v>-1.9599999999999995</v>
      </c>
      <c r="G603" s="7">
        <f>CALC_GAMES_BASE!K603</f>
        <v>-25</v>
      </c>
      <c r="H603" s="7">
        <f t="shared" si="9"/>
        <v>1</v>
      </c>
      <c r="I603" s="6">
        <f>IF(H603=1,
  F603,
  G603*PARAMETRY!$B$11)</f>
        <v>-1.9599999999999995</v>
      </c>
      <c r="J603" s="6">
        <f>CALC_GAMES_BASE!U603-CALC_GAMES_BASE!V603</f>
        <v>-5.9386446886446953E-2</v>
      </c>
      <c r="K603" s="6">
        <f>_xlfn.XLOOKUP(CALC_GAMES_BASE!W603,
  CALC_GOALIES!B:B,
  CALC_GOALIES!K:K)</f>
        <v>-2.2891097399793447E-2</v>
      </c>
      <c r="L603" s="6">
        <f>_xlfn.XLOOKUP(C603,CALC_TEAMS_SEASON!B:B,CALC_TEAMS_SEASON!L:L)</f>
        <v>-0.37268207282913179</v>
      </c>
      <c r="M603">
        <f>IF(CALC_GAMES_BASE!Z603="RS",1,1.2)</f>
        <v>1</v>
      </c>
      <c r="N603">
        <f xml:space="preserve"> CALC_GAMES_BASE!Y603</f>
        <v>0</v>
      </c>
    </row>
    <row r="604" spans="1:14" x14ac:dyDescent="0.25">
      <c r="A604" t="str">
        <f>CALC_GAMES_BASE!A604</f>
        <v>25/26</v>
      </c>
      <c r="B604" s="3">
        <f>CALC_GAMES_BASE!B604</f>
        <v>46045</v>
      </c>
      <c r="C604" s="3" t="str">
        <f>CALC_GAMES_BASE!C604</f>
        <v>PCE</v>
      </c>
      <c r="D604" s="3" t="str">
        <f>CALC_GAMES_BASE!D604</f>
        <v>OLO</v>
      </c>
      <c r="E604" s="7">
        <f>CALC_GAMES_BASE!E604</f>
        <v>0</v>
      </c>
      <c r="F604" s="6">
        <f>CALC_GAMES_BASE!N604</f>
        <v>0.45999999999999996</v>
      </c>
      <c r="G604" s="7">
        <f>CALC_GAMES_BASE!K604</f>
        <v>3</v>
      </c>
      <c r="H604" s="7">
        <f t="shared" si="9"/>
        <v>1</v>
      </c>
      <c r="I604" s="6">
        <f>IF(H604=1,
  F604,
  G604*PARAMETRY!$B$11)</f>
        <v>0.45999999999999996</v>
      </c>
      <c r="J604" s="6">
        <f>CALC_GAMES_BASE!U604-CALC_GAMES_BASE!V604</f>
        <v>5.3083028083028116E-2</v>
      </c>
      <c r="K604" s="6">
        <f>_xlfn.XLOOKUP(CALC_GAMES_BASE!W604,
  CALC_GOALIES!B:B,
  CALC_GOALIES!K:K)</f>
        <v>-2.4829341344873024E-3</v>
      </c>
      <c r="L604" s="6">
        <f>_xlfn.XLOOKUP(C604,CALC_TEAMS_SEASON!B:B,CALC_TEAMS_SEASON!L:L)</f>
        <v>0.62437675070027965</v>
      </c>
      <c r="M604">
        <f>IF(CALC_GAMES_BASE!Z604="RS",1,1.2)</f>
        <v>1</v>
      </c>
      <c r="N604">
        <f xml:space="preserve"> CALC_GAMES_BASE!Y604</f>
        <v>1</v>
      </c>
    </row>
    <row r="605" spans="1:14" x14ac:dyDescent="0.25">
      <c r="A605" t="str">
        <f>CALC_GAMES_BASE!A605</f>
        <v>25/26</v>
      </c>
      <c r="B605" s="3">
        <f>CALC_GAMES_BASE!B605</f>
        <v>46045</v>
      </c>
      <c r="C605" s="3" t="str">
        <f>CALC_GAMES_BASE!C605</f>
        <v>KOM</v>
      </c>
      <c r="D605" s="3" t="str">
        <f>CALC_GAMES_BASE!D605</f>
        <v>LIB</v>
      </c>
      <c r="E605" s="7">
        <f>CALC_GAMES_BASE!E605</f>
        <v>0</v>
      </c>
      <c r="F605" s="6">
        <f>CALC_GAMES_BASE!N605</f>
        <v>-1.19</v>
      </c>
      <c r="G605" s="7">
        <f>CALC_GAMES_BASE!K605</f>
        <v>-12</v>
      </c>
      <c r="H605" s="7">
        <f t="shared" si="9"/>
        <v>1</v>
      </c>
      <c r="I605" s="6">
        <f>IF(H605=1,
  F605,
  G605*PARAMETRY!$B$11)</f>
        <v>-1.19</v>
      </c>
      <c r="J605" s="6">
        <f>CALC_GAMES_BASE!U605-CALC_GAMES_BASE!V605</f>
        <v>-1.8315018315021026E-4</v>
      </c>
      <c r="K605" s="6">
        <f>_xlfn.XLOOKUP(CALC_GAMES_BASE!W605,
  CALC_GOALIES!B:B,
  CALC_GOALIES!K:K)</f>
        <v>-1.5147095063735572E-3</v>
      </c>
      <c r="L605" s="6">
        <f>_xlfn.XLOOKUP(C605,CALC_TEAMS_SEASON!B:B,CALC_TEAMS_SEASON!L:L)</f>
        <v>-0.37268207282913179</v>
      </c>
      <c r="M605">
        <f>IF(CALC_GAMES_BASE!Z605="RS",1,1.2)</f>
        <v>1</v>
      </c>
      <c r="N605">
        <f xml:space="preserve"> CALC_GAMES_BASE!Y605</f>
        <v>0</v>
      </c>
    </row>
    <row r="606" spans="1:14" x14ac:dyDescent="0.25">
      <c r="A606" t="str">
        <f>CALC_GAMES_BASE!A606</f>
        <v>25/26</v>
      </c>
      <c r="B606" s="3">
        <f>CALC_GAMES_BASE!B606</f>
        <v>46045</v>
      </c>
      <c r="C606" s="3" t="str">
        <f>CALC_GAMES_BASE!C606</f>
        <v>CEB</v>
      </c>
      <c r="D606" s="3" t="str">
        <f>CALC_GAMES_BASE!D606</f>
        <v>KLA</v>
      </c>
      <c r="E606" s="7">
        <f>CALC_GAMES_BASE!E606</f>
        <v>1</v>
      </c>
      <c r="F606" s="6" t="str">
        <f>CALC_GAMES_BASE!N606</f>
        <v/>
      </c>
      <c r="G606" s="7">
        <f>CALC_GAMES_BASE!K606</f>
        <v>-9</v>
      </c>
      <c r="H606" s="7">
        <f t="shared" si="9"/>
        <v>0</v>
      </c>
      <c r="I606" s="6">
        <f>IF(H606=1,
  F606,
  G606*PARAMETRY!$B$11)</f>
        <v>-0.45</v>
      </c>
      <c r="J606" s="6">
        <f>CALC_GAMES_BASE!U606-CALC_GAMES_BASE!V606</f>
        <v>-9.9067599067595435E-4</v>
      </c>
      <c r="K606" s="6">
        <f>_xlfn.XLOOKUP(CALC_GAMES_BASE!W606,
  CALC_GOALIES!B:B,
  CALC_GOALIES!K:K)</f>
        <v>3.9343341510811314E-3</v>
      </c>
      <c r="L606" s="6">
        <f>_xlfn.XLOOKUP(C606,CALC_TEAMS_SEASON!B:B,CALC_TEAMS_SEASON!L:L)</f>
        <v>-0.24978011204481798</v>
      </c>
      <c r="M606">
        <f>IF(CALC_GAMES_BASE!Z606="RS",1,1.2)</f>
        <v>1</v>
      </c>
      <c r="N606">
        <f xml:space="preserve"> CALC_GAMES_BASE!Y606</f>
        <v>0</v>
      </c>
    </row>
    <row r="607" spans="1:14" x14ac:dyDescent="0.25">
      <c r="A607" t="str">
        <f>CALC_GAMES_BASE!A607</f>
        <v>25/26</v>
      </c>
      <c r="B607" s="3">
        <f>CALC_GAMES_BASE!B607</f>
        <v>46045</v>
      </c>
      <c r="C607" s="3" t="str">
        <f>CALC_GAMES_BASE!C607</f>
        <v>KLA</v>
      </c>
      <c r="D607" s="3" t="str">
        <f>CALC_GAMES_BASE!D607</f>
        <v>CEB</v>
      </c>
      <c r="E607" s="7">
        <f>CALC_GAMES_BASE!E607</f>
        <v>0</v>
      </c>
      <c r="F607" s="6" t="str">
        <f>CALC_GAMES_BASE!N607</f>
        <v/>
      </c>
      <c r="G607" s="7">
        <f>CALC_GAMES_BASE!K607</f>
        <v>9</v>
      </c>
      <c r="H607" s="7">
        <f t="shared" si="9"/>
        <v>0</v>
      </c>
      <c r="I607" s="6">
        <f>IF(H607=1,
  F607,
  G607*PARAMETRY!$B$11)</f>
        <v>0.45</v>
      </c>
      <c r="J607" s="6">
        <f>CALC_GAMES_BASE!U607-CALC_GAMES_BASE!V607</f>
        <v>9.9067599067595435E-4</v>
      </c>
      <c r="K607" s="6">
        <f>_xlfn.XLOOKUP(CALC_GAMES_BASE!W607,
  CALC_GOALIES!B:B,
  CALC_GOALIES!K:K)</f>
        <v>1.2463190300688209E-2</v>
      </c>
      <c r="L607" s="6">
        <f>_xlfn.XLOOKUP(C607,CALC_TEAMS_SEASON!B:B,CALC_TEAMS_SEASON!L:L)</f>
        <v>-0.19819677871148478</v>
      </c>
      <c r="M607">
        <f>IF(CALC_GAMES_BASE!Z607="RS",1,1.2)</f>
        <v>1</v>
      </c>
      <c r="N607">
        <f xml:space="preserve"> CALC_GAMES_BASE!Y607</f>
        <v>1</v>
      </c>
    </row>
    <row r="608" spans="1:14" x14ac:dyDescent="0.25">
      <c r="A608" t="str">
        <f>CALC_GAMES_BASE!A608</f>
        <v>25/26</v>
      </c>
      <c r="B608" s="3">
        <f>CALC_GAMES_BASE!B608</f>
        <v>46045</v>
      </c>
      <c r="C608" s="3" t="str">
        <f>CALC_GAMES_BASE!C608</f>
        <v>KVA</v>
      </c>
      <c r="D608" s="3" t="str">
        <f>CALC_GAMES_BASE!D608</f>
        <v>MHK</v>
      </c>
      <c r="E608" s="7">
        <f>CALC_GAMES_BASE!E608</f>
        <v>0</v>
      </c>
      <c r="F608" s="6" t="str">
        <f>CALC_GAMES_BASE!N608</f>
        <v/>
      </c>
      <c r="G608" s="7">
        <f>CALC_GAMES_BASE!K608</f>
        <v>1</v>
      </c>
      <c r="H608" s="7">
        <f t="shared" si="9"/>
        <v>0</v>
      </c>
      <c r="I608" s="6">
        <f>IF(H608=1,
  F608,
  G608*PARAMETRY!$B$11)</f>
        <v>0.05</v>
      </c>
      <c r="J608" s="6">
        <f>CALC_GAMES_BASE!U608-CALC_GAMES_BASE!V608</f>
        <v>3.2020757020757018E-2</v>
      </c>
      <c r="K608" s="6">
        <f>_xlfn.XLOOKUP(CALC_GAMES_BASE!W608,
  CALC_GOALIES!B:B,
  CALC_GOALIES!K:K)</f>
        <v>-2.2629454281007488E-2</v>
      </c>
      <c r="L608" s="6">
        <f>_xlfn.XLOOKUP(C608,CALC_TEAMS_SEASON!B:B,CALC_TEAMS_SEASON!L:L)</f>
        <v>-0.28757177871148476</v>
      </c>
      <c r="M608">
        <f>IF(CALC_GAMES_BASE!Z608="RS",1,1.2)</f>
        <v>1</v>
      </c>
      <c r="N608">
        <f xml:space="preserve"> CALC_GAMES_BASE!Y608</f>
        <v>1</v>
      </c>
    </row>
    <row r="609" spans="1:14" x14ac:dyDescent="0.25">
      <c r="A609" t="str">
        <f>CALC_GAMES_BASE!A609</f>
        <v>25/26</v>
      </c>
      <c r="B609" s="3">
        <f>CALC_GAMES_BASE!B609</f>
        <v>46045</v>
      </c>
      <c r="C609" s="3" t="str">
        <f>CALC_GAMES_BASE!C609</f>
        <v>LIB</v>
      </c>
      <c r="D609" s="3" t="str">
        <f>CALC_GAMES_BASE!D609</f>
        <v>KOM</v>
      </c>
      <c r="E609" s="7">
        <f>CALC_GAMES_BASE!E609</f>
        <v>1</v>
      </c>
      <c r="F609" s="6">
        <f>CALC_GAMES_BASE!N609</f>
        <v>1.19</v>
      </c>
      <c r="G609" s="7">
        <f>CALC_GAMES_BASE!K609</f>
        <v>12</v>
      </c>
      <c r="H609" s="7">
        <f t="shared" si="9"/>
        <v>1</v>
      </c>
      <c r="I609" s="6">
        <f>IF(H609=1,
  F609,
  G609*PARAMETRY!$B$11)</f>
        <v>1.19</v>
      </c>
      <c r="J609" s="6">
        <f>CALC_GAMES_BASE!U609-CALC_GAMES_BASE!V609</f>
        <v>1.8315018315021026E-4</v>
      </c>
      <c r="K609" s="6">
        <f>_xlfn.XLOOKUP(CALC_GAMES_BASE!W609,
  CALC_GOALIES!B:B,
  CALC_GOALIES!K:K)</f>
        <v>1.2275709048813366E-2</v>
      </c>
      <c r="L609" s="6">
        <f>_xlfn.XLOOKUP(C609,CALC_TEAMS_SEASON!B:B,CALC_TEAMS_SEASON!L:L)</f>
        <v>0.22367822128851536</v>
      </c>
      <c r="M609">
        <f>IF(CALC_GAMES_BASE!Z609="RS",1,1.2)</f>
        <v>1</v>
      </c>
      <c r="N609">
        <f xml:space="preserve"> CALC_GAMES_BASE!Y609</f>
        <v>1</v>
      </c>
    </row>
    <row r="610" spans="1:14" x14ac:dyDescent="0.25">
      <c r="A610" t="str">
        <f>CALC_GAMES_BASE!A610</f>
        <v>25/26</v>
      </c>
      <c r="B610" s="3">
        <f>CALC_GAMES_BASE!B610</f>
        <v>46045</v>
      </c>
      <c r="C610" s="3" t="str">
        <f>CALC_GAMES_BASE!C610</f>
        <v>MBL</v>
      </c>
      <c r="D610" s="3" t="str">
        <f>CALC_GAMES_BASE!D610</f>
        <v>VIT</v>
      </c>
      <c r="E610" s="7">
        <f>CALC_GAMES_BASE!E610</f>
        <v>1</v>
      </c>
      <c r="F610" s="6" t="str">
        <f>CALC_GAMES_BASE!N610</f>
        <v/>
      </c>
      <c r="G610" s="7">
        <f>CALC_GAMES_BASE!K610</f>
        <v>12</v>
      </c>
      <c r="H610" s="7">
        <f t="shared" si="9"/>
        <v>0</v>
      </c>
      <c r="I610" s="6">
        <f>IF(H610=1,
  F610,
  G610*PARAMETRY!$B$11)</f>
        <v>0.60000000000000009</v>
      </c>
      <c r="J610" s="6">
        <f>CALC_GAMES_BASE!U610-CALC_GAMES_BASE!V610</f>
        <v>-5.1579670329670355E-2</v>
      </c>
      <c r="K610" s="6">
        <f>_xlfn.XLOOKUP(CALC_GAMES_BASE!W610,
  CALC_GOALIES!B:B,
  CALC_GOALIES!K:K)</f>
        <v>-4.4670611186142795E-3</v>
      </c>
      <c r="L610" s="6">
        <f>_xlfn.XLOOKUP(C610,CALC_TEAMS_SEASON!B:B,CALC_TEAMS_SEASON!L:L)</f>
        <v>-0.89069677871148467</v>
      </c>
      <c r="M610">
        <f>IF(CALC_GAMES_BASE!Z610="RS",1,1.2)</f>
        <v>1</v>
      </c>
      <c r="N610">
        <f xml:space="preserve"> CALC_GAMES_BASE!Y610</f>
        <v>1</v>
      </c>
    </row>
    <row r="611" spans="1:14" x14ac:dyDescent="0.25">
      <c r="A611" t="str">
        <f>CALC_GAMES_BASE!A611</f>
        <v>25/26</v>
      </c>
      <c r="B611" s="3">
        <f>CALC_GAMES_BASE!B611</f>
        <v>46045</v>
      </c>
      <c r="C611" s="3" t="str">
        <f>CALC_GAMES_BASE!C611</f>
        <v>MHK</v>
      </c>
      <c r="D611" s="3" t="str">
        <f>CALC_GAMES_BASE!D611</f>
        <v>KVA</v>
      </c>
      <c r="E611" s="7">
        <f>CALC_GAMES_BASE!E611</f>
        <v>1</v>
      </c>
      <c r="F611" s="6" t="str">
        <f>CALC_GAMES_BASE!N611</f>
        <v/>
      </c>
      <c r="G611" s="7">
        <f>CALC_GAMES_BASE!K611</f>
        <v>-1</v>
      </c>
      <c r="H611" s="7">
        <f t="shared" si="9"/>
        <v>0</v>
      </c>
      <c r="I611" s="6">
        <f>IF(H611=1,
  F611,
  G611*PARAMETRY!$B$11)</f>
        <v>-0.05</v>
      </c>
      <c r="J611" s="6">
        <f>CALC_GAMES_BASE!U611-CALC_GAMES_BASE!V611</f>
        <v>-3.2020757020757018E-2</v>
      </c>
      <c r="K611" s="6">
        <f>_xlfn.XLOOKUP(CALC_GAMES_BASE!W611,
  CALC_GOALIES!B:B,
  CALC_GOALIES!K:K)</f>
        <v>2.1917994590268441E-2</v>
      </c>
      <c r="L611" s="6">
        <f>_xlfn.XLOOKUP(C611,CALC_TEAMS_SEASON!B:B,CALC_TEAMS_SEASON!L:L)</f>
        <v>0.14821988795518207</v>
      </c>
      <c r="M611">
        <f>IF(CALC_GAMES_BASE!Z611="RS",1,1.2)</f>
        <v>1</v>
      </c>
      <c r="N611">
        <f xml:space="preserve"> CALC_GAMES_BASE!Y611</f>
        <v>0</v>
      </c>
    </row>
    <row r="612" spans="1:14" x14ac:dyDescent="0.25">
      <c r="A612" t="str">
        <f>CALC_GAMES_BASE!A612</f>
        <v>25/26</v>
      </c>
      <c r="B612" s="3">
        <f>CALC_GAMES_BASE!B612</f>
        <v>46045</v>
      </c>
      <c r="C612" s="3" t="str">
        <f>CALC_GAMES_BASE!C612</f>
        <v>OLO</v>
      </c>
      <c r="D612" s="3" t="str">
        <f>CALC_GAMES_BASE!D612</f>
        <v>PCE</v>
      </c>
      <c r="E612" s="7">
        <f>CALC_GAMES_BASE!E612</f>
        <v>1</v>
      </c>
      <c r="F612" s="6">
        <f>CALC_GAMES_BASE!N612</f>
        <v>-0.45999999999999996</v>
      </c>
      <c r="G612" s="7">
        <f>CALC_GAMES_BASE!K612</f>
        <v>-3</v>
      </c>
      <c r="H612" s="7">
        <f t="shared" si="9"/>
        <v>1</v>
      </c>
      <c r="I612" s="6">
        <f>IF(H612=1,
  F612,
  G612*PARAMETRY!$B$11)</f>
        <v>-0.45999999999999996</v>
      </c>
      <c r="J612" s="6">
        <f>CALC_GAMES_BASE!U612-CALC_GAMES_BASE!V612</f>
        <v>-5.3083028083028116E-2</v>
      </c>
      <c r="K612" s="6">
        <f>_xlfn.XLOOKUP(CALC_GAMES_BASE!W612,
  CALC_GOALIES!B:B,
  CALC_GOALIES!K:K)</f>
        <v>-2.0326878807700233E-2</v>
      </c>
      <c r="L612" s="6">
        <f>_xlfn.XLOOKUP(C612,CALC_TEAMS_SEASON!B:B,CALC_TEAMS_SEASON!L:L)</f>
        <v>-1.0613217787114846</v>
      </c>
      <c r="M612">
        <f>IF(CALC_GAMES_BASE!Z612="RS",1,1.2)</f>
        <v>1</v>
      </c>
      <c r="N612">
        <f xml:space="preserve"> CALC_GAMES_BASE!Y612</f>
        <v>0</v>
      </c>
    </row>
    <row r="613" spans="1:14" x14ac:dyDescent="0.25">
      <c r="A613" t="str">
        <f>CALC_GAMES_BASE!A613</f>
        <v>25/26</v>
      </c>
      <c r="B613" s="3">
        <f>CALC_GAMES_BASE!B613</f>
        <v>46045</v>
      </c>
      <c r="C613" s="3" t="str">
        <f>CALC_GAMES_BASE!C613</f>
        <v>VIT</v>
      </c>
      <c r="D613" s="3" t="str">
        <f>CALC_GAMES_BASE!D613</f>
        <v>MBL</v>
      </c>
      <c r="E613" s="7">
        <f>CALC_GAMES_BASE!E613</f>
        <v>0</v>
      </c>
      <c r="F613" s="6" t="str">
        <f>CALC_GAMES_BASE!N613</f>
        <v/>
      </c>
      <c r="G613" s="7">
        <f>CALC_GAMES_BASE!K613</f>
        <v>-12</v>
      </c>
      <c r="H613" s="7">
        <f t="shared" si="9"/>
        <v>0</v>
      </c>
      <c r="I613" s="6">
        <f>IF(H613=1,
  F613,
  G613*PARAMETRY!$B$11)</f>
        <v>-0.60000000000000009</v>
      </c>
      <c r="J613" s="6">
        <f>CALC_GAMES_BASE!U613-CALC_GAMES_BASE!V613</f>
        <v>5.1579670329670355E-2</v>
      </c>
      <c r="K613" s="6">
        <f>_xlfn.XLOOKUP(CALC_GAMES_BASE!W613,
  CALC_GOALIES!B:B,
  CALC_GOALIES!K:K)</f>
        <v>1.905487900993541E-3</v>
      </c>
      <c r="L613" s="6">
        <f>_xlfn.XLOOKUP(C613,CALC_TEAMS_SEASON!B:B,CALC_TEAMS_SEASON!L:L)</f>
        <v>-1.0281967787114845</v>
      </c>
      <c r="M613">
        <f>IF(CALC_GAMES_BASE!Z613="RS",1,1.2)</f>
        <v>1</v>
      </c>
      <c r="N613">
        <f xml:space="preserve"> CALC_GAMES_BASE!Y613</f>
        <v>0</v>
      </c>
    </row>
    <row r="614" spans="1:14" x14ac:dyDescent="0.25">
      <c r="A614" t="str">
        <f>CALC_GAMES_BASE!A614</f>
        <v>25/26</v>
      </c>
      <c r="B614" s="3">
        <f>CALC_GAMES_BASE!B614</f>
        <v>46047</v>
      </c>
      <c r="C614" s="3" t="str">
        <f>CALC_GAMES_BASE!C614</f>
        <v>PCE</v>
      </c>
      <c r="D614" s="3" t="str">
        <f>CALC_GAMES_BASE!D614</f>
        <v>PLZ</v>
      </c>
      <c r="E614" s="7">
        <f>CALC_GAMES_BASE!E614</f>
        <v>1</v>
      </c>
      <c r="F614" s="6">
        <f>CALC_GAMES_BASE!N614</f>
        <v>2.7800000000000002</v>
      </c>
      <c r="G614" s="7">
        <f>CALC_GAMES_BASE!K614</f>
        <v>29</v>
      </c>
      <c r="H614" s="7">
        <f t="shared" si="9"/>
        <v>1</v>
      </c>
      <c r="I614" s="6">
        <f>IF(H614=1,
  F614,
  G614*PARAMETRY!$B$11)</f>
        <v>2.7800000000000002</v>
      </c>
      <c r="J614" s="6">
        <f>CALC_GAMES_BASE!U614-CALC_GAMES_BASE!V614</f>
        <v>2.6564407814407914E-2</v>
      </c>
      <c r="K614" s="6">
        <f>_xlfn.XLOOKUP(CALC_GAMES_BASE!W614,
  CALC_GOALIES!B:B,
  CALC_GOALIES!K:K)</f>
        <v>4.5881077393388203E-3</v>
      </c>
      <c r="L614" s="6">
        <f>_xlfn.XLOOKUP(C614,CALC_TEAMS_SEASON!B:B,CALC_TEAMS_SEASON!L:L)</f>
        <v>0.62437675070027965</v>
      </c>
      <c r="M614">
        <f>IF(CALC_GAMES_BASE!Z614="RS",1,1.2)</f>
        <v>1</v>
      </c>
      <c r="N614">
        <f xml:space="preserve"> CALC_GAMES_BASE!Y614</f>
        <v>0</v>
      </c>
    </row>
    <row r="615" spans="1:14" x14ac:dyDescent="0.25">
      <c r="A615" t="str">
        <f>CALC_GAMES_BASE!A615</f>
        <v>25/26</v>
      </c>
      <c r="B615" s="3">
        <f>CALC_GAMES_BASE!B615</f>
        <v>46047</v>
      </c>
      <c r="C615" s="3" t="str">
        <f>CALC_GAMES_BASE!C615</f>
        <v>TRI</v>
      </c>
      <c r="D615" s="3" t="str">
        <f>CALC_GAMES_BASE!D615</f>
        <v>CEB</v>
      </c>
      <c r="E615" s="7">
        <f>CALC_GAMES_BASE!E615</f>
        <v>1</v>
      </c>
      <c r="F615" s="6">
        <f>CALC_GAMES_BASE!N615</f>
        <v>1.4400000000000002</v>
      </c>
      <c r="G615" s="7">
        <f>CALC_GAMES_BASE!K615</f>
        <v>7</v>
      </c>
      <c r="H615" s="7">
        <f t="shared" si="9"/>
        <v>1</v>
      </c>
      <c r="I615" s="6">
        <f>IF(H615=1,
  F615,
  G615*PARAMETRY!$B$11)</f>
        <v>1.4400000000000002</v>
      </c>
      <c r="J615" s="6">
        <f>CALC_GAMES_BASE!U615-CALC_GAMES_BASE!V615</f>
        <v>4.4160700410700443E-2</v>
      </c>
      <c r="K615" s="6">
        <f>_xlfn.XLOOKUP(CALC_GAMES_BASE!W615,
  CALC_GOALIES!B:B,
  CALC_GOALIES!K:K)</f>
        <v>1.3707542055988897E-2</v>
      </c>
      <c r="L615" s="6">
        <f>_xlfn.XLOOKUP(C615,CALC_TEAMS_SEASON!B:B,CALC_TEAMS_SEASON!L:L)</f>
        <v>0.10805322128851533</v>
      </c>
      <c r="M615">
        <f>IF(CALC_GAMES_BASE!Z615="RS",1,1.2)</f>
        <v>1</v>
      </c>
      <c r="N615">
        <f xml:space="preserve"> CALC_GAMES_BASE!Y615</f>
        <v>1</v>
      </c>
    </row>
    <row r="616" spans="1:14" x14ac:dyDescent="0.25">
      <c r="A616" t="str">
        <f>CALC_GAMES_BASE!A616</f>
        <v>25/26</v>
      </c>
      <c r="B616" s="3">
        <f>CALC_GAMES_BASE!B616</f>
        <v>46047</v>
      </c>
      <c r="C616" s="3" t="str">
        <f>CALC_GAMES_BASE!C616</f>
        <v>KOM</v>
      </c>
      <c r="D616" s="3" t="str">
        <f>CALC_GAMES_BASE!D616</f>
        <v>MHK</v>
      </c>
      <c r="E616" s="7">
        <f>CALC_GAMES_BASE!E616</f>
        <v>1</v>
      </c>
      <c r="F616" s="6">
        <f>CALC_GAMES_BASE!N616</f>
        <v>-0.77</v>
      </c>
      <c r="G616" s="7">
        <f>CALC_GAMES_BASE!K616</f>
        <v>-11</v>
      </c>
      <c r="H616" s="7">
        <f t="shared" si="9"/>
        <v>1</v>
      </c>
      <c r="I616" s="6">
        <f>IF(H616=1,
  F616,
  G616*PARAMETRY!$B$11)</f>
        <v>-0.77</v>
      </c>
      <c r="J616" s="6">
        <f>CALC_GAMES_BASE!U616-CALC_GAMES_BASE!V616</f>
        <v>1.739926739926706E-3</v>
      </c>
      <c r="K616" s="6">
        <f>_xlfn.XLOOKUP(CALC_GAMES_BASE!W616,
  CALC_GOALIES!B:B,
  CALC_GOALIES!K:K)</f>
        <v>-1.5147095063735572E-3</v>
      </c>
      <c r="L616" s="6">
        <f>_xlfn.XLOOKUP(C616,CALC_TEAMS_SEASON!B:B,CALC_TEAMS_SEASON!L:L)</f>
        <v>-0.37268207282913179</v>
      </c>
      <c r="M616">
        <f>IF(CALC_GAMES_BASE!Z616="RS",1,1.2)</f>
        <v>1</v>
      </c>
      <c r="N616">
        <f xml:space="preserve"> CALC_GAMES_BASE!Y616</f>
        <v>1</v>
      </c>
    </row>
    <row r="617" spans="1:14" x14ac:dyDescent="0.25">
      <c r="A617" t="str">
        <f>CALC_GAMES_BASE!A617</f>
        <v>25/26</v>
      </c>
      <c r="B617" s="3">
        <f>CALC_GAMES_BASE!B617</f>
        <v>46047</v>
      </c>
      <c r="C617" s="3" t="str">
        <f>CALC_GAMES_BASE!C617</f>
        <v>CEB</v>
      </c>
      <c r="D617" s="3" t="str">
        <f>CALC_GAMES_BASE!D617</f>
        <v>TRI</v>
      </c>
      <c r="E617" s="7">
        <f>CALC_GAMES_BASE!E617</f>
        <v>0</v>
      </c>
      <c r="F617" s="6">
        <f>CALC_GAMES_BASE!N617</f>
        <v>-1.4400000000000002</v>
      </c>
      <c r="G617" s="7">
        <f>CALC_GAMES_BASE!K617</f>
        <v>-7</v>
      </c>
      <c r="H617" s="7">
        <f t="shared" si="9"/>
        <v>1</v>
      </c>
      <c r="I617" s="6">
        <f>IF(H617=1,
  F617,
  G617*PARAMETRY!$B$11)</f>
        <v>-1.4400000000000002</v>
      </c>
      <c r="J617" s="6">
        <f>CALC_GAMES_BASE!U617-CALC_GAMES_BASE!V617</f>
        <v>-4.4160700410700443E-2</v>
      </c>
      <c r="K617" s="6">
        <f>_xlfn.XLOOKUP(CALC_GAMES_BASE!W617,
  CALC_GOALIES!B:B,
  CALC_GOALIES!K:K)</f>
        <v>3.9343341510811314E-3</v>
      </c>
      <c r="L617" s="6">
        <f>_xlfn.XLOOKUP(C617,CALC_TEAMS_SEASON!B:B,CALC_TEAMS_SEASON!L:L)</f>
        <v>-0.24978011204481798</v>
      </c>
      <c r="M617">
        <f>IF(CALC_GAMES_BASE!Z617="RS",1,1.2)</f>
        <v>1</v>
      </c>
      <c r="N617">
        <f xml:space="preserve"> CALC_GAMES_BASE!Y617</f>
        <v>0</v>
      </c>
    </row>
    <row r="618" spans="1:14" x14ac:dyDescent="0.25">
      <c r="A618" t="str">
        <f>CALC_GAMES_BASE!A618</f>
        <v>25/26</v>
      </c>
      <c r="B618" s="3">
        <f>CALC_GAMES_BASE!B618</f>
        <v>46047</v>
      </c>
      <c r="C618" s="3" t="str">
        <f>CALC_GAMES_BASE!C618</f>
        <v>KLA</v>
      </c>
      <c r="D618" s="3" t="str">
        <f>CALC_GAMES_BASE!D618</f>
        <v>LIB</v>
      </c>
      <c r="E618" s="7">
        <f>CALC_GAMES_BASE!E618</f>
        <v>1</v>
      </c>
      <c r="F618" s="6" t="str">
        <f>CALC_GAMES_BASE!N618</f>
        <v/>
      </c>
      <c r="G618" s="7">
        <f>CALC_GAMES_BASE!K618</f>
        <v>-1</v>
      </c>
      <c r="H618" s="7">
        <f t="shared" si="9"/>
        <v>0</v>
      </c>
      <c r="I618" s="6">
        <f>IF(H618=1,
  F618,
  G618*PARAMETRY!$B$11)</f>
        <v>-0.05</v>
      </c>
      <c r="J618" s="6">
        <f>CALC_GAMES_BASE!U618-CALC_GAMES_BASE!V618</f>
        <v>-1.2568681318681357E-2</v>
      </c>
      <c r="K618" s="6">
        <f>_xlfn.XLOOKUP(CALC_GAMES_BASE!W618,
  CALC_GOALIES!B:B,
  CALC_GOALIES!K:K)</f>
        <v>-1.9185137403854746E-2</v>
      </c>
      <c r="L618" s="6">
        <f>_xlfn.XLOOKUP(C618,CALC_TEAMS_SEASON!B:B,CALC_TEAMS_SEASON!L:L)</f>
        <v>-0.19819677871148478</v>
      </c>
      <c r="M618">
        <f>IF(CALC_GAMES_BASE!Z618="RS",1,1.2)</f>
        <v>1</v>
      </c>
      <c r="N618">
        <f xml:space="preserve"> CALC_GAMES_BASE!Y618</f>
        <v>0</v>
      </c>
    </row>
    <row r="619" spans="1:14" x14ac:dyDescent="0.25">
      <c r="A619" t="str">
        <f>CALC_GAMES_BASE!A619</f>
        <v>25/26</v>
      </c>
      <c r="B619" s="3">
        <f>CALC_GAMES_BASE!B619</f>
        <v>46047</v>
      </c>
      <c r="C619" s="3" t="str">
        <f>CALC_GAMES_BASE!C619</f>
        <v>KVA</v>
      </c>
      <c r="D619" s="3" t="str">
        <f>CALC_GAMES_BASE!D619</f>
        <v>MBL</v>
      </c>
      <c r="E619" s="7">
        <f>CALC_GAMES_BASE!E619</f>
        <v>1</v>
      </c>
      <c r="F619" s="6" t="str">
        <f>CALC_GAMES_BASE!N619</f>
        <v/>
      </c>
      <c r="G619" s="7">
        <f>CALC_GAMES_BASE!K619</f>
        <v>31</v>
      </c>
      <c r="H619" s="7">
        <f t="shared" si="9"/>
        <v>0</v>
      </c>
      <c r="I619" s="6">
        <f>IF(H619=1,
  F619,
  G619*PARAMETRY!$B$11)</f>
        <v>1.55</v>
      </c>
      <c r="J619" s="6">
        <f>CALC_GAMES_BASE!U619-CALC_GAMES_BASE!V619</f>
        <v>5.5601343101343112E-2</v>
      </c>
      <c r="K619" s="6">
        <f>_xlfn.XLOOKUP(CALC_GAMES_BASE!W619,
  CALC_GOALIES!B:B,
  CALC_GOALIES!K:K)</f>
        <v>1.2242809776983998E-2</v>
      </c>
      <c r="L619" s="6">
        <f>_xlfn.XLOOKUP(C619,CALC_TEAMS_SEASON!B:B,CALC_TEAMS_SEASON!L:L)</f>
        <v>-0.28757177871148476</v>
      </c>
      <c r="M619">
        <f>IF(CALC_GAMES_BASE!Z619="RS",1,1.2)</f>
        <v>1</v>
      </c>
      <c r="N619">
        <f xml:space="preserve"> CALC_GAMES_BASE!Y619</f>
        <v>1</v>
      </c>
    </row>
    <row r="620" spans="1:14" x14ac:dyDescent="0.25">
      <c r="A620" t="str">
        <f>CALC_GAMES_BASE!A620</f>
        <v>25/26</v>
      </c>
      <c r="B620" s="3">
        <f>CALC_GAMES_BASE!B620</f>
        <v>46047</v>
      </c>
      <c r="C620" s="3" t="str">
        <f>CALC_GAMES_BASE!C620</f>
        <v>LIB</v>
      </c>
      <c r="D620" s="3" t="str">
        <f>CALC_GAMES_BASE!D620</f>
        <v>KLA</v>
      </c>
      <c r="E620" s="7">
        <f>CALC_GAMES_BASE!E620</f>
        <v>0</v>
      </c>
      <c r="F620" s="6" t="str">
        <f>CALC_GAMES_BASE!N620</f>
        <v/>
      </c>
      <c r="G620" s="7">
        <f>CALC_GAMES_BASE!K620</f>
        <v>1</v>
      </c>
      <c r="H620" s="7">
        <f t="shared" si="9"/>
        <v>0</v>
      </c>
      <c r="I620" s="6">
        <f>IF(H620=1,
  F620,
  G620*PARAMETRY!$B$11)</f>
        <v>0.05</v>
      </c>
      <c r="J620" s="6">
        <f>CALC_GAMES_BASE!U620-CALC_GAMES_BASE!V620</f>
        <v>1.2568681318681357E-2</v>
      </c>
      <c r="K620" s="6">
        <f>_xlfn.XLOOKUP(CALC_GAMES_BASE!W620,
  CALC_GOALIES!B:B,
  CALC_GOALIES!K:K)</f>
        <v>1.2275709048813366E-2</v>
      </c>
      <c r="L620" s="6">
        <f>_xlfn.XLOOKUP(C620,CALC_TEAMS_SEASON!B:B,CALC_TEAMS_SEASON!L:L)</f>
        <v>0.22367822128851536</v>
      </c>
      <c r="M620">
        <f>IF(CALC_GAMES_BASE!Z620="RS",1,1.2)</f>
        <v>1</v>
      </c>
      <c r="N620">
        <f xml:space="preserve"> CALC_GAMES_BASE!Y620</f>
        <v>1</v>
      </c>
    </row>
    <row r="621" spans="1:14" x14ac:dyDescent="0.25">
      <c r="A621" t="str">
        <f>CALC_GAMES_BASE!A621</f>
        <v>25/26</v>
      </c>
      <c r="B621" s="3">
        <f>CALC_GAMES_BASE!B621</f>
        <v>46047</v>
      </c>
      <c r="C621" s="3" t="str">
        <f>CALC_GAMES_BASE!C621</f>
        <v>LIT</v>
      </c>
      <c r="D621" s="3" t="str">
        <f>CALC_GAMES_BASE!D621</f>
        <v>OLO</v>
      </c>
      <c r="E621" s="7">
        <f>CALC_GAMES_BASE!E621</f>
        <v>1</v>
      </c>
      <c r="F621" s="6" t="str">
        <f>CALC_GAMES_BASE!N621</f>
        <v/>
      </c>
      <c r="G621" s="7">
        <f>CALC_GAMES_BASE!K621</f>
        <v>-9</v>
      </c>
      <c r="H621" s="7">
        <f t="shared" si="9"/>
        <v>0</v>
      </c>
      <c r="I621" s="6">
        <f>IF(H621=1,
  F621,
  G621*PARAMETRY!$B$11)</f>
        <v>-0.45</v>
      </c>
      <c r="J621" s="6">
        <f>CALC_GAMES_BASE!U621-CALC_GAMES_BASE!V621</f>
        <v>-4.9000305250305284E-2</v>
      </c>
      <c r="K621" s="6">
        <f>_xlfn.XLOOKUP(CALC_GAMES_BASE!W621,
  CALC_GOALIES!B:B,
  CALC_GOALIES!K:K)</f>
        <v>-8.1125178551773036E-3</v>
      </c>
      <c r="L621" s="6">
        <f>_xlfn.XLOOKUP(C621,CALC_TEAMS_SEASON!B:B,CALC_TEAMS_SEASON!L:L)</f>
        <v>-1.4784467787114848</v>
      </c>
      <c r="M621">
        <f>IF(CALC_GAMES_BASE!Z621="RS",1,1.2)</f>
        <v>1</v>
      </c>
      <c r="N621">
        <f xml:space="preserve"> CALC_GAMES_BASE!Y621</f>
        <v>0</v>
      </c>
    </row>
    <row r="622" spans="1:14" x14ac:dyDescent="0.25">
      <c r="A622" t="str">
        <f>CALC_GAMES_BASE!A622</f>
        <v>25/26</v>
      </c>
      <c r="B622" s="3">
        <f>CALC_GAMES_BASE!B622</f>
        <v>46047</v>
      </c>
      <c r="C622" s="3" t="str">
        <f>CALC_GAMES_BASE!C622</f>
        <v>MBL</v>
      </c>
      <c r="D622" s="3" t="str">
        <f>CALC_GAMES_BASE!D622</f>
        <v>KVA</v>
      </c>
      <c r="E622" s="7">
        <f>CALC_GAMES_BASE!E622</f>
        <v>0</v>
      </c>
      <c r="F622" s="6" t="str">
        <f>CALC_GAMES_BASE!N622</f>
        <v/>
      </c>
      <c r="G622" s="7">
        <f>CALC_GAMES_BASE!K622</f>
        <v>-31</v>
      </c>
      <c r="H622" s="7">
        <f t="shared" si="9"/>
        <v>0</v>
      </c>
      <c r="I622" s="6">
        <f>IF(H622=1,
  F622,
  G622*PARAMETRY!$B$11)</f>
        <v>-1.55</v>
      </c>
      <c r="J622" s="6">
        <f>CALC_GAMES_BASE!U622-CALC_GAMES_BASE!V622</f>
        <v>-5.5601343101343112E-2</v>
      </c>
      <c r="K622" s="6">
        <f>_xlfn.XLOOKUP(CALC_GAMES_BASE!W622,
  CALC_GOALIES!B:B,
  CALC_GOALIES!K:K)</f>
        <v>1.9185678814779616E-2</v>
      </c>
      <c r="L622" s="6">
        <f>_xlfn.XLOOKUP(C622,CALC_TEAMS_SEASON!B:B,CALC_TEAMS_SEASON!L:L)</f>
        <v>-0.89069677871148467</v>
      </c>
      <c r="M622">
        <f>IF(CALC_GAMES_BASE!Z622="RS",1,1.2)</f>
        <v>1</v>
      </c>
      <c r="N622">
        <f xml:space="preserve"> CALC_GAMES_BASE!Y622</f>
        <v>0</v>
      </c>
    </row>
    <row r="623" spans="1:14" x14ac:dyDescent="0.25">
      <c r="A623" t="str">
        <f>CALC_GAMES_BASE!A623</f>
        <v>25/26</v>
      </c>
      <c r="B623" s="3">
        <f>CALC_GAMES_BASE!B623</f>
        <v>46047</v>
      </c>
      <c r="C623" s="3" t="str">
        <f>CALC_GAMES_BASE!C623</f>
        <v>MHK</v>
      </c>
      <c r="D623" s="3" t="str">
        <f>CALC_GAMES_BASE!D623</f>
        <v>KOM</v>
      </c>
      <c r="E623" s="7">
        <f>CALC_GAMES_BASE!E623</f>
        <v>0</v>
      </c>
      <c r="F623" s="6">
        <f>CALC_GAMES_BASE!N623</f>
        <v>0.77</v>
      </c>
      <c r="G623" s="7">
        <f>CALC_GAMES_BASE!K623</f>
        <v>11</v>
      </c>
      <c r="H623" s="7">
        <f t="shared" si="9"/>
        <v>1</v>
      </c>
      <c r="I623" s="6">
        <f>IF(H623=1,
  F623,
  G623*PARAMETRY!$B$11)</f>
        <v>0.77</v>
      </c>
      <c r="J623" s="6">
        <f>CALC_GAMES_BASE!U623-CALC_GAMES_BASE!V623</f>
        <v>-1.739926739926706E-3</v>
      </c>
      <c r="K623" s="6">
        <f>_xlfn.XLOOKUP(CALC_GAMES_BASE!W623,
  CALC_GOALIES!B:B,
  CALC_GOALIES!K:K)</f>
        <v>-6.4024499913341248E-2</v>
      </c>
      <c r="L623" s="6">
        <f>_xlfn.XLOOKUP(C623,CALC_TEAMS_SEASON!B:B,CALC_TEAMS_SEASON!L:L)</f>
        <v>0.14821988795518207</v>
      </c>
      <c r="M623">
        <f>IF(CALC_GAMES_BASE!Z623="RS",1,1.2)</f>
        <v>1</v>
      </c>
      <c r="N623">
        <f xml:space="preserve"> CALC_GAMES_BASE!Y623</f>
        <v>0</v>
      </c>
    </row>
    <row r="624" spans="1:14" x14ac:dyDescent="0.25">
      <c r="A624" t="str">
        <f>CALC_GAMES_BASE!A624</f>
        <v>25/26</v>
      </c>
      <c r="B624" s="3">
        <f>CALC_GAMES_BASE!B624</f>
        <v>46047</v>
      </c>
      <c r="C624" s="3" t="str">
        <f>CALC_GAMES_BASE!C624</f>
        <v>OLO</v>
      </c>
      <c r="D624" s="3" t="str">
        <f>CALC_GAMES_BASE!D624</f>
        <v>LIT</v>
      </c>
      <c r="E624" s="7">
        <f>CALC_GAMES_BASE!E624</f>
        <v>0</v>
      </c>
      <c r="F624" s="6" t="str">
        <f>CALC_GAMES_BASE!N624</f>
        <v/>
      </c>
      <c r="G624" s="7">
        <f>CALC_GAMES_BASE!K624</f>
        <v>9</v>
      </c>
      <c r="H624" s="7">
        <f t="shared" si="9"/>
        <v>0</v>
      </c>
      <c r="I624" s="6">
        <f>IF(H624=1,
  F624,
  G624*PARAMETRY!$B$11)</f>
        <v>0.45</v>
      </c>
      <c r="J624" s="6">
        <f>CALC_GAMES_BASE!U624-CALC_GAMES_BASE!V624</f>
        <v>4.9000305250305284E-2</v>
      </c>
      <c r="K624" s="6">
        <f>_xlfn.XLOOKUP(CALC_GAMES_BASE!W624,
  CALC_GOALIES!B:B,
  CALC_GOALIES!K:K)</f>
        <v>4.4713327207696052E-3</v>
      </c>
      <c r="L624" s="6">
        <f>_xlfn.XLOOKUP(C624,CALC_TEAMS_SEASON!B:B,CALC_TEAMS_SEASON!L:L)</f>
        <v>-1.0613217787114846</v>
      </c>
      <c r="M624">
        <f>IF(CALC_GAMES_BASE!Z624="RS",1,1.2)</f>
        <v>1</v>
      </c>
      <c r="N624">
        <f xml:space="preserve"> CALC_GAMES_BASE!Y624</f>
        <v>1</v>
      </c>
    </row>
    <row r="625" spans="1:14" x14ac:dyDescent="0.25">
      <c r="A625" t="str">
        <f>CALC_GAMES_BASE!A625</f>
        <v>25/26</v>
      </c>
      <c r="B625" s="3">
        <f>CALC_GAMES_BASE!B625</f>
        <v>46047</v>
      </c>
      <c r="C625" s="3" t="str">
        <f>CALC_GAMES_BASE!C625</f>
        <v>PLZ</v>
      </c>
      <c r="D625" s="3" t="str">
        <f>CALC_GAMES_BASE!D625</f>
        <v>PCE</v>
      </c>
      <c r="E625" s="7">
        <f>CALC_GAMES_BASE!E625</f>
        <v>0</v>
      </c>
      <c r="F625" s="6">
        <f>CALC_GAMES_BASE!N625</f>
        <v>-2.7800000000000002</v>
      </c>
      <c r="G625" s="7">
        <f>CALC_GAMES_BASE!K625</f>
        <v>-29</v>
      </c>
      <c r="H625" s="7">
        <f t="shared" si="9"/>
        <v>1</v>
      </c>
      <c r="I625" s="6">
        <f>IF(H625=1,
  F625,
  G625*PARAMETRY!$B$11)</f>
        <v>-2.7800000000000002</v>
      </c>
      <c r="J625" s="6">
        <f>CALC_GAMES_BASE!U625-CALC_GAMES_BASE!V625</f>
        <v>-2.6564407814407914E-2</v>
      </c>
      <c r="K625" s="6">
        <f>_xlfn.XLOOKUP(CALC_GAMES_BASE!W625,
  CALC_GOALIES!B:B,
  CALC_GOALIES!K:K)</f>
        <v>1.7617039556646619E-2</v>
      </c>
      <c r="L625" s="6">
        <f>_xlfn.XLOOKUP(C625,CALC_TEAMS_SEASON!B:B,CALC_TEAMS_SEASON!L:L)</f>
        <v>7.3678221288515283E-2</v>
      </c>
      <c r="M625">
        <f>IF(CALC_GAMES_BASE!Z625="RS",1,1.2)</f>
        <v>1</v>
      </c>
      <c r="N625">
        <f xml:space="preserve"> CALC_GAMES_BASE!Y625</f>
        <v>1</v>
      </c>
    </row>
    <row r="626" spans="1:14" x14ac:dyDescent="0.25">
      <c r="A626" t="str">
        <f>CALC_GAMES_BASE!A626</f>
        <v>25/26</v>
      </c>
      <c r="B626" s="3">
        <f>CALC_GAMES_BASE!B626</f>
        <v>46048</v>
      </c>
      <c r="C626" s="3" t="str">
        <f>CALC_GAMES_BASE!C626</f>
        <v>SPA</v>
      </c>
      <c r="D626" s="3" t="str">
        <f>CALC_GAMES_BASE!D626</f>
        <v>OLO</v>
      </c>
      <c r="E626" s="7">
        <f>CALC_GAMES_BASE!E626</f>
        <v>1</v>
      </c>
      <c r="F626" s="6">
        <f>CALC_GAMES_BASE!N626</f>
        <v>3.01</v>
      </c>
      <c r="G626" s="7">
        <f>CALC_GAMES_BASE!K626</f>
        <v>10</v>
      </c>
      <c r="H626" s="7">
        <f t="shared" si="9"/>
        <v>1</v>
      </c>
      <c r="I626" s="6">
        <f>IF(H626=1,
  F626,
  G626*PARAMETRY!$B$11)</f>
        <v>3.01</v>
      </c>
      <c r="J626" s="6">
        <f>CALC_GAMES_BASE!U626-CALC_GAMES_BASE!V626</f>
        <v>7.0711233211233238E-2</v>
      </c>
      <c r="K626" s="6">
        <f>_xlfn.XLOOKUP(CALC_GAMES_BASE!W626,
  CALC_GOALIES!B:B,
  CALC_GOALIES!K:K)</f>
        <v>3.5919237922225067E-3</v>
      </c>
      <c r="L626" s="6">
        <f>_xlfn.XLOOKUP(C626,CALC_TEAMS_SEASON!B:B,CALC_TEAMS_SEASON!L:L)</f>
        <v>6.4376750700279955E-2</v>
      </c>
      <c r="M626">
        <f>IF(CALC_GAMES_BASE!Z626="RS",1,1.2)</f>
        <v>1</v>
      </c>
      <c r="N626">
        <f xml:space="preserve"> CALC_GAMES_BASE!Y626</f>
        <v>1</v>
      </c>
    </row>
    <row r="627" spans="1:14" x14ac:dyDescent="0.25">
      <c r="A627" t="str">
        <f>CALC_GAMES_BASE!A627</f>
        <v>25/26</v>
      </c>
      <c r="B627" s="3">
        <f>CALC_GAMES_BASE!B627</f>
        <v>46048</v>
      </c>
      <c r="C627" s="3" t="str">
        <f>CALC_GAMES_BASE!C627</f>
        <v>OLO</v>
      </c>
      <c r="D627" s="3" t="str">
        <f>CALC_GAMES_BASE!D627</f>
        <v>SPA</v>
      </c>
      <c r="E627" s="7">
        <f>CALC_GAMES_BASE!E627</f>
        <v>0</v>
      </c>
      <c r="F627" s="6">
        <f>CALC_GAMES_BASE!N627</f>
        <v>-3.01</v>
      </c>
      <c r="G627" s="7">
        <f>CALC_GAMES_BASE!K627</f>
        <v>-10</v>
      </c>
      <c r="H627" s="7">
        <f t="shared" si="9"/>
        <v>1</v>
      </c>
      <c r="I627" s="6">
        <f>IF(H627=1,
  F627,
  G627*PARAMETRY!$B$11)</f>
        <v>-3.01</v>
      </c>
      <c r="J627" s="6">
        <f>CALC_GAMES_BASE!U627-CALC_GAMES_BASE!V627</f>
        <v>-7.0711233211233238E-2</v>
      </c>
      <c r="K627" s="6">
        <f>_xlfn.XLOOKUP(CALC_GAMES_BASE!W627,
  CALC_GOALIES!B:B,
  CALC_GOALIES!K:K)</f>
        <v>4.4713327207696052E-3</v>
      </c>
      <c r="L627" s="6">
        <f>_xlfn.XLOOKUP(C627,CALC_TEAMS_SEASON!B:B,CALC_TEAMS_SEASON!L:L)</f>
        <v>-1.0613217787114846</v>
      </c>
      <c r="M627">
        <f>IF(CALC_GAMES_BASE!Z627="RS",1,1.2)</f>
        <v>1</v>
      </c>
      <c r="N627">
        <f xml:space="preserve"> CALC_GAMES_BASE!Y627</f>
        <v>0</v>
      </c>
    </row>
    <row r="628" spans="1:14" x14ac:dyDescent="0.25">
      <c r="A628" t="str">
        <f>CALC_GAMES_BASE!A628</f>
        <v>25/26</v>
      </c>
      <c r="B628" s="3">
        <f>CALC_GAMES_BASE!B628</f>
        <v>46049</v>
      </c>
      <c r="C628" s="3" t="str">
        <f>CALC_GAMES_BASE!C628</f>
        <v>PCE</v>
      </c>
      <c r="D628" s="3" t="str">
        <f>CALC_GAMES_BASE!D628</f>
        <v>KLA</v>
      </c>
      <c r="E628" s="7">
        <f>CALC_GAMES_BASE!E628</f>
        <v>1</v>
      </c>
      <c r="F628" s="6">
        <f>CALC_GAMES_BASE!N628</f>
        <v>4.9999999999999822E-2</v>
      </c>
      <c r="G628" s="7">
        <f>CALC_GAMES_BASE!K628</f>
        <v>10</v>
      </c>
      <c r="H628" s="7">
        <f t="shared" si="9"/>
        <v>1</v>
      </c>
      <c r="I628" s="6">
        <f>IF(H628=1,
  F628,
  G628*PARAMETRY!$B$11)</f>
        <v>4.9999999999999822E-2</v>
      </c>
      <c r="J628" s="6">
        <f>CALC_GAMES_BASE!U628-CALC_GAMES_BASE!V628</f>
        <v>7.17719780219781E-2</v>
      </c>
      <c r="K628" s="6">
        <f>_xlfn.XLOOKUP(CALC_GAMES_BASE!W628,
  CALC_GOALIES!B:B,
  CALC_GOALIES!K:K)</f>
        <v>4.5881077393388203E-3</v>
      </c>
      <c r="L628" s="6">
        <f>_xlfn.XLOOKUP(C628,CALC_TEAMS_SEASON!B:B,CALC_TEAMS_SEASON!L:L)</f>
        <v>0.62437675070027965</v>
      </c>
      <c r="M628">
        <f>IF(CALC_GAMES_BASE!Z628="RS",1,1.2)</f>
        <v>1</v>
      </c>
      <c r="N628">
        <f xml:space="preserve"> CALC_GAMES_BASE!Y628</f>
        <v>1</v>
      </c>
    </row>
    <row r="629" spans="1:14" x14ac:dyDescent="0.25">
      <c r="A629" t="str">
        <f>CALC_GAMES_BASE!A629</f>
        <v>25/26</v>
      </c>
      <c r="B629" s="3">
        <f>CALC_GAMES_BASE!B629</f>
        <v>46049</v>
      </c>
      <c r="C629" s="3" t="str">
        <f>CALC_GAMES_BASE!C629</f>
        <v>TRI</v>
      </c>
      <c r="D629" s="3" t="str">
        <f>CALC_GAMES_BASE!D629</f>
        <v>MHK</v>
      </c>
      <c r="E629" s="7">
        <f>CALC_GAMES_BASE!E629</f>
        <v>0</v>
      </c>
      <c r="F629" s="6">
        <f>CALC_GAMES_BASE!N629</f>
        <v>0.98999999999999977</v>
      </c>
      <c r="G629" s="7">
        <f>CALC_GAMES_BASE!K629</f>
        <v>0</v>
      </c>
      <c r="H629" s="7">
        <f t="shared" si="9"/>
        <v>1</v>
      </c>
      <c r="I629" s="6">
        <f>IF(H629=1,
  F629,
  G629*PARAMETRY!$B$11)</f>
        <v>0.98999999999999977</v>
      </c>
      <c r="J629" s="6">
        <f>CALC_GAMES_BASE!U629-CALC_GAMES_BASE!V629</f>
        <v>3.2524420024420048E-2</v>
      </c>
      <c r="K629" s="6">
        <f>_xlfn.XLOOKUP(CALC_GAMES_BASE!W629,
  CALC_GOALIES!B:B,
  CALC_GOALIES!K:K)</f>
        <v>1.3707542055988897E-2</v>
      </c>
      <c r="L629" s="6">
        <f>_xlfn.XLOOKUP(C629,CALC_TEAMS_SEASON!B:B,CALC_TEAMS_SEASON!L:L)</f>
        <v>0.10805322128851533</v>
      </c>
      <c r="M629">
        <f>IF(CALC_GAMES_BASE!Z629="RS",1,1.2)</f>
        <v>1</v>
      </c>
      <c r="N629">
        <f xml:space="preserve"> CALC_GAMES_BASE!Y629</f>
        <v>0</v>
      </c>
    </row>
    <row r="630" spans="1:14" x14ac:dyDescent="0.25">
      <c r="A630" t="str">
        <f>CALC_GAMES_BASE!A630</f>
        <v>25/26</v>
      </c>
      <c r="B630" s="3">
        <f>CALC_GAMES_BASE!B630</f>
        <v>46049</v>
      </c>
      <c r="C630" s="3" t="str">
        <f>CALC_GAMES_BASE!C630</f>
        <v>KOM</v>
      </c>
      <c r="D630" s="3" t="str">
        <f>CALC_GAMES_BASE!D630</f>
        <v>PLZ</v>
      </c>
      <c r="E630" s="7">
        <f>CALC_GAMES_BASE!E630</f>
        <v>0</v>
      </c>
      <c r="F630" s="6">
        <f>CALC_GAMES_BASE!N630</f>
        <v>-0.66000000000000014</v>
      </c>
      <c r="G630" s="7">
        <f>CALC_GAMES_BASE!K630</f>
        <v>-7</v>
      </c>
      <c r="H630" s="7">
        <f t="shared" si="9"/>
        <v>1</v>
      </c>
      <c r="I630" s="6">
        <f>IF(H630=1,
  F630,
  G630*PARAMETRY!$B$11)</f>
        <v>-0.66000000000000014</v>
      </c>
      <c r="J630" s="6">
        <f>CALC_GAMES_BASE!U630-CALC_GAMES_BASE!V630</f>
        <v>-3.2822039072039039E-2</v>
      </c>
      <c r="K630" s="6">
        <f>_xlfn.XLOOKUP(CALC_GAMES_BASE!W630,
  CALC_GOALIES!B:B,
  CALC_GOALIES!K:K)</f>
        <v>-1.5147095063735572E-3</v>
      </c>
      <c r="L630" s="6">
        <f>_xlfn.XLOOKUP(C630,CALC_TEAMS_SEASON!B:B,CALC_TEAMS_SEASON!L:L)</f>
        <v>-0.37268207282913179</v>
      </c>
      <c r="M630">
        <f>IF(CALC_GAMES_BASE!Z630="RS",1,1.2)</f>
        <v>1</v>
      </c>
      <c r="N630">
        <f xml:space="preserve"> CALC_GAMES_BASE!Y630</f>
        <v>0</v>
      </c>
    </row>
    <row r="631" spans="1:14" x14ac:dyDescent="0.25">
      <c r="A631" t="str">
        <f>CALC_GAMES_BASE!A631</f>
        <v>25/26</v>
      </c>
      <c r="B631" s="3">
        <f>CALC_GAMES_BASE!B631</f>
        <v>46049</v>
      </c>
      <c r="C631" s="3" t="str">
        <f>CALC_GAMES_BASE!C631</f>
        <v>CEB</v>
      </c>
      <c r="D631" s="3" t="str">
        <f>CALC_GAMES_BASE!D631</f>
        <v>KVA</v>
      </c>
      <c r="E631" s="7">
        <f>CALC_GAMES_BASE!E631</f>
        <v>1</v>
      </c>
      <c r="F631" s="6" t="str">
        <f>CALC_GAMES_BASE!N631</f>
        <v/>
      </c>
      <c r="G631" s="7">
        <f>CALC_GAMES_BASE!K631</f>
        <v>-11</v>
      </c>
      <c r="H631" s="7">
        <f t="shared" si="9"/>
        <v>0</v>
      </c>
      <c r="I631" s="6">
        <f>IF(H631=1,
  F631,
  G631*PARAMETRY!$B$11)</f>
        <v>-0.55000000000000004</v>
      </c>
      <c r="J631" s="6">
        <f>CALC_GAMES_BASE!U631-CALC_GAMES_BASE!V631</f>
        <v>-4.3657037407037413E-2</v>
      </c>
      <c r="K631" s="6">
        <f>_xlfn.XLOOKUP(CALC_GAMES_BASE!W631,
  CALC_GOALIES!B:B,
  CALC_GOALIES!K:K)</f>
        <v>-1.372632037787358E-2</v>
      </c>
      <c r="L631" s="6">
        <f>_xlfn.XLOOKUP(C631,CALC_TEAMS_SEASON!B:B,CALC_TEAMS_SEASON!L:L)</f>
        <v>-0.24978011204481798</v>
      </c>
      <c r="M631">
        <f>IF(CALC_GAMES_BASE!Z631="RS",1,1.2)</f>
        <v>1</v>
      </c>
      <c r="N631">
        <f xml:space="preserve"> CALC_GAMES_BASE!Y631</f>
        <v>0</v>
      </c>
    </row>
    <row r="632" spans="1:14" x14ac:dyDescent="0.25">
      <c r="A632" t="str">
        <f>CALC_GAMES_BASE!A632</f>
        <v>25/26</v>
      </c>
      <c r="B632" s="3">
        <f>CALC_GAMES_BASE!B632</f>
        <v>46049</v>
      </c>
      <c r="C632" s="3" t="str">
        <f>CALC_GAMES_BASE!C632</f>
        <v>KLA</v>
      </c>
      <c r="D632" s="3" t="str">
        <f>CALC_GAMES_BASE!D632</f>
        <v>PCE</v>
      </c>
      <c r="E632" s="7">
        <f>CALC_GAMES_BASE!E632</f>
        <v>0</v>
      </c>
      <c r="F632" s="6">
        <f>CALC_GAMES_BASE!N632</f>
        <v>-4.9999999999999822E-2</v>
      </c>
      <c r="G632" s="7">
        <f>CALC_GAMES_BASE!K632</f>
        <v>-10</v>
      </c>
      <c r="H632" s="7">
        <f t="shared" si="9"/>
        <v>1</v>
      </c>
      <c r="I632" s="6">
        <f>IF(H632=1,
  F632,
  G632*PARAMETRY!$B$11)</f>
        <v>-4.9999999999999822E-2</v>
      </c>
      <c r="J632" s="6">
        <f>CALC_GAMES_BASE!U632-CALC_GAMES_BASE!V632</f>
        <v>-7.17719780219781E-2</v>
      </c>
      <c r="K632" s="6">
        <f>_xlfn.XLOOKUP(CALC_GAMES_BASE!W632,
  CALC_GOALIES!B:B,
  CALC_GOALIES!K:K)</f>
        <v>1.2463190300688209E-2</v>
      </c>
      <c r="L632" s="6">
        <f>_xlfn.XLOOKUP(C632,CALC_TEAMS_SEASON!B:B,CALC_TEAMS_SEASON!L:L)</f>
        <v>-0.19819677871148478</v>
      </c>
      <c r="M632">
        <f>IF(CALC_GAMES_BASE!Z632="RS",1,1.2)</f>
        <v>1</v>
      </c>
      <c r="N632">
        <f xml:space="preserve"> CALC_GAMES_BASE!Y632</f>
        <v>0</v>
      </c>
    </row>
    <row r="633" spans="1:14" x14ac:dyDescent="0.25">
      <c r="A633" t="str">
        <f>CALC_GAMES_BASE!A633</f>
        <v>25/26</v>
      </c>
      <c r="B633" s="3">
        <f>CALC_GAMES_BASE!B633</f>
        <v>46049</v>
      </c>
      <c r="C633" s="3" t="str">
        <f>CALC_GAMES_BASE!C633</f>
        <v>KVA</v>
      </c>
      <c r="D633" s="3" t="str">
        <f>CALC_GAMES_BASE!D633</f>
        <v>CEB</v>
      </c>
      <c r="E633" s="7">
        <f>CALC_GAMES_BASE!E633</f>
        <v>0</v>
      </c>
      <c r="F633" s="6" t="str">
        <f>CALC_GAMES_BASE!N633</f>
        <v/>
      </c>
      <c r="G633" s="7">
        <f>CALC_GAMES_BASE!K633</f>
        <v>11</v>
      </c>
      <c r="H633" s="7">
        <f t="shared" si="9"/>
        <v>0</v>
      </c>
      <c r="I633" s="6">
        <f>IF(H633=1,
  F633,
  G633*PARAMETRY!$B$11)</f>
        <v>0.55000000000000004</v>
      </c>
      <c r="J633" s="6">
        <f>CALC_GAMES_BASE!U633-CALC_GAMES_BASE!V633</f>
        <v>4.3657037407037413E-2</v>
      </c>
      <c r="K633" s="6">
        <f>_xlfn.XLOOKUP(CALC_GAMES_BASE!W633,
  CALC_GOALIES!B:B,
  CALC_GOALIES!K:K)</f>
        <v>-2.2629454281007488E-2</v>
      </c>
      <c r="L633" s="6">
        <f>_xlfn.XLOOKUP(C633,CALC_TEAMS_SEASON!B:B,CALC_TEAMS_SEASON!L:L)</f>
        <v>-0.28757177871148476</v>
      </c>
      <c r="M633">
        <f>IF(CALC_GAMES_BASE!Z633="RS",1,1.2)</f>
        <v>1</v>
      </c>
      <c r="N633">
        <f xml:space="preserve"> CALC_GAMES_BASE!Y633</f>
        <v>1</v>
      </c>
    </row>
    <row r="634" spans="1:14" x14ac:dyDescent="0.25">
      <c r="A634" t="str">
        <f>CALC_GAMES_BASE!A634</f>
        <v>25/26</v>
      </c>
      <c r="B634" s="3">
        <f>CALC_GAMES_BASE!B634</f>
        <v>46049</v>
      </c>
      <c r="C634" s="3" t="str">
        <f>CALC_GAMES_BASE!C634</f>
        <v>LIB</v>
      </c>
      <c r="D634" s="3" t="str">
        <f>CALC_GAMES_BASE!D634</f>
        <v>VIT</v>
      </c>
      <c r="E634" s="7">
        <f>CALC_GAMES_BASE!E634</f>
        <v>1</v>
      </c>
      <c r="F634" s="6" t="str">
        <f>CALC_GAMES_BASE!N634</f>
        <v/>
      </c>
      <c r="G634" s="7">
        <f>CALC_GAMES_BASE!K634</f>
        <v>6</v>
      </c>
      <c r="H634" s="7">
        <f t="shared" si="9"/>
        <v>0</v>
      </c>
      <c r="I634" s="6">
        <f>IF(H634=1,
  F634,
  G634*PARAMETRY!$B$11)</f>
        <v>0.30000000000000004</v>
      </c>
      <c r="J634" s="6">
        <f>CALC_GAMES_BASE!U634-CALC_GAMES_BASE!V634</f>
        <v>-2.6076007326007344E-2</v>
      </c>
      <c r="K634" s="6">
        <f>_xlfn.XLOOKUP(CALC_GAMES_BASE!W634,
  CALC_GOALIES!B:B,
  CALC_GOALIES!K:K)</f>
        <v>-2.7663687063931297E-2</v>
      </c>
      <c r="L634" s="6">
        <f>_xlfn.XLOOKUP(C634,CALC_TEAMS_SEASON!B:B,CALC_TEAMS_SEASON!L:L)</f>
        <v>0.22367822128851536</v>
      </c>
      <c r="M634">
        <f>IF(CALC_GAMES_BASE!Z634="RS",1,1.2)</f>
        <v>1</v>
      </c>
      <c r="N634">
        <f xml:space="preserve"> CALC_GAMES_BASE!Y634</f>
        <v>1</v>
      </c>
    </row>
    <row r="635" spans="1:14" x14ac:dyDescent="0.25">
      <c r="A635" t="str">
        <f>CALC_GAMES_BASE!A635</f>
        <v>25/26</v>
      </c>
      <c r="B635" s="3">
        <f>CALC_GAMES_BASE!B635</f>
        <v>46049</v>
      </c>
      <c r="C635" s="3" t="str">
        <f>CALC_GAMES_BASE!C635</f>
        <v>LIT</v>
      </c>
      <c r="D635" s="3" t="str">
        <f>CALC_GAMES_BASE!D635</f>
        <v>MBL</v>
      </c>
      <c r="E635" s="7">
        <f>CALC_GAMES_BASE!E635</f>
        <v>0</v>
      </c>
      <c r="F635" s="6" t="str">
        <f>CALC_GAMES_BASE!N635</f>
        <v/>
      </c>
      <c r="G635" s="7">
        <f>CALC_GAMES_BASE!K635</f>
        <v>-13</v>
      </c>
      <c r="H635" s="7">
        <f t="shared" si="9"/>
        <v>0</v>
      </c>
      <c r="I635" s="6">
        <f>IF(H635=1,
  F635,
  G635*PARAMETRY!$B$11)</f>
        <v>-0.65</v>
      </c>
      <c r="J635" s="6">
        <f>CALC_GAMES_BASE!U635-CALC_GAMES_BASE!V635</f>
        <v>-1.7376373626373648E-2</v>
      </c>
      <c r="K635" s="6">
        <f>_xlfn.XLOOKUP(CALC_GAMES_BASE!W635,
  CALC_GOALIES!B:B,
  CALC_GOALIES!K:K)</f>
        <v>-4.9010888963920696E-3</v>
      </c>
      <c r="L635" s="6">
        <f>_xlfn.XLOOKUP(C635,CALC_TEAMS_SEASON!B:B,CALC_TEAMS_SEASON!L:L)</f>
        <v>-1.4784467787114848</v>
      </c>
      <c r="M635">
        <f>IF(CALC_GAMES_BASE!Z635="RS",1,1.2)</f>
        <v>1</v>
      </c>
      <c r="N635">
        <f xml:space="preserve"> CALC_GAMES_BASE!Y635</f>
        <v>0</v>
      </c>
    </row>
    <row r="636" spans="1:14" x14ac:dyDescent="0.25">
      <c r="A636" t="str">
        <f>CALC_GAMES_BASE!A636</f>
        <v>25/26</v>
      </c>
      <c r="B636" s="3">
        <f>CALC_GAMES_BASE!B636</f>
        <v>46049</v>
      </c>
      <c r="C636" s="3" t="str">
        <f>CALC_GAMES_BASE!C636</f>
        <v>MBL</v>
      </c>
      <c r="D636" s="3" t="str">
        <f>CALC_GAMES_BASE!D636</f>
        <v>LIT</v>
      </c>
      <c r="E636" s="7">
        <f>CALC_GAMES_BASE!E636</f>
        <v>1</v>
      </c>
      <c r="F636" s="6" t="str">
        <f>CALC_GAMES_BASE!N636</f>
        <v/>
      </c>
      <c r="G636" s="7">
        <f>CALC_GAMES_BASE!K636</f>
        <v>13</v>
      </c>
      <c r="H636" s="7">
        <f t="shared" si="9"/>
        <v>0</v>
      </c>
      <c r="I636" s="6">
        <f>IF(H636=1,
  F636,
  G636*PARAMETRY!$B$11)</f>
        <v>0.65</v>
      </c>
      <c r="J636" s="6">
        <f>CALC_GAMES_BASE!U636-CALC_GAMES_BASE!V636</f>
        <v>1.7376373626373648E-2</v>
      </c>
      <c r="K636" s="6">
        <f>_xlfn.XLOOKUP(CALC_GAMES_BASE!W636,
  CALC_GOALIES!B:B,
  CALC_GOALIES!K:K)</f>
        <v>-4.4670611186142795E-3</v>
      </c>
      <c r="L636" s="6">
        <f>_xlfn.XLOOKUP(C636,CALC_TEAMS_SEASON!B:B,CALC_TEAMS_SEASON!L:L)</f>
        <v>-0.89069677871148467</v>
      </c>
      <c r="M636">
        <f>IF(CALC_GAMES_BASE!Z636="RS",1,1.2)</f>
        <v>1</v>
      </c>
      <c r="N636">
        <f xml:space="preserve"> CALC_GAMES_BASE!Y636</f>
        <v>1</v>
      </c>
    </row>
    <row r="637" spans="1:14" x14ac:dyDescent="0.25">
      <c r="A637" t="str">
        <f>CALC_GAMES_BASE!A637</f>
        <v>25/26</v>
      </c>
      <c r="B637" s="3">
        <f>CALC_GAMES_BASE!B637</f>
        <v>46049</v>
      </c>
      <c r="C637" s="3" t="str">
        <f>CALC_GAMES_BASE!C637</f>
        <v>MHK</v>
      </c>
      <c r="D637" s="3" t="str">
        <f>CALC_GAMES_BASE!D637</f>
        <v>TRI</v>
      </c>
      <c r="E637" s="7">
        <f>CALC_GAMES_BASE!E637</f>
        <v>1</v>
      </c>
      <c r="F637" s="6">
        <f>CALC_GAMES_BASE!N637</f>
        <v>-0.98999999999999977</v>
      </c>
      <c r="G637" s="7">
        <f>CALC_GAMES_BASE!K637</f>
        <v>0</v>
      </c>
      <c r="H637" s="7">
        <f t="shared" si="9"/>
        <v>1</v>
      </c>
      <c r="I637" s="6">
        <f>IF(H637=1,
  F637,
  G637*PARAMETRY!$B$11)</f>
        <v>-0.98999999999999977</v>
      </c>
      <c r="J637" s="6">
        <f>CALC_GAMES_BASE!U637-CALC_GAMES_BASE!V637</f>
        <v>-3.2524420024420048E-2</v>
      </c>
      <c r="K637" s="6">
        <f>_xlfn.XLOOKUP(CALC_GAMES_BASE!W637,
  CALC_GOALIES!B:B,
  CALC_GOALIES!K:K)</f>
        <v>2.1917994590268441E-2</v>
      </c>
      <c r="L637" s="6">
        <f>_xlfn.XLOOKUP(C637,CALC_TEAMS_SEASON!B:B,CALC_TEAMS_SEASON!L:L)</f>
        <v>0.14821988795518207</v>
      </c>
      <c r="M637">
        <f>IF(CALC_GAMES_BASE!Z637="RS",1,1.2)</f>
        <v>1</v>
      </c>
      <c r="N637">
        <f xml:space="preserve"> CALC_GAMES_BASE!Y637</f>
        <v>1</v>
      </c>
    </row>
    <row r="638" spans="1:14" x14ac:dyDescent="0.25">
      <c r="A638" t="str">
        <f>CALC_GAMES_BASE!A638</f>
        <v>25/26</v>
      </c>
      <c r="B638" s="3">
        <f>CALC_GAMES_BASE!B638</f>
        <v>46049</v>
      </c>
      <c r="C638" s="3" t="str">
        <f>CALC_GAMES_BASE!C638</f>
        <v>PLZ</v>
      </c>
      <c r="D638" s="3" t="str">
        <f>CALC_GAMES_BASE!D638</f>
        <v>KOM</v>
      </c>
      <c r="E638" s="7">
        <f>CALC_GAMES_BASE!E638</f>
        <v>1</v>
      </c>
      <c r="F638" s="6">
        <f>CALC_GAMES_BASE!N638</f>
        <v>0.66000000000000014</v>
      </c>
      <c r="G638" s="7">
        <f>CALC_GAMES_BASE!K638</f>
        <v>7</v>
      </c>
      <c r="H638" s="7">
        <f t="shared" si="9"/>
        <v>1</v>
      </c>
      <c r="I638" s="6">
        <f>IF(H638=1,
  F638,
  G638*PARAMETRY!$B$11)</f>
        <v>0.66000000000000014</v>
      </c>
      <c r="J638" s="6">
        <f>CALC_GAMES_BASE!U638-CALC_GAMES_BASE!V638</f>
        <v>3.2822039072039039E-2</v>
      </c>
      <c r="K638" s="6">
        <f>_xlfn.XLOOKUP(CALC_GAMES_BASE!W638,
  CALC_GOALIES!B:B,
  CALC_GOALIES!K:K)</f>
        <v>1.7617039556646619E-2</v>
      </c>
      <c r="L638" s="6">
        <f>_xlfn.XLOOKUP(C638,CALC_TEAMS_SEASON!B:B,CALC_TEAMS_SEASON!L:L)</f>
        <v>7.3678221288515283E-2</v>
      </c>
      <c r="M638">
        <f>IF(CALC_GAMES_BASE!Z638="RS",1,1.2)</f>
        <v>1</v>
      </c>
      <c r="N638">
        <f xml:space="preserve"> CALC_GAMES_BASE!Y638</f>
        <v>1</v>
      </c>
    </row>
    <row r="639" spans="1:14" x14ac:dyDescent="0.25">
      <c r="A639" t="str">
        <f>CALC_GAMES_BASE!A639</f>
        <v>25/26</v>
      </c>
      <c r="B639" s="3">
        <f>CALC_GAMES_BASE!B639</f>
        <v>46049</v>
      </c>
      <c r="C639" s="3" t="str">
        <f>CALC_GAMES_BASE!C639</f>
        <v>VIT</v>
      </c>
      <c r="D639" s="3" t="str">
        <f>CALC_GAMES_BASE!D639</f>
        <v>LIB</v>
      </c>
      <c r="E639" s="7">
        <f>CALC_GAMES_BASE!E639</f>
        <v>0</v>
      </c>
      <c r="F639" s="6" t="str">
        <f>CALC_GAMES_BASE!N639</f>
        <v/>
      </c>
      <c r="G639" s="7">
        <f>CALC_GAMES_BASE!K639</f>
        <v>-6</v>
      </c>
      <c r="H639" s="7">
        <f t="shared" si="9"/>
        <v>0</v>
      </c>
      <c r="I639" s="6">
        <f>IF(H639=1,
  F639,
  G639*PARAMETRY!$B$11)</f>
        <v>-0.30000000000000004</v>
      </c>
      <c r="J639" s="6">
        <f>CALC_GAMES_BASE!U639-CALC_GAMES_BASE!V639</f>
        <v>2.6076007326007344E-2</v>
      </c>
      <c r="K639" s="6">
        <f>_xlfn.XLOOKUP(CALC_GAMES_BASE!W639,
  CALC_GOALIES!B:B,
  CALC_GOALIES!K:K)</f>
        <v>1.905487900993541E-3</v>
      </c>
      <c r="L639" s="6">
        <f>_xlfn.XLOOKUP(C639,CALC_TEAMS_SEASON!B:B,CALC_TEAMS_SEASON!L:L)</f>
        <v>-1.0281967787114845</v>
      </c>
      <c r="M639">
        <f>IF(CALC_GAMES_BASE!Z639="RS",1,1.2)</f>
        <v>1</v>
      </c>
      <c r="N639">
        <f xml:space="preserve"> CALC_GAMES_BASE!Y639</f>
        <v>0</v>
      </c>
    </row>
    <row r="640" spans="1:14" x14ac:dyDescent="0.25">
      <c r="A640" t="str">
        <f>CALC_GAMES_BASE!A640</f>
        <v>25/26</v>
      </c>
      <c r="B640" s="3">
        <f>CALC_GAMES_BASE!B640</f>
        <v>46051</v>
      </c>
      <c r="C640" s="3" t="str">
        <f>CALC_GAMES_BASE!C640</f>
        <v>PCE</v>
      </c>
      <c r="D640" s="3" t="str">
        <f>CALC_GAMES_BASE!D640</f>
        <v>TRI</v>
      </c>
      <c r="E640" s="7">
        <f>CALC_GAMES_BASE!E640</f>
        <v>0</v>
      </c>
      <c r="F640" s="6">
        <f>CALC_GAMES_BASE!N640</f>
        <v>-2.2000000000000002</v>
      </c>
      <c r="G640" s="7">
        <f>CALC_GAMES_BASE!K640</f>
        <v>-1</v>
      </c>
      <c r="H640" s="7">
        <f t="shared" si="9"/>
        <v>1</v>
      </c>
      <c r="I640" s="6">
        <f>IF(H640=1,
  F640,
  G640*PARAMETRY!$B$11)</f>
        <v>-2.2000000000000002</v>
      </c>
      <c r="J640" s="6">
        <f>CALC_GAMES_BASE!U640-CALC_GAMES_BASE!V640</f>
        <v>2.8601953601953611E-2</v>
      </c>
      <c r="K640" s="6">
        <f>_xlfn.XLOOKUP(CALC_GAMES_BASE!W640,
  CALC_GOALIES!B:B,
  CALC_GOALIES!K:K)</f>
        <v>-6.7923502086092435E-3</v>
      </c>
      <c r="L640" s="6">
        <f>_xlfn.XLOOKUP(C640,CALC_TEAMS_SEASON!B:B,CALC_TEAMS_SEASON!L:L)</f>
        <v>0.62437675070027965</v>
      </c>
      <c r="M640">
        <f>IF(CALC_GAMES_BASE!Z640="RS",1,1.2)</f>
        <v>1</v>
      </c>
      <c r="N640">
        <f xml:space="preserve"> CALC_GAMES_BASE!Y640</f>
        <v>0</v>
      </c>
    </row>
    <row r="641" spans="1:14" x14ac:dyDescent="0.25">
      <c r="A641" t="str">
        <f>CALC_GAMES_BASE!A641</f>
        <v>25/26</v>
      </c>
      <c r="B641" s="3">
        <f>CALC_GAMES_BASE!B641</f>
        <v>46051</v>
      </c>
      <c r="C641" s="3" t="str">
        <f>CALC_GAMES_BASE!C641</f>
        <v>TRI</v>
      </c>
      <c r="D641" s="3" t="str">
        <f>CALC_GAMES_BASE!D641</f>
        <v>PCE</v>
      </c>
      <c r="E641" s="7">
        <f>CALC_GAMES_BASE!E641</f>
        <v>1</v>
      </c>
      <c r="F641" s="6">
        <f>CALC_GAMES_BASE!N641</f>
        <v>2.2000000000000002</v>
      </c>
      <c r="G641" s="7">
        <f>CALC_GAMES_BASE!K641</f>
        <v>1</v>
      </c>
      <c r="H641" s="7">
        <f t="shared" si="9"/>
        <v>1</v>
      </c>
      <c r="I641" s="6">
        <f>IF(H641=1,
  F641,
  G641*PARAMETRY!$B$11)</f>
        <v>2.2000000000000002</v>
      </c>
      <c r="J641" s="6">
        <f>CALC_GAMES_BASE!U641-CALC_GAMES_BASE!V641</f>
        <v>-2.8601953601953611E-2</v>
      </c>
      <c r="K641" s="6">
        <f>_xlfn.XLOOKUP(CALC_GAMES_BASE!W641,
  CALC_GOALIES!B:B,
  CALC_GOALIES!K:K)</f>
        <v>1.3707542055988897E-2</v>
      </c>
      <c r="L641" s="6">
        <f>_xlfn.XLOOKUP(C641,CALC_TEAMS_SEASON!B:B,CALC_TEAMS_SEASON!L:L)</f>
        <v>0.10805322128851533</v>
      </c>
      <c r="M641">
        <f>IF(CALC_GAMES_BASE!Z641="RS",1,1.2)</f>
        <v>1</v>
      </c>
      <c r="N641">
        <f xml:space="preserve"> CALC_GAMES_BASE!Y641</f>
        <v>1</v>
      </c>
    </row>
    <row r="642" spans="1:14" x14ac:dyDescent="0.25">
      <c r="A642" t="str">
        <f>CALC_GAMES_BASE!A642</f>
        <v>25/26</v>
      </c>
      <c r="B642" s="3">
        <f>CALC_GAMES_BASE!B642</f>
        <v>46051</v>
      </c>
      <c r="C642" s="3" t="str">
        <f>CALC_GAMES_BASE!C642</f>
        <v>SPA</v>
      </c>
      <c r="D642" s="3" t="str">
        <f>CALC_GAMES_BASE!D642</f>
        <v>MBL</v>
      </c>
      <c r="E642" s="7">
        <f>CALC_GAMES_BASE!E642</f>
        <v>1</v>
      </c>
      <c r="F642" s="6">
        <f>CALC_GAMES_BASE!N642</f>
        <v>0.85000000000000009</v>
      </c>
      <c r="G642" s="7">
        <f>CALC_GAMES_BASE!K642</f>
        <v>5</v>
      </c>
      <c r="H642" s="7">
        <f t="shared" si="9"/>
        <v>1</v>
      </c>
      <c r="I642" s="6">
        <f>IF(H642=1,
  F642,
  G642*PARAMETRY!$B$11)</f>
        <v>0.85000000000000009</v>
      </c>
      <c r="J642" s="6">
        <f>CALC_GAMES_BASE!U642-CALC_GAMES_BASE!V642</f>
        <v>0.10233516483516487</v>
      </c>
      <c r="K642" s="6">
        <f>_xlfn.XLOOKUP(CALC_GAMES_BASE!W642,
  CALC_GOALIES!B:B,
  CALC_GOALIES!K:K)</f>
        <v>3.5919237922225067E-3</v>
      </c>
      <c r="L642" s="6">
        <f>_xlfn.XLOOKUP(C642,CALC_TEAMS_SEASON!B:B,CALC_TEAMS_SEASON!L:L)</f>
        <v>6.4376750700279955E-2</v>
      </c>
      <c r="M642">
        <f>IF(CALC_GAMES_BASE!Z642="RS",1,1.2)</f>
        <v>1</v>
      </c>
      <c r="N642">
        <f xml:space="preserve"> CALC_GAMES_BASE!Y642</f>
        <v>1</v>
      </c>
    </row>
    <row r="643" spans="1:14" x14ac:dyDescent="0.25">
      <c r="A643" t="str">
        <f>CALC_GAMES_BASE!A643</f>
        <v>25/26</v>
      </c>
      <c r="B643" s="3">
        <f>CALC_GAMES_BASE!B643</f>
        <v>46051</v>
      </c>
      <c r="C643" s="3" t="str">
        <f>CALC_GAMES_BASE!C643</f>
        <v>KLA</v>
      </c>
      <c r="D643" s="3" t="str">
        <f>CALC_GAMES_BASE!D643</f>
        <v>PLZ</v>
      </c>
      <c r="E643" s="7">
        <f>CALC_GAMES_BASE!E643</f>
        <v>1</v>
      </c>
      <c r="F643" s="6" t="str">
        <f>CALC_GAMES_BASE!N643</f>
        <v/>
      </c>
      <c r="G643" s="7">
        <f>CALC_GAMES_BASE!K643</f>
        <v>3</v>
      </c>
      <c r="H643" s="7">
        <f t="shared" ref="H643:H706" si="10">IF(F643&lt;&gt;"",1,0)</f>
        <v>0</v>
      </c>
      <c r="I643" s="6">
        <f>IF(H643=1,
  F643,
  G643*PARAMETRY!$B$11)</f>
        <v>0.15000000000000002</v>
      </c>
      <c r="J643" s="6">
        <f>CALC_GAMES_BASE!U643-CALC_GAMES_BASE!V643</f>
        <v>-4.5207570207570186E-2</v>
      </c>
      <c r="K643" s="6">
        <f>_xlfn.XLOOKUP(CALC_GAMES_BASE!W643,
  CALC_GOALIES!B:B,
  CALC_GOALIES!K:K)</f>
        <v>1.2463190300688209E-2</v>
      </c>
      <c r="L643" s="6">
        <f>_xlfn.XLOOKUP(C643,CALC_TEAMS_SEASON!B:B,CALC_TEAMS_SEASON!L:L)</f>
        <v>-0.19819677871148478</v>
      </c>
      <c r="M643">
        <f>IF(CALC_GAMES_BASE!Z643="RS",1,1.2)</f>
        <v>1</v>
      </c>
      <c r="N643">
        <f xml:space="preserve"> CALC_GAMES_BASE!Y643</f>
        <v>1</v>
      </c>
    </row>
    <row r="644" spans="1:14" x14ac:dyDescent="0.25">
      <c r="A644" t="str">
        <f>CALC_GAMES_BASE!A644</f>
        <v>25/26</v>
      </c>
      <c r="B644" s="3">
        <f>CALC_GAMES_BASE!B644</f>
        <v>46051</v>
      </c>
      <c r="C644" s="3" t="str">
        <f>CALC_GAMES_BASE!C644</f>
        <v>KVA</v>
      </c>
      <c r="D644" s="3" t="str">
        <f>CALC_GAMES_BASE!D644</f>
        <v>LIB</v>
      </c>
      <c r="E644" s="7">
        <f>CALC_GAMES_BASE!E644</f>
        <v>1</v>
      </c>
      <c r="F644" s="6" t="str">
        <f>CALC_GAMES_BASE!N644</f>
        <v/>
      </c>
      <c r="G644" s="7">
        <f>CALC_GAMES_BASE!K644</f>
        <v>1</v>
      </c>
      <c r="H644" s="7">
        <f t="shared" si="10"/>
        <v>0</v>
      </c>
      <c r="I644" s="6">
        <f>IF(H644=1,
  F644,
  G644*PARAMETRY!$B$11)</f>
        <v>0.05</v>
      </c>
      <c r="J644" s="6">
        <f>CALC_GAMES_BASE!U644-CALC_GAMES_BASE!V644</f>
        <v>3.0097680097680102E-2</v>
      </c>
      <c r="K644" s="6">
        <f>_xlfn.XLOOKUP(CALC_GAMES_BASE!W644,
  CALC_GOALIES!B:B,
  CALC_GOALIES!K:K)</f>
        <v>1.2242809776983998E-2</v>
      </c>
      <c r="L644" s="6">
        <f>_xlfn.XLOOKUP(C644,CALC_TEAMS_SEASON!B:B,CALC_TEAMS_SEASON!L:L)</f>
        <v>-0.28757177871148476</v>
      </c>
      <c r="M644">
        <f>IF(CALC_GAMES_BASE!Z644="RS",1,1.2)</f>
        <v>1</v>
      </c>
      <c r="N644">
        <f xml:space="preserve"> CALC_GAMES_BASE!Y644</f>
        <v>1</v>
      </c>
    </row>
    <row r="645" spans="1:14" x14ac:dyDescent="0.25">
      <c r="A645" t="str">
        <f>CALC_GAMES_BASE!A645</f>
        <v>25/26</v>
      </c>
      <c r="B645" s="3">
        <f>CALC_GAMES_BASE!B645</f>
        <v>46051</v>
      </c>
      <c r="C645" s="3" t="str">
        <f>CALC_GAMES_BASE!C645</f>
        <v>LIB</v>
      </c>
      <c r="D645" s="3" t="str">
        <f>CALC_GAMES_BASE!D645</f>
        <v>KVA</v>
      </c>
      <c r="E645" s="7">
        <f>CALC_GAMES_BASE!E645</f>
        <v>0</v>
      </c>
      <c r="F645" s="6" t="str">
        <f>CALC_GAMES_BASE!N645</f>
        <v/>
      </c>
      <c r="G645" s="7">
        <f>CALC_GAMES_BASE!K645</f>
        <v>-1</v>
      </c>
      <c r="H645" s="7">
        <f t="shared" si="10"/>
        <v>0</v>
      </c>
      <c r="I645" s="6">
        <f>IF(H645=1,
  F645,
  G645*PARAMETRY!$B$11)</f>
        <v>-0.05</v>
      </c>
      <c r="J645" s="6">
        <f>CALC_GAMES_BASE!U645-CALC_GAMES_BASE!V645</f>
        <v>-3.0097680097680102E-2</v>
      </c>
      <c r="K645" s="6">
        <f>_xlfn.XLOOKUP(CALC_GAMES_BASE!W645,
  CALC_GOALIES!B:B,
  CALC_GOALIES!K:K)</f>
        <v>1.2275709048813366E-2</v>
      </c>
      <c r="L645" s="6">
        <f>_xlfn.XLOOKUP(C645,CALC_TEAMS_SEASON!B:B,CALC_TEAMS_SEASON!L:L)</f>
        <v>0.22367822128851536</v>
      </c>
      <c r="M645">
        <f>IF(CALC_GAMES_BASE!Z645="RS",1,1.2)</f>
        <v>1</v>
      </c>
      <c r="N645">
        <f xml:space="preserve"> CALC_GAMES_BASE!Y645</f>
        <v>0</v>
      </c>
    </row>
    <row r="646" spans="1:14" x14ac:dyDescent="0.25">
      <c r="A646" t="str">
        <f>CALC_GAMES_BASE!A646</f>
        <v>25/26</v>
      </c>
      <c r="B646" s="3">
        <f>CALC_GAMES_BASE!B646</f>
        <v>46051</v>
      </c>
      <c r="C646" s="3" t="str">
        <f>CALC_GAMES_BASE!C646</f>
        <v>LIT</v>
      </c>
      <c r="D646" s="3" t="str">
        <f>CALC_GAMES_BASE!D646</f>
        <v>MHK</v>
      </c>
      <c r="E646" s="7">
        <f>CALC_GAMES_BASE!E646</f>
        <v>1</v>
      </c>
      <c r="F646" s="6" t="str">
        <f>CALC_GAMES_BASE!N646</f>
        <v/>
      </c>
      <c r="G646" s="7">
        <f>CALC_GAMES_BASE!K646</f>
        <v>2</v>
      </c>
      <c r="H646" s="7">
        <f t="shared" si="10"/>
        <v>0</v>
      </c>
      <c r="I646" s="6">
        <f>IF(H646=1,
  F646,
  G646*PARAMETRY!$B$11)</f>
        <v>0.1</v>
      </c>
      <c r="J646" s="6">
        <f>CALC_GAMES_BASE!U646-CALC_GAMES_BASE!V646</f>
        <v>-4.0956959706959742E-2</v>
      </c>
      <c r="K646" s="6">
        <f>_xlfn.XLOOKUP(CALC_GAMES_BASE!W646,
  CALC_GOALIES!B:B,
  CALC_GOALIES!K:K)</f>
        <v>-0.10079322599316631</v>
      </c>
      <c r="L646" s="6">
        <f>_xlfn.XLOOKUP(C646,CALC_TEAMS_SEASON!B:B,CALC_TEAMS_SEASON!L:L)</f>
        <v>-1.4784467787114848</v>
      </c>
      <c r="M646">
        <f>IF(CALC_GAMES_BASE!Z646="RS",1,1.2)</f>
        <v>1</v>
      </c>
      <c r="N646">
        <f xml:space="preserve"> CALC_GAMES_BASE!Y646</f>
        <v>0</v>
      </c>
    </row>
    <row r="647" spans="1:14" x14ac:dyDescent="0.25">
      <c r="A647" t="str">
        <f>CALC_GAMES_BASE!A647</f>
        <v>25/26</v>
      </c>
      <c r="B647" s="3">
        <f>CALC_GAMES_BASE!B647</f>
        <v>46051</v>
      </c>
      <c r="C647" s="3" t="str">
        <f>CALC_GAMES_BASE!C647</f>
        <v>MBL</v>
      </c>
      <c r="D647" s="3" t="str">
        <f>CALC_GAMES_BASE!D647</f>
        <v>SPA</v>
      </c>
      <c r="E647" s="7">
        <f>CALC_GAMES_BASE!E647</f>
        <v>0</v>
      </c>
      <c r="F647" s="6">
        <f>CALC_GAMES_BASE!N647</f>
        <v>-0.85000000000000009</v>
      </c>
      <c r="G647" s="7">
        <f>CALC_GAMES_BASE!K647</f>
        <v>-5</v>
      </c>
      <c r="H647" s="7">
        <f t="shared" si="10"/>
        <v>1</v>
      </c>
      <c r="I647" s="6">
        <f>IF(H647=1,
  F647,
  G647*PARAMETRY!$B$11)</f>
        <v>-0.85000000000000009</v>
      </c>
      <c r="J647" s="6">
        <f>CALC_GAMES_BASE!U647-CALC_GAMES_BASE!V647</f>
        <v>-0.10233516483516487</v>
      </c>
      <c r="K647" s="6">
        <f>_xlfn.XLOOKUP(CALC_GAMES_BASE!W647,
  CALC_GOALIES!B:B,
  CALC_GOALIES!K:K)</f>
        <v>1.9185678814779616E-2</v>
      </c>
      <c r="L647" s="6">
        <f>_xlfn.XLOOKUP(C647,CALC_TEAMS_SEASON!B:B,CALC_TEAMS_SEASON!L:L)</f>
        <v>-0.89069677871148467</v>
      </c>
      <c r="M647">
        <f>IF(CALC_GAMES_BASE!Z647="RS",1,1.2)</f>
        <v>1</v>
      </c>
      <c r="N647">
        <f xml:space="preserve"> CALC_GAMES_BASE!Y647</f>
        <v>0</v>
      </c>
    </row>
    <row r="648" spans="1:14" x14ac:dyDescent="0.25">
      <c r="A648" t="str">
        <f>CALC_GAMES_BASE!A648</f>
        <v>25/26</v>
      </c>
      <c r="B648" s="3">
        <f>CALC_GAMES_BASE!B648</f>
        <v>46051</v>
      </c>
      <c r="C648" s="3" t="str">
        <f>CALC_GAMES_BASE!C648</f>
        <v>MHK</v>
      </c>
      <c r="D648" s="3" t="str">
        <f>CALC_GAMES_BASE!D648</f>
        <v>LIT</v>
      </c>
      <c r="E648" s="7">
        <f>CALC_GAMES_BASE!E648</f>
        <v>0</v>
      </c>
      <c r="F648" s="6" t="str">
        <f>CALC_GAMES_BASE!N648</f>
        <v/>
      </c>
      <c r="G648" s="7">
        <f>CALC_GAMES_BASE!K648</f>
        <v>-2</v>
      </c>
      <c r="H648" s="7">
        <f t="shared" si="10"/>
        <v>0</v>
      </c>
      <c r="I648" s="6">
        <f>IF(H648=1,
  F648,
  G648*PARAMETRY!$B$11)</f>
        <v>-0.1</v>
      </c>
      <c r="J648" s="6">
        <f>CALC_GAMES_BASE!U648-CALC_GAMES_BASE!V648</f>
        <v>4.0956959706959742E-2</v>
      </c>
      <c r="K648" s="6">
        <f>_xlfn.XLOOKUP(CALC_GAMES_BASE!W648,
  CALC_GOALIES!B:B,
  CALC_GOALIES!K:K)</f>
        <v>2.1917994590268441E-2</v>
      </c>
      <c r="L648" s="6">
        <f>_xlfn.XLOOKUP(C648,CALC_TEAMS_SEASON!B:B,CALC_TEAMS_SEASON!L:L)</f>
        <v>0.14821988795518207</v>
      </c>
      <c r="M648">
        <f>IF(CALC_GAMES_BASE!Z648="RS",1,1.2)</f>
        <v>1</v>
      </c>
      <c r="N648">
        <f xml:space="preserve"> CALC_GAMES_BASE!Y648</f>
        <v>1</v>
      </c>
    </row>
    <row r="649" spans="1:14" x14ac:dyDescent="0.25">
      <c r="A649" t="str">
        <f>CALC_GAMES_BASE!A649</f>
        <v>25/26</v>
      </c>
      <c r="B649" s="3">
        <f>CALC_GAMES_BASE!B649</f>
        <v>46051</v>
      </c>
      <c r="C649" s="3" t="str">
        <f>CALC_GAMES_BASE!C649</f>
        <v>PLZ</v>
      </c>
      <c r="D649" s="3" t="str">
        <f>CALC_GAMES_BASE!D649</f>
        <v>KLA</v>
      </c>
      <c r="E649" s="7">
        <f>CALC_GAMES_BASE!E649</f>
        <v>0</v>
      </c>
      <c r="F649" s="6" t="str">
        <f>CALC_GAMES_BASE!N649</f>
        <v/>
      </c>
      <c r="G649" s="7">
        <f>CALC_GAMES_BASE!K649</f>
        <v>-3</v>
      </c>
      <c r="H649" s="7">
        <f t="shared" si="10"/>
        <v>0</v>
      </c>
      <c r="I649" s="6">
        <f>IF(H649=1,
  F649,
  G649*PARAMETRY!$B$11)</f>
        <v>-0.15000000000000002</v>
      </c>
      <c r="J649" s="6">
        <f>CALC_GAMES_BASE!U649-CALC_GAMES_BASE!V649</f>
        <v>4.5207570207570186E-2</v>
      </c>
      <c r="K649" s="6">
        <f>_xlfn.XLOOKUP(CALC_GAMES_BASE!W649,
  CALC_GOALIES!B:B,
  CALC_GOALIES!K:K)</f>
        <v>-1.4856765927271365E-3</v>
      </c>
      <c r="L649" s="6">
        <f>_xlfn.XLOOKUP(C649,CALC_TEAMS_SEASON!B:B,CALC_TEAMS_SEASON!L:L)</f>
        <v>7.3678221288515283E-2</v>
      </c>
      <c r="M649">
        <f>IF(CALC_GAMES_BASE!Z649="RS",1,1.2)</f>
        <v>1</v>
      </c>
      <c r="N649">
        <f xml:space="preserve"> CALC_GAMES_BASE!Y649</f>
        <v>0</v>
      </c>
    </row>
    <row r="650" spans="1:14" x14ac:dyDescent="0.25">
      <c r="A650" t="str">
        <f>CALC_GAMES_BASE!A650</f>
        <v>25/26</v>
      </c>
      <c r="B650" s="3">
        <f>CALC_GAMES_BASE!B650</f>
        <v>46052</v>
      </c>
      <c r="C650" s="3" t="str">
        <f>CALC_GAMES_BASE!C650</f>
        <v>KOM</v>
      </c>
      <c r="D650" s="3" t="str">
        <f>CALC_GAMES_BASE!D650</f>
        <v>CEB</v>
      </c>
      <c r="E650" s="7">
        <f>CALC_GAMES_BASE!E650</f>
        <v>1</v>
      </c>
      <c r="F650" s="6">
        <f>CALC_GAMES_BASE!N650</f>
        <v>-1.0900000000000003</v>
      </c>
      <c r="G650" s="7">
        <f>CALC_GAMES_BASE!K650</f>
        <v>15</v>
      </c>
      <c r="H650" s="7">
        <f t="shared" si="10"/>
        <v>1</v>
      </c>
      <c r="I650" s="6">
        <f>IF(H650=1,
  F650,
  G650*PARAMETRY!$B$11)</f>
        <v>-1.0900000000000003</v>
      </c>
      <c r="J650" s="6">
        <f>CALC_GAMES_BASE!U650-CALC_GAMES_BASE!V650</f>
        <v>1.3376207126207101E-2</v>
      </c>
      <c r="K650" s="6">
        <f>_xlfn.XLOOKUP(CALC_GAMES_BASE!W650,
  CALC_GOALIES!B:B,
  CALC_GOALIES!K:K)</f>
        <v>-1.5147095063735572E-3</v>
      </c>
      <c r="L650" s="6">
        <f>_xlfn.XLOOKUP(C650,CALC_TEAMS_SEASON!B:B,CALC_TEAMS_SEASON!L:L)</f>
        <v>-0.37268207282913179</v>
      </c>
      <c r="M650">
        <f>IF(CALC_GAMES_BASE!Z650="RS",1,1.2)</f>
        <v>1</v>
      </c>
      <c r="N650">
        <f xml:space="preserve"> CALC_GAMES_BASE!Y650</f>
        <v>1</v>
      </c>
    </row>
    <row r="651" spans="1:14" x14ac:dyDescent="0.25">
      <c r="A651" t="str">
        <f>CALC_GAMES_BASE!A651</f>
        <v>25/26</v>
      </c>
      <c r="B651" s="3">
        <f>CALC_GAMES_BASE!B651</f>
        <v>46052</v>
      </c>
      <c r="C651" s="3" t="str">
        <f>CALC_GAMES_BASE!C651</f>
        <v>CEB</v>
      </c>
      <c r="D651" s="3" t="str">
        <f>CALC_GAMES_BASE!D651</f>
        <v>KOM</v>
      </c>
      <c r="E651" s="7">
        <f>CALC_GAMES_BASE!E651</f>
        <v>0</v>
      </c>
      <c r="F651" s="6">
        <f>CALC_GAMES_BASE!N651</f>
        <v>1.0900000000000003</v>
      </c>
      <c r="G651" s="7">
        <f>CALC_GAMES_BASE!K651</f>
        <v>-15</v>
      </c>
      <c r="H651" s="7">
        <f t="shared" si="10"/>
        <v>1</v>
      </c>
      <c r="I651" s="6">
        <f>IF(H651=1,
  F651,
  G651*PARAMETRY!$B$11)</f>
        <v>1.0900000000000003</v>
      </c>
      <c r="J651" s="6">
        <f>CALC_GAMES_BASE!U651-CALC_GAMES_BASE!V651</f>
        <v>-1.3376207126207101E-2</v>
      </c>
      <c r="K651" s="6">
        <f>_xlfn.XLOOKUP(CALC_GAMES_BASE!W651,
  CALC_GOALIES!B:B,
  CALC_GOALIES!K:K)</f>
        <v>3.9343341510811314E-3</v>
      </c>
      <c r="L651" s="6">
        <f>_xlfn.XLOOKUP(C651,CALC_TEAMS_SEASON!B:B,CALC_TEAMS_SEASON!L:L)</f>
        <v>-0.24978011204481798</v>
      </c>
      <c r="M651">
        <f>IF(CALC_GAMES_BASE!Z651="RS",1,1.2)</f>
        <v>1</v>
      </c>
      <c r="N651">
        <f xml:space="preserve"> CALC_GAMES_BASE!Y651</f>
        <v>0</v>
      </c>
    </row>
    <row r="652" spans="1:14" x14ac:dyDescent="0.25">
      <c r="A652" t="str">
        <f>CALC_GAMES_BASE!A652</f>
        <v>25/26</v>
      </c>
      <c r="B652" s="3">
        <f>CALC_GAMES_BASE!B652</f>
        <v>46052</v>
      </c>
      <c r="C652" s="3" t="str">
        <f>CALC_GAMES_BASE!C652</f>
        <v>KVA</v>
      </c>
      <c r="D652" s="3" t="str">
        <f>CALC_GAMES_BASE!D652</f>
        <v>LIB</v>
      </c>
      <c r="E652" s="7">
        <f>CALC_GAMES_BASE!E652</f>
        <v>1</v>
      </c>
      <c r="F652" s="6" t="str">
        <f>CALC_GAMES_BASE!N652</f>
        <v/>
      </c>
      <c r="G652" s="7">
        <f>CALC_GAMES_BASE!K652</f>
        <v>-12</v>
      </c>
      <c r="H652" s="7">
        <f t="shared" si="10"/>
        <v>0</v>
      </c>
      <c r="I652" s="6">
        <f>IF(H652=1,
  F652,
  G652*PARAMETRY!$B$11)</f>
        <v>-0.60000000000000009</v>
      </c>
      <c r="J652" s="6">
        <f>CALC_GAMES_BASE!U652-CALC_GAMES_BASE!V652</f>
        <v>3.0097680097680102E-2</v>
      </c>
      <c r="K652" s="6">
        <f>_xlfn.XLOOKUP(CALC_GAMES_BASE!W652,
  CALC_GOALIES!B:B,
  CALC_GOALIES!K:K)</f>
        <v>1.2242809776983998E-2</v>
      </c>
      <c r="L652" s="6">
        <f>_xlfn.XLOOKUP(C652,CALC_TEAMS_SEASON!B:B,CALC_TEAMS_SEASON!L:L)</f>
        <v>-0.28757177871148476</v>
      </c>
      <c r="M652">
        <f>IF(CALC_GAMES_BASE!Z652="RS",1,1.2)</f>
        <v>1</v>
      </c>
      <c r="N652">
        <f xml:space="preserve"> CALC_GAMES_BASE!Y652</f>
        <v>1</v>
      </c>
    </row>
    <row r="653" spans="1:14" x14ac:dyDescent="0.25">
      <c r="A653" t="str">
        <f>CALC_GAMES_BASE!A653</f>
        <v>25/26</v>
      </c>
      <c r="B653" s="3">
        <f>CALC_GAMES_BASE!B653</f>
        <v>46052</v>
      </c>
      <c r="C653" s="3" t="str">
        <f>CALC_GAMES_BASE!C653</f>
        <v>LIB</v>
      </c>
      <c r="D653" s="3" t="str">
        <f>CALC_GAMES_BASE!D653</f>
        <v>KVA</v>
      </c>
      <c r="E653" s="7">
        <f>CALC_GAMES_BASE!E653</f>
        <v>0</v>
      </c>
      <c r="F653" s="6" t="str">
        <f>CALC_GAMES_BASE!N653</f>
        <v/>
      </c>
      <c r="G653" s="7">
        <f>CALC_GAMES_BASE!K653</f>
        <v>12</v>
      </c>
      <c r="H653" s="7">
        <f t="shared" si="10"/>
        <v>0</v>
      </c>
      <c r="I653" s="6">
        <f>IF(H653=1,
  F653,
  G653*PARAMETRY!$B$11)</f>
        <v>0.60000000000000009</v>
      </c>
      <c r="J653" s="6">
        <f>CALC_GAMES_BASE!U653-CALC_GAMES_BASE!V653</f>
        <v>-3.0097680097680102E-2</v>
      </c>
      <c r="K653" s="6">
        <f>_xlfn.XLOOKUP(CALC_GAMES_BASE!W653,
  CALC_GOALIES!B:B,
  CALC_GOALIES!K:K)</f>
        <v>1.2275709048813366E-2</v>
      </c>
      <c r="L653" s="6">
        <f>_xlfn.XLOOKUP(C653,CALC_TEAMS_SEASON!B:B,CALC_TEAMS_SEASON!L:L)</f>
        <v>0.22367822128851536</v>
      </c>
      <c r="M653">
        <f>IF(CALC_GAMES_BASE!Z653="RS",1,1.2)</f>
        <v>1</v>
      </c>
      <c r="N653">
        <f xml:space="preserve"> CALC_GAMES_BASE!Y653</f>
        <v>0</v>
      </c>
    </row>
    <row r="654" spans="1:14" x14ac:dyDescent="0.25">
      <c r="A654" t="str">
        <f>CALC_GAMES_BASE!A654</f>
        <v>25/26</v>
      </c>
      <c r="B654" s="3">
        <f>CALC_GAMES_BASE!B654</f>
        <v>46054</v>
      </c>
      <c r="C654" s="3" t="str">
        <f>CALC_GAMES_BASE!C654</f>
        <v>SPA</v>
      </c>
      <c r="D654" s="3" t="str">
        <f>CALC_GAMES_BASE!D654</f>
        <v>CEB</v>
      </c>
      <c r="E654" s="7">
        <f>CALC_GAMES_BASE!E654</f>
        <v>1</v>
      </c>
      <c r="F654" s="6" t="str">
        <f>CALC_GAMES_BASE!N654</f>
        <v/>
      </c>
      <c r="G654" s="7">
        <f>CALC_GAMES_BASE!K654</f>
        <v>5</v>
      </c>
      <c r="H654" s="7">
        <f t="shared" si="10"/>
        <v>0</v>
      </c>
      <c r="I654" s="6">
        <f>IF(H654=1,
  F654,
  G654*PARAMETRY!$B$11)</f>
        <v>0.25</v>
      </c>
      <c r="J654" s="6">
        <f>CALC_GAMES_BASE!U654-CALC_GAMES_BASE!V654</f>
        <v>9.0390859140859176E-2</v>
      </c>
      <c r="K654" s="6">
        <f>_xlfn.XLOOKUP(CALC_GAMES_BASE!W654,
  CALC_GOALIES!B:B,
  CALC_GOALIES!K:K)</f>
        <v>-1.0634669404866681E-2</v>
      </c>
      <c r="L654" s="6">
        <f>_xlfn.XLOOKUP(C654,CALC_TEAMS_SEASON!B:B,CALC_TEAMS_SEASON!L:L)</f>
        <v>6.4376750700279955E-2</v>
      </c>
      <c r="M654">
        <f>IF(CALC_GAMES_BASE!Z654="RS",1,1.2)</f>
        <v>1</v>
      </c>
      <c r="N654">
        <f xml:space="preserve"> CALC_GAMES_BASE!Y654</f>
        <v>1</v>
      </c>
    </row>
    <row r="655" spans="1:14" x14ac:dyDescent="0.25">
      <c r="A655" t="str">
        <f>CALC_GAMES_BASE!A655</f>
        <v>25/26</v>
      </c>
      <c r="B655" s="3">
        <f>CALC_GAMES_BASE!B655</f>
        <v>46054</v>
      </c>
      <c r="C655" s="3" t="str">
        <f>CALC_GAMES_BASE!C655</f>
        <v>CEB</v>
      </c>
      <c r="D655" s="3" t="str">
        <f>CALC_GAMES_BASE!D655</f>
        <v>SPA</v>
      </c>
      <c r="E655" s="7">
        <f>CALC_GAMES_BASE!E655</f>
        <v>0</v>
      </c>
      <c r="F655" s="6" t="str">
        <f>CALC_GAMES_BASE!N655</f>
        <v/>
      </c>
      <c r="G655" s="7">
        <f>CALC_GAMES_BASE!K655</f>
        <v>-5</v>
      </c>
      <c r="H655" s="7">
        <f t="shared" si="10"/>
        <v>0</v>
      </c>
      <c r="I655" s="6">
        <f>IF(H655=1,
  F655,
  G655*PARAMETRY!$B$11)</f>
        <v>-0.25</v>
      </c>
      <c r="J655" s="6">
        <f>CALC_GAMES_BASE!U655-CALC_GAMES_BASE!V655</f>
        <v>-9.0390859140859176E-2</v>
      </c>
      <c r="K655" s="6">
        <f>_xlfn.XLOOKUP(CALC_GAMES_BASE!W655,
  CALC_GOALIES!B:B,
  CALC_GOALIES!K:K)</f>
        <v>3.9343341510811314E-3</v>
      </c>
      <c r="L655" s="6">
        <f>_xlfn.XLOOKUP(C655,CALC_TEAMS_SEASON!B:B,CALC_TEAMS_SEASON!L:L)</f>
        <v>-0.24978011204481798</v>
      </c>
      <c r="M655">
        <f>IF(CALC_GAMES_BASE!Z655="RS",1,1.2)</f>
        <v>1</v>
      </c>
      <c r="N655">
        <f xml:space="preserve"> CALC_GAMES_BASE!Y655</f>
        <v>0</v>
      </c>
    </row>
    <row r="656" spans="1:14" x14ac:dyDescent="0.25">
      <c r="A656" t="str">
        <f>CALC_GAMES_BASE!A656</f>
        <v>25/26</v>
      </c>
      <c r="B656" s="3">
        <f>CALC_GAMES_BASE!B656</f>
        <v>46055</v>
      </c>
      <c r="C656" s="3" t="str">
        <f>CALC_GAMES_BASE!C656</f>
        <v>SPA</v>
      </c>
      <c r="D656" s="3" t="str">
        <f>CALC_GAMES_BASE!D656</f>
        <v>PLZ</v>
      </c>
      <c r="E656" s="7">
        <f>CALC_GAMES_BASE!E656</f>
        <v>0</v>
      </c>
      <c r="F656" s="6">
        <f>CALC_GAMES_BASE!N656</f>
        <v>-1.5399999999999998</v>
      </c>
      <c r="G656" s="7">
        <f>CALC_GAMES_BASE!K656</f>
        <v>-15</v>
      </c>
      <c r="H656" s="7">
        <f t="shared" si="10"/>
        <v>1</v>
      </c>
      <c r="I656" s="6">
        <f>IF(H656=1,
  F656,
  G656*PARAMETRY!$B$11)</f>
        <v>-1.5399999999999998</v>
      </c>
      <c r="J656" s="6">
        <f>CALC_GAMES_BASE!U656-CALC_GAMES_BASE!V656</f>
        <v>4.4192612942613035E-2</v>
      </c>
      <c r="K656" s="6">
        <f>_xlfn.XLOOKUP(CALC_GAMES_BASE!W656,
  CALC_GOALIES!B:B,
  CALC_GOALIES!K:K)</f>
        <v>3.5919237922225067E-3</v>
      </c>
      <c r="L656" s="6">
        <f>_xlfn.XLOOKUP(C656,CALC_TEAMS_SEASON!B:B,CALC_TEAMS_SEASON!L:L)</f>
        <v>6.4376750700279955E-2</v>
      </c>
      <c r="M656">
        <f>IF(CALC_GAMES_BASE!Z656="RS",1,1.2)</f>
        <v>1</v>
      </c>
      <c r="N656">
        <f xml:space="preserve"> CALC_GAMES_BASE!Y656</f>
        <v>0</v>
      </c>
    </row>
    <row r="657" spans="1:14" x14ac:dyDescent="0.25">
      <c r="A657" t="str">
        <f>CALC_GAMES_BASE!A657</f>
        <v>25/26</v>
      </c>
      <c r="B657" s="3">
        <f>CALC_GAMES_BASE!B657</f>
        <v>46055</v>
      </c>
      <c r="C657" s="3" t="str">
        <f>CALC_GAMES_BASE!C657</f>
        <v>PLZ</v>
      </c>
      <c r="D657" s="3" t="str">
        <f>CALC_GAMES_BASE!D657</f>
        <v>SPA</v>
      </c>
      <c r="E657" s="7">
        <f>CALC_GAMES_BASE!E657</f>
        <v>1</v>
      </c>
      <c r="F657" s="6">
        <f>CALC_GAMES_BASE!N657</f>
        <v>1.5399999999999998</v>
      </c>
      <c r="G657" s="7">
        <f>CALC_GAMES_BASE!K657</f>
        <v>15</v>
      </c>
      <c r="H657" s="7">
        <f t="shared" si="10"/>
        <v>1</v>
      </c>
      <c r="I657" s="6">
        <f>IF(H657=1,
  F657,
  G657*PARAMETRY!$B$11)</f>
        <v>1.5399999999999998</v>
      </c>
      <c r="J657" s="6">
        <f>CALC_GAMES_BASE!U657-CALC_GAMES_BASE!V657</f>
        <v>-4.4192612942613035E-2</v>
      </c>
      <c r="K657" s="6">
        <f>_xlfn.XLOOKUP(CALC_GAMES_BASE!W657,
  CALC_GOALIES!B:B,
  CALC_GOALIES!K:K)</f>
        <v>1.7617039556646619E-2</v>
      </c>
      <c r="L657" s="6">
        <f>_xlfn.XLOOKUP(C657,CALC_TEAMS_SEASON!B:B,CALC_TEAMS_SEASON!L:L)</f>
        <v>7.3678221288515283E-2</v>
      </c>
      <c r="M657">
        <f>IF(CALC_GAMES_BASE!Z657="RS",1,1.2)</f>
        <v>1</v>
      </c>
      <c r="N657">
        <f xml:space="preserve"> CALC_GAMES_BASE!Y657</f>
        <v>1</v>
      </c>
    </row>
    <row r="658" spans="1:14" x14ac:dyDescent="0.25">
      <c r="A658" t="str">
        <f>CALC_GAMES_BASE!A658</f>
        <v>25/26</v>
      </c>
      <c r="B658" s="3">
        <f>CALC_GAMES_BASE!B658</f>
        <v>46075</v>
      </c>
      <c r="C658" s="3" t="str">
        <f>CALC_GAMES_BASE!C658</f>
        <v>SPA</v>
      </c>
      <c r="D658" s="3" t="str">
        <f>CALC_GAMES_BASE!D658</f>
        <v>MBL</v>
      </c>
      <c r="E658" s="7">
        <f>CALC_GAMES_BASE!E658</f>
        <v>0</v>
      </c>
      <c r="F658" s="6">
        <f>CALC_GAMES_BASE!N658</f>
        <v>2.0000000000000018E-2</v>
      </c>
      <c r="G658" s="7">
        <f>CALC_GAMES_BASE!K658</f>
        <v>1</v>
      </c>
      <c r="H658" s="7">
        <f t="shared" si="10"/>
        <v>1</v>
      </c>
      <c r="I658" s="6">
        <f>IF(H658=1,
  F658,
  G658*PARAMETRY!$B$11)</f>
        <v>2.0000000000000018E-2</v>
      </c>
      <c r="J658" s="6">
        <f>CALC_GAMES_BASE!U658-CALC_GAMES_BASE!V658</f>
        <v>0.10233516483516487</v>
      </c>
      <c r="K658" s="6">
        <f>_xlfn.XLOOKUP(CALC_GAMES_BASE!W658,
  CALC_GOALIES!B:B,
  CALC_GOALIES!K:K)</f>
        <v>-1.0634669404866681E-2</v>
      </c>
      <c r="L658" s="6">
        <f>_xlfn.XLOOKUP(C658,CALC_TEAMS_SEASON!B:B,CALC_TEAMS_SEASON!L:L)</f>
        <v>6.4376750700279955E-2</v>
      </c>
      <c r="M658">
        <f>IF(CALC_GAMES_BASE!Z658="RS",1,1.2)</f>
        <v>1</v>
      </c>
      <c r="N658">
        <f xml:space="preserve"> CALC_GAMES_BASE!Y658</f>
        <v>1</v>
      </c>
    </row>
    <row r="659" spans="1:14" x14ac:dyDescent="0.25">
      <c r="A659" t="str">
        <f>CALC_GAMES_BASE!A659</f>
        <v>25/26</v>
      </c>
      <c r="B659" s="3">
        <f>CALC_GAMES_BASE!B659</f>
        <v>46075</v>
      </c>
      <c r="C659" s="3" t="str">
        <f>CALC_GAMES_BASE!C659</f>
        <v>MBL</v>
      </c>
      <c r="D659" s="3" t="str">
        <f>CALC_GAMES_BASE!D659</f>
        <v>SPA</v>
      </c>
      <c r="E659" s="7">
        <f>CALC_GAMES_BASE!E659</f>
        <v>1</v>
      </c>
      <c r="F659" s="6">
        <f>CALC_GAMES_BASE!N659</f>
        <v>-2.0000000000000018E-2</v>
      </c>
      <c r="G659" s="7">
        <f>CALC_GAMES_BASE!K659</f>
        <v>-1</v>
      </c>
      <c r="H659" s="7">
        <f t="shared" si="10"/>
        <v>1</v>
      </c>
      <c r="I659" s="6">
        <f>IF(H659=1,
  F659,
  G659*PARAMETRY!$B$11)</f>
        <v>-2.0000000000000018E-2</v>
      </c>
      <c r="J659" s="6">
        <f>CALC_GAMES_BASE!U659-CALC_GAMES_BASE!V659</f>
        <v>-0.10233516483516487</v>
      </c>
      <c r="K659" s="6">
        <f>_xlfn.XLOOKUP(CALC_GAMES_BASE!W659,
  CALC_GOALIES!B:B,
  CALC_GOALIES!K:K)</f>
        <v>-4.4670611186142795E-3</v>
      </c>
      <c r="L659" s="6">
        <f>_xlfn.XLOOKUP(C659,CALC_TEAMS_SEASON!B:B,CALC_TEAMS_SEASON!L:L)</f>
        <v>-0.89069677871148467</v>
      </c>
      <c r="M659">
        <f>IF(CALC_GAMES_BASE!Z659="RS",1,1.2)</f>
        <v>1</v>
      </c>
      <c r="N659">
        <f xml:space="preserve"> CALC_GAMES_BASE!Y659</f>
        <v>0</v>
      </c>
    </row>
    <row r="660" spans="1:14" x14ac:dyDescent="0.25">
      <c r="A660" t="str">
        <f>CALC_GAMES_BASE!A660</f>
        <v>25/26</v>
      </c>
      <c r="B660" s="3">
        <f>CALC_GAMES_BASE!B660</f>
        <v>46077</v>
      </c>
      <c r="C660" s="3" t="str">
        <f>CALC_GAMES_BASE!C660</f>
        <v>MBL</v>
      </c>
      <c r="D660" s="3" t="str">
        <f>CALC_GAMES_BASE!D660</f>
        <v>OLO</v>
      </c>
      <c r="E660" s="7">
        <f>CALC_GAMES_BASE!E660</f>
        <v>1</v>
      </c>
      <c r="F660" s="6" t="str">
        <f>CALC_GAMES_BASE!N660</f>
        <v/>
      </c>
      <c r="G660" s="7">
        <f>CALC_GAMES_BASE!K660</f>
        <v>20</v>
      </c>
      <c r="H660" s="7">
        <f t="shared" si="10"/>
        <v>0</v>
      </c>
      <c r="I660" s="6">
        <f>IF(H660=1,
  F660,
  G660*PARAMETRY!$B$11)</f>
        <v>1</v>
      </c>
      <c r="J660" s="6">
        <f>CALC_GAMES_BASE!U660-CALC_GAMES_BASE!V660</f>
        <v>-3.1623931623931636E-2</v>
      </c>
      <c r="K660" s="6">
        <f>_xlfn.XLOOKUP(CALC_GAMES_BASE!W660,
  CALC_GOALIES!B:B,
  CALC_GOALIES!K:K)</f>
        <v>-4.4670611186142795E-3</v>
      </c>
      <c r="L660" s="6">
        <f>_xlfn.XLOOKUP(C660,CALC_TEAMS_SEASON!B:B,CALC_TEAMS_SEASON!L:L)</f>
        <v>-0.89069677871148467</v>
      </c>
      <c r="M660">
        <f>IF(CALC_GAMES_BASE!Z660="RS",1,1.2)</f>
        <v>1</v>
      </c>
      <c r="N660">
        <f xml:space="preserve"> CALC_GAMES_BASE!Y660</f>
        <v>1</v>
      </c>
    </row>
    <row r="661" spans="1:14" x14ac:dyDescent="0.25">
      <c r="A661" t="str">
        <f>CALC_GAMES_BASE!A661</f>
        <v>25/26</v>
      </c>
      <c r="B661" s="3">
        <f>CALC_GAMES_BASE!B661</f>
        <v>46077</v>
      </c>
      <c r="C661" s="3" t="str">
        <f>CALC_GAMES_BASE!C661</f>
        <v>OLO</v>
      </c>
      <c r="D661" s="3" t="str">
        <f>CALC_GAMES_BASE!D661</f>
        <v>MBL</v>
      </c>
      <c r="E661" s="7">
        <f>CALC_GAMES_BASE!E661</f>
        <v>0</v>
      </c>
      <c r="F661" s="6" t="str">
        <f>CALC_GAMES_BASE!N661</f>
        <v/>
      </c>
      <c r="G661" s="7">
        <f>CALC_GAMES_BASE!K661</f>
        <v>-20</v>
      </c>
      <c r="H661" s="7">
        <f t="shared" si="10"/>
        <v>0</v>
      </c>
      <c r="I661" s="6">
        <f>IF(H661=1,
  F661,
  G661*PARAMETRY!$B$11)</f>
        <v>-1</v>
      </c>
      <c r="J661" s="6">
        <f>CALC_GAMES_BASE!U661-CALC_GAMES_BASE!V661</f>
        <v>3.1623931623931636E-2</v>
      </c>
      <c r="K661" s="6">
        <f>_xlfn.XLOOKUP(CALC_GAMES_BASE!W661,
  CALC_GOALIES!B:B,
  CALC_GOALIES!K:K)</f>
        <v>4.4713327207696052E-3</v>
      </c>
      <c r="L661" s="6">
        <f>_xlfn.XLOOKUP(C661,CALC_TEAMS_SEASON!B:B,CALC_TEAMS_SEASON!L:L)</f>
        <v>-1.0613217787114846</v>
      </c>
      <c r="M661">
        <f>IF(CALC_GAMES_BASE!Z661="RS",1,1.2)</f>
        <v>1</v>
      </c>
      <c r="N661">
        <f xml:space="preserve"> CALC_GAMES_BASE!Y661</f>
        <v>0</v>
      </c>
    </row>
    <row r="662" spans="1:14" x14ac:dyDescent="0.25">
      <c r="A662" t="str">
        <f>CALC_GAMES_BASE!A662</f>
        <v>25/26</v>
      </c>
      <c r="B662" s="3">
        <f>CALC_GAMES_BASE!B662</f>
        <v>46078</v>
      </c>
      <c r="C662" s="3" t="str">
        <f>CALC_GAMES_BASE!C662</f>
        <v>PCE</v>
      </c>
      <c r="D662" s="3" t="str">
        <f>CALC_GAMES_BASE!D662</f>
        <v>KOM</v>
      </c>
      <c r="E662" s="7">
        <f>CALC_GAMES_BASE!E662</f>
        <v>1</v>
      </c>
      <c r="F662" s="6">
        <f>CALC_GAMES_BASE!N662</f>
        <v>2.4799999999999995</v>
      </c>
      <c r="G662" s="7">
        <f>CALC_GAMES_BASE!K662</f>
        <v>7</v>
      </c>
      <c r="H662" s="7">
        <f t="shared" si="10"/>
        <v>1</v>
      </c>
      <c r="I662" s="6">
        <f>IF(H662=1,
  F662,
  G662*PARAMETRY!$B$11)</f>
        <v>2.4799999999999995</v>
      </c>
      <c r="J662" s="6">
        <f>CALC_GAMES_BASE!U662-CALC_GAMES_BASE!V662</f>
        <v>5.9386446886446953E-2</v>
      </c>
      <c r="K662" s="6">
        <f>_xlfn.XLOOKUP(CALC_GAMES_BASE!W662,
  CALC_GOALIES!B:B,
  CALC_GOALIES!K:K)</f>
        <v>-6.7923502086092435E-3</v>
      </c>
      <c r="L662" s="6">
        <f>_xlfn.XLOOKUP(C662,CALC_TEAMS_SEASON!B:B,CALC_TEAMS_SEASON!L:L)</f>
        <v>0.62437675070027965</v>
      </c>
      <c r="M662">
        <f>IF(CALC_GAMES_BASE!Z662="RS",1,1.2)</f>
        <v>1</v>
      </c>
      <c r="N662">
        <f xml:space="preserve"> CALC_GAMES_BASE!Y662</f>
        <v>1</v>
      </c>
    </row>
    <row r="663" spans="1:14" x14ac:dyDescent="0.25">
      <c r="A663" t="str">
        <f>CALC_GAMES_BASE!A663</f>
        <v>25/26</v>
      </c>
      <c r="B663" s="3">
        <f>CALC_GAMES_BASE!B663</f>
        <v>46078</v>
      </c>
      <c r="C663" s="3" t="str">
        <f>CALC_GAMES_BASE!C663</f>
        <v>TRI</v>
      </c>
      <c r="D663" s="3" t="str">
        <f>CALC_GAMES_BASE!D663</f>
        <v>KLA</v>
      </c>
      <c r="E663" s="7">
        <f>CALC_GAMES_BASE!E663</f>
        <v>0</v>
      </c>
      <c r="F663" s="6">
        <f>CALC_GAMES_BASE!N663</f>
        <v>1.53</v>
      </c>
      <c r="G663" s="7">
        <f>CALC_GAMES_BASE!K663</f>
        <v>3</v>
      </c>
      <c r="H663" s="7">
        <f t="shared" si="10"/>
        <v>1</v>
      </c>
      <c r="I663" s="6">
        <f>IF(H663=1,
  F663,
  G663*PARAMETRY!$B$11)</f>
        <v>1.53</v>
      </c>
      <c r="J663" s="6">
        <f>CALC_GAMES_BASE!U663-CALC_GAMES_BASE!V663</f>
        <v>4.3170024420024489E-2</v>
      </c>
      <c r="K663" s="6">
        <f>_xlfn.XLOOKUP(CALC_GAMES_BASE!W663,
  CALC_GOALIES!B:B,
  CALC_GOALIES!K:K)</f>
        <v>1.3707542055988897E-2</v>
      </c>
      <c r="L663" s="6">
        <f>_xlfn.XLOOKUP(C663,CALC_TEAMS_SEASON!B:B,CALC_TEAMS_SEASON!L:L)</f>
        <v>0.10805322128851533</v>
      </c>
      <c r="M663">
        <f>IF(CALC_GAMES_BASE!Z663="RS",1,1.2)</f>
        <v>1</v>
      </c>
      <c r="N663">
        <f xml:space="preserve"> CALC_GAMES_BASE!Y663</f>
        <v>1</v>
      </c>
    </row>
    <row r="664" spans="1:14" x14ac:dyDescent="0.25">
      <c r="A664" t="str">
        <f>CALC_GAMES_BASE!A664</f>
        <v>25/26</v>
      </c>
      <c r="B664" s="3">
        <f>CALC_GAMES_BASE!B664</f>
        <v>46078</v>
      </c>
      <c r="C664" s="3" t="str">
        <f>CALC_GAMES_BASE!C664</f>
        <v>SPA</v>
      </c>
      <c r="D664" s="3" t="str">
        <f>CALC_GAMES_BASE!D664</f>
        <v>LIB</v>
      </c>
      <c r="E664" s="7">
        <f>CALC_GAMES_BASE!E664</f>
        <v>0</v>
      </c>
      <c r="F664" s="6">
        <f>CALC_GAMES_BASE!N664</f>
        <v>-1.3900000000000001</v>
      </c>
      <c r="G664" s="7">
        <f>CALC_GAMES_BASE!K664</f>
        <v>-19</v>
      </c>
      <c r="H664" s="7">
        <f t="shared" si="10"/>
        <v>1</v>
      </c>
      <c r="I664" s="6">
        <f>IF(H664=1,
  F664,
  G664*PARAMETRY!$B$11)</f>
        <v>-1.3900000000000001</v>
      </c>
      <c r="J664" s="6">
        <f>CALC_GAMES_BASE!U664-CALC_GAMES_BASE!V664</f>
        <v>7.6831501831501864E-2</v>
      </c>
      <c r="K664" s="6">
        <f>_xlfn.XLOOKUP(CALC_GAMES_BASE!W664,
  CALC_GOALIES!B:B,
  CALC_GOALIES!K:K)</f>
        <v>-1.0634669404866681E-2</v>
      </c>
      <c r="L664" s="6">
        <f>_xlfn.XLOOKUP(C664,CALC_TEAMS_SEASON!B:B,CALC_TEAMS_SEASON!L:L)</f>
        <v>6.4376750700279955E-2</v>
      </c>
      <c r="M664">
        <f>IF(CALC_GAMES_BASE!Z664="RS",1,1.2)</f>
        <v>1</v>
      </c>
      <c r="N664">
        <f xml:space="preserve"> CALC_GAMES_BASE!Y664</f>
        <v>1</v>
      </c>
    </row>
    <row r="665" spans="1:14" x14ac:dyDescent="0.25">
      <c r="A665" t="str">
        <f>CALC_GAMES_BASE!A665</f>
        <v>25/26</v>
      </c>
      <c r="B665" s="3">
        <f>CALC_GAMES_BASE!B665</f>
        <v>46078</v>
      </c>
      <c r="C665" s="3" t="str">
        <f>CALC_GAMES_BASE!C665</f>
        <v>KOM</v>
      </c>
      <c r="D665" s="3" t="str">
        <f>CALC_GAMES_BASE!D665</f>
        <v>PCE</v>
      </c>
      <c r="E665" s="7">
        <f>CALC_GAMES_BASE!E665</f>
        <v>0</v>
      </c>
      <c r="F665" s="6">
        <f>CALC_GAMES_BASE!N665</f>
        <v>-2.4799999999999995</v>
      </c>
      <c r="G665" s="7">
        <f>CALC_GAMES_BASE!K665</f>
        <v>-7</v>
      </c>
      <c r="H665" s="7">
        <f t="shared" si="10"/>
        <v>1</v>
      </c>
      <c r="I665" s="6">
        <f>IF(H665=1,
  F665,
  G665*PARAMETRY!$B$11)</f>
        <v>-2.4799999999999995</v>
      </c>
      <c r="J665" s="6">
        <f>CALC_GAMES_BASE!U665-CALC_GAMES_BASE!V665</f>
        <v>-5.9386446886446953E-2</v>
      </c>
      <c r="K665" s="6">
        <f>_xlfn.XLOOKUP(CALC_GAMES_BASE!W665,
  CALC_GOALIES!B:B,
  CALC_GOALIES!K:K)</f>
        <v>-2.2891097399793447E-2</v>
      </c>
      <c r="L665" s="6">
        <f>_xlfn.XLOOKUP(C665,CALC_TEAMS_SEASON!B:B,CALC_TEAMS_SEASON!L:L)</f>
        <v>-0.37268207282913179</v>
      </c>
      <c r="M665">
        <f>IF(CALC_GAMES_BASE!Z665="RS",1,1.2)</f>
        <v>1</v>
      </c>
      <c r="N665">
        <f xml:space="preserve"> CALC_GAMES_BASE!Y665</f>
        <v>0</v>
      </c>
    </row>
    <row r="666" spans="1:14" x14ac:dyDescent="0.25">
      <c r="A666" t="str">
        <f>CALC_GAMES_BASE!A666</f>
        <v>25/26</v>
      </c>
      <c r="B666" s="3">
        <f>CALC_GAMES_BASE!B666</f>
        <v>46078</v>
      </c>
      <c r="C666" s="3" t="str">
        <f>CALC_GAMES_BASE!C666</f>
        <v>CEB</v>
      </c>
      <c r="D666" s="3" t="str">
        <f>CALC_GAMES_BASE!D666</f>
        <v>LIT</v>
      </c>
      <c r="E666" s="7">
        <f>CALC_GAMES_BASE!E666</f>
        <v>1</v>
      </c>
      <c r="F666" s="6" t="str">
        <f>CALC_GAMES_BASE!N666</f>
        <v/>
      </c>
      <c r="G666" s="7">
        <f>CALC_GAMES_BASE!K666</f>
        <v>17</v>
      </c>
      <c r="H666" s="7">
        <f t="shared" si="10"/>
        <v>0</v>
      </c>
      <c r="I666" s="6">
        <f>IF(H666=1,
  F666,
  G666*PARAMETRY!$B$11)</f>
        <v>0.85000000000000009</v>
      </c>
      <c r="J666" s="6">
        <f>CALC_GAMES_BASE!U666-CALC_GAMES_BASE!V666</f>
        <v>2.9320679320679346E-2</v>
      </c>
      <c r="K666" s="6">
        <f>_xlfn.XLOOKUP(CALC_GAMES_BASE!W666,
  CALC_GOALIES!B:B,
  CALC_GOALIES!K:K)</f>
        <v>3.9343341510811314E-3</v>
      </c>
      <c r="L666" s="6">
        <f>_xlfn.XLOOKUP(C666,CALC_TEAMS_SEASON!B:B,CALC_TEAMS_SEASON!L:L)</f>
        <v>-0.24978011204481798</v>
      </c>
      <c r="M666">
        <f>IF(CALC_GAMES_BASE!Z666="RS",1,1.2)</f>
        <v>1</v>
      </c>
      <c r="N666">
        <f xml:space="preserve"> CALC_GAMES_BASE!Y666</f>
        <v>1</v>
      </c>
    </row>
    <row r="667" spans="1:14" x14ac:dyDescent="0.25">
      <c r="A667" t="str">
        <f>CALC_GAMES_BASE!A667</f>
        <v>25/26</v>
      </c>
      <c r="B667" s="3">
        <f>CALC_GAMES_BASE!B667</f>
        <v>46078</v>
      </c>
      <c r="C667" s="3" t="str">
        <f>CALC_GAMES_BASE!C667</f>
        <v>KLA</v>
      </c>
      <c r="D667" s="3" t="str">
        <f>CALC_GAMES_BASE!D667</f>
        <v>TRI</v>
      </c>
      <c r="E667" s="7">
        <f>CALC_GAMES_BASE!E667</f>
        <v>1</v>
      </c>
      <c r="F667" s="6">
        <f>CALC_GAMES_BASE!N667</f>
        <v>-1.53</v>
      </c>
      <c r="G667" s="7">
        <f>CALC_GAMES_BASE!K667</f>
        <v>-3</v>
      </c>
      <c r="H667" s="7">
        <f t="shared" si="10"/>
        <v>1</v>
      </c>
      <c r="I667" s="6">
        <f>IF(H667=1,
  F667,
  G667*PARAMETRY!$B$11)</f>
        <v>-1.53</v>
      </c>
      <c r="J667" s="6">
        <f>CALC_GAMES_BASE!U667-CALC_GAMES_BASE!V667</f>
        <v>-4.3170024420024489E-2</v>
      </c>
      <c r="K667" s="6">
        <f>_xlfn.XLOOKUP(CALC_GAMES_BASE!W667,
  CALC_GOALIES!B:B,
  CALC_GOALIES!K:K)</f>
        <v>1.2463190300688209E-2</v>
      </c>
      <c r="L667" s="6">
        <f>_xlfn.XLOOKUP(C667,CALC_TEAMS_SEASON!B:B,CALC_TEAMS_SEASON!L:L)</f>
        <v>-0.19819677871148478</v>
      </c>
      <c r="M667">
        <f>IF(CALC_GAMES_BASE!Z667="RS",1,1.2)</f>
        <v>1</v>
      </c>
      <c r="N667">
        <f xml:space="preserve"> CALC_GAMES_BASE!Y667</f>
        <v>0</v>
      </c>
    </row>
    <row r="668" spans="1:14" x14ac:dyDescent="0.25">
      <c r="A668" t="str">
        <f>CALC_GAMES_BASE!A668</f>
        <v>25/26</v>
      </c>
      <c r="B668" s="3">
        <f>CALC_GAMES_BASE!B668</f>
        <v>46078</v>
      </c>
      <c r="C668" s="3" t="str">
        <f>CALC_GAMES_BASE!C668</f>
        <v>KVA</v>
      </c>
      <c r="D668" s="3" t="str">
        <f>CALC_GAMES_BASE!D668</f>
        <v>PLZ</v>
      </c>
      <c r="E668" s="7">
        <f>CALC_GAMES_BASE!E668</f>
        <v>0</v>
      </c>
      <c r="F668" s="6" t="str">
        <f>CALC_GAMES_BASE!N668</f>
        <v/>
      </c>
      <c r="G668" s="7">
        <f>CALC_GAMES_BASE!K668</f>
        <v>-9</v>
      </c>
      <c r="H668" s="7">
        <f t="shared" si="10"/>
        <v>0</v>
      </c>
      <c r="I668" s="6">
        <f>IF(H668=1,
  F668,
  G668*PARAMETRY!$B$11)</f>
        <v>-0.45</v>
      </c>
      <c r="J668" s="6">
        <f>CALC_GAMES_BASE!U668-CALC_GAMES_BASE!V668</f>
        <v>-2.5412087912087267E-3</v>
      </c>
      <c r="K668" s="6">
        <f>_xlfn.XLOOKUP(CALC_GAMES_BASE!W668,
  CALC_GOALIES!B:B,
  CALC_GOALIES!K:K)</f>
        <v>1.2242809776983998E-2</v>
      </c>
      <c r="L668" s="6">
        <f>_xlfn.XLOOKUP(C668,CALC_TEAMS_SEASON!B:B,CALC_TEAMS_SEASON!L:L)</f>
        <v>-0.28757177871148476</v>
      </c>
      <c r="M668">
        <f>IF(CALC_GAMES_BASE!Z668="RS",1,1.2)</f>
        <v>1</v>
      </c>
      <c r="N668">
        <f xml:space="preserve"> CALC_GAMES_BASE!Y668</f>
        <v>0</v>
      </c>
    </row>
    <row r="669" spans="1:14" x14ac:dyDescent="0.25">
      <c r="A669" t="str">
        <f>CALC_GAMES_BASE!A669</f>
        <v>25/26</v>
      </c>
      <c r="B669" s="3">
        <f>CALC_GAMES_BASE!B669</f>
        <v>46078</v>
      </c>
      <c r="C669" s="3" t="str">
        <f>CALC_GAMES_BASE!C669</f>
        <v>LIB</v>
      </c>
      <c r="D669" s="3" t="str">
        <f>CALC_GAMES_BASE!D669</f>
        <v>SPA</v>
      </c>
      <c r="E669" s="7">
        <f>CALC_GAMES_BASE!E669</f>
        <v>1</v>
      </c>
      <c r="F669" s="6">
        <f>CALC_GAMES_BASE!N669</f>
        <v>1.3900000000000001</v>
      </c>
      <c r="G669" s="7">
        <f>CALC_GAMES_BASE!K669</f>
        <v>19</v>
      </c>
      <c r="H669" s="7">
        <f t="shared" si="10"/>
        <v>1</v>
      </c>
      <c r="I669" s="6">
        <f>IF(H669=1,
  F669,
  G669*PARAMETRY!$B$11)</f>
        <v>1.3900000000000001</v>
      </c>
      <c r="J669" s="6">
        <f>CALC_GAMES_BASE!U669-CALC_GAMES_BASE!V669</f>
        <v>-7.6831501831501864E-2</v>
      </c>
      <c r="K669" s="6">
        <f>_xlfn.XLOOKUP(CALC_GAMES_BASE!W669,
  CALC_GOALIES!B:B,
  CALC_GOALIES!K:K)</f>
        <v>1.2275709048813366E-2</v>
      </c>
      <c r="L669" s="6">
        <f>_xlfn.XLOOKUP(C669,CALC_TEAMS_SEASON!B:B,CALC_TEAMS_SEASON!L:L)</f>
        <v>0.22367822128851536</v>
      </c>
      <c r="M669">
        <f>IF(CALC_GAMES_BASE!Z669="RS",1,1.2)</f>
        <v>1</v>
      </c>
      <c r="N669">
        <f xml:space="preserve"> CALC_GAMES_BASE!Y669</f>
        <v>0</v>
      </c>
    </row>
    <row r="670" spans="1:14" x14ac:dyDescent="0.25">
      <c r="A670" t="str">
        <f>CALC_GAMES_BASE!A670</f>
        <v>25/26</v>
      </c>
      <c r="B670" s="3">
        <f>CALC_GAMES_BASE!B670</f>
        <v>46078</v>
      </c>
      <c r="C670" s="3" t="str">
        <f>CALC_GAMES_BASE!C670</f>
        <v>LIT</v>
      </c>
      <c r="D670" s="3" t="str">
        <f>CALC_GAMES_BASE!D670</f>
        <v>CEB</v>
      </c>
      <c r="E670" s="7">
        <f>CALC_GAMES_BASE!E670</f>
        <v>0</v>
      </c>
      <c r="F670" s="6" t="str">
        <f>CALC_GAMES_BASE!N670</f>
        <v/>
      </c>
      <c r="G670" s="7">
        <f>CALC_GAMES_BASE!K670</f>
        <v>-17</v>
      </c>
      <c r="H670" s="7">
        <f t="shared" si="10"/>
        <v>0</v>
      </c>
      <c r="I670" s="6">
        <f>IF(H670=1,
  F670,
  G670*PARAMETRY!$B$11)</f>
        <v>-0.85000000000000009</v>
      </c>
      <c r="J670" s="6">
        <f>CALC_GAMES_BASE!U670-CALC_GAMES_BASE!V670</f>
        <v>-2.9320679320679346E-2</v>
      </c>
      <c r="K670" s="6">
        <f>_xlfn.XLOOKUP(CALC_GAMES_BASE!W670,
  CALC_GOALIES!B:B,
  CALC_GOALIES!K:K)</f>
        <v>-8.1125178551773036E-3</v>
      </c>
      <c r="L670" s="6">
        <f>_xlfn.XLOOKUP(C670,CALC_TEAMS_SEASON!B:B,CALC_TEAMS_SEASON!L:L)</f>
        <v>-1.4784467787114848</v>
      </c>
      <c r="M670">
        <f>IF(CALC_GAMES_BASE!Z670="RS",1,1.2)</f>
        <v>1</v>
      </c>
      <c r="N670">
        <f xml:space="preserve"> CALC_GAMES_BASE!Y670</f>
        <v>0</v>
      </c>
    </row>
    <row r="671" spans="1:14" x14ac:dyDescent="0.25">
      <c r="A671" t="str">
        <f>CALC_GAMES_BASE!A671</f>
        <v>25/26</v>
      </c>
      <c r="B671" s="3">
        <f>CALC_GAMES_BASE!B671</f>
        <v>46078</v>
      </c>
      <c r="C671" s="3" t="str">
        <f>CALC_GAMES_BASE!C671</f>
        <v>MHK</v>
      </c>
      <c r="D671" s="3" t="str">
        <f>CALC_GAMES_BASE!D671</f>
        <v>VIT</v>
      </c>
      <c r="E671" s="7">
        <f>CALC_GAMES_BASE!E671</f>
        <v>1</v>
      </c>
      <c r="F671" s="6" t="str">
        <f>CALC_GAMES_BASE!N671</f>
        <v/>
      </c>
      <c r="G671" s="7">
        <f>CALC_GAMES_BASE!K671</f>
        <v>1</v>
      </c>
      <c r="H671" s="7">
        <f t="shared" si="10"/>
        <v>0</v>
      </c>
      <c r="I671" s="6">
        <f>IF(H671=1,
  F671,
  G671*PARAMETRY!$B$11)</f>
        <v>0.05</v>
      </c>
      <c r="J671" s="6">
        <f>CALC_GAMES_BASE!U671-CALC_GAMES_BASE!V671</f>
        <v>-2.7999084249084261E-2</v>
      </c>
      <c r="K671" s="6">
        <f>_xlfn.XLOOKUP(CALC_GAMES_BASE!W671,
  CALC_GOALIES!B:B,
  CALC_GOALIES!K:K)</f>
        <v>2.1917994590268441E-2</v>
      </c>
      <c r="L671" s="6">
        <f>_xlfn.XLOOKUP(C671,CALC_TEAMS_SEASON!B:B,CALC_TEAMS_SEASON!L:L)</f>
        <v>0.14821988795518207</v>
      </c>
      <c r="M671">
        <f>IF(CALC_GAMES_BASE!Z671="RS",1,1.2)</f>
        <v>1</v>
      </c>
      <c r="N671">
        <f xml:space="preserve"> CALC_GAMES_BASE!Y671</f>
        <v>1</v>
      </c>
    </row>
    <row r="672" spans="1:14" x14ac:dyDescent="0.25">
      <c r="A672" t="str">
        <f>CALC_GAMES_BASE!A672</f>
        <v>25/26</v>
      </c>
      <c r="B672" s="3">
        <f>CALC_GAMES_BASE!B672</f>
        <v>46078</v>
      </c>
      <c r="C672" s="3" t="str">
        <f>CALC_GAMES_BASE!C672</f>
        <v>PLZ</v>
      </c>
      <c r="D672" s="3" t="str">
        <f>CALC_GAMES_BASE!D672</f>
        <v>KVA</v>
      </c>
      <c r="E672" s="7">
        <f>CALC_GAMES_BASE!E672</f>
        <v>1</v>
      </c>
      <c r="F672" s="6" t="str">
        <f>CALC_GAMES_BASE!N672</f>
        <v/>
      </c>
      <c r="G672" s="7">
        <f>CALC_GAMES_BASE!K672</f>
        <v>9</v>
      </c>
      <c r="H672" s="7">
        <f t="shared" si="10"/>
        <v>0</v>
      </c>
      <c r="I672" s="6">
        <f>IF(H672=1,
  F672,
  G672*PARAMETRY!$B$11)</f>
        <v>0.45</v>
      </c>
      <c r="J672" s="6">
        <f>CALC_GAMES_BASE!U672-CALC_GAMES_BASE!V672</f>
        <v>2.5412087912087267E-3</v>
      </c>
      <c r="K672" s="6">
        <f>_xlfn.XLOOKUP(CALC_GAMES_BASE!W672,
  CALC_GOALIES!B:B,
  CALC_GOALIES!K:K)</f>
        <v>1.7617039556646619E-2</v>
      </c>
      <c r="L672" s="6">
        <f>_xlfn.XLOOKUP(C672,CALC_TEAMS_SEASON!B:B,CALC_TEAMS_SEASON!L:L)</f>
        <v>7.3678221288515283E-2</v>
      </c>
      <c r="M672">
        <f>IF(CALC_GAMES_BASE!Z672="RS",1,1.2)</f>
        <v>1</v>
      </c>
      <c r="N672">
        <f xml:space="preserve"> CALC_GAMES_BASE!Y672</f>
        <v>1</v>
      </c>
    </row>
    <row r="673" spans="1:14" x14ac:dyDescent="0.25">
      <c r="A673" t="str">
        <f>CALC_GAMES_BASE!A673</f>
        <v>25/26</v>
      </c>
      <c r="B673" s="3">
        <f>CALC_GAMES_BASE!B673</f>
        <v>46078</v>
      </c>
      <c r="C673" s="3" t="str">
        <f>CALC_GAMES_BASE!C673</f>
        <v>VIT</v>
      </c>
      <c r="D673" s="3" t="str">
        <f>CALC_GAMES_BASE!D673</f>
        <v>MHK</v>
      </c>
      <c r="E673" s="7">
        <f>CALC_GAMES_BASE!E673</f>
        <v>0</v>
      </c>
      <c r="F673" s="6" t="str">
        <f>CALC_GAMES_BASE!N673</f>
        <v/>
      </c>
      <c r="G673" s="7">
        <f>CALC_GAMES_BASE!K673</f>
        <v>-1</v>
      </c>
      <c r="H673" s="7">
        <f t="shared" si="10"/>
        <v>0</v>
      </c>
      <c r="I673" s="6">
        <f>IF(H673=1,
  F673,
  G673*PARAMETRY!$B$11)</f>
        <v>-0.05</v>
      </c>
      <c r="J673" s="6">
        <f>CALC_GAMES_BASE!U673-CALC_GAMES_BASE!V673</f>
        <v>2.7999084249084261E-2</v>
      </c>
      <c r="K673" s="6">
        <f>_xlfn.XLOOKUP(CALC_GAMES_BASE!W673,
  CALC_GOALIES!B:B,
  CALC_GOALIES!K:K)</f>
        <v>1.905487900993541E-3</v>
      </c>
      <c r="L673" s="6">
        <f>_xlfn.XLOOKUP(C673,CALC_TEAMS_SEASON!B:B,CALC_TEAMS_SEASON!L:L)</f>
        <v>-1.0281967787114845</v>
      </c>
      <c r="M673">
        <f>IF(CALC_GAMES_BASE!Z673="RS",1,1.2)</f>
        <v>1</v>
      </c>
      <c r="N673">
        <f xml:space="preserve"> CALC_GAMES_BASE!Y673</f>
        <v>0</v>
      </c>
    </row>
    <row r="674" spans="1:14" x14ac:dyDescent="0.25">
      <c r="A674" t="str">
        <f>CALC_GAMES_BASE!A674</f>
        <v>25/26</v>
      </c>
      <c r="B674" s="3">
        <f>CALC_GAMES_BASE!B674</f>
        <v>46080</v>
      </c>
      <c r="C674" s="3" t="str">
        <f>CALC_GAMES_BASE!C674</f>
        <v>PCE</v>
      </c>
      <c r="D674" s="3" t="str">
        <f>CALC_GAMES_BASE!D674</f>
        <v>LIT</v>
      </c>
      <c r="E674" s="7">
        <f>CALC_GAMES_BASE!E674</f>
        <v>0</v>
      </c>
      <c r="F674" s="6">
        <f>CALC_GAMES_BASE!N674</f>
        <v>0.63000000000000034</v>
      </c>
      <c r="G674" s="7">
        <f>CALC_GAMES_BASE!K674</f>
        <v>-1</v>
      </c>
      <c r="H674" s="7">
        <f t="shared" si="10"/>
        <v>1</v>
      </c>
      <c r="I674" s="6">
        <f>IF(H674=1,
  F674,
  G674*PARAMETRY!$B$11)</f>
        <v>0.63000000000000034</v>
      </c>
      <c r="J674" s="6">
        <f>CALC_GAMES_BASE!U674-CALC_GAMES_BASE!V674</f>
        <v>0.1020833333333334</v>
      </c>
      <c r="K674" s="6">
        <f>_xlfn.XLOOKUP(CALC_GAMES_BASE!W674,
  CALC_GOALIES!B:B,
  CALC_GOALIES!K:K)</f>
        <v>4.5881077393388203E-3</v>
      </c>
      <c r="L674" s="6">
        <f>_xlfn.XLOOKUP(C674,CALC_TEAMS_SEASON!B:B,CALC_TEAMS_SEASON!L:L)</f>
        <v>0.62437675070027965</v>
      </c>
      <c r="M674">
        <f>IF(CALC_GAMES_BASE!Z674="RS",1,1.2)</f>
        <v>1</v>
      </c>
      <c r="N674">
        <f xml:space="preserve"> CALC_GAMES_BASE!Y674</f>
        <v>1</v>
      </c>
    </row>
    <row r="675" spans="1:14" x14ac:dyDescent="0.25">
      <c r="A675" t="str">
        <f>CALC_GAMES_BASE!A675</f>
        <v>25/26</v>
      </c>
      <c r="B675" s="3">
        <f>CALC_GAMES_BASE!B675</f>
        <v>46080</v>
      </c>
      <c r="C675" s="3" t="str">
        <f>CALC_GAMES_BASE!C675</f>
        <v>TRI</v>
      </c>
      <c r="D675" s="3" t="str">
        <f>CALC_GAMES_BASE!D675</f>
        <v>KOM</v>
      </c>
      <c r="E675" s="7">
        <f>CALC_GAMES_BASE!E675</f>
        <v>0</v>
      </c>
      <c r="F675" s="6">
        <f>CALC_GAMES_BASE!N675</f>
        <v>1.1200000000000001</v>
      </c>
      <c r="G675" s="7">
        <f>CALC_GAMES_BASE!K675</f>
        <v>14</v>
      </c>
      <c r="H675" s="7">
        <f t="shared" si="10"/>
        <v>1</v>
      </c>
      <c r="I675" s="6">
        <f>IF(H675=1,
  F675,
  G675*PARAMETRY!$B$11)</f>
        <v>1.1200000000000001</v>
      </c>
      <c r="J675" s="6">
        <f>CALC_GAMES_BASE!U675-CALC_GAMES_BASE!V675</f>
        <v>3.0784493284493342E-2</v>
      </c>
      <c r="K675" s="6">
        <f>_xlfn.XLOOKUP(CALC_GAMES_BASE!W675,
  CALC_GOALIES!B:B,
  CALC_GOALIES!K:K)</f>
        <v>1.3707542055988897E-2</v>
      </c>
      <c r="L675" s="6">
        <f>_xlfn.XLOOKUP(C675,CALC_TEAMS_SEASON!B:B,CALC_TEAMS_SEASON!L:L)</f>
        <v>0.10805322128851533</v>
      </c>
      <c r="M675">
        <f>IF(CALC_GAMES_BASE!Z675="RS",1,1.2)</f>
        <v>1</v>
      </c>
      <c r="N675">
        <f xml:space="preserve"> CALC_GAMES_BASE!Y675</f>
        <v>0</v>
      </c>
    </row>
    <row r="676" spans="1:14" x14ac:dyDescent="0.25">
      <c r="A676" t="str">
        <f>CALC_GAMES_BASE!A676</f>
        <v>25/26</v>
      </c>
      <c r="B676" s="3">
        <f>CALC_GAMES_BASE!B676</f>
        <v>46080</v>
      </c>
      <c r="C676" s="3" t="str">
        <f>CALC_GAMES_BASE!C676</f>
        <v>SPA</v>
      </c>
      <c r="D676" s="3" t="str">
        <f>CALC_GAMES_BASE!D676</f>
        <v>PLZ</v>
      </c>
      <c r="E676" s="7">
        <f>CALC_GAMES_BASE!E676</f>
        <v>1</v>
      </c>
      <c r="F676" s="6">
        <f>CALC_GAMES_BASE!N676</f>
        <v>-0.4700000000000002</v>
      </c>
      <c r="G676" s="7">
        <f>CALC_GAMES_BASE!K676</f>
        <v>-4</v>
      </c>
      <c r="H676" s="7">
        <f t="shared" si="10"/>
        <v>1</v>
      </c>
      <c r="I676" s="6">
        <f>IF(H676=1,
  F676,
  G676*PARAMETRY!$B$11)</f>
        <v>-0.4700000000000002</v>
      </c>
      <c r="J676" s="6">
        <f>CALC_GAMES_BASE!U676-CALC_GAMES_BASE!V676</f>
        <v>4.4192612942613035E-2</v>
      </c>
      <c r="K676" s="6">
        <f>_xlfn.XLOOKUP(CALC_GAMES_BASE!W676,
  CALC_GOALIES!B:B,
  CALC_GOALIES!K:K)</f>
        <v>-1.0634669404866681E-2</v>
      </c>
      <c r="L676" s="6">
        <f>_xlfn.XLOOKUP(C676,CALC_TEAMS_SEASON!B:B,CALC_TEAMS_SEASON!L:L)</f>
        <v>6.4376750700279955E-2</v>
      </c>
      <c r="M676">
        <f>IF(CALC_GAMES_BASE!Z676="RS",1,1.2)</f>
        <v>1</v>
      </c>
      <c r="N676">
        <f xml:space="preserve"> CALC_GAMES_BASE!Y676</f>
        <v>1</v>
      </c>
    </row>
    <row r="677" spans="1:14" x14ac:dyDescent="0.25">
      <c r="A677" t="str">
        <f>CALC_GAMES_BASE!A677</f>
        <v>25/26</v>
      </c>
      <c r="B677" s="3">
        <f>CALC_GAMES_BASE!B677</f>
        <v>46080</v>
      </c>
      <c r="C677" s="3" t="str">
        <f>CALC_GAMES_BASE!C677</f>
        <v>KOM</v>
      </c>
      <c r="D677" s="3" t="str">
        <f>CALC_GAMES_BASE!D677</f>
        <v>TRI</v>
      </c>
      <c r="E677" s="7">
        <f>CALC_GAMES_BASE!E677</f>
        <v>1</v>
      </c>
      <c r="F677" s="6">
        <f>CALC_GAMES_BASE!N677</f>
        <v>-1.1200000000000001</v>
      </c>
      <c r="G677" s="7">
        <f>CALC_GAMES_BASE!K677</f>
        <v>-14</v>
      </c>
      <c r="H677" s="7">
        <f t="shared" si="10"/>
        <v>1</v>
      </c>
      <c r="I677" s="6">
        <f>IF(H677=1,
  F677,
  G677*PARAMETRY!$B$11)</f>
        <v>-1.1200000000000001</v>
      </c>
      <c r="J677" s="6">
        <f>CALC_GAMES_BASE!U677-CALC_GAMES_BASE!V677</f>
        <v>-3.0784493284493342E-2</v>
      </c>
      <c r="K677" s="6">
        <f>_xlfn.XLOOKUP(CALC_GAMES_BASE!W677,
  CALC_GOALIES!B:B,
  CALC_GOALIES!K:K)</f>
        <v>-1.5147095063735572E-3</v>
      </c>
      <c r="L677" s="6">
        <f>_xlfn.XLOOKUP(C677,CALC_TEAMS_SEASON!B:B,CALC_TEAMS_SEASON!L:L)</f>
        <v>-0.37268207282913179</v>
      </c>
      <c r="M677">
        <f>IF(CALC_GAMES_BASE!Z677="RS",1,1.2)</f>
        <v>1</v>
      </c>
      <c r="N677">
        <f xml:space="preserve"> CALC_GAMES_BASE!Y677</f>
        <v>1</v>
      </c>
    </row>
    <row r="678" spans="1:14" x14ac:dyDescent="0.25">
      <c r="A678" t="str">
        <f>CALC_GAMES_BASE!A678</f>
        <v>25/26</v>
      </c>
      <c r="B678" s="3">
        <f>CALC_GAMES_BASE!B678</f>
        <v>46080</v>
      </c>
      <c r="C678" s="3" t="str">
        <f>CALC_GAMES_BASE!C678</f>
        <v>CEB</v>
      </c>
      <c r="D678" s="3" t="str">
        <f>CALC_GAMES_BASE!D678</f>
        <v>VIT</v>
      </c>
      <c r="E678" s="7">
        <f>CALC_GAMES_BASE!E678</f>
        <v>0</v>
      </c>
      <c r="F678" s="6" t="str">
        <f>CALC_GAMES_BASE!N678</f>
        <v/>
      </c>
      <c r="G678" s="7">
        <f>CALC_GAMES_BASE!K678</f>
        <v>7</v>
      </c>
      <c r="H678" s="7">
        <f t="shared" si="10"/>
        <v>0</v>
      </c>
      <c r="I678" s="6">
        <f>IF(H678=1,
  F678,
  G678*PARAMETRY!$B$11)</f>
        <v>0.35000000000000003</v>
      </c>
      <c r="J678" s="6">
        <f>CALC_GAMES_BASE!U678-CALC_GAMES_BASE!V678</f>
        <v>-3.9635364635364656E-2</v>
      </c>
      <c r="K678" s="6">
        <f>_xlfn.XLOOKUP(CALC_GAMES_BASE!W678,
  CALC_GOALIES!B:B,
  CALC_GOALIES!K:K)</f>
        <v>3.9343341510811314E-3</v>
      </c>
      <c r="L678" s="6">
        <f>_xlfn.XLOOKUP(C678,CALC_TEAMS_SEASON!B:B,CALC_TEAMS_SEASON!L:L)</f>
        <v>-0.24978011204481798</v>
      </c>
      <c r="M678">
        <f>IF(CALC_GAMES_BASE!Z678="RS",1,1.2)</f>
        <v>1</v>
      </c>
      <c r="N678">
        <f xml:space="preserve"> CALC_GAMES_BASE!Y678</f>
        <v>0</v>
      </c>
    </row>
    <row r="679" spans="1:14" x14ac:dyDescent="0.25">
      <c r="A679" t="str">
        <f>CALC_GAMES_BASE!A679</f>
        <v>25/26</v>
      </c>
      <c r="B679" s="3">
        <f>CALC_GAMES_BASE!B679</f>
        <v>46080</v>
      </c>
      <c r="C679" s="3" t="str">
        <f>CALC_GAMES_BASE!C679</f>
        <v>KLA</v>
      </c>
      <c r="D679" s="3" t="str">
        <f>CALC_GAMES_BASE!D679</f>
        <v>KVA</v>
      </c>
      <c r="E679" s="7">
        <f>CALC_GAMES_BASE!E679</f>
        <v>0</v>
      </c>
      <c r="F679" s="6" t="str">
        <f>CALC_GAMES_BASE!N679</f>
        <v/>
      </c>
      <c r="G679" s="7">
        <f>CALC_GAMES_BASE!K679</f>
        <v>-3</v>
      </c>
      <c r="H679" s="7">
        <f t="shared" si="10"/>
        <v>0</v>
      </c>
      <c r="I679" s="6">
        <f>IF(H679=1,
  F679,
  G679*PARAMETRY!$B$11)</f>
        <v>-0.15000000000000002</v>
      </c>
      <c r="J679" s="6">
        <f>CALC_GAMES_BASE!U679-CALC_GAMES_BASE!V679</f>
        <v>-4.2666361416361459E-2</v>
      </c>
      <c r="K679" s="6">
        <f>_xlfn.XLOOKUP(CALC_GAMES_BASE!W679,
  CALC_GOALIES!B:B,
  CALC_GOALIES!K:K)</f>
        <v>1.2463190300688209E-2</v>
      </c>
      <c r="L679" s="6">
        <f>_xlfn.XLOOKUP(C679,CALC_TEAMS_SEASON!B:B,CALC_TEAMS_SEASON!L:L)</f>
        <v>-0.19819677871148478</v>
      </c>
      <c r="M679">
        <f>IF(CALC_GAMES_BASE!Z679="RS",1,1.2)</f>
        <v>1</v>
      </c>
      <c r="N679">
        <f xml:space="preserve"> CALC_GAMES_BASE!Y679</f>
        <v>1</v>
      </c>
    </row>
    <row r="680" spans="1:14" x14ac:dyDescent="0.25">
      <c r="A680" t="str">
        <f>CALC_GAMES_BASE!A680</f>
        <v>25/26</v>
      </c>
      <c r="B680" s="3">
        <f>CALC_GAMES_BASE!B680</f>
        <v>46080</v>
      </c>
      <c r="C680" s="3" t="str">
        <f>CALC_GAMES_BASE!C680</f>
        <v>KVA</v>
      </c>
      <c r="D680" s="3" t="str">
        <f>CALC_GAMES_BASE!D680</f>
        <v>KLA</v>
      </c>
      <c r="E680" s="7">
        <f>CALC_GAMES_BASE!E680</f>
        <v>1</v>
      </c>
      <c r="F680" s="6" t="str">
        <f>CALC_GAMES_BASE!N680</f>
        <v/>
      </c>
      <c r="G680" s="7">
        <f>CALC_GAMES_BASE!K680</f>
        <v>3</v>
      </c>
      <c r="H680" s="7">
        <f t="shared" si="10"/>
        <v>0</v>
      </c>
      <c r="I680" s="6">
        <f>IF(H680=1,
  F680,
  G680*PARAMETRY!$B$11)</f>
        <v>0.15000000000000002</v>
      </c>
      <c r="J680" s="6">
        <f>CALC_GAMES_BASE!U680-CALC_GAMES_BASE!V680</f>
        <v>4.2666361416361459E-2</v>
      </c>
      <c r="K680" s="6">
        <f>_xlfn.XLOOKUP(CALC_GAMES_BASE!W680,
  CALC_GOALIES!B:B,
  CALC_GOALIES!K:K)</f>
        <v>1.2242809776983998E-2</v>
      </c>
      <c r="L680" s="6">
        <f>_xlfn.XLOOKUP(C680,CALC_TEAMS_SEASON!B:B,CALC_TEAMS_SEASON!L:L)</f>
        <v>-0.28757177871148476</v>
      </c>
      <c r="M680">
        <f>IF(CALC_GAMES_BASE!Z680="RS",1,1.2)</f>
        <v>1</v>
      </c>
      <c r="N680">
        <f xml:space="preserve"> CALC_GAMES_BASE!Y680</f>
        <v>0</v>
      </c>
    </row>
    <row r="681" spans="1:14" x14ac:dyDescent="0.25">
      <c r="A681" t="str">
        <f>CALC_GAMES_BASE!A681</f>
        <v>25/26</v>
      </c>
      <c r="B681" s="3">
        <f>CALC_GAMES_BASE!B681</f>
        <v>46080</v>
      </c>
      <c r="C681" s="3" t="str">
        <f>CALC_GAMES_BASE!C681</f>
        <v>LIB</v>
      </c>
      <c r="D681" s="3" t="str">
        <f>CALC_GAMES_BASE!D681</f>
        <v>MBL</v>
      </c>
      <c r="E681" s="7">
        <f>CALC_GAMES_BASE!E681</f>
        <v>0</v>
      </c>
      <c r="F681" s="6" t="str">
        <f>CALC_GAMES_BASE!N681</f>
        <v/>
      </c>
      <c r="G681" s="7">
        <f>CALC_GAMES_BASE!K681</f>
        <v>-7</v>
      </c>
      <c r="H681" s="7">
        <f t="shared" si="10"/>
        <v>0</v>
      </c>
      <c r="I681" s="6">
        <f>IF(H681=1,
  F681,
  G681*PARAMETRY!$B$11)</f>
        <v>-0.35000000000000003</v>
      </c>
      <c r="J681" s="6">
        <f>CALC_GAMES_BASE!U681-CALC_GAMES_BASE!V681</f>
        <v>2.550366300366301E-2</v>
      </c>
      <c r="K681" s="6">
        <f>_xlfn.XLOOKUP(CALC_GAMES_BASE!W681,
  CALC_GOALIES!B:B,
  CALC_GOALIES!K:K)</f>
        <v>1.2275709048813366E-2</v>
      </c>
      <c r="L681" s="6">
        <f>_xlfn.XLOOKUP(C681,CALC_TEAMS_SEASON!B:B,CALC_TEAMS_SEASON!L:L)</f>
        <v>0.22367822128851536</v>
      </c>
      <c r="M681">
        <f>IF(CALC_GAMES_BASE!Z681="RS",1,1.2)</f>
        <v>1</v>
      </c>
      <c r="N681">
        <f xml:space="preserve"> CALC_GAMES_BASE!Y681</f>
        <v>1</v>
      </c>
    </row>
    <row r="682" spans="1:14" x14ac:dyDescent="0.25">
      <c r="A682" t="str">
        <f>CALC_GAMES_BASE!A682</f>
        <v>25/26</v>
      </c>
      <c r="B682" s="3">
        <f>CALC_GAMES_BASE!B682</f>
        <v>46080</v>
      </c>
      <c r="C682" s="3" t="str">
        <f>CALC_GAMES_BASE!C682</f>
        <v>LIT</v>
      </c>
      <c r="D682" s="3" t="str">
        <f>CALC_GAMES_BASE!D682</f>
        <v>PCE</v>
      </c>
      <c r="E682" s="7">
        <f>CALC_GAMES_BASE!E682</f>
        <v>1</v>
      </c>
      <c r="F682" s="6">
        <f>CALC_GAMES_BASE!N682</f>
        <v>-0.63000000000000034</v>
      </c>
      <c r="G682" s="7">
        <f>CALC_GAMES_BASE!K682</f>
        <v>1</v>
      </c>
      <c r="H682" s="7">
        <f t="shared" si="10"/>
        <v>1</v>
      </c>
      <c r="I682" s="6">
        <f>IF(H682=1,
  F682,
  G682*PARAMETRY!$B$11)</f>
        <v>-0.63000000000000034</v>
      </c>
      <c r="J682" s="6">
        <f>CALC_GAMES_BASE!U682-CALC_GAMES_BASE!V682</f>
        <v>-0.1020833333333334</v>
      </c>
      <c r="K682" s="6">
        <f>_xlfn.XLOOKUP(CALC_GAMES_BASE!W682,
  CALC_GOALIES!B:B,
  CALC_GOALIES!K:K)</f>
        <v>-8.1125178551773036E-3</v>
      </c>
      <c r="L682" s="6">
        <f>_xlfn.XLOOKUP(C682,CALC_TEAMS_SEASON!B:B,CALC_TEAMS_SEASON!L:L)</f>
        <v>-1.4784467787114848</v>
      </c>
      <c r="M682">
        <f>IF(CALC_GAMES_BASE!Z682="RS",1,1.2)</f>
        <v>1</v>
      </c>
      <c r="N682">
        <f xml:space="preserve"> CALC_GAMES_BASE!Y682</f>
        <v>0</v>
      </c>
    </row>
    <row r="683" spans="1:14" x14ac:dyDescent="0.25">
      <c r="A683" t="str">
        <f>CALC_GAMES_BASE!A683</f>
        <v>25/26</v>
      </c>
      <c r="B683" s="3">
        <f>CALC_GAMES_BASE!B683</f>
        <v>46080</v>
      </c>
      <c r="C683" s="3" t="str">
        <f>CALC_GAMES_BASE!C683</f>
        <v>MBL</v>
      </c>
      <c r="D683" s="3" t="str">
        <f>CALC_GAMES_BASE!D683</f>
        <v>LIB</v>
      </c>
      <c r="E683" s="7">
        <f>CALC_GAMES_BASE!E683</f>
        <v>1</v>
      </c>
      <c r="F683" s="6" t="str">
        <f>CALC_GAMES_BASE!N683</f>
        <v/>
      </c>
      <c r="G683" s="7">
        <f>CALC_GAMES_BASE!K683</f>
        <v>7</v>
      </c>
      <c r="H683" s="7">
        <f t="shared" si="10"/>
        <v>0</v>
      </c>
      <c r="I683" s="6">
        <f>IF(H683=1,
  F683,
  G683*PARAMETRY!$B$11)</f>
        <v>0.35000000000000003</v>
      </c>
      <c r="J683" s="6">
        <f>CALC_GAMES_BASE!U683-CALC_GAMES_BASE!V683</f>
        <v>-2.550366300366301E-2</v>
      </c>
      <c r="K683" s="6">
        <f>_xlfn.XLOOKUP(CALC_GAMES_BASE!W683,
  CALC_GOALIES!B:B,
  CALC_GOALIES!K:K)</f>
        <v>-4.4670611186142795E-3</v>
      </c>
      <c r="L683" s="6">
        <f>_xlfn.XLOOKUP(C683,CALC_TEAMS_SEASON!B:B,CALC_TEAMS_SEASON!L:L)</f>
        <v>-0.89069677871148467</v>
      </c>
      <c r="M683">
        <f>IF(CALC_GAMES_BASE!Z683="RS",1,1.2)</f>
        <v>1</v>
      </c>
      <c r="N683">
        <f xml:space="preserve"> CALC_GAMES_BASE!Y683</f>
        <v>0</v>
      </c>
    </row>
    <row r="684" spans="1:14" x14ac:dyDescent="0.25">
      <c r="A684" t="str">
        <f>CALC_GAMES_BASE!A684</f>
        <v>25/26</v>
      </c>
      <c r="B684" s="3">
        <f>CALC_GAMES_BASE!B684</f>
        <v>46080</v>
      </c>
      <c r="C684" s="3" t="str">
        <f>CALC_GAMES_BASE!C684</f>
        <v>MHK</v>
      </c>
      <c r="D684" s="3" t="str">
        <f>CALC_GAMES_BASE!D684</f>
        <v>OLO</v>
      </c>
      <c r="E684" s="7">
        <f>CALC_GAMES_BASE!E684</f>
        <v>0</v>
      </c>
      <c r="F684" s="6" t="str">
        <f>CALC_GAMES_BASE!N684</f>
        <v/>
      </c>
      <c r="G684" s="7">
        <f>CALC_GAMES_BASE!K684</f>
        <v>-7</v>
      </c>
      <c r="H684" s="7">
        <f t="shared" si="10"/>
        <v>0</v>
      </c>
      <c r="I684" s="6">
        <f>IF(H684=1,
  F684,
  G684*PARAMETRY!$B$11)</f>
        <v>-0.35000000000000003</v>
      </c>
      <c r="J684" s="6">
        <f>CALC_GAMES_BASE!U684-CALC_GAMES_BASE!V684</f>
        <v>-8.0433455433455425E-3</v>
      </c>
      <c r="K684" s="6">
        <f>_xlfn.XLOOKUP(CALC_GAMES_BASE!W684,
  CALC_GOALIES!B:B,
  CALC_GOALIES!K:K)</f>
        <v>2.1917994590268441E-2</v>
      </c>
      <c r="L684" s="6">
        <f>_xlfn.XLOOKUP(C684,CALC_TEAMS_SEASON!B:B,CALC_TEAMS_SEASON!L:L)</f>
        <v>0.14821988795518207</v>
      </c>
      <c r="M684">
        <f>IF(CALC_GAMES_BASE!Z684="RS",1,1.2)</f>
        <v>1</v>
      </c>
      <c r="N684">
        <f xml:space="preserve"> CALC_GAMES_BASE!Y684</f>
        <v>1</v>
      </c>
    </row>
    <row r="685" spans="1:14" x14ac:dyDescent="0.25">
      <c r="A685" t="str">
        <f>CALC_GAMES_BASE!A685</f>
        <v>25/26</v>
      </c>
      <c r="B685" s="3">
        <f>CALC_GAMES_BASE!B685</f>
        <v>46080</v>
      </c>
      <c r="C685" s="3" t="str">
        <f>CALC_GAMES_BASE!C685</f>
        <v>OLO</v>
      </c>
      <c r="D685" s="3" t="str">
        <f>CALC_GAMES_BASE!D685</f>
        <v>MHK</v>
      </c>
      <c r="E685" s="7">
        <f>CALC_GAMES_BASE!E685</f>
        <v>1</v>
      </c>
      <c r="F685" s="6" t="str">
        <f>CALC_GAMES_BASE!N685</f>
        <v/>
      </c>
      <c r="G685" s="7">
        <f>CALC_GAMES_BASE!K685</f>
        <v>7</v>
      </c>
      <c r="H685" s="7">
        <f t="shared" si="10"/>
        <v>0</v>
      </c>
      <c r="I685" s="6">
        <f>IF(H685=1,
  F685,
  G685*PARAMETRY!$B$11)</f>
        <v>0.35000000000000003</v>
      </c>
      <c r="J685" s="6">
        <f>CALC_GAMES_BASE!U685-CALC_GAMES_BASE!V685</f>
        <v>8.0433455433455425E-3</v>
      </c>
      <c r="K685" s="6">
        <f>_xlfn.XLOOKUP(CALC_GAMES_BASE!W685,
  CALC_GOALIES!B:B,
  CALC_GOALIES!K:K)</f>
        <v>4.4713327207696052E-3</v>
      </c>
      <c r="L685" s="6">
        <f>_xlfn.XLOOKUP(C685,CALC_TEAMS_SEASON!B:B,CALC_TEAMS_SEASON!L:L)</f>
        <v>-1.0613217787114846</v>
      </c>
      <c r="M685">
        <f>IF(CALC_GAMES_BASE!Z685="RS",1,1.2)</f>
        <v>1</v>
      </c>
      <c r="N685">
        <f xml:space="preserve"> CALC_GAMES_BASE!Y685</f>
        <v>0</v>
      </c>
    </row>
    <row r="686" spans="1:14" x14ac:dyDescent="0.25">
      <c r="A686" t="str">
        <f>CALC_GAMES_BASE!A686</f>
        <v>25/26</v>
      </c>
      <c r="B686" s="3">
        <f>CALC_GAMES_BASE!B686</f>
        <v>46080</v>
      </c>
      <c r="C686" s="3" t="str">
        <f>CALC_GAMES_BASE!C686</f>
        <v>PLZ</v>
      </c>
      <c r="D686" s="3" t="str">
        <f>CALC_GAMES_BASE!D686</f>
        <v>SPA</v>
      </c>
      <c r="E686" s="7">
        <f>CALC_GAMES_BASE!E686</f>
        <v>0</v>
      </c>
      <c r="F686" s="6">
        <f>CALC_GAMES_BASE!N686</f>
        <v>0.5</v>
      </c>
      <c r="G686" s="7">
        <f>CALC_GAMES_BASE!K686</f>
        <v>4</v>
      </c>
      <c r="H686" s="7">
        <f t="shared" si="10"/>
        <v>1</v>
      </c>
      <c r="I686" s="6">
        <f>IF(H686=1,
  F686,
  G686*PARAMETRY!$B$11)</f>
        <v>0.5</v>
      </c>
      <c r="J686" s="6">
        <f>CALC_GAMES_BASE!U686-CALC_GAMES_BASE!V686</f>
        <v>-4.4192612942613035E-2</v>
      </c>
      <c r="K686" s="6">
        <f>_xlfn.XLOOKUP(CALC_GAMES_BASE!W686,
  CALC_GOALIES!B:B,
  CALC_GOALIES!K:K)</f>
        <v>1.7617039556646619E-2</v>
      </c>
      <c r="L686" s="6">
        <f>_xlfn.XLOOKUP(C686,CALC_TEAMS_SEASON!B:B,CALC_TEAMS_SEASON!L:L)</f>
        <v>7.3678221288515283E-2</v>
      </c>
      <c r="M686">
        <f>IF(CALC_GAMES_BASE!Z686="RS",1,1.2)</f>
        <v>1</v>
      </c>
      <c r="N686">
        <f xml:space="preserve"> CALC_GAMES_BASE!Y686</f>
        <v>0</v>
      </c>
    </row>
    <row r="687" spans="1:14" x14ac:dyDescent="0.25">
      <c r="A687" t="str">
        <f>CALC_GAMES_BASE!A687</f>
        <v>25/26</v>
      </c>
      <c r="B687" s="3">
        <f>CALC_GAMES_BASE!B687</f>
        <v>46080</v>
      </c>
      <c r="C687" s="3" t="str">
        <f>CALC_GAMES_BASE!C687</f>
        <v>VIT</v>
      </c>
      <c r="D687" s="3" t="str">
        <f>CALC_GAMES_BASE!D687</f>
        <v>CEB</v>
      </c>
      <c r="E687" s="7">
        <f>CALC_GAMES_BASE!E687</f>
        <v>1</v>
      </c>
      <c r="F687" s="6" t="str">
        <f>CALC_GAMES_BASE!N687</f>
        <v/>
      </c>
      <c r="G687" s="7">
        <f>CALC_GAMES_BASE!K687</f>
        <v>-7</v>
      </c>
      <c r="H687" s="7">
        <f t="shared" si="10"/>
        <v>0</v>
      </c>
      <c r="I687" s="6">
        <f>IF(H687=1,
  F687,
  G687*PARAMETRY!$B$11)</f>
        <v>-0.35000000000000003</v>
      </c>
      <c r="J687" s="6">
        <f>CALC_GAMES_BASE!U687-CALC_GAMES_BASE!V687</f>
        <v>3.9635364635364656E-2</v>
      </c>
      <c r="K687" s="6">
        <f>_xlfn.XLOOKUP(CALC_GAMES_BASE!W687,
  CALC_GOALIES!B:B,
  CALC_GOALIES!K:K)</f>
        <v>1.905487900993541E-3</v>
      </c>
      <c r="L687" s="6">
        <f>_xlfn.XLOOKUP(C687,CALC_TEAMS_SEASON!B:B,CALC_TEAMS_SEASON!L:L)</f>
        <v>-1.0281967787114845</v>
      </c>
      <c r="M687">
        <f>IF(CALC_GAMES_BASE!Z687="RS",1,1.2)</f>
        <v>1</v>
      </c>
      <c r="N687">
        <f xml:space="preserve"> CALC_GAMES_BASE!Y687</f>
        <v>1</v>
      </c>
    </row>
    <row r="688" spans="1:14" x14ac:dyDescent="0.25">
      <c r="A688" t="str">
        <f>CALC_GAMES_BASE!A688</f>
        <v>25/26</v>
      </c>
      <c r="B688" s="3">
        <f>CALC_GAMES_BASE!B688</f>
        <v>46082</v>
      </c>
      <c r="C688" s="3" t="str">
        <f>CALC_GAMES_BASE!C688</f>
        <v>PCE</v>
      </c>
      <c r="D688" s="3" t="str">
        <f>CALC_GAMES_BASE!D688</f>
        <v>KVA</v>
      </c>
      <c r="E688" s="7">
        <f>CALC_GAMES_BASE!E688</f>
        <v>1</v>
      </c>
      <c r="F688" s="6">
        <f>CALC_GAMES_BASE!N688</f>
        <v>3.0000000000000249E-2</v>
      </c>
      <c r="G688" s="7">
        <f>CALC_GAMES_BASE!K688</f>
        <v>-1</v>
      </c>
      <c r="H688" s="7">
        <f t="shared" si="10"/>
        <v>1</v>
      </c>
      <c r="I688" s="6">
        <f>IF(H688=1,
  F688,
  G688*PARAMETRY!$B$11)</f>
        <v>3.0000000000000249E-2</v>
      </c>
      <c r="J688" s="6">
        <f>CALC_GAMES_BASE!U688-CALC_GAMES_BASE!V688</f>
        <v>2.9105616605616641E-2</v>
      </c>
      <c r="K688" s="6">
        <f>_xlfn.XLOOKUP(CALC_GAMES_BASE!W688,
  CALC_GOALIES!B:B,
  CALC_GOALIES!K:K)</f>
        <v>-6.7923502086092435E-3</v>
      </c>
      <c r="L688" s="6">
        <f>_xlfn.XLOOKUP(C688,CALC_TEAMS_SEASON!B:B,CALC_TEAMS_SEASON!L:L)</f>
        <v>0.62437675070027965</v>
      </c>
      <c r="M688">
        <f>IF(CALC_GAMES_BASE!Z688="RS",1,1.2)</f>
        <v>1</v>
      </c>
      <c r="N688">
        <f xml:space="preserve"> CALC_GAMES_BASE!Y688</f>
        <v>1</v>
      </c>
    </row>
    <row r="689" spans="1:14" x14ac:dyDescent="0.25">
      <c r="A689" t="str">
        <f>CALC_GAMES_BASE!A689</f>
        <v>25/26</v>
      </c>
      <c r="B689" s="3">
        <f>CALC_GAMES_BASE!B689</f>
        <v>46082</v>
      </c>
      <c r="C689" s="3" t="str">
        <f>CALC_GAMES_BASE!C689</f>
        <v>TRI</v>
      </c>
      <c r="D689" s="3" t="str">
        <f>CALC_GAMES_BASE!D689</f>
        <v>VIT</v>
      </c>
      <c r="E689" s="7">
        <f>CALC_GAMES_BASE!E689</f>
        <v>1</v>
      </c>
      <c r="F689" s="6">
        <f>CALC_GAMES_BASE!N689</f>
        <v>2.33</v>
      </c>
      <c r="G689" s="7">
        <f>CALC_GAMES_BASE!K689</f>
        <v>20</v>
      </c>
      <c r="H689" s="7">
        <f t="shared" si="10"/>
        <v>1</v>
      </c>
      <c r="I689" s="6">
        <f>IF(H689=1,
  F689,
  G689*PARAMETRY!$B$11)</f>
        <v>2.33</v>
      </c>
      <c r="J689" s="6">
        <f>CALC_GAMES_BASE!U689-CALC_GAMES_BASE!V689</f>
        <v>4.525335775335787E-3</v>
      </c>
      <c r="K689" s="6">
        <f>_xlfn.XLOOKUP(CALC_GAMES_BASE!W689,
  CALC_GOALIES!B:B,
  CALC_GOALIES!K:K)</f>
        <v>1.3707542055988897E-2</v>
      </c>
      <c r="L689" s="6">
        <f>_xlfn.XLOOKUP(C689,CALC_TEAMS_SEASON!B:B,CALC_TEAMS_SEASON!L:L)</f>
        <v>0.10805322128851533</v>
      </c>
      <c r="M689">
        <f>IF(CALC_GAMES_BASE!Z689="RS",1,1.2)</f>
        <v>1</v>
      </c>
      <c r="N689">
        <f xml:space="preserve"> CALC_GAMES_BASE!Y689</f>
        <v>1</v>
      </c>
    </row>
    <row r="690" spans="1:14" x14ac:dyDescent="0.25">
      <c r="A690" t="str">
        <f>CALC_GAMES_BASE!A690</f>
        <v>25/26</v>
      </c>
      <c r="B690" s="3">
        <f>CALC_GAMES_BASE!B690</f>
        <v>46082</v>
      </c>
      <c r="C690" s="3" t="str">
        <f>CALC_GAMES_BASE!C690</f>
        <v>SPA</v>
      </c>
      <c r="D690" s="3" t="str">
        <f>CALC_GAMES_BASE!D690</f>
        <v>MHK</v>
      </c>
      <c r="E690" s="7">
        <f>CALC_GAMES_BASE!E690</f>
        <v>0</v>
      </c>
      <c r="F690" s="6">
        <f>CALC_GAMES_BASE!N690</f>
        <v>7.9999999999999627E-2</v>
      </c>
      <c r="G690" s="7">
        <f>CALC_GAMES_BASE!K690</f>
        <v>13</v>
      </c>
      <c r="H690" s="7">
        <f t="shared" si="10"/>
        <v>1</v>
      </c>
      <c r="I690" s="6">
        <f>IF(H690=1,
  F690,
  G690*PARAMETRY!$B$11)</f>
        <v>7.9999999999999627E-2</v>
      </c>
      <c r="J690" s="6">
        <f>CALC_GAMES_BASE!U690-CALC_GAMES_BASE!V690</f>
        <v>7.875457875457878E-2</v>
      </c>
      <c r="K690" s="6">
        <f>_xlfn.XLOOKUP(CALC_GAMES_BASE!W690,
  CALC_GOALIES!B:B,
  CALC_GOALIES!K:K)</f>
        <v>-1.0634669404866681E-2</v>
      </c>
      <c r="L690" s="6">
        <f>_xlfn.XLOOKUP(C690,CALC_TEAMS_SEASON!B:B,CALC_TEAMS_SEASON!L:L)</f>
        <v>6.4376750700279955E-2</v>
      </c>
      <c r="M690">
        <f>IF(CALC_GAMES_BASE!Z690="RS",1,1.2)</f>
        <v>1</v>
      </c>
      <c r="N690">
        <f xml:space="preserve"> CALC_GAMES_BASE!Y690</f>
        <v>0</v>
      </c>
    </row>
    <row r="691" spans="1:14" x14ac:dyDescent="0.25">
      <c r="A691" t="str">
        <f>CALC_GAMES_BASE!A691</f>
        <v>25/26</v>
      </c>
      <c r="B691" s="3">
        <f>CALC_GAMES_BASE!B691</f>
        <v>46082</v>
      </c>
      <c r="C691" s="3" t="str">
        <f>CALC_GAMES_BASE!C691</f>
        <v>KOM</v>
      </c>
      <c r="D691" s="3" t="str">
        <f>CALC_GAMES_BASE!D691</f>
        <v>KLA</v>
      </c>
      <c r="E691" s="7">
        <f>CALC_GAMES_BASE!E691</f>
        <v>0</v>
      </c>
      <c r="F691" s="6">
        <f>CALC_GAMES_BASE!N691</f>
        <v>-2.21</v>
      </c>
      <c r="G691" s="7">
        <f>CALC_GAMES_BASE!K691</f>
        <v>-14</v>
      </c>
      <c r="H691" s="7">
        <f t="shared" si="10"/>
        <v>1</v>
      </c>
      <c r="I691" s="6">
        <f>IF(H691=1,
  F691,
  G691*PARAMETRY!$B$11)</f>
        <v>-2.21</v>
      </c>
      <c r="J691" s="6">
        <f>CALC_GAMES_BASE!U691-CALC_GAMES_BASE!V691</f>
        <v>1.2385531135531147E-2</v>
      </c>
      <c r="K691" s="6">
        <f>_xlfn.XLOOKUP(CALC_GAMES_BASE!W691,
  CALC_GOALIES!B:B,
  CALC_GOALIES!K:K)</f>
        <v>-1.5147095063735572E-3</v>
      </c>
      <c r="L691" s="6">
        <f>_xlfn.XLOOKUP(C691,CALC_TEAMS_SEASON!B:B,CALC_TEAMS_SEASON!L:L)</f>
        <v>-0.37268207282913179</v>
      </c>
      <c r="M691">
        <f>IF(CALC_GAMES_BASE!Z691="RS",1,1.2)</f>
        <v>1</v>
      </c>
      <c r="N691">
        <f xml:space="preserve"> CALC_GAMES_BASE!Y691</f>
        <v>0</v>
      </c>
    </row>
    <row r="692" spans="1:14" x14ac:dyDescent="0.25">
      <c r="A692" t="str">
        <f>CALC_GAMES_BASE!A692</f>
        <v>25/26</v>
      </c>
      <c r="B692" s="3">
        <f>CALC_GAMES_BASE!B692</f>
        <v>46082</v>
      </c>
      <c r="C692" s="3" t="str">
        <f>CALC_GAMES_BASE!C692</f>
        <v>CEB</v>
      </c>
      <c r="D692" s="3" t="str">
        <f>CALC_GAMES_BASE!D692</f>
        <v>MBL</v>
      </c>
      <c r="E692" s="7">
        <f>CALC_GAMES_BASE!E692</f>
        <v>1</v>
      </c>
      <c r="F692" s="6" t="str">
        <f>CALC_GAMES_BASE!N692</f>
        <v/>
      </c>
      <c r="G692" s="7">
        <f>CALC_GAMES_BASE!K692</f>
        <v>2</v>
      </c>
      <c r="H692" s="7">
        <f t="shared" si="10"/>
        <v>0</v>
      </c>
      <c r="I692" s="6">
        <f>IF(H692=1,
  F692,
  G692*PARAMETRY!$B$11)</f>
        <v>0.1</v>
      </c>
      <c r="J692" s="6">
        <f>CALC_GAMES_BASE!U692-CALC_GAMES_BASE!V692</f>
        <v>1.1944305694305699E-2</v>
      </c>
      <c r="K692" s="6">
        <f>_xlfn.XLOOKUP(CALC_GAMES_BASE!W692,
  CALC_GOALIES!B:B,
  CALC_GOALIES!K:K)</f>
        <v>3.9343341510811314E-3</v>
      </c>
      <c r="L692" s="6">
        <f>_xlfn.XLOOKUP(C692,CALC_TEAMS_SEASON!B:B,CALC_TEAMS_SEASON!L:L)</f>
        <v>-0.24978011204481798</v>
      </c>
      <c r="M692">
        <f>IF(CALC_GAMES_BASE!Z692="RS",1,1.2)</f>
        <v>1</v>
      </c>
      <c r="N692">
        <f xml:space="preserve"> CALC_GAMES_BASE!Y692</f>
        <v>1</v>
      </c>
    </row>
    <row r="693" spans="1:14" x14ac:dyDescent="0.25">
      <c r="A693" t="str">
        <f>CALC_GAMES_BASE!A693</f>
        <v>25/26</v>
      </c>
      <c r="B693" s="3">
        <f>CALC_GAMES_BASE!B693</f>
        <v>46082</v>
      </c>
      <c r="C693" s="3" t="str">
        <f>CALC_GAMES_BASE!C693</f>
        <v>KLA</v>
      </c>
      <c r="D693" s="3" t="str">
        <f>CALC_GAMES_BASE!D693</f>
        <v>KOM</v>
      </c>
      <c r="E693" s="7">
        <f>CALC_GAMES_BASE!E693</f>
        <v>1</v>
      </c>
      <c r="F693" s="6">
        <f>CALC_GAMES_BASE!N693</f>
        <v>2.21</v>
      </c>
      <c r="G693" s="7">
        <f>CALC_GAMES_BASE!K693</f>
        <v>14</v>
      </c>
      <c r="H693" s="7">
        <f t="shared" si="10"/>
        <v>1</v>
      </c>
      <c r="I693" s="6">
        <f>IF(H693=1,
  F693,
  G693*PARAMETRY!$B$11)</f>
        <v>2.21</v>
      </c>
      <c r="J693" s="6">
        <f>CALC_GAMES_BASE!U693-CALC_GAMES_BASE!V693</f>
        <v>-1.2385531135531147E-2</v>
      </c>
      <c r="K693" s="6">
        <f>_xlfn.XLOOKUP(CALC_GAMES_BASE!W693,
  CALC_GOALIES!B:B,
  CALC_GOALIES!K:K)</f>
        <v>1.2463190300688209E-2</v>
      </c>
      <c r="L693" s="6">
        <f>_xlfn.XLOOKUP(C693,CALC_TEAMS_SEASON!B:B,CALC_TEAMS_SEASON!L:L)</f>
        <v>-0.19819677871148478</v>
      </c>
      <c r="M693">
        <f>IF(CALC_GAMES_BASE!Z693="RS",1,1.2)</f>
        <v>1</v>
      </c>
      <c r="N693">
        <f xml:space="preserve"> CALC_GAMES_BASE!Y693</f>
        <v>1</v>
      </c>
    </row>
    <row r="694" spans="1:14" x14ac:dyDescent="0.25">
      <c r="A694" t="str">
        <f>CALC_GAMES_BASE!A694</f>
        <v>25/26</v>
      </c>
      <c r="B694" s="3">
        <f>CALC_GAMES_BASE!B694</f>
        <v>46082</v>
      </c>
      <c r="C694" s="3" t="str">
        <f>CALC_GAMES_BASE!C694</f>
        <v>KVA</v>
      </c>
      <c r="D694" s="3" t="str">
        <f>CALC_GAMES_BASE!D694</f>
        <v>PCE</v>
      </c>
      <c r="E694" s="7">
        <f>CALC_GAMES_BASE!E694</f>
        <v>0</v>
      </c>
      <c r="F694" s="6">
        <f>CALC_GAMES_BASE!N694</f>
        <v>-3.0000000000000249E-2</v>
      </c>
      <c r="G694" s="7">
        <f>CALC_GAMES_BASE!K694</f>
        <v>1</v>
      </c>
      <c r="H694" s="7">
        <f t="shared" si="10"/>
        <v>1</v>
      </c>
      <c r="I694" s="6">
        <f>IF(H694=1,
  F694,
  G694*PARAMETRY!$B$11)</f>
        <v>-3.0000000000000249E-2</v>
      </c>
      <c r="J694" s="6">
        <f>CALC_GAMES_BASE!U694-CALC_GAMES_BASE!V694</f>
        <v>-2.9105616605616641E-2</v>
      </c>
      <c r="K694" s="6">
        <f>_xlfn.XLOOKUP(CALC_GAMES_BASE!W694,
  CALC_GOALIES!B:B,
  CALC_GOALIES!K:K)</f>
        <v>-2.2629454281007488E-2</v>
      </c>
      <c r="L694" s="6">
        <f>_xlfn.XLOOKUP(C694,CALC_TEAMS_SEASON!B:B,CALC_TEAMS_SEASON!L:L)</f>
        <v>-0.28757177871148476</v>
      </c>
      <c r="M694">
        <f>IF(CALC_GAMES_BASE!Z694="RS",1,1.2)</f>
        <v>1</v>
      </c>
      <c r="N694">
        <f xml:space="preserve"> CALC_GAMES_BASE!Y694</f>
        <v>0</v>
      </c>
    </row>
    <row r="695" spans="1:14" x14ac:dyDescent="0.25">
      <c r="A695" t="str">
        <f>CALC_GAMES_BASE!A695</f>
        <v>25/26</v>
      </c>
      <c r="B695" s="3">
        <f>CALC_GAMES_BASE!B695</f>
        <v>46082</v>
      </c>
      <c r="C695" s="3" t="str">
        <f>CALC_GAMES_BASE!C695</f>
        <v>LIB</v>
      </c>
      <c r="D695" s="3" t="str">
        <f>CALC_GAMES_BASE!D695</f>
        <v>OLO</v>
      </c>
      <c r="E695" s="7">
        <f>CALC_GAMES_BASE!E695</f>
        <v>1</v>
      </c>
      <c r="F695" s="6" t="str">
        <f>CALC_GAMES_BASE!N695</f>
        <v/>
      </c>
      <c r="G695" s="7">
        <f>CALC_GAMES_BASE!K695</f>
        <v>14</v>
      </c>
      <c r="H695" s="7">
        <f t="shared" si="10"/>
        <v>0</v>
      </c>
      <c r="I695" s="6">
        <f>IF(H695=1,
  F695,
  G695*PARAMETRY!$B$11)</f>
        <v>0.70000000000000007</v>
      </c>
      <c r="J695" s="6">
        <f>CALC_GAMES_BASE!U695-CALC_GAMES_BASE!V695</f>
        <v>-6.1202686202686263E-3</v>
      </c>
      <c r="K695" s="6">
        <f>_xlfn.XLOOKUP(CALC_GAMES_BASE!W695,
  CALC_GOALIES!B:B,
  CALC_GOALIES!K:K)</f>
        <v>1.2275709048813366E-2</v>
      </c>
      <c r="L695" s="6">
        <f>_xlfn.XLOOKUP(C695,CALC_TEAMS_SEASON!B:B,CALC_TEAMS_SEASON!L:L)</f>
        <v>0.22367822128851536</v>
      </c>
      <c r="M695">
        <f>IF(CALC_GAMES_BASE!Z695="RS",1,1.2)</f>
        <v>1</v>
      </c>
      <c r="N695">
        <f xml:space="preserve"> CALC_GAMES_BASE!Y695</f>
        <v>1</v>
      </c>
    </row>
    <row r="696" spans="1:14" x14ac:dyDescent="0.25">
      <c r="A696" t="str">
        <f>CALC_GAMES_BASE!A696</f>
        <v>25/26</v>
      </c>
      <c r="B696" s="3">
        <f>CALC_GAMES_BASE!B696</f>
        <v>46082</v>
      </c>
      <c r="C696" s="3" t="str">
        <f>CALC_GAMES_BASE!C696</f>
        <v>LIT</v>
      </c>
      <c r="D696" s="3" t="str">
        <f>CALC_GAMES_BASE!D696</f>
        <v>PLZ</v>
      </c>
      <c r="E696" s="7">
        <f>CALC_GAMES_BASE!E696</f>
        <v>0</v>
      </c>
      <c r="F696" s="6" t="str">
        <f>CALC_GAMES_BASE!N696</f>
        <v/>
      </c>
      <c r="G696" s="7">
        <f>CALC_GAMES_BASE!K696</f>
        <v>-26</v>
      </c>
      <c r="H696" s="7">
        <f t="shared" si="10"/>
        <v>0</v>
      </c>
      <c r="I696" s="6">
        <f>IF(H696=1,
  F696,
  G696*PARAMETRY!$B$11)</f>
        <v>-1.3</v>
      </c>
      <c r="J696" s="6">
        <f>CALC_GAMES_BASE!U696-CALC_GAMES_BASE!V696</f>
        <v>-7.5518925518925487E-2</v>
      </c>
      <c r="K696" s="6">
        <f>_xlfn.XLOOKUP(CALC_GAMES_BASE!W696,
  CALC_GOALIES!B:B,
  CALC_GOALIES!K:K)</f>
        <v>-4.9010888963920696E-3</v>
      </c>
      <c r="L696" s="6">
        <f>_xlfn.XLOOKUP(C696,CALC_TEAMS_SEASON!B:B,CALC_TEAMS_SEASON!L:L)</f>
        <v>-1.4784467787114848</v>
      </c>
      <c r="M696">
        <f>IF(CALC_GAMES_BASE!Z696="RS",1,1.2)</f>
        <v>1</v>
      </c>
      <c r="N696">
        <f xml:space="preserve"> CALC_GAMES_BASE!Y696</f>
        <v>0</v>
      </c>
    </row>
    <row r="697" spans="1:14" x14ac:dyDescent="0.25">
      <c r="A697" t="str">
        <f>CALC_GAMES_BASE!A697</f>
        <v>25/26</v>
      </c>
      <c r="B697" s="3">
        <f>CALC_GAMES_BASE!B697</f>
        <v>46082</v>
      </c>
      <c r="C697" s="3" t="str">
        <f>CALC_GAMES_BASE!C697</f>
        <v>MBL</v>
      </c>
      <c r="D697" s="3" t="str">
        <f>CALC_GAMES_BASE!D697</f>
        <v>CEB</v>
      </c>
      <c r="E697" s="7">
        <f>CALC_GAMES_BASE!E697</f>
        <v>0</v>
      </c>
      <c r="F697" s="6" t="str">
        <f>CALC_GAMES_BASE!N697</f>
        <v/>
      </c>
      <c r="G697" s="7">
        <f>CALC_GAMES_BASE!K697</f>
        <v>2</v>
      </c>
      <c r="H697" s="7">
        <f t="shared" si="10"/>
        <v>0</v>
      </c>
      <c r="I697" s="6">
        <f>IF(H697=1,
  F697,
  G697*PARAMETRY!$B$11)</f>
        <v>0.1</v>
      </c>
      <c r="J697" s="6">
        <f>CALC_GAMES_BASE!U697-CALC_GAMES_BASE!V697</f>
        <v>-1.1944305694305699E-2</v>
      </c>
      <c r="K697" s="6">
        <f>_xlfn.XLOOKUP(CALC_GAMES_BASE!W697,
  CALC_GOALIES!B:B,
  CALC_GOALIES!K:K)</f>
        <v>-4.4670611186142795E-3</v>
      </c>
      <c r="L697" s="6">
        <f>_xlfn.XLOOKUP(C697,CALC_TEAMS_SEASON!B:B,CALC_TEAMS_SEASON!L:L)</f>
        <v>-0.89069677871148467</v>
      </c>
      <c r="M697">
        <f>IF(CALC_GAMES_BASE!Z697="RS",1,1.2)</f>
        <v>1</v>
      </c>
      <c r="N697">
        <f xml:space="preserve"> CALC_GAMES_BASE!Y697</f>
        <v>0</v>
      </c>
    </row>
    <row r="698" spans="1:14" x14ac:dyDescent="0.25">
      <c r="A698" t="str">
        <f>CALC_GAMES_BASE!A698</f>
        <v>25/26</v>
      </c>
      <c r="B698" s="3">
        <f>CALC_GAMES_BASE!B698</f>
        <v>46082</v>
      </c>
      <c r="C698" s="3" t="str">
        <f>CALC_GAMES_BASE!C698</f>
        <v>MHK</v>
      </c>
      <c r="D698" s="3" t="str">
        <f>CALC_GAMES_BASE!D698</f>
        <v>SPA</v>
      </c>
      <c r="E698" s="7">
        <f>CALC_GAMES_BASE!E698</f>
        <v>1</v>
      </c>
      <c r="F698" s="6">
        <f>CALC_GAMES_BASE!N698</f>
        <v>-7.9999999999999627E-2</v>
      </c>
      <c r="G698" s="7">
        <f>CALC_GAMES_BASE!K698</f>
        <v>-13</v>
      </c>
      <c r="H698" s="7">
        <f t="shared" si="10"/>
        <v>1</v>
      </c>
      <c r="I698" s="6">
        <f>IF(H698=1,
  F698,
  G698*PARAMETRY!$B$11)</f>
        <v>-7.9999999999999627E-2</v>
      </c>
      <c r="J698" s="6">
        <f>CALC_GAMES_BASE!U698-CALC_GAMES_BASE!V698</f>
        <v>-7.875457875457878E-2</v>
      </c>
      <c r="K698" s="6">
        <f>_xlfn.XLOOKUP(CALC_GAMES_BASE!W698,
  CALC_GOALIES!B:B,
  CALC_GOALIES!K:K)</f>
        <v>2.1917994590268441E-2</v>
      </c>
      <c r="L698" s="6">
        <f>_xlfn.XLOOKUP(C698,CALC_TEAMS_SEASON!B:B,CALC_TEAMS_SEASON!L:L)</f>
        <v>0.14821988795518207</v>
      </c>
      <c r="M698">
        <f>IF(CALC_GAMES_BASE!Z698="RS",1,1.2)</f>
        <v>1</v>
      </c>
      <c r="N698">
        <f xml:space="preserve"> CALC_GAMES_BASE!Y698</f>
        <v>1</v>
      </c>
    </row>
    <row r="699" spans="1:14" x14ac:dyDescent="0.25">
      <c r="A699" t="str">
        <f>CALC_GAMES_BASE!A699</f>
        <v>25/26</v>
      </c>
      <c r="B699" s="3">
        <f>CALC_GAMES_BASE!B699</f>
        <v>46082</v>
      </c>
      <c r="C699" s="3" t="str">
        <f>CALC_GAMES_BASE!C699</f>
        <v>OLO</v>
      </c>
      <c r="D699" s="3" t="str">
        <f>CALC_GAMES_BASE!D699</f>
        <v>LIB</v>
      </c>
      <c r="E699" s="7">
        <f>CALC_GAMES_BASE!E699</f>
        <v>0</v>
      </c>
      <c r="F699" s="6" t="str">
        <f>CALC_GAMES_BASE!N699</f>
        <v/>
      </c>
      <c r="G699" s="7">
        <f>CALC_GAMES_BASE!K699</f>
        <v>-14</v>
      </c>
      <c r="H699" s="7">
        <f t="shared" si="10"/>
        <v>0</v>
      </c>
      <c r="I699" s="6">
        <f>IF(H699=1,
  F699,
  G699*PARAMETRY!$B$11)</f>
        <v>-0.70000000000000007</v>
      </c>
      <c r="J699" s="6">
        <f>CALC_GAMES_BASE!U699-CALC_GAMES_BASE!V699</f>
        <v>6.1202686202686263E-3</v>
      </c>
      <c r="K699" s="6">
        <f>_xlfn.XLOOKUP(CALC_GAMES_BASE!W699,
  CALC_GOALIES!B:B,
  CALC_GOALIES!K:K)</f>
        <v>-2.0326878807700233E-2</v>
      </c>
      <c r="L699" s="6">
        <f>_xlfn.XLOOKUP(C699,CALC_TEAMS_SEASON!B:B,CALC_TEAMS_SEASON!L:L)</f>
        <v>-1.0613217787114846</v>
      </c>
      <c r="M699">
        <f>IF(CALC_GAMES_BASE!Z699="RS",1,1.2)</f>
        <v>1</v>
      </c>
      <c r="N699">
        <f xml:space="preserve"> CALC_GAMES_BASE!Y699</f>
        <v>0</v>
      </c>
    </row>
    <row r="700" spans="1:14" x14ac:dyDescent="0.25">
      <c r="A700" t="str">
        <f>CALC_GAMES_BASE!A700</f>
        <v>25/26</v>
      </c>
      <c r="B700" s="3">
        <f>CALC_GAMES_BASE!B700</f>
        <v>46082</v>
      </c>
      <c r="C700" s="3" t="str">
        <f>CALC_GAMES_BASE!C700</f>
        <v>PLZ</v>
      </c>
      <c r="D700" s="3" t="str">
        <f>CALC_GAMES_BASE!D700</f>
        <v>LIT</v>
      </c>
      <c r="E700" s="7">
        <f>CALC_GAMES_BASE!E700</f>
        <v>1</v>
      </c>
      <c r="F700" s="6" t="str">
        <f>CALC_GAMES_BASE!N700</f>
        <v/>
      </c>
      <c r="G700" s="7">
        <f>CALC_GAMES_BASE!K700</f>
        <v>26</v>
      </c>
      <c r="H700" s="7">
        <f t="shared" si="10"/>
        <v>0</v>
      </c>
      <c r="I700" s="6">
        <f>IF(H700=1,
  F700,
  G700*PARAMETRY!$B$11)</f>
        <v>1.3</v>
      </c>
      <c r="J700" s="6">
        <f>CALC_GAMES_BASE!U700-CALC_GAMES_BASE!V700</f>
        <v>7.5518925518925487E-2</v>
      </c>
      <c r="K700" s="6">
        <f>_xlfn.XLOOKUP(CALC_GAMES_BASE!W700,
  CALC_GOALIES!B:B,
  CALC_GOALIES!K:K)</f>
        <v>1.7617039556646619E-2</v>
      </c>
      <c r="L700" s="6">
        <f>_xlfn.XLOOKUP(C700,CALC_TEAMS_SEASON!B:B,CALC_TEAMS_SEASON!L:L)</f>
        <v>7.3678221288515283E-2</v>
      </c>
      <c r="M700">
        <f>IF(CALC_GAMES_BASE!Z700="RS",1,1.2)</f>
        <v>1</v>
      </c>
      <c r="N700">
        <f xml:space="preserve"> CALC_GAMES_BASE!Y700</f>
        <v>1</v>
      </c>
    </row>
    <row r="701" spans="1:14" x14ac:dyDescent="0.25">
      <c r="A701" t="str">
        <f>CALC_GAMES_BASE!A701</f>
        <v>25/26</v>
      </c>
      <c r="B701" s="3">
        <f>CALC_GAMES_BASE!B701</f>
        <v>46082</v>
      </c>
      <c r="C701" s="3" t="str">
        <f>CALC_GAMES_BASE!C701</f>
        <v>VIT</v>
      </c>
      <c r="D701" s="3" t="str">
        <f>CALC_GAMES_BASE!D701</f>
        <v>TRI</v>
      </c>
      <c r="E701" s="7">
        <f>CALC_GAMES_BASE!E701</f>
        <v>0</v>
      </c>
      <c r="F701" s="6">
        <f>CALC_GAMES_BASE!N701</f>
        <v>-2.33</v>
      </c>
      <c r="G701" s="7">
        <f>CALC_GAMES_BASE!K701</f>
        <v>-20</v>
      </c>
      <c r="H701" s="7">
        <f t="shared" si="10"/>
        <v>1</v>
      </c>
      <c r="I701" s="6">
        <f>IF(H701=1,
  F701,
  G701*PARAMETRY!$B$11)</f>
        <v>-2.33</v>
      </c>
      <c r="J701" s="6">
        <f>CALC_GAMES_BASE!U701-CALC_GAMES_BASE!V701</f>
        <v>-4.525335775335787E-3</v>
      </c>
      <c r="K701" s="6">
        <f>_xlfn.XLOOKUP(CALC_GAMES_BASE!W701,
  CALC_GOALIES!B:B,
  CALC_GOALIES!K:K)</f>
        <v>1.905487900993541E-3</v>
      </c>
      <c r="L701" s="6">
        <f>_xlfn.XLOOKUP(C701,CALC_TEAMS_SEASON!B:B,CALC_TEAMS_SEASON!L:L)</f>
        <v>-1.0281967787114845</v>
      </c>
      <c r="M701">
        <f>IF(CALC_GAMES_BASE!Z701="RS",1,1.2)</f>
        <v>1</v>
      </c>
      <c r="N701">
        <f xml:space="preserve"> CALC_GAMES_BASE!Y701</f>
        <v>0</v>
      </c>
    </row>
    <row r="702" spans="1:14" x14ac:dyDescent="0.25">
      <c r="A702" t="str">
        <f>CALC_GAMES_BASE!A702</f>
        <v>25/26</v>
      </c>
      <c r="B702" s="3">
        <f>CALC_GAMES_BASE!B702</f>
        <v>46085</v>
      </c>
      <c r="C702" s="3" t="str">
        <f>CALC_GAMES_BASE!C702</f>
        <v>PCE</v>
      </c>
      <c r="D702" s="3" t="str">
        <f>CALC_GAMES_BASE!D702</f>
        <v>VIT</v>
      </c>
      <c r="E702" s="7">
        <f>CALC_GAMES_BASE!E702</f>
        <v>0</v>
      </c>
      <c r="F702" s="6">
        <f>CALC_GAMES_BASE!N702</f>
        <v>1.1099999999999999</v>
      </c>
      <c r="G702" s="7">
        <f>CALC_GAMES_BASE!K702</f>
        <v>24</v>
      </c>
      <c r="H702" s="7">
        <f t="shared" si="10"/>
        <v>1</v>
      </c>
      <c r="I702" s="6">
        <f>IF(H702=1,
  F702,
  G702*PARAMETRY!$B$11)</f>
        <v>1.1099999999999999</v>
      </c>
      <c r="J702" s="6">
        <f>CALC_GAMES_BASE!U702-CALC_GAMES_BASE!V702</f>
        <v>3.3127289377289398E-2</v>
      </c>
      <c r="K702" s="6">
        <f>_xlfn.XLOOKUP(CALC_GAMES_BASE!W702,
  CALC_GOALIES!B:B,
  CALC_GOALIES!K:K)</f>
        <v>4.5881077393388203E-3</v>
      </c>
      <c r="L702" s="6">
        <f>_xlfn.XLOOKUP(C702,CALC_TEAMS_SEASON!B:B,CALC_TEAMS_SEASON!L:L)</f>
        <v>0.62437675070027965</v>
      </c>
      <c r="M702">
        <f>IF(CALC_GAMES_BASE!Z702="RS",1,1.2)</f>
        <v>1</v>
      </c>
      <c r="N702">
        <f xml:space="preserve"> CALC_GAMES_BASE!Y702</f>
        <v>0</v>
      </c>
    </row>
    <row r="703" spans="1:14" x14ac:dyDescent="0.25">
      <c r="A703" t="str">
        <f>CALC_GAMES_BASE!A703</f>
        <v>25/26</v>
      </c>
      <c r="B703" s="3">
        <f>CALC_GAMES_BASE!B703</f>
        <v>46085</v>
      </c>
      <c r="C703" s="3" t="str">
        <f>CALC_GAMES_BASE!C703</f>
        <v>TRI</v>
      </c>
      <c r="D703" s="3" t="str">
        <f>CALC_GAMES_BASE!D703</f>
        <v>LIT</v>
      </c>
      <c r="E703" s="7">
        <f>CALC_GAMES_BASE!E703</f>
        <v>0</v>
      </c>
      <c r="F703" s="6">
        <f>CALC_GAMES_BASE!N703</f>
        <v>1.0000000000000002</v>
      </c>
      <c r="G703" s="7">
        <f>CALC_GAMES_BASE!K703</f>
        <v>6</v>
      </c>
      <c r="H703" s="7">
        <f t="shared" si="10"/>
        <v>1</v>
      </c>
      <c r="I703" s="6">
        <f>IF(H703=1,
  F703,
  G703*PARAMETRY!$B$11)</f>
        <v>1.0000000000000002</v>
      </c>
      <c r="J703" s="6">
        <f>CALC_GAMES_BASE!U703-CALC_GAMES_BASE!V703</f>
        <v>7.348137973137979E-2</v>
      </c>
      <c r="K703" s="6">
        <f>_xlfn.XLOOKUP(CALC_GAMES_BASE!W703,
  CALC_GOALIES!B:B,
  CALC_GOALIES!K:K)</f>
        <v>1.3707542055988897E-2</v>
      </c>
      <c r="L703" s="6">
        <f>_xlfn.XLOOKUP(C703,CALC_TEAMS_SEASON!B:B,CALC_TEAMS_SEASON!L:L)</f>
        <v>0.10805322128851533</v>
      </c>
      <c r="M703">
        <f>IF(CALC_GAMES_BASE!Z703="RS",1,1.2)</f>
        <v>1</v>
      </c>
      <c r="N703">
        <f xml:space="preserve"> CALC_GAMES_BASE!Y703</f>
        <v>1</v>
      </c>
    </row>
    <row r="704" spans="1:14" x14ac:dyDescent="0.25">
      <c r="A704" t="str">
        <f>CALC_GAMES_BASE!A704</f>
        <v>25/26</v>
      </c>
      <c r="B704" s="3">
        <f>CALC_GAMES_BASE!B704</f>
        <v>46085</v>
      </c>
      <c r="C704" s="3" t="str">
        <f>CALC_GAMES_BASE!C704</f>
        <v>SPA</v>
      </c>
      <c r="D704" s="3" t="str">
        <f>CALC_GAMES_BASE!D704</f>
        <v>KLA</v>
      </c>
      <c r="E704" s="7">
        <f>CALC_GAMES_BASE!E704</f>
        <v>1</v>
      </c>
      <c r="F704" s="6">
        <f>CALC_GAMES_BASE!N704</f>
        <v>1.1700000000000004</v>
      </c>
      <c r="G704" s="7">
        <f>CALC_GAMES_BASE!K704</f>
        <v>8</v>
      </c>
      <c r="H704" s="7">
        <f t="shared" si="10"/>
        <v>1</v>
      </c>
      <c r="I704" s="6">
        <f>IF(H704=1,
  F704,
  G704*PARAMETRY!$B$11)</f>
        <v>1.1700000000000004</v>
      </c>
      <c r="J704" s="6">
        <f>CALC_GAMES_BASE!U704-CALC_GAMES_BASE!V704</f>
        <v>8.9400183150183221E-2</v>
      </c>
      <c r="K704" s="6">
        <f>_xlfn.XLOOKUP(CALC_GAMES_BASE!W704,
  CALC_GOALIES!B:B,
  CALC_GOALIES!K:K)</f>
        <v>-1.0634669404866681E-2</v>
      </c>
      <c r="L704" s="6">
        <f>_xlfn.XLOOKUP(C704,CALC_TEAMS_SEASON!B:B,CALC_TEAMS_SEASON!L:L)</f>
        <v>6.4376750700279955E-2</v>
      </c>
      <c r="M704">
        <f>IF(CALC_GAMES_BASE!Z704="RS",1,1.2)</f>
        <v>1</v>
      </c>
      <c r="N704">
        <f xml:space="preserve"> CALC_GAMES_BASE!Y704</f>
        <v>1</v>
      </c>
    </row>
    <row r="705" spans="1:14" x14ac:dyDescent="0.25">
      <c r="A705" t="str">
        <f>CALC_GAMES_BASE!A705</f>
        <v>25/26</v>
      </c>
      <c r="B705" s="3">
        <f>CALC_GAMES_BASE!B705</f>
        <v>46085</v>
      </c>
      <c r="C705" s="3" t="str">
        <f>CALC_GAMES_BASE!C705</f>
        <v>KOM</v>
      </c>
      <c r="D705" s="3" t="str">
        <f>CALC_GAMES_BASE!D705</f>
        <v>KVA</v>
      </c>
      <c r="E705" s="7">
        <f>CALC_GAMES_BASE!E705</f>
        <v>0</v>
      </c>
      <c r="F705" s="6">
        <f>CALC_GAMES_BASE!N705</f>
        <v>0.33000000000000007</v>
      </c>
      <c r="G705" s="7">
        <f>CALC_GAMES_BASE!K705</f>
        <v>-2</v>
      </c>
      <c r="H705" s="7">
        <f t="shared" si="10"/>
        <v>1</v>
      </c>
      <c r="I705" s="6">
        <f>IF(H705=1,
  F705,
  G705*PARAMETRY!$B$11)</f>
        <v>0.33000000000000007</v>
      </c>
      <c r="J705" s="6">
        <f>CALC_GAMES_BASE!U705-CALC_GAMES_BASE!V705</f>
        <v>-3.0280830280830312E-2</v>
      </c>
      <c r="K705" s="6">
        <f>_xlfn.XLOOKUP(CALC_GAMES_BASE!W705,
  CALC_GOALIES!B:B,
  CALC_GOALIES!K:K)</f>
        <v>-2.2891097399793447E-2</v>
      </c>
      <c r="L705" s="6">
        <f>_xlfn.XLOOKUP(C705,CALC_TEAMS_SEASON!B:B,CALC_TEAMS_SEASON!L:L)</f>
        <v>-0.37268207282913179</v>
      </c>
      <c r="M705">
        <f>IF(CALC_GAMES_BASE!Z705="RS",1,1.2)</f>
        <v>1</v>
      </c>
      <c r="N705">
        <f xml:space="preserve"> CALC_GAMES_BASE!Y705</f>
        <v>0</v>
      </c>
    </row>
    <row r="706" spans="1:14" x14ac:dyDescent="0.25">
      <c r="A706" t="str">
        <f>CALC_GAMES_BASE!A706</f>
        <v>25/26</v>
      </c>
      <c r="B706" s="3">
        <f>CALC_GAMES_BASE!B706</f>
        <v>46085</v>
      </c>
      <c r="C706" s="3" t="str">
        <f>CALC_GAMES_BASE!C706</f>
        <v>CEB</v>
      </c>
      <c r="D706" s="3" t="str">
        <f>CALC_GAMES_BASE!D706</f>
        <v>OLO</v>
      </c>
      <c r="E706" s="7">
        <f>CALC_GAMES_BASE!E706</f>
        <v>0</v>
      </c>
      <c r="F706" s="6" t="str">
        <f>CALC_GAMES_BASE!N706</f>
        <v/>
      </c>
      <c r="G706" s="7">
        <f>CALC_GAMES_BASE!K706</f>
        <v>-2</v>
      </c>
      <c r="H706" s="7">
        <f t="shared" si="10"/>
        <v>0</v>
      </c>
      <c r="I706" s="6">
        <f>IF(H706=1,
  F706,
  G706*PARAMETRY!$B$11)</f>
        <v>-0.1</v>
      </c>
      <c r="J706" s="6">
        <f>CALC_GAMES_BASE!U706-CALC_GAMES_BASE!V706</f>
        <v>-1.9679625929625938E-2</v>
      </c>
      <c r="K706" s="6">
        <f>_xlfn.XLOOKUP(CALC_GAMES_BASE!W706,
  CALC_GOALIES!B:B,
  CALC_GOALIES!K:K)</f>
        <v>3.9343341510811314E-3</v>
      </c>
      <c r="L706" s="6">
        <f>_xlfn.XLOOKUP(C706,CALC_TEAMS_SEASON!B:B,CALC_TEAMS_SEASON!L:L)</f>
        <v>-0.24978011204481798</v>
      </c>
      <c r="M706">
        <f>IF(CALC_GAMES_BASE!Z706="RS",1,1.2)</f>
        <v>1</v>
      </c>
      <c r="N706">
        <f xml:space="preserve"> CALC_GAMES_BASE!Y706</f>
        <v>0</v>
      </c>
    </row>
    <row r="707" spans="1:14" x14ac:dyDescent="0.25">
      <c r="A707" t="str">
        <f>CALC_GAMES_BASE!A707</f>
        <v>25/26</v>
      </c>
      <c r="B707" s="3">
        <f>CALC_GAMES_BASE!B707</f>
        <v>46085</v>
      </c>
      <c r="C707" s="3" t="str">
        <f>CALC_GAMES_BASE!C707</f>
        <v>KLA</v>
      </c>
      <c r="D707" s="3" t="str">
        <f>CALC_GAMES_BASE!D707</f>
        <v>SPA</v>
      </c>
      <c r="E707" s="7">
        <f>CALC_GAMES_BASE!E707</f>
        <v>0</v>
      </c>
      <c r="F707" s="6">
        <f>CALC_GAMES_BASE!N707</f>
        <v>-1.1700000000000004</v>
      </c>
      <c r="G707" s="7">
        <f>CALC_GAMES_BASE!K707</f>
        <v>-8</v>
      </c>
      <c r="H707" s="7">
        <f t="shared" ref="H707:H729" si="11">IF(F707&lt;&gt;"",1,0)</f>
        <v>1</v>
      </c>
      <c r="I707" s="6">
        <f>IF(H707=1,
  F707,
  G707*PARAMETRY!$B$11)</f>
        <v>-1.1700000000000004</v>
      </c>
      <c r="J707" s="6">
        <f>CALC_GAMES_BASE!U707-CALC_GAMES_BASE!V707</f>
        <v>-8.9400183150183221E-2</v>
      </c>
      <c r="K707" s="6">
        <f>_xlfn.XLOOKUP(CALC_GAMES_BASE!W707,
  CALC_GOALIES!B:B,
  CALC_GOALIES!K:K)</f>
        <v>-1.9185137403854746E-2</v>
      </c>
      <c r="L707" s="6">
        <f>_xlfn.XLOOKUP(C707,CALC_TEAMS_SEASON!B:B,CALC_TEAMS_SEASON!L:L)</f>
        <v>-0.19819677871148478</v>
      </c>
      <c r="M707">
        <f>IF(CALC_GAMES_BASE!Z707="RS",1,1.2)</f>
        <v>1</v>
      </c>
      <c r="N707">
        <f xml:space="preserve"> CALC_GAMES_BASE!Y707</f>
        <v>0</v>
      </c>
    </row>
    <row r="708" spans="1:14" x14ac:dyDescent="0.25">
      <c r="A708" t="str">
        <f>CALC_GAMES_BASE!A708</f>
        <v>25/26</v>
      </c>
      <c r="B708" s="3">
        <f>CALC_GAMES_BASE!B708</f>
        <v>46085</v>
      </c>
      <c r="C708" s="3" t="str">
        <f>CALC_GAMES_BASE!C708</f>
        <v>KVA</v>
      </c>
      <c r="D708" s="3" t="str">
        <f>CALC_GAMES_BASE!D708</f>
        <v>KOM</v>
      </c>
      <c r="E708" s="7">
        <f>CALC_GAMES_BASE!E708</f>
        <v>1</v>
      </c>
      <c r="F708" s="6">
        <f>CALC_GAMES_BASE!N708</f>
        <v>-0.33000000000000007</v>
      </c>
      <c r="G708" s="7">
        <f>CALC_GAMES_BASE!K708</f>
        <v>2</v>
      </c>
      <c r="H708" s="7">
        <f t="shared" si="11"/>
        <v>1</v>
      </c>
      <c r="I708" s="6">
        <f>IF(H708=1,
  F708,
  G708*PARAMETRY!$B$11)</f>
        <v>-0.33000000000000007</v>
      </c>
      <c r="J708" s="6">
        <f>CALC_GAMES_BASE!U708-CALC_GAMES_BASE!V708</f>
        <v>3.0280830280830312E-2</v>
      </c>
      <c r="K708" s="6">
        <f>_xlfn.XLOOKUP(CALC_GAMES_BASE!W708,
  CALC_GOALIES!B:B,
  CALC_GOALIES!K:K)</f>
        <v>1.2242809776983998E-2</v>
      </c>
      <c r="L708" s="6">
        <f>_xlfn.XLOOKUP(C708,CALC_TEAMS_SEASON!B:B,CALC_TEAMS_SEASON!L:L)</f>
        <v>-0.28757177871148476</v>
      </c>
      <c r="M708">
        <f>IF(CALC_GAMES_BASE!Z708="RS",1,1.2)</f>
        <v>1</v>
      </c>
      <c r="N708">
        <f xml:space="preserve"> CALC_GAMES_BASE!Y708</f>
        <v>1</v>
      </c>
    </row>
    <row r="709" spans="1:14" x14ac:dyDescent="0.25">
      <c r="A709" t="str">
        <f>CALC_GAMES_BASE!A709</f>
        <v>25/26</v>
      </c>
      <c r="B709" s="3">
        <f>CALC_GAMES_BASE!B709</f>
        <v>46085</v>
      </c>
      <c r="C709" s="3" t="str">
        <f>CALC_GAMES_BASE!C709</f>
        <v>LIB</v>
      </c>
      <c r="D709" s="3" t="str">
        <f>CALC_GAMES_BASE!D709</f>
        <v>MHK</v>
      </c>
      <c r="E709" s="7">
        <f>CALC_GAMES_BASE!E709</f>
        <v>1</v>
      </c>
      <c r="F709" s="6" t="str">
        <f>CALC_GAMES_BASE!N709</f>
        <v/>
      </c>
      <c r="G709" s="7">
        <f>CALC_GAMES_BASE!K709</f>
        <v>8</v>
      </c>
      <c r="H709" s="7">
        <f t="shared" si="11"/>
        <v>0</v>
      </c>
      <c r="I709" s="6">
        <f>IF(H709=1,
  F709,
  G709*PARAMETRY!$B$11)</f>
        <v>0.4</v>
      </c>
      <c r="J709" s="6">
        <f>CALC_GAMES_BASE!U709-CALC_GAMES_BASE!V709</f>
        <v>1.9230769230769162E-3</v>
      </c>
      <c r="K709" s="6">
        <f>_xlfn.XLOOKUP(CALC_GAMES_BASE!W709,
  CALC_GOALIES!B:B,
  CALC_GOALIES!K:K)</f>
        <v>1.2275709048813366E-2</v>
      </c>
      <c r="L709" s="6">
        <f>_xlfn.XLOOKUP(C709,CALC_TEAMS_SEASON!B:B,CALC_TEAMS_SEASON!L:L)</f>
        <v>0.22367822128851536</v>
      </c>
      <c r="M709">
        <f>IF(CALC_GAMES_BASE!Z709="RS",1,1.2)</f>
        <v>1</v>
      </c>
      <c r="N709">
        <f xml:space="preserve"> CALC_GAMES_BASE!Y709</f>
        <v>1</v>
      </c>
    </row>
    <row r="710" spans="1:14" x14ac:dyDescent="0.25">
      <c r="A710" t="str">
        <f>CALC_GAMES_BASE!A710</f>
        <v>25/26</v>
      </c>
      <c r="B710" s="3">
        <f>CALC_GAMES_BASE!B710</f>
        <v>46085</v>
      </c>
      <c r="C710" s="3" t="str">
        <f>CALC_GAMES_BASE!C710</f>
        <v>LIT</v>
      </c>
      <c r="D710" s="3" t="str">
        <f>CALC_GAMES_BASE!D710</f>
        <v>TRI</v>
      </c>
      <c r="E710" s="7">
        <f>CALC_GAMES_BASE!E710</f>
        <v>1</v>
      </c>
      <c r="F710" s="6">
        <f>CALC_GAMES_BASE!N710</f>
        <v>-1.0000000000000002</v>
      </c>
      <c r="G710" s="7">
        <f>CALC_GAMES_BASE!K710</f>
        <v>-6</v>
      </c>
      <c r="H710" s="7">
        <f t="shared" si="11"/>
        <v>1</v>
      </c>
      <c r="I710" s="6">
        <f>IF(H710=1,
  F710,
  G710*PARAMETRY!$B$11)</f>
        <v>-1.0000000000000002</v>
      </c>
      <c r="J710" s="6">
        <f>CALC_GAMES_BASE!U710-CALC_GAMES_BASE!V710</f>
        <v>-7.348137973137979E-2</v>
      </c>
      <c r="K710" s="6">
        <f>_xlfn.XLOOKUP(CALC_GAMES_BASE!W710,
  CALC_GOALIES!B:B,
  CALC_GOALIES!K:K)</f>
        <v>-4.9010888963920696E-3</v>
      </c>
      <c r="L710" s="6">
        <f>_xlfn.XLOOKUP(C710,CALC_TEAMS_SEASON!B:B,CALC_TEAMS_SEASON!L:L)</f>
        <v>-1.4784467787114848</v>
      </c>
      <c r="M710">
        <f>IF(CALC_GAMES_BASE!Z710="RS",1,1.2)</f>
        <v>1</v>
      </c>
      <c r="N710">
        <f xml:space="preserve"> CALC_GAMES_BASE!Y710</f>
        <v>0</v>
      </c>
    </row>
    <row r="711" spans="1:14" x14ac:dyDescent="0.25">
      <c r="A711" t="str">
        <f>CALC_GAMES_BASE!A711</f>
        <v>25/26</v>
      </c>
      <c r="B711" s="3">
        <f>CALC_GAMES_BASE!B711</f>
        <v>46085</v>
      </c>
      <c r="C711" s="3" t="str">
        <f>CALC_GAMES_BASE!C711</f>
        <v>MBL</v>
      </c>
      <c r="D711" s="3" t="str">
        <f>CALC_GAMES_BASE!D711</f>
        <v>PLZ</v>
      </c>
      <c r="E711" s="7">
        <f>CALC_GAMES_BASE!E711</f>
        <v>1</v>
      </c>
      <c r="F711" s="6" t="str">
        <f>CALC_GAMES_BASE!N711</f>
        <v/>
      </c>
      <c r="G711" s="7">
        <f>CALC_GAMES_BASE!K711</f>
        <v>-3</v>
      </c>
      <c r="H711" s="7">
        <f t="shared" si="11"/>
        <v>0</v>
      </c>
      <c r="I711" s="6">
        <f>IF(H711=1,
  F711,
  G711*PARAMETRY!$B$11)</f>
        <v>-0.15000000000000002</v>
      </c>
      <c r="J711" s="6">
        <f>CALC_GAMES_BASE!U711-CALC_GAMES_BASE!V711</f>
        <v>-5.8142551892551839E-2</v>
      </c>
      <c r="K711" s="6">
        <f>_xlfn.XLOOKUP(CALC_GAMES_BASE!W711,
  CALC_GOALIES!B:B,
  CALC_GOALIES!K:K)</f>
        <v>-4.4670611186142795E-3</v>
      </c>
      <c r="L711" s="6">
        <f>_xlfn.XLOOKUP(C711,CALC_TEAMS_SEASON!B:B,CALC_TEAMS_SEASON!L:L)</f>
        <v>-0.89069677871148467</v>
      </c>
      <c r="M711">
        <f>IF(CALC_GAMES_BASE!Z711="RS",1,1.2)</f>
        <v>1</v>
      </c>
      <c r="N711">
        <f xml:space="preserve"> CALC_GAMES_BASE!Y711</f>
        <v>0</v>
      </c>
    </row>
    <row r="712" spans="1:14" x14ac:dyDescent="0.25">
      <c r="A712" t="str">
        <f>CALC_GAMES_BASE!A712</f>
        <v>25/26</v>
      </c>
      <c r="B712" s="3">
        <f>CALC_GAMES_BASE!B712</f>
        <v>46085</v>
      </c>
      <c r="C712" s="3" t="str">
        <f>CALC_GAMES_BASE!C712</f>
        <v>MHK</v>
      </c>
      <c r="D712" s="3" t="str">
        <f>CALC_GAMES_BASE!D712</f>
        <v>LIB</v>
      </c>
      <c r="E712" s="7">
        <f>CALC_GAMES_BASE!E712</f>
        <v>0</v>
      </c>
      <c r="F712" s="6" t="str">
        <f>CALC_GAMES_BASE!N712</f>
        <v/>
      </c>
      <c r="G712" s="7">
        <f>CALC_GAMES_BASE!K712</f>
        <v>-8</v>
      </c>
      <c r="H712" s="7">
        <f t="shared" si="11"/>
        <v>0</v>
      </c>
      <c r="I712" s="6">
        <f>IF(H712=1,
  F712,
  G712*PARAMETRY!$B$11)</f>
        <v>-0.4</v>
      </c>
      <c r="J712" s="6">
        <f>CALC_GAMES_BASE!U712-CALC_GAMES_BASE!V712</f>
        <v>-1.9230769230769162E-3</v>
      </c>
      <c r="K712" s="6">
        <f>_xlfn.XLOOKUP(CALC_GAMES_BASE!W712,
  CALC_GOALIES!B:B,
  CALC_GOALIES!K:K)</f>
        <v>2.1917994590268441E-2</v>
      </c>
      <c r="L712" s="6">
        <f>_xlfn.XLOOKUP(C712,CALC_TEAMS_SEASON!B:B,CALC_TEAMS_SEASON!L:L)</f>
        <v>0.14821988795518207</v>
      </c>
      <c r="M712">
        <f>IF(CALC_GAMES_BASE!Z712="RS",1,1.2)</f>
        <v>1</v>
      </c>
      <c r="N712">
        <f xml:space="preserve"> CALC_GAMES_BASE!Y712</f>
        <v>0</v>
      </c>
    </row>
    <row r="713" spans="1:14" x14ac:dyDescent="0.25">
      <c r="A713" t="str">
        <f>CALC_GAMES_BASE!A713</f>
        <v>25/26</v>
      </c>
      <c r="B713" s="3">
        <f>CALC_GAMES_BASE!B713</f>
        <v>46085</v>
      </c>
      <c r="C713" s="3" t="str">
        <f>CALC_GAMES_BASE!C713</f>
        <v>OLO</v>
      </c>
      <c r="D713" s="3" t="str">
        <f>CALC_GAMES_BASE!D713</f>
        <v>CEB</v>
      </c>
      <c r="E713" s="7">
        <f>CALC_GAMES_BASE!E713</f>
        <v>1</v>
      </c>
      <c r="F713" s="6" t="str">
        <f>CALC_GAMES_BASE!N713</f>
        <v/>
      </c>
      <c r="G713" s="7">
        <f>CALC_GAMES_BASE!K713</f>
        <v>2</v>
      </c>
      <c r="H713" s="7">
        <f t="shared" si="11"/>
        <v>0</v>
      </c>
      <c r="I713" s="6">
        <f>IF(H713=1,
  F713,
  G713*PARAMETRY!$B$11)</f>
        <v>0.1</v>
      </c>
      <c r="J713" s="6">
        <f>CALC_GAMES_BASE!U713-CALC_GAMES_BASE!V713</f>
        <v>1.9679625929625938E-2</v>
      </c>
      <c r="K713" s="6">
        <f>_xlfn.XLOOKUP(CALC_GAMES_BASE!W713,
  CALC_GOALIES!B:B,
  CALC_GOALIES!K:K)</f>
        <v>4.4713327207696052E-3</v>
      </c>
      <c r="L713" s="6">
        <f>_xlfn.XLOOKUP(C713,CALC_TEAMS_SEASON!B:B,CALC_TEAMS_SEASON!L:L)</f>
        <v>-1.0613217787114846</v>
      </c>
      <c r="M713">
        <f>IF(CALC_GAMES_BASE!Z713="RS",1,1.2)</f>
        <v>1</v>
      </c>
      <c r="N713">
        <f xml:space="preserve"> CALC_GAMES_BASE!Y713</f>
        <v>1</v>
      </c>
    </row>
    <row r="714" spans="1:14" x14ac:dyDescent="0.25">
      <c r="A714" t="str">
        <f>CALC_GAMES_BASE!A714</f>
        <v>25/26</v>
      </c>
      <c r="B714" s="3">
        <f>CALC_GAMES_BASE!B714</f>
        <v>46085</v>
      </c>
      <c r="C714" s="3" t="str">
        <f>CALC_GAMES_BASE!C714</f>
        <v>PLZ</v>
      </c>
      <c r="D714" s="3" t="str">
        <f>CALC_GAMES_BASE!D714</f>
        <v>MBL</v>
      </c>
      <c r="E714" s="7">
        <f>CALC_GAMES_BASE!E714</f>
        <v>0</v>
      </c>
      <c r="F714" s="6" t="str">
        <f>CALC_GAMES_BASE!N714</f>
        <v/>
      </c>
      <c r="G714" s="7">
        <f>CALC_GAMES_BASE!K714</f>
        <v>3</v>
      </c>
      <c r="H714" s="7">
        <f t="shared" si="11"/>
        <v>0</v>
      </c>
      <c r="I714" s="6">
        <f>IF(H714=1,
  F714,
  G714*PARAMETRY!$B$11)</f>
        <v>0.15000000000000002</v>
      </c>
      <c r="J714" s="6">
        <f>CALC_GAMES_BASE!U714-CALC_GAMES_BASE!V714</f>
        <v>5.8142551892551839E-2</v>
      </c>
      <c r="K714" s="6">
        <f>_xlfn.XLOOKUP(CALC_GAMES_BASE!W714,
  CALC_GOALIES!B:B,
  CALC_GOALIES!K:K)</f>
        <v>1.7617039556646619E-2</v>
      </c>
      <c r="L714" s="6">
        <f>_xlfn.XLOOKUP(C714,CALC_TEAMS_SEASON!B:B,CALC_TEAMS_SEASON!L:L)</f>
        <v>7.3678221288515283E-2</v>
      </c>
      <c r="M714">
        <f>IF(CALC_GAMES_BASE!Z714="RS",1,1.2)</f>
        <v>1</v>
      </c>
      <c r="N714">
        <f xml:space="preserve"> CALC_GAMES_BASE!Y714</f>
        <v>1</v>
      </c>
    </row>
    <row r="715" spans="1:14" x14ac:dyDescent="0.25">
      <c r="A715" t="str">
        <f>CALC_GAMES_BASE!A715</f>
        <v>25/26</v>
      </c>
      <c r="B715" s="3">
        <f>CALC_GAMES_BASE!B715</f>
        <v>46085</v>
      </c>
      <c r="C715" s="3" t="str">
        <f>CALC_GAMES_BASE!C715</f>
        <v>VIT</v>
      </c>
      <c r="D715" s="3" t="str">
        <f>CALC_GAMES_BASE!D715</f>
        <v>PCE</v>
      </c>
      <c r="E715" s="7">
        <f>CALC_GAMES_BASE!E715</f>
        <v>1</v>
      </c>
      <c r="F715" s="6">
        <f>CALC_GAMES_BASE!N715</f>
        <v>-1.1099999999999999</v>
      </c>
      <c r="G715" s="7">
        <f>CALC_GAMES_BASE!K715</f>
        <v>-24</v>
      </c>
      <c r="H715" s="7">
        <f t="shared" si="11"/>
        <v>1</v>
      </c>
      <c r="I715" s="6">
        <f>IF(H715=1,
  F715,
  G715*PARAMETRY!$B$11)</f>
        <v>-1.1099999999999999</v>
      </c>
      <c r="J715" s="6">
        <f>CALC_GAMES_BASE!U715-CALC_GAMES_BASE!V715</f>
        <v>-3.3127289377289398E-2</v>
      </c>
      <c r="K715" s="6">
        <f>_xlfn.XLOOKUP(CALC_GAMES_BASE!W715,
  CALC_GOALIES!B:B,
  CALC_GOALIES!K:K)</f>
        <v>1.905487900993541E-3</v>
      </c>
      <c r="L715" s="6">
        <f>_xlfn.XLOOKUP(C715,CALC_TEAMS_SEASON!B:B,CALC_TEAMS_SEASON!L:L)</f>
        <v>-1.0281967787114845</v>
      </c>
      <c r="M715">
        <f>IF(CALC_GAMES_BASE!Z715="RS",1,1.2)</f>
        <v>1</v>
      </c>
      <c r="N715">
        <f xml:space="preserve"> CALC_GAMES_BASE!Y715</f>
        <v>1</v>
      </c>
    </row>
    <row r="716" spans="1:14" x14ac:dyDescent="0.25">
      <c r="A716" t="str">
        <f>CALC_GAMES_BASE!A716</f>
        <v>25/26</v>
      </c>
      <c r="B716" s="3">
        <f>CALC_GAMES_BASE!B716</f>
        <v>46087</v>
      </c>
      <c r="C716" s="3" t="str">
        <f>CALC_GAMES_BASE!C716</f>
        <v>PCE</v>
      </c>
      <c r="D716" s="3" t="str">
        <f>CALC_GAMES_BASE!D716</f>
        <v>SPA</v>
      </c>
      <c r="E716" s="7">
        <f>CALC_GAMES_BASE!E716</f>
        <v>1</v>
      </c>
      <c r="F716" s="6">
        <f>CALC_GAMES_BASE!N716</f>
        <v>1.0899999999999999</v>
      </c>
      <c r="G716" s="7">
        <f>CALC_GAMES_BASE!K716</f>
        <v>2</v>
      </c>
      <c r="H716" s="7">
        <f t="shared" si="11"/>
        <v>1</v>
      </c>
      <c r="I716" s="6">
        <f>IF(H716=1,
  F716,
  G716*PARAMETRY!$B$11)</f>
        <v>1.0899999999999999</v>
      </c>
      <c r="J716" s="6">
        <f>CALC_GAMES_BASE!U716-CALC_GAMES_BASE!V716</f>
        <v>-1.7628205128205121E-2</v>
      </c>
      <c r="K716" s="6">
        <f>_xlfn.XLOOKUP(CALC_GAMES_BASE!W716,
  CALC_GOALIES!B:B,
  CALC_GOALIES!K:K)</f>
        <v>-6.7923502086092435E-3</v>
      </c>
      <c r="L716" s="6">
        <f>_xlfn.XLOOKUP(C716,CALC_TEAMS_SEASON!B:B,CALC_TEAMS_SEASON!L:L)</f>
        <v>0.62437675070027965</v>
      </c>
      <c r="M716">
        <f>IF(CALC_GAMES_BASE!Z716="RS",1,1.2)</f>
        <v>1</v>
      </c>
      <c r="N716">
        <f xml:space="preserve"> CALC_GAMES_BASE!Y716</f>
        <v>1</v>
      </c>
    </row>
    <row r="717" spans="1:14" x14ac:dyDescent="0.25">
      <c r="A717" t="str">
        <f>CALC_GAMES_BASE!A717</f>
        <v>25/26</v>
      </c>
      <c r="B717" s="3">
        <f>CALC_GAMES_BASE!B717</f>
        <v>46087</v>
      </c>
      <c r="C717" s="3" t="str">
        <f>CALC_GAMES_BASE!C717</f>
        <v>TRI</v>
      </c>
      <c r="D717" s="3" t="str">
        <f>CALC_GAMES_BASE!D717</f>
        <v>KVA</v>
      </c>
      <c r="E717" s="7">
        <f>CALC_GAMES_BASE!E717</f>
        <v>1</v>
      </c>
      <c r="F717" s="6">
        <f>CALC_GAMES_BASE!N717</f>
        <v>1.23</v>
      </c>
      <c r="G717" s="7">
        <f>CALC_GAMES_BASE!K717</f>
        <v>11</v>
      </c>
      <c r="H717" s="7">
        <f t="shared" si="11"/>
        <v>1</v>
      </c>
      <c r="I717" s="6">
        <f>IF(H717=1,
  F717,
  G717*PARAMETRY!$B$11)</f>
        <v>1.23</v>
      </c>
      <c r="J717" s="6">
        <f>CALC_GAMES_BASE!U717-CALC_GAMES_BASE!V717</f>
        <v>5.0366300366302963E-4</v>
      </c>
      <c r="K717" s="6">
        <f>_xlfn.XLOOKUP(CALC_GAMES_BASE!W717,
  CALC_GOALIES!B:B,
  CALC_GOALIES!K:K)</f>
        <v>1.3707542055988897E-2</v>
      </c>
      <c r="L717" s="6">
        <f>_xlfn.XLOOKUP(C717,CALC_TEAMS_SEASON!B:B,CALC_TEAMS_SEASON!L:L)</f>
        <v>0.10805322128851533</v>
      </c>
      <c r="M717">
        <f>IF(CALC_GAMES_BASE!Z717="RS",1,1.2)</f>
        <v>1</v>
      </c>
      <c r="N717">
        <f xml:space="preserve"> CALC_GAMES_BASE!Y717</f>
        <v>0</v>
      </c>
    </row>
    <row r="718" spans="1:14" x14ac:dyDescent="0.25">
      <c r="A718" t="str">
        <f>CALC_GAMES_BASE!A718</f>
        <v>25/26</v>
      </c>
      <c r="B718" s="3">
        <f>CALC_GAMES_BASE!B718</f>
        <v>46087</v>
      </c>
      <c r="C718" s="3" t="str">
        <f>CALC_GAMES_BASE!C718</f>
        <v>SPA</v>
      </c>
      <c r="D718" s="3" t="str">
        <f>CALC_GAMES_BASE!D718</f>
        <v>PCE</v>
      </c>
      <c r="E718" s="7">
        <f>CALC_GAMES_BASE!E718</f>
        <v>0</v>
      </c>
      <c r="F718" s="6">
        <f>CALC_GAMES_BASE!N718</f>
        <v>1.0899999999999999</v>
      </c>
      <c r="G718" s="7">
        <f>CALC_GAMES_BASE!K718</f>
        <v>2</v>
      </c>
      <c r="H718" s="7">
        <f t="shared" si="11"/>
        <v>1</v>
      </c>
      <c r="I718" s="6">
        <f>IF(H718=1,
  F718,
  G718*PARAMETRY!$B$11)</f>
        <v>1.0899999999999999</v>
      </c>
      <c r="J718" s="6">
        <f>CALC_GAMES_BASE!U718-CALC_GAMES_BASE!V718</f>
        <v>1.7628205128205121E-2</v>
      </c>
      <c r="K718" s="6">
        <f>_xlfn.XLOOKUP(CALC_GAMES_BASE!W718,
  CALC_GOALIES!B:B,
  CALC_GOALIES!K:K)</f>
        <v>3.5919237922225067E-3</v>
      </c>
      <c r="L718" s="6">
        <f>_xlfn.XLOOKUP(C718,CALC_TEAMS_SEASON!B:B,CALC_TEAMS_SEASON!L:L)</f>
        <v>6.4376750700279955E-2</v>
      </c>
      <c r="M718">
        <f>IF(CALC_GAMES_BASE!Z718="RS",1,1.2)</f>
        <v>1</v>
      </c>
      <c r="N718">
        <f xml:space="preserve"> CALC_GAMES_BASE!Y718</f>
        <v>0</v>
      </c>
    </row>
    <row r="719" spans="1:14" x14ac:dyDescent="0.25">
      <c r="A719" t="str">
        <f>CALC_GAMES_BASE!A719</f>
        <v>25/26</v>
      </c>
      <c r="B719" s="3">
        <f>CALC_GAMES_BASE!B719</f>
        <v>46087</v>
      </c>
      <c r="C719" s="3" t="str">
        <f>CALC_GAMES_BASE!C719</f>
        <v>KOM</v>
      </c>
      <c r="D719" s="3" t="str">
        <f>CALC_GAMES_BASE!D719</f>
        <v>OLO</v>
      </c>
      <c r="E719" s="7">
        <f>CALC_GAMES_BASE!E719</f>
        <v>1</v>
      </c>
      <c r="F719" s="6">
        <f>CALC_GAMES_BASE!N719</f>
        <v>0.33999999999999986</v>
      </c>
      <c r="G719" s="7">
        <f>CALC_GAMES_BASE!K719</f>
        <v>1</v>
      </c>
      <c r="H719" s="7">
        <f t="shared" si="11"/>
        <v>1</v>
      </c>
      <c r="I719" s="6">
        <f>IF(H719=1,
  F719,
  G719*PARAMETRY!$B$11)</f>
        <v>0.33999999999999986</v>
      </c>
      <c r="J719" s="6">
        <f>CALC_GAMES_BASE!U719-CALC_GAMES_BASE!V719</f>
        <v>-6.3034188034188365E-3</v>
      </c>
      <c r="K719" s="6">
        <f>_xlfn.XLOOKUP(CALC_GAMES_BASE!W719,
  CALC_GOALIES!B:B,
  CALC_GOALIES!K:K)</f>
        <v>-1.5147095063735572E-3</v>
      </c>
      <c r="L719" s="6">
        <f>_xlfn.XLOOKUP(C719,CALC_TEAMS_SEASON!B:B,CALC_TEAMS_SEASON!L:L)</f>
        <v>-0.37268207282913179</v>
      </c>
      <c r="M719">
        <f>IF(CALC_GAMES_BASE!Z719="RS",1,1.2)</f>
        <v>1</v>
      </c>
      <c r="N719">
        <f xml:space="preserve"> CALC_GAMES_BASE!Y719</f>
        <v>1</v>
      </c>
    </row>
    <row r="720" spans="1:14" x14ac:dyDescent="0.25">
      <c r="A720" t="str">
        <f>CALC_GAMES_BASE!A720</f>
        <v>25/26</v>
      </c>
      <c r="B720" s="3">
        <f>CALC_GAMES_BASE!B720</f>
        <v>46087</v>
      </c>
      <c r="C720" s="3" t="str">
        <f>CALC_GAMES_BASE!C720</f>
        <v>CEB</v>
      </c>
      <c r="D720" s="3" t="str">
        <f>CALC_GAMES_BASE!D720</f>
        <v>LIB</v>
      </c>
      <c r="E720" s="7">
        <f>CALC_GAMES_BASE!E720</f>
        <v>1</v>
      </c>
      <c r="F720" s="6" t="str">
        <f>CALC_GAMES_BASE!N720</f>
        <v/>
      </c>
      <c r="G720" s="7">
        <f>CALC_GAMES_BASE!K720</f>
        <v>-12</v>
      </c>
      <c r="H720" s="7">
        <f t="shared" si="11"/>
        <v>0</v>
      </c>
      <c r="I720" s="6">
        <f>IF(H720=1,
  F720,
  G720*PARAMETRY!$B$11)</f>
        <v>-0.60000000000000009</v>
      </c>
      <c r="J720" s="6">
        <f>CALC_GAMES_BASE!U720-CALC_GAMES_BASE!V720</f>
        <v>-1.3559357309357312E-2</v>
      </c>
      <c r="K720" s="6">
        <f>_xlfn.XLOOKUP(CALC_GAMES_BASE!W720,
  CALC_GOALIES!B:B,
  CALC_GOALIES!K:K)</f>
        <v>3.9343341510811314E-3</v>
      </c>
      <c r="L720" s="6">
        <f>_xlfn.XLOOKUP(C720,CALC_TEAMS_SEASON!B:B,CALC_TEAMS_SEASON!L:L)</f>
        <v>-0.24978011204481798</v>
      </c>
      <c r="M720">
        <f>IF(CALC_GAMES_BASE!Z720="RS",1,1.2)</f>
        <v>1</v>
      </c>
      <c r="N720">
        <f xml:space="preserve"> CALC_GAMES_BASE!Y720</f>
        <v>1</v>
      </c>
    </row>
    <row r="721" spans="1:14" x14ac:dyDescent="0.25">
      <c r="A721" t="str">
        <f>CALC_GAMES_BASE!A721</f>
        <v>25/26</v>
      </c>
      <c r="B721" s="3">
        <f>CALC_GAMES_BASE!B721</f>
        <v>46087</v>
      </c>
      <c r="C721" s="3" t="str">
        <f>CALC_GAMES_BASE!C721</f>
        <v>KLA</v>
      </c>
      <c r="D721" s="3" t="str">
        <f>CALC_GAMES_BASE!D721</f>
        <v>LIT</v>
      </c>
      <c r="E721" s="7">
        <f>CALC_GAMES_BASE!E721</f>
        <v>1</v>
      </c>
      <c r="F721" s="6" t="str">
        <f>CALC_GAMES_BASE!N721</f>
        <v/>
      </c>
      <c r="G721" s="7">
        <f>CALC_GAMES_BASE!K721</f>
        <v>3</v>
      </c>
      <c r="H721" s="7">
        <f t="shared" si="11"/>
        <v>0</v>
      </c>
      <c r="I721" s="6">
        <f>IF(H721=1,
  F721,
  G721*PARAMETRY!$B$11)</f>
        <v>0.15000000000000002</v>
      </c>
      <c r="J721" s="6">
        <f>CALC_GAMES_BASE!U721-CALC_GAMES_BASE!V721</f>
        <v>3.0311355311355301E-2</v>
      </c>
      <c r="K721" s="6">
        <f>_xlfn.XLOOKUP(CALC_GAMES_BASE!W721,
  CALC_GOALIES!B:B,
  CALC_GOALIES!K:K)</f>
        <v>1.2463190300688209E-2</v>
      </c>
      <c r="L721" s="6">
        <f>_xlfn.XLOOKUP(C721,CALC_TEAMS_SEASON!B:B,CALC_TEAMS_SEASON!L:L)</f>
        <v>-0.19819677871148478</v>
      </c>
      <c r="M721">
        <f>IF(CALC_GAMES_BASE!Z721="RS",1,1.2)</f>
        <v>1</v>
      </c>
      <c r="N721">
        <f xml:space="preserve"> CALC_GAMES_BASE!Y721</f>
        <v>1</v>
      </c>
    </row>
    <row r="722" spans="1:14" x14ac:dyDescent="0.25">
      <c r="A722" t="str">
        <f>CALC_GAMES_BASE!A722</f>
        <v>25/26</v>
      </c>
      <c r="B722" s="3">
        <f>CALC_GAMES_BASE!B722</f>
        <v>46087</v>
      </c>
      <c r="C722" s="3" t="str">
        <f>CALC_GAMES_BASE!C722</f>
        <v>KVA</v>
      </c>
      <c r="D722" s="3" t="str">
        <f>CALC_GAMES_BASE!D722</f>
        <v>TRI</v>
      </c>
      <c r="E722" s="7">
        <f>CALC_GAMES_BASE!E722</f>
        <v>0</v>
      </c>
      <c r="F722" s="6">
        <f>CALC_GAMES_BASE!N722</f>
        <v>-1.23</v>
      </c>
      <c r="G722" s="7">
        <f>CALC_GAMES_BASE!K722</f>
        <v>-11</v>
      </c>
      <c r="H722" s="7">
        <f t="shared" si="11"/>
        <v>1</v>
      </c>
      <c r="I722" s="6">
        <f>IF(H722=1,
  F722,
  G722*PARAMETRY!$B$11)</f>
        <v>-1.23</v>
      </c>
      <c r="J722" s="6">
        <f>CALC_GAMES_BASE!U722-CALC_GAMES_BASE!V722</f>
        <v>-5.0366300366302963E-4</v>
      </c>
      <c r="K722" s="6">
        <f>_xlfn.XLOOKUP(CALC_GAMES_BASE!W722,
  CALC_GOALIES!B:B,
  CALC_GOALIES!K:K)</f>
        <v>1.2242809776983998E-2</v>
      </c>
      <c r="L722" s="6">
        <f>_xlfn.XLOOKUP(C722,CALC_TEAMS_SEASON!B:B,CALC_TEAMS_SEASON!L:L)</f>
        <v>-0.28757177871148476</v>
      </c>
      <c r="M722">
        <f>IF(CALC_GAMES_BASE!Z722="RS",1,1.2)</f>
        <v>1</v>
      </c>
      <c r="N722">
        <f xml:space="preserve"> CALC_GAMES_BASE!Y722</f>
        <v>1</v>
      </c>
    </row>
    <row r="723" spans="1:14" x14ac:dyDescent="0.25">
      <c r="A723" t="str">
        <f>CALC_GAMES_BASE!A723</f>
        <v>25/26</v>
      </c>
      <c r="B723" s="3">
        <f>CALC_GAMES_BASE!B723</f>
        <v>46087</v>
      </c>
      <c r="C723" s="3" t="str">
        <f>CALC_GAMES_BASE!C723</f>
        <v>LIB</v>
      </c>
      <c r="D723" s="3" t="str">
        <f>CALC_GAMES_BASE!D723</f>
        <v>CEB</v>
      </c>
      <c r="E723" s="7">
        <f>CALC_GAMES_BASE!E723</f>
        <v>0</v>
      </c>
      <c r="F723" s="6" t="str">
        <f>CALC_GAMES_BASE!N723</f>
        <v/>
      </c>
      <c r="G723" s="7">
        <f>CALC_GAMES_BASE!K723</f>
        <v>12</v>
      </c>
      <c r="H723" s="7">
        <f t="shared" si="11"/>
        <v>0</v>
      </c>
      <c r="I723" s="6">
        <f>IF(H723=1,
  F723,
  G723*PARAMETRY!$B$11)</f>
        <v>0.60000000000000009</v>
      </c>
      <c r="J723" s="6">
        <f>CALC_GAMES_BASE!U723-CALC_GAMES_BASE!V723</f>
        <v>1.3559357309357312E-2</v>
      </c>
      <c r="K723" s="6">
        <f>_xlfn.XLOOKUP(CALC_GAMES_BASE!W723,
  CALC_GOALIES!B:B,
  CALC_GOALIES!K:K)</f>
        <v>-2.7663687063931297E-2</v>
      </c>
      <c r="L723" s="6">
        <f>_xlfn.XLOOKUP(C723,CALC_TEAMS_SEASON!B:B,CALC_TEAMS_SEASON!L:L)</f>
        <v>0.22367822128851536</v>
      </c>
      <c r="M723">
        <f>IF(CALC_GAMES_BASE!Z723="RS",1,1.2)</f>
        <v>1</v>
      </c>
      <c r="N723">
        <f xml:space="preserve"> CALC_GAMES_BASE!Y723</f>
        <v>0</v>
      </c>
    </row>
    <row r="724" spans="1:14" x14ac:dyDescent="0.25">
      <c r="A724" t="str">
        <f>CALC_GAMES_BASE!A724</f>
        <v>25/26</v>
      </c>
      <c r="B724" s="3">
        <f>CALC_GAMES_BASE!B724</f>
        <v>46087</v>
      </c>
      <c r="C724" s="3" t="str">
        <f>CALC_GAMES_BASE!C724</f>
        <v>LIT</v>
      </c>
      <c r="D724" s="3" t="str">
        <f>CALC_GAMES_BASE!D724</f>
        <v>KLA</v>
      </c>
      <c r="E724" s="7">
        <f>CALC_GAMES_BASE!E724</f>
        <v>0</v>
      </c>
      <c r="F724" s="6" t="str">
        <f>CALC_GAMES_BASE!N724</f>
        <v/>
      </c>
      <c r="G724" s="7">
        <f>CALC_GAMES_BASE!K724</f>
        <v>-3</v>
      </c>
      <c r="H724" s="7">
        <f t="shared" si="11"/>
        <v>0</v>
      </c>
      <c r="I724" s="6">
        <f>IF(H724=1,
  F724,
  G724*PARAMETRY!$B$11)</f>
        <v>-0.15000000000000002</v>
      </c>
      <c r="J724" s="6">
        <f>CALC_GAMES_BASE!U724-CALC_GAMES_BASE!V724</f>
        <v>-3.0311355311355301E-2</v>
      </c>
      <c r="K724" s="6">
        <f>_xlfn.XLOOKUP(CALC_GAMES_BASE!W724,
  CALC_GOALIES!B:B,
  CALC_GOALIES!K:K)</f>
        <v>-8.1125178551773036E-3</v>
      </c>
      <c r="L724" s="6">
        <f>_xlfn.XLOOKUP(C724,CALC_TEAMS_SEASON!B:B,CALC_TEAMS_SEASON!L:L)</f>
        <v>-1.4784467787114848</v>
      </c>
      <c r="M724">
        <f>IF(CALC_GAMES_BASE!Z724="RS",1,1.2)</f>
        <v>1</v>
      </c>
      <c r="N724">
        <f xml:space="preserve"> CALC_GAMES_BASE!Y724</f>
        <v>0</v>
      </c>
    </row>
    <row r="725" spans="1:14" x14ac:dyDescent="0.25">
      <c r="A725" t="str">
        <f>CALC_GAMES_BASE!A725</f>
        <v>25/26</v>
      </c>
      <c r="B725" s="3">
        <f>CALC_GAMES_BASE!B725</f>
        <v>46087</v>
      </c>
      <c r="C725" s="3" t="str">
        <f>CALC_GAMES_BASE!C725</f>
        <v>MBL</v>
      </c>
      <c r="D725" s="3" t="str">
        <f>CALC_GAMES_BASE!D725</f>
        <v>MHK</v>
      </c>
      <c r="E725" s="7">
        <f>CALC_GAMES_BASE!E725</f>
        <v>0</v>
      </c>
      <c r="F725" s="6" t="str">
        <f>CALC_GAMES_BASE!N725</f>
        <v/>
      </c>
      <c r="G725" s="7">
        <f>CALC_GAMES_BASE!K725</f>
        <v>10</v>
      </c>
      <c r="H725" s="7">
        <f t="shared" si="11"/>
        <v>0</v>
      </c>
      <c r="I725" s="6">
        <f>IF(H725=1,
  F725,
  G725*PARAMETRY!$B$11)</f>
        <v>0.5</v>
      </c>
      <c r="J725" s="6">
        <f>CALC_GAMES_BASE!U725-CALC_GAMES_BASE!V725</f>
        <v>-2.3580586080586094E-2</v>
      </c>
      <c r="K725" s="6">
        <f>_xlfn.XLOOKUP(CALC_GAMES_BASE!W725,
  CALC_GOALIES!B:B,
  CALC_GOALIES!K:K)</f>
        <v>1.9185678814779616E-2</v>
      </c>
      <c r="L725" s="6">
        <f>_xlfn.XLOOKUP(C725,CALC_TEAMS_SEASON!B:B,CALC_TEAMS_SEASON!L:L)</f>
        <v>-0.89069677871148467</v>
      </c>
      <c r="M725">
        <f>IF(CALC_GAMES_BASE!Z725="RS",1,1.2)</f>
        <v>1</v>
      </c>
      <c r="N725">
        <f xml:space="preserve"> CALC_GAMES_BASE!Y725</f>
        <v>0</v>
      </c>
    </row>
    <row r="726" spans="1:14" x14ac:dyDescent="0.25">
      <c r="A726" t="str">
        <f>CALC_GAMES_BASE!A726</f>
        <v>25/26</v>
      </c>
      <c r="B726" s="3">
        <f>CALC_GAMES_BASE!B726</f>
        <v>46087</v>
      </c>
      <c r="C726" s="3" t="str">
        <f>CALC_GAMES_BASE!C726</f>
        <v>MHK</v>
      </c>
      <c r="D726" s="3" t="str">
        <f>CALC_GAMES_BASE!D726</f>
        <v>MBL</v>
      </c>
      <c r="E726" s="7">
        <f>CALC_GAMES_BASE!E726</f>
        <v>1</v>
      </c>
      <c r="F726" s="6" t="str">
        <f>CALC_GAMES_BASE!N726</f>
        <v/>
      </c>
      <c r="G726" s="7">
        <f>CALC_GAMES_BASE!K726</f>
        <v>-10</v>
      </c>
      <c r="H726" s="7">
        <f t="shared" si="11"/>
        <v>0</v>
      </c>
      <c r="I726" s="6">
        <f>IF(H726=1,
  F726,
  G726*PARAMETRY!$B$11)</f>
        <v>-0.5</v>
      </c>
      <c r="J726" s="6">
        <f>CALC_GAMES_BASE!U726-CALC_GAMES_BASE!V726</f>
        <v>2.3580586080586094E-2</v>
      </c>
      <c r="K726" s="6">
        <f>_xlfn.XLOOKUP(CALC_GAMES_BASE!W726,
  CALC_GOALIES!B:B,
  CALC_GOALIES!K:K)</f>
        <v>2.1917994590268441E-2</v>
      </c>
      <c r="L726" s="6">
        <f>_xlfn.XLOOKUP(C726,CALC_TEAMS_SEASON!B:B,CALC_TEAMS_SEASON!L:L)</f>
        <v>0.14821988795518207</v>
      </c>
      <c r="M726">
        <f>IF(CALC_GAMES_BASE!Z726="RS",1,1.2)</f>
        <v>1</v>
      </c>
      <c r="N726">
        <f xml:space="preserve"> CALC_GAMES_BASE!Y726</f>
        <v>1</v>
      </c>
    </row>
    <row r="727" spans="1:14" x14ac:dyDescent="0.25">
      <c r="A727" t="str">
        <f>CALC_GAMES_BASE!A727</f>
        <v>25/26</v>
      </c>
      <c r="B727" s="3">
        <f>CALC_GAMES_BASE!B727</f>
        <v>46087</v>
      </c>
      <c r="C727" s="3" t="str">
        <f>CALC_GAMES_BASE!C727</f>
        <v>OLO</v>
      </c>
      <c r="D727" s="3" t="str">
        <f>CALC_GAMES_BASE!D727</f>
        <v>KOM</v>
      </c>
      <c r="E727" s="7">
        <f>CALC_GAMES_BASE!E727</f>
        <v>0</v>
      </c>
      <c r="F727" s="6">
        <f>CALC_GAMES_BASE!N727</f>
        <v>-0.33999999999999986</v>
      </c>
      <c r="G727" s="7">
        <f>CALC_GAMES_BASE!K727</f>
        <v>-1</v>
      </c>
      <c r="H727" s="7">
        <f t="shared" si="11"/>
        <v>1</v>
      </c>
      <c r="I727" s="6">
        <f>IF(H727=1,
  F727,
  G727*PARAMETRY!$B$11)</f>
        <v>-0.33999999999999986</v>
      </c>
      <c r="J727" s="6">
        <f>CALC_GAMES_BASE!U727-CALC_GAMES_BASE!V727</f>
        <v>6.3034188034188365E-3</v>
      </c>
      <c r="K727" s="6">
        <f>_xlfn.XLOOKUP(CALC_GAMES_BASE!W727,
  CALC_GOALIES!B:B,
  CALC_GOALIES!K:K)</f>
        <v>-2.0326878807700233E-2</v>
      </c>
      <c r="L727" s="6">
        <f>_xlfn.XLOOKUP(C727,CALC_TEAMS_SEASON!B:B,CALC_TEAMS_SEASON!L:L)</f>
        <v>-1.0613217787114846</v>
      </c>
      <c r="M727">
        <f>IF(CALC_GAMES_BASE!Z727="RS",1,1.2)</f>
        <v>1</v>
      </c>
      <c r="N727">
        <f xml:space="preserve"> CALC_GAMES_BASE!Y727</f>
        <v>0</v>
      </c>
    </row>
    <row r="728" spans="1:14" x14ac:dyDescent="0.25">
      <c r="A728" t="str">
        <f>CALC_GAMES_BASE!A728</f>
        <v>25/26</v>
      </c>
      <c r="B728" s="3">
        <f>CALC_GAMES_BASE!B728</f>
        <v>46087</v>
      </c>
      <c r="C728" s="3" t="str">
        <f>CALC_GAMES_BASE!C728</f>
        <v>PLZ</v>
      </c>
      <c r="D728" s="3" t="str">
        <f>CALC_GAMES_BASE!D728</f>
        <v>VIT</v>
      </c>
      <c r="E728" s="7">
        <f>CALC_GAMES_BASE!E728</f>
        <v>1</v>
      </c>
      <c r="F728" s="6" t="str">
        <f>CALC_GAMES_BASE!N728</f>
        <v/>
      </c>
      <c r="G728" s="7">
        <f>CALC_GAMES_BASE!K728</f>
        <v>38</v>
      </c>
      <c r="H728" s="7">
        <f t="shared" si="11"/>
        <v>0</v>
      </c>
      <c r="I728" s="6">
        <f>IF(H728=1,
  F728,
  G728*PARAMETRY!$B$11)</f>
        <v>1.9000000000000001</v>
      </c>
      <c r="J728" s="6">
        <f>CALC_GAMES_BASE!U728-CALC_GAMES_BASE!V728</f>
        <v>6.5628815628814841E-3</v>
      </c>
      <c r="K728" s="6">
        <f>_xlfn.XLOOKUP(CALC_GAMES_BASE!W728,
  CALC_GOALIES!B:B,
  CALC_GOALIES!K:K)</f>
        <v>1.7617039556646619E-2</v>
      </c>
      <c r="L728" s="6">
        <f>_xlfn.XLOOKUP(C728,CALC_TEAMS_SEASON!B:B,CALC_TEAMS_SEASON!L:L)</f>
        <v>7.3678221288515283E-2</v>
      </c>
      <c r="M728">
        <f>IF(CALC_GAMES_BASE!Z728="RS",1,1.2)</f>
        <v>1</v>
      </c>
      <c r="N728">
        <f xml:space="preserve"> CALC_GAMES_BASE!Y728</f>
        <v>1</v>
      </c>
    </row>
    <row r="729" spans="1:14" x14ac:dyDescent="0.25">
      <c r="A729" t="str">
        <f>CALC_GAMES_BASE!A729</f>
        <v>25/26</v>
      </c>
      <c r="B729" s="3">
        <f>CALC_GAMES_BASE!B729</f>
        <v>46087</v>
      </c>
      <c r="C729" s="3" t="str">
        <f>CALC_GAMES_BASE!C729</f>
        <v>VIT</v>
      </c>
      <c r="D729" s="3" t="str">
        <f>CALC_GAMES_BASE!D729</f>
        <v>PLZ</v>
      </c>
      <c r="E729" s="7">
        <f>CALC_GAMES_BASE!E729</f>
        <v>0</v>
      </c>
      <c r="F729" s="6" t="str">
        <f>CALC_GAMES_BASE!N729</f>
        <v/>
      </c>
      <c r="G729" s="7">
        <f>CALC_GAMES_BASE!K729</f>
        <v>-38</v>
      </c>
      <c r="H729" s="7">
        <f t="shared" si="11"/>
        <v>0</v>
      </c>
      <c r="I729" s="6">
        <f>IF(H729=1,
  F729,
  G729*PARAMETRY!$B$11)</f>
        <v>-1.9000000000000001</v>
      </c>
      <c r="J729" s="6">
        <f>CALC_GAMES_BASE!U729-CALC_GAMES_BASE!V729</f>
        <v>-6.5628815628814841E-3</v>
      </c>
      <c r="K729" s="6">
        <f>_xlfn.XLOOKUP(CALC_GAMES_BASE!W729,
  CALC_GOALIES!B:B,
  CALC_GOALIES!K:K)</f>
        <v>1.905487900993541E-3</v>
      </c>
      <c r="L729" s="6">
        <f>_xlfn.XLOOKUP(C729,CALC_TEAMS_SEASON!B:B,CALC_TEAMS_SEASON!L:L)</f>
        <v>-1.0281967787114845</v>
      </c>
      <c r="M729">
        <f>IF(CALC_GAMES_BASE!Z729="RS",1,1.2)</f>
        <v>1</v>
      </c>
      <c r="N729">
        <f xml:space="preserve"> CALC_GAMES_BASE!Y729</f>
        <v>0</v>
      </c>
    </row>
    <row r="730" spans="1:14" x14ac:dyDescent="0.25">
      <c r="A730" t="str">
        <f>CALC_GAMES_BASE!A730</f>
        <v>26/27</v>
      </c>
      <c r="B730" s="3">
        <f ca="1">CALC_GAMES_BASE!B730</f>
        <v>46160</v>
      </c>
      <c r="C730" s="3" t="str">
        <f>CALC_GAMES_BASE!C730</f>
        <v>PCE</v>
      </c>
      <c r="D730" s="3" t="str">
        <f>CALC_GAMES_BASE!D730</f>
        <v>KOM</v>
      </c>
      <c r="E730" s="7">
        <f>CALC_GAMES_BASE!E730</f>
        <v>1</v>
      </c>
      <c r="F730" s="6" t="str">
        <f>CALC_GAMES_BASE!N730</f>
        <v/>
      </c>
      <c r="G730" s="7">
        <f>CALC_GAMES_BASE!K730</f>
        <v>0</v>
      </c>
      <c r="H730" s="7">
        <f t="shared" ref="H730:H731" si="12">IF(F730&lt;&gt;"",1,0)</f>
        <v>0</v>
      </c>
      <c r="I730" s="6">
        <f>IF(H730=1,
  F730,
  G730*PARAMETRY!$B$11)</f>
        <v>0</v>
      </c>
      <c r="J730" s="6">
        <f>CALC_GAMES_BASE!U730-CALC_GAMES_BASE!V730</f>
        <v>5.9386446886446953E-2</v>
      </c>
      <c r="K730" s="6">
        <f>_xlfn.XLOOKUP(CALC_GAMES_BASE!W730,
  CALC_GOALIES!B:B,
  CALC_GOALIES!K:K)</f>
        <v>4.5881077393388203E-3</v>
      </c>
      <c r="L730" s="6">
        <f>_xlfn.XLOOKUP(C730,CALC_TEAMS_SEASON!B:B,CALC_TEAMS_SEASON!L:L)</f>
        <v>0.62437675070027965</v>
      </c>
      <c r="M730">
        <f>IF(CALC_GAMES_BASE!Z730="RS",1,1.2)</f>
        <v>1</v>
      </c>
      <c r="N730">
        <f xml:space="preserve"> CALC_GAMES_BASE!Y730</f>
        <v>0</v>
      </c>
    </row>
    <row r="731" spans="1:14" x14ac:dyDescent="0.25">
      <c r="A731" t="str">
        <f>CALC_GAMES_BASE!A731</f>
        <v>26/27</v>
      </c>
      <c r="B731" s="3">
        <f ca="1">CALC_GAMES_BASE!B731</f>
        <v>46160</v>
      </c>
      <c r="C731" s="3" t="str">
        <f>CALC_GAMES_BASE!C731</f>
        <v>KOM</v>
      </c>
      <c r="D731" s="3" t="str">
        <f>CALC_GAMES_BASE!D731</f>
        <v>PCE</v>
      </c>
      <c r="E731" s="7">
        <f>CALC_GAMES_BASE!E731</f>
        <v>0</v>
      </c>
      <c r="F731" s="6" t="str">
        <f>CALC_GAMES_BASE!N731</f>
        <v/>
      </c>
      <c r="G731" s="7">
        <f>CALC_GAMES_BASE!K731</f>
        <v>0</v>
      </c>
      <c r="H731" s="7">
        <f t="shared" si="12"/>
        <v>0</v>
      </c>
      <c r="I731" s="6">
        <f>IF(H731=1,
  F731,
  G731*PARAMETRY!$B$11)</f>
        <v>0</v>
      </c>
      <c r="J731" s="6">
        <f>CALC_GAMES_BASE!U731-CALC_GAMES_BASE!V731</f>
        <v>-5.9386446886446953E-2</v>
      </c>
      <c r="K731" s="6">
        <f>_xlfn.XLOOKUP(CALC_GAMES_BASE!W731,
  CALC_GOALIES!B:B,
  CALC_GOALIES!K:K)</f>
        <v>-1.5147095063735572E-3</v>
      </c>
      <c r="L731" s="6">
        <f>_xlfn.XLOOKUP(C731,CALC_TEAMS_SEASON!B:B,CALC_TEAMS_SEASON!L:L)</f>
        <v>-0.37268207282913179</v>
      </c>
      <c r="M731">
        <f>IF(CALC_GAMES_BASE!Z731="RS",1,1.2)</f>
        <v>1</v>
      </c>
      <c r="N731">
        <f xml:space="preserve"> CALC_GAMES_BASE!Y731</f>
        <v>0</v>
      </c>
    </row>
    <row r="732" spans="1:14" x14ac:dyDescent="0.25">
      <c r="B732" s="3"/>
      <c r="C732" s="3"/>
      <c r="D732" s="3"/>
      <c r="E732" s="7"/>
      <c r="F732" s="6"/>
      <c r="G732" s="7"/>
      <c r="H732" s="7"/>
      <c r="I732" s="6"/>
      <c r="J732" s="6"/>
      <c r="K732" s="6"/>
      <c r="L732" s="6"/>
    </row>
    <row r="733" spans="1:14" x14ac:dyDescent="0.25">
      <c r="B733" s="3"/>
      <c r="C733" s="3"/>
      <c r="D733" s="3"/>
      <c r="E733" s="7"/>
      <c r="F733" s="6"/>
      <c r="G733" s="7"/>
      <c r="H733" s="7"/>
      <c r="I733" s="6"/>
      <c r="J733" s="6"/>
      <c r="K733" s="6"/>
      <c r="L733" s="6"/>
    </row>
    <row r="734" spans="1:14" x14ac:dyDescent="0.25">
      <c r="B734" s="3"/>
      <c r="C734" s="3"/>
      <c r="D734" s="3"/>
      <c r="E734" s="7"/>
      <c r="F734" s="6"/>
      <c r="G734" s="7"/>
      <c r="H734" s="7"/>
      <c r="I734" s="6"/>
      <c r="J734" s="6"/>
      <c r="K734" s="6"/>
      <c r="L734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0BD4-F438-4FBD-B16E-B95ADB1958BE}">
  <sheetPr>
    <tabColor rgb="FF92D050"/>
  </sheetPr>
  <dimension ref="A1:P15"/>
  <sheetViews>
    <sheetView workbookViewId="0">
      <selection activeCell="L2" sqref="L2"/>
    </sheetView>
  </sheetViews>
  <sheetFormatPr defaultRowHeight="15" x14ac:dyDescent="0.25"/>
  <cols>
    <col min="4" max="9" width="16.140625" bestFit="1" customWidth="1"/>
    <col min="10" max="10" width="10.5703125" bestFit="1" customWidth="1"/>
    <col min="12" max="12" width="22" bestFit="1" customWidth="1"/>
  </cols>
  <sheetData>
    <row r="1" spans="1:16" x14ac:dyDescent="0.25">
      <c r="A1" t="s">
        <v>0</v>
      </c>
      <c r="B1" t="s">
        <v>3</v>
      </c>
      <c r="C1" t="s">
        <v>60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130</v>
      </c>
      <c r="K1" t="s">
        <v>132</v>
      </c>
      <c r="L1" t="s">
        <v>161</v>
      </c>
      <c r="P1">
        <f>(AVERAGE(D2:D17))*-1</f>
        <v>0.15444677871148468</v>
      </c>
    </row>
    <row r="2" spans="1:16" x14ac:dyDescent="0.25">
      <c r="A2" t="s">
        <v>109</v>
      </c>
      <c r="B2" t="s">
        <v>31</v>
      </c>
      <c r="C2">
        <f>COUNTIFS(CALC_GAMES_BASE!C:C, B2, CALC_GAMES_BASE!A:A, A2,CALC_GAMES_BASE!Z:Z,J2)</f>
        <v>52</v>
      </c>
      <c r="D2">
        <f>AVERAGEIFS(CALC_GAMES_BASE!N:N,
  CALC_GAMES_BASE!C:C, B2,
  CALC_GAMES_BASE!A:A, A2,CALC_GAMES_BASE!Z:Z,J2)</f>
        <v>0.77882352941176436</v>
      </c>
      <c r="E2">
        <f>AVERAGEIFS(CALC_GAMES_BASE!K:K,
  CALC_GAMES_BASE!C:C, B2,
  CALC_GAMES_BASE!A:A, A2,CALC_GAMES_BASE!Z:Z,J2)</f>
        <v>8.0384615384615383</v>
      </c>
      <c r="F2">
        <f>AVERAGEIFS(CALC_GAMES_BASE!Q:Q,
  CALC_GAMES_BASE!C:C, B2,
  CALC_GAMES_BASE!A:A, A2,CALC_GAMES_BASE!Z:Z,J2)</f>
        <v>0.20297619047619053</v>
      </c>
      <c r="G2">
        <f>AVERAGEIFS(CALC_GAMES_BASE!T:T,
  CALC_GAMES_BASE!C:C, B2,
  CALC_GAMES_BASE!A:A, A2,CALC_GAMES_BASE!Z:Z,J2)</f>
        <v>0.87789224664224663</v>
      </c>
      <c r="H2">
        <f>AVERAGEIFS(CALC_GAMES_BASE!H:H,
  CALC_GAMES_BASE!C:C, B2,
  CALC_GAMES_BASE!A:A, A2,CALC_GAMES_BASE!Z:Z,J2)</f>
        <v>0.96153846153846156</v>
      </c>
      <c r="I2">
        <f t="shared" ref="I2:I15" si="0">D2*0.6+H2*0.3+E2*0.1</f>
        <v>1.5596018099547508</v>
      </c>
      <c r="J2" t="s">
        <v>121</v>
      </c>
      <c r="K2">
        <f>AVERAGEIFS(CALC_GAMES_BASE!O:O,
  CALC_GAMES_BASE!C:C, B2,
  CALC_GAMES_BASE!A:A, A2,CALC_GAMES_BASE!Z:Z,J2)</f>
        <v>4.4807692307692308</v>
      </c>
      <c r="L2">
        <f t="shared" ref="L2:L15" si="1">D2-$P$1</f>
        <v>0.62437675070027965</v>
      </c>
    </row>
    <row r="3" spans="1:16" x14ac:dyDescent="0.25">
      <c r="A3" t="s">
        <v>109</v>
      </c>
      <c r="B3" t="s">
        <v>137</v>
      </c>
      <c r="C3">
        <f>COUNTIFS(CALC_GAMES_BASE!C:C, B3, CALC_GAMES_BASE!A:A, A3,CALC_GAMES_BASE!Z:Z,J3)</f>
        <v>52</v>
      </c>
      <c r="D3">
        <f>AVERAGEIFS(CALC_GAMES_BASE!N:N,
  CALC_GAMES_BASE!C:C, B3,
  CALC_GAMES_BASE!A:A, A3,CALC_GAMES_BASE!Z:Z,J3)</f>
        <v>0.37812500000000004</v>
      </c>
      <c r="E3">
        <f>AVERAGEIFS(CALC_GAMES_BASE!K:K,
  CALC_GAMES_BASE!C:C, B3,
  CALC_GAMES_BASE!A:A, A3,CALC_GAMES_BASE!Z:Z,J3)</f>
        <v>5.4230769230769234</v>
      </c>
      <c r="F3">
        <f>AVERAGEIFS(CALC_GAMES_BASE!Q:Q,
  CALC_GAMES_BASE!C:C, B3,
  CALC_GAMES_BASE!A:A, A3,CALC_GAMES_BASE!Z:Z,J3)</f>
        <v>0.14377289377289379</v>
      </c>
      <c r="G3">
        <f>AVERAGEIFS(CALC_GAMES_BASE!T:T,
  CALC_GAMES_BASE!C:C, B3,
  CALC_GAMES_BASE!A:A, A3,CALC_GAMES_BASE!Z:Z,J3)</f>
        <v>0.87498473748473748</v>
      </c>
      <c r="H3">
        <f>AVERAGEIFS(CALC_GAMES_BASE!H:H,
  CALC_GAMES_BASE!C:C, B3,
  CALC_GAMES_BASE!A:A, A3,CALC_GAMES_BASE!Z:Z,J3)</f>
        <v>0.51923076923076927</v>
      </c>
      <c r="I3">
        <f t="shared" si="0"/>
        <v>0.9249519230769232</v>
      </c>
      <c r="J3" t="s">
        <v>121</v>
      </c>
      <c r="K3">
        <f>AVERAGEIFS(CALC_GAMES_BASE!O:O,
  CALC_GAMES_BASE!C:C, B3,
  CALC_GAMES_BASE!A:A, A3,CALC_GAMES_BASE!Z:Z,J3)</f>
        <v>4.25</v>
      </c>
      <c r="L3">
        <f t="shared" si="1"/>
        <v>0.22367822128851536</v>
      </c>
    </row>
    <row r="4" spans="1:16" x14ac:dyDescent="0.25">
      <c r="A4" t="s">
        <v>109</v>
      </c>
      <c r="B4" t="s">
        <v>32</v>
      </c>
      <c r="C4">
        <f>COUNTIFS(CALC_GAMES_BASE!C:C, B4, CALC_GAMES_BASE!A:A, A4,CALC_GAMES_BASE!Z:Z,J4)</f>
        <v>52</v>
      </c>
      <c r="D4">
        <f>AVERAGEIFS(CALC_GAMES_BASE!N:N,
  CALC_GAMES_BASE!C:C, B4,
  CALC_GAMES_BASE!A:A, A4,CALC_GAMES_BASE!Z:Z,J4)</f>
        <v>0.30266666666666675</v>
      </c>
      <c r="E4">
        <f>AVERAGEIFS(CALC_GAMES_BASE!K:K,
  CALC_GAMES_BASE!C:C, B4,
  CALC_GAMES_BASE!A:A, A4,CALC_GAMES_BASE!Z:Z,J4)</f>
        <v>1.6923076923076923</v>
      </c>
      <c r="F4">
        <f>AVERAGEIFS(CALC_GAMES_BASE!Q:Q,
  CALC_GAMES_BASE!C:C, B4,
  CALC_GAMES_BASE!A:A, A4,CALC_GAMES_BASE!Z:Z,J4)</f>
        <v>0.14184981684981687</v>
      </c>
      <c r="G4">
        <f>AVERAGEIFS(CALC_GAMES_BASE!T:T,
  CALC_GAMES_BASE!C:C, B4,
  CALC_GAMES_BASE!A:A, A4,CALC_GAMES_BASE!Z:Z,J4)</f>
        <v>0.86630036630036622</v>
      </c>
      <c r="H4">
        <f>AVERAGEIFS(CALC_GAMES_BASE!H:H,
  CALC_GAMES_BASE!C:C, B4,
  CALC_GAMES_BASE!A:A, A4,CALC_GAMES_BASE!Z:Z,J4)</f>
        <v>0.40384615384615385</v>
      </c>
      <c r="I4">
        <f t="shared" si="0"/>
        <v>0.47198461538461545</v>
      </c>
      <c r="J4" t="s">
        <v>121</v>
      </c>
      <c r="K4">
        <f>AVERAGEIFS(CALC_GAMES_BASE!O:O,
  CALC_GAMES_BASE!C:C, B4,
  CALC_GAMES_BASE!A:A, A4,CALC_GAMES_BASE!Z:Z,J4)</f>
        <v>4.0192307692307692</v>
      </c>
      <c r="L4">
        <f t="shared" si="1"/>
        <v>0.14821988795518207</v>
      </c>
    </row>
    <row r="5" spans="1:16" x14ac:dyDescent="0.25">
      <c r="A5" t="s">
        <v>109</v>
      </c>
      <c r="B5" t="s">
        <v>41</v>
      </c>
      <c r="C5">
        <f>COUNTIFS(CALC_GAMES_BASE!C:C, B5, CALC_GAMES_BASE!A:A, A5,CALC_GAMES_BASE!Z:Z,J5)</f>
        <v>52</v>
      </c>
      <c r="D5">
        <f>AVERAGEIFS(CALC_GAMES_BASE!N:N,
  CALC_GAMES_BASE!C:C, B5,
  CALC_GAMES_BASE!A:A, A5,CALC_GAMES_BASE!Z:Z,J5)</f>
        <v>0.26250000000000001</v>
      </c>
      <c r="E5">
        <f>AVERAGEIFS(CALC_GAMES_BASE!K:K,
  CALC_GAMES_BASE!C:C, B5,
  CALC_GAMES_BASE!A:A, A5,CALC_GAMES_BASE!Z:Z,J5)</f>
        <v>0.36538461538461536</v>
      </c>
      <c r="F5">
        <f>AVERAGEIFS(CALC_GAMES_BASE!Q:Q,
  CALC_GAMES_BASE!C:C, B5,
  CALC_GAMES_BASE!A:A, A5,CALC_GAMES_BASE!Z:Z,J5)</f>
        <v>0.17437423687423692</v>
      </c>
      <c r="G5">
        <f>AVERAGEIFS(CALC_GAMES_BASE!T:T,
  CALC_GAMES_BASE!C:C, B5,
  CALC_GAMES_BASE!A:A, A5,CALC_GAMES_BASE!Z:Z,J5)</f>
        <v>0.86165293040293056</v>
      </c>
      <c r="H5">
        <f>AVERAGEIFS(CALC_GAMES_BASE!H:H,
  CALC_GAMES_BASE!C:C, B5,
  CALC_GAMES_BASE!A:A, A5,CALC_GAMES_BASE!Z:Z,J5)</f>
        <v>0.32692307692307693</v>
      </c>
      <c r="I5">
        <f t="shared" si="0"/>
        <v>0.29211538461538461</v>
      </c>
      <c r="J5" t="s">
        <v>121</v>
      </c>
      <c r="K5">
        <f>AVERAGEIFS(CALC_GAMES_BASE!O:O,
  CALC_GAMES_BASE!C:C, B5,
  CALC_GAMES_BASE!A:A, A5,CALC_GAMES_BASE!Z:Z,J5)</f>
        <v>3.8846153846153846</v>
      </c>
      <c r="L5">
        <f t="shared" si="1"/>
        <v>0.10805322128851533</v>
      </c>
    </row>
    <row r="6" spans="1:16" x14ac:dyDescent="0.25">
      <c r="A6" t="s">
        <v>109</v>
      </c>
      <c r="B6" t="s">
        <v>39</v>
      </c>
      <c r="C6">
        <f>COUNTIFS(CALC_GAMES_BASE!C:C, B6, CALC_GAMES_BASE!A:A, A6,CALC_GAMES_BASE!Z:Z,J6)</f>
        <v>52</v>
      </c>
      <c r="D6">
        <f>AVERAGEIFS(CALC_GAMES_BASE!N:N,
  CALC_GAMES_BASE!C:C, B6,
  CALC_GAMES_BASE!A:A, A6,CALC_GAMES_BASE!Z:Z,J6)</f>
        <v>0.22812499999999997</v>
      </c>
      <c r="E6">
        <f>AVERAGEIFS(CALC_GAMES_BASE!K:K,
  CALC_GAMES_BASE!C:C, B6,
  CALC_GAMES_BASE!A:A, A6,CALC_GAMES_BASE!Z:Z,J6)</f>
        <v>3.2692307692307692</v>
      </c>
      <c r="F6">
        <f>AVERAGEIFS(CALC_GAMES_BASE!Q:Q,
  CALC_GAMES_BASE!C:C, B6,
  CALC_GAMES_BASE!A:A, A6,CALC_GAMES_BASE!Z:Z,J6)</f>
        <v>0.17641178266178262</v>
      </c>
      <c r="G6">
        <f>AVERAGEIFS(CALC_GAMES_BASE!T:T,
  CALC_GAMES_BASE!C:C, B6,
  CALC_GAMES_BASE!A:A, A6,CALC_GAMES_BASE!Z:Z,J6)</f>
        <v>0.87712912087912087</v>
      </c>
      <c r="H6">
        <f>AVERAGEIFS(CALC_GAMES_BASE!H:H,
  CALC_GAMES_BASE!C:C, B6,
  CALC_GAMES_BASE!A:A, A6,CALC_GAMES_BASE!Z:Z,J6)</f>
        <v>0.73076923076923073</v>
      </c>
      <c r="I6">
        <f t="shared" si="0"/>
        <v>0.68302884615384607</v>
      </c>
      <c r="J6" t="s">
        <v>121</v>
      </c>
      <c r="K6">
        <f>AVERAGEIFS(CALC_GAMES_BASE!O:O,
  CALC_GAMES_BASE!C:C, B6,
  CALC_GAMES_BASE!A:A, A6,CALC_GAMES_BASE!Z:Z,J6)</f>
        <v>4.1730769230769234</v>
      </c>
      <c r="L6">
        <f t="shared" si="1"/>
        <v>7.3678221288515283E-2</v>
      </c>
    </row>
    <row r="7" spans="1:16" x14ac:dyDescent="0.25">
      <c r="A7" t="s">
        <v>109</v>
      </c>
      <c r="B7" t="s">
        <v>46</v>
      </c>
      <c r="C7">
        <f>COUNTIFS(CALC_GAMES_BASE!C:C, B7, CALC_GAMES_BASE!A:A, A7,CALC_GAMES_BASE!Z:Z,J7)</f>
        <v>52</v>
      </c>
      <c r="D7">
        <f>AVERAGEIFS(CALC_GAMES_BASE!N:N,
  CALC_GAMES_BASE!C:C, B7,
  CALC_GAMES_BASE!A:A, A7,CALC_GAMES_BASE!Z:Z,J7)</f>
        <v>0.21882352941176464</v>
      </c>
      <c r="E7">
        <f>AVERAGEIFS(CALC_GAMES_BASE!K:K,
  CALC_GAMES_BASE!C:C, B7,
  CALC_GAMES_BASE!A:A, A7,CALC_GAMES_BASE!Z:Z,J7)</f>
        <v>4.865384615384615</v>
      </c>
      <c r="F7">
        <f>AVERAGEIFS(CALC_GAMES_BASE!Q:Q,
  CALC_GAMES_BASE!C:C, B7,
  CALC_GAMES_BASE!A:A, A7,CALC_GAMES_BASE!Z:Z,J7)</f>
        <v>0.22060439560439565</v>
      </c>
      <c r="G7">
        <f>AVERAGEIFS(CALC_GAMES_BASE!T:T,
  CALC_GAMES_BASE!C:C, B7,
  CALC_GAMES_BASE!A:A, A7,CALC_GAMES_BASE!Z:Z,J7)</f>
        <v>0.84239163614163615</v>
      </c>
      <c r="H7">
        <f>AVERAGEIFS(CALC_GAMES_BASE!H:H,
  CALC_GAMES_BASE!C:C, B7,
  CALC_GAMES_BASE!A:A, A7,CALC_GAMES_BASE!Z:Z,J7)</f>
        <v>0.5</v>
      </c>
      <c r="I7">
        <f t="shared" si="0"/>
        <v>0.76783257918552028</v>
      </c>
      <c r="J7" t="s">
        <v>121</v>
      </c>
      <c r="K7">
        <f>AVERAGEIFS(CALC_GAMES_BASE!O:O,
  CALC_GAMES_BASE!C:C, B7,
  CALC_GAMES_BASE!A:A, A7,CALC_GAMES_BASE!Z:Z,J7)</f>
        <v>4.4615384615384617</v>
      </c>
      <c r="L7">
        <f t="shared" si="1"/>
        <v>6.4376750700279955E-2</v>
      </c>
    </row>
    <row r="8" spans="1:16" x14ac:dyDescent="0.25">
      <c r="A8" t="s">
        <v>109</v>
      </c>
      <c r="B8" t="s">
        <v>40</v>
      </c>
      <c r="C8">
        <f>COUNTIFS(CALC_GAMES_BASE!C:C, B8, CALC_GAMES_BASE!A:A, A8,CALC_GAMES_BASE!Z:Z,J8)</f>
        <v>52</v>
      </c>
      <c r="D8">
        <f>AVERAGEIFS(CALC_GAMES_BASE!N:N,
  CALC_GAMES_BASE!C:C, B8,
  CALC_GAMES_BASE!A:A, A8,CALC_GAMES_BASE!Z:Z,J8)</f>
        <v>-4.375000000000008E-2</v>
      </c>
      <c r="E8">
        <f>AVERAGEIFS(CALC_GAMES_BASE!K:K,
  CALC_GAMES_BASE!C:C, B8,
  CALC_GAMES_BASE!A:A, A8,CALC_GAMES_BASE!Z:Z,J8)</f>
        <v>-3.8461538461538464E-2</v>
      </c>
      <c r="F8">
        <f>AVERAGEIFS(CALC_GAMES_BASE!Q:Q,
  CALC_GAMES_BASE!C:C, B8,
  CALC_GAMES_BASE!A:A, A8,CALC_GAMES_BASE!Z:Z,J8)</f>
        <v>0.13120421245421243</v>
      </c>
      <c r="G8">
        <f>AVERAGEIFS(CALC_GAMES_BASE!T:T,
  CALC_GAMES_BASE!C:C, B8,
  CALC_GAMES_BASE!A:A, A8,CALC_GAMES_BASE!Z:Z,J8)</f>
        <v>0.86549908424908406</v>
      </c>
      <c r="H8">
        <f>AVERAGEIFS(CALC_GAMES_BASE!H:H,
  CALC_GAMES_BASE!C:C, B8,
  CALC_GAMES_BASE!A:A, A8,CALC_GAMES_BASE!Z:Z,J8)</f>
        <v>-0.15384615384615385</v>
      </c>
      <c r="I8">
        <f t="shared" si="0"/>
        <v>-7.6250000000000054E-2</v>
      </c>
      <c r="J8" t="s">
        <v>121</v>
      </c>
      <c r="K8">
        <f>AVERAGEIFS(CALC_GAMES_BASE!O:O,
  CALC_GAMES_BASE!C:C, B8,
  CALC_GAMES_BASE!A:A, A8,CALC_GAMES_BASE!Z:Z,J8)</f>
        <v>4</v>
      </c>
      <c r="L8">
        <f t="shared" si="1"/>
        <v>-0.19819677871148478</v>
      </c>
    </row>
    <row r="9" spans="1:16" x14ac:dyDescent="0.25">
      <c r="A9" t="s">
        <v>109</v>
      </c>
      <c r="B9" t="s">
        <v>136</v>
      </c>
      <c r="C9">
        <f>COUNTIFS(CALC_GAMES_BASE!C:C, B9, CALC_GAMES_BASE!A:A, A9,CALC_GAMES_BASE!Z:Z,J9)</f>
        <v>52</v>
      </c>
      <c r="D9">
        <f>AVERAGEIFS(CALC_GAMES_BASE!N:N,
  CALC_GAMES_BASE!C:C, B9,
  CALC_GAMES_BASE!A:A, A9,CALC_GAMES_BASE!Z:Z,J9)</f>
        <v>-9.5333333333333284E-2</v>
      </c>
      <c r="E9">
        <f>AVERAGEIFS(CALC_GAMES_BASE!K:K,
  CALC_GAMES_BASE!C:C, B9,
  CALC_GAMES_BASE!A:A, A9,CALC_GAMES_BASE!Z:Z,J9)</f>
        <v>0.48076923076923078</v>
      </c>
      <c r="F9">
        <f>AVERAGEIFS(CALC_GAMES_BASE!Q:Q,
  CALC_GAMES_BASE!C:C, B9,
  CALC_GAMES_BASE!A:A, A9,CALC_GAMES_BASE!Z:Z,J9)</f>
        <v>0.13021353646353648</v>
      </c>
      <c r="G9">
        <f>AVERAGEIFS(CALC_GAMES_BASE!T:T,
  CALC_GAMES_BASE!C:C, B9,
  CALC_GAMES_BASE!A:A, A9,CALC_GAMES_BASE!Z:Z,J9)</f>
        <v>0.86760531135531138</v>
      </c>
      <c r="H9">
        <f>AVERAGEIFS(CALC_GAMES_BASE!H:H,
  CALC_GAMES_BASE!C:C, B9,
  CALC_GAMES_BASE!A:A, A9,CALC_GAMES_BASE!Z:Z,J9)</f>
        <v>-9.6153846153846159E-2</v>
      </c>
      <c r="I9">
        <f t="shared" si="0"/>
        <v>-3.7969230769230734E-2</v>
      </c>
      <c r="J9" t="s">
        <v>121</v>
      </c>
      <c r="K9">
        <f>AVERAGEIFS(CALC_GAMES_BASE!O:O,
  CALC_GAMES_BASE!C:C, B9,
  CALC_GAMES_BASE!A:A, A9,CALC_GAMES_BASE!Z:Z,J9)</f>
        <v>4.25</v>
      </c>
      <c r="L9">
        <f t="shared" si="1"/>
        <v>-0.24978011204481798</v>
      </c>
    </row>
    <row r="10" spans="1:16" x14ac:dyDescent="0.25">
      <c r="A10" t="s">
        <v>109</v>
      </c>
      <c r="B10" t="s">
        <v>44</v>
      </c>
      <c r="C10">
        <f>COUNTIFS(CALC_GAMES_BASE!C:C, B10, CALC_GAMES_BASE!A:A, A10,CALC_GAMES_BASE!Z:Z,J10)</f>
        <v>52</v>
      </c>
      <c r="D10">
        <f>AVERAGEIFS(CALC_GAMES_BASE!N:N,
  CALC_GAMES_BASE!C:C, B10,
  CALC_GAMES_BASE!A:A, A10,CALC_GAMES_BASE!Z:Z,J10)</f>
        <v>-0.13312500000000005</v>
      </c>
      <c r="E10">
        <f>AVERAGEIFS(CALC_GAMES_BASE!K:K,
  CALC_GAMES_BASE!C:C, B10,
  CALC_GAMES_BASE!A:A, A10,CALC_GAMES_BASE!Z:Z,J10)</f>
        <v>0.76923076923076927</v>
      </c>
      <c r="F10">
        <f>AVERAGEIFS(CALC_GAMES_BASE!Q:Q,
  CALC_GAMES_BASE!C:C, B10,
  CALC_GAMES_BASE!A:A, A10,CALC_GAMES_BASE!Z:Z,J10)</f>
        <v>0.17387057387057389</v>
      </c>
      <c r="G10">
        <f>AVERAGEIFS(CALC_GAMES_BASE!T:T,
  CALC_GAMES_BASE!C:C, B10,
  CALC_GAMES_BASE!A:A, A10,CALC_GAMES_BASE!Z:Z,J10)</f>
        <v>0.89864926739926732</v>
      </c>
      <c r="H10">
        <f>AVERAGEIFS(CALC_GAMES_BASE!H:H,
  CALC_GAMES_BASE!C:C, B10,
  CALC_GAMES_BASE!A:A, A10,CALC_GAMES_BASE!Z:Z,J10)</f>
        <v>0.15384615384615385</v>
      </c>
      <c r="I10">
        <f t="shared" si="0"/>
        <v>4.3201923076923054E-2</v>
      </c>
      <c r="J10" t="s">
        <v>121</v>
      </c>
      <c r="K10">
        <f>AVERAGEIFS(CALC_GAMES_BASE!O:O,
  CALC_GAMES_BASE!C:C, B10,
  CALC_GAMES_BASE!A:A, A10,CALC_GAMES_BASE!Z:Z,J10)</f>
        <v>4.384615384615385</v>
      </c>
      <c r="L10">
        <f t="shared" si="1"/>
        <v>-0.28757177871148476</v>
      </c>
    </row>
    <row r="11" spans="1:16" x14ac:dyDescent="0.25">
      <c r="A11" t="s">
        <v>109</v>
      </c>
      <c r="B11" t="s">
        <v>42</v>
      </c>
      <c r="C11">
        <f>COUNTIFS(CALC_GAMES_BASE!C:C, B11, CALC_GAMES_BASE!A:A, A11,CALC_GAMES_BASE!Z:Z,J11)</f>
        <v>52</v>
      </c>
      <c r="D11">
        <f>AVERAGEIFS(CALC_GAMES_BASE!N:N,
  CALC_GAMES_BASE!C:C, B11,
  CALC_GAMES_BASE!A:A, A11,CALC_GAMES_BASE!Z:Z,J11)</f>
        <v>-0.21823529411764708</v>
      </c>
      <c r="E11">
        <f>AVERAGEIFS(CALC_GAMES_BASE!K:K,
  CALC_GAMES_BASE!C:C, B11,
  CALC_GAMES_BASE!A:A, A11,CALC_GAMES_BASE!Z:Z,J11)</f>
        <v>-0.30769230769230771</v>
      </c>
      <c r="F11">
        <f>AVERAGEIFS(CALC_GAMES_BASE!Q:Q,
  CALC_GAMES_BASE!C:C, B11,
  CALC_GAMES_BASE!A:A, A11,CALC_GAMES_BASE!Z:Z,J11)</f>
        <v>0.14358974358974358</v>
      </c>
      <c r="G11">
        <f>AVERAGEIFS(CALC_GAMES_BASE!T:T,
  CALC_GAMES_BASE!C:C, B11,
  CALC_GAMES_BASE!A:A, A11,CALC_GAMES_BASE!Z:Z,J11)</f>
        <v>0.81149267399267389</v>
      </c>
      <c r="H11">
        <f>AVERAGEIFS(CALC_GAMES_BASE!H:H,
  CALC_GAMES_BASE!C:C, B11,
  CALC_GAMES_BASE!A:A, A11,CALC_GAMES_BASE!Z:Z,J11)</f>
        <v>-0.15384615384615385</v>
      </c>
      <c r="I11">
        <f t="shared" si="0"/>
        <v>-0.20786425339366518</v>
      </c>
      <c r="J11" t="s">
        <v>121</v>
      </c>
      <c r="K11">
        <f>AVERAGEIFS(CALC_GAMES_BASE!O:O,
  CALC_GAMES_BASE!C:C, B11,
  CALC_GAMES_BASE!A:A, A11,CALC_GAMES_BASE!Z:Z,J11)</f>
        <v>4.0192307692307692</v>
      </c>
      <c r="L11">
        <f t="shared" si="1"/>
        <v>-0.37268207282913179</v>
      </c>
    </row>
    <row r="12" spans="1:16" x14ac:dyDescent="0.25">
      <c r="A12" t="s">
        <v>109</v>
      </c>
      <c r="B12" t="s">
        <v>36</v>
      </c>
      <c r="C12">
        <f>COUNTIFS(CALC_GAMES_BASE!C:C, B12, CALC_GAMES_BASE!A:A, A12,CALC_GAMES_BASE!Z:Z,J12)</f>
        <v>52</v>
      </c>
      <c r="D12">
        <f>AVERAGEIFS(CALC_GAMES_BASE!N:N,
  CALC_GAMES_BASE!C:C, B12,
  CALC_GAMES_BASE!A:A, A12,CALC_GAMES_BASE!Z:Z,J12)</f>
        <v>-0.73624999999999996</v>
      </c>
      <c r="E12">
        <f>AVERAGEIFS(CALC_GAMES_BASE!K:K,
  CALC_GAMES_BASE!C:C, B12,
  CALC_GAMES_BASE!A:A, A12,CALC_GAMES_BASE!Z:Z,J12)</f>
        <v>-2.2307692307692308</v>
      </c>
      <c r="F12">
        <f>AVERAGEIFS(CALC_GAMES_BASE!Q:Q,
  CALC_GAMES_BASE!C:C, B12,
  CALC_GAMES_BASE!A:A, A12,CALC_GAMES_BASE!Z:Z,J12)</f>
        <v>0.11826923076923078</v>
      </c>
      <c r="G12">
        <f>AVERAGEIFS(CALC_GAMES_BASE!T:T,
  CALC_GAMES_BASE!C:C, B12,
  CALC_GAMES_BASE!A:A, A12,CALC_GAMES_BASE!Z:Z,J12)</f>
        <v>0.80737179487179489</v>
      </c>
      <c r="H12">
        <f>AVERAGEIFS(CALC_GAMES_BASE!H:H,
  CALC_GAMES_BASE!C:C, B12,
  CALC_GAMES_BASE!A:A, A12,CALC_GAMES_BASE!Z:Z,J12)</f>
        <v>-0.73076923076923073</v>
      </c>
      <c r="I12">
        <f t="shared" si="0"/>
        <v>-0.88405769230769227</v>
      </c>
      <c r="J12" t="s">
        <v>121</v>
      </c>
      <c r="K12">
        <f>AVERAGEIFS(CALC_GAMES_BASE!O:O,
  CALC_GAMES_BASE!C:C, B12,
  CALC_GAMES_BASE!A:A, A12,CALC_GAMES_BASE!Z:Z,J12)</f>
        <v>3.5576923076923075</v>
      </c>
      <c r="L12">
        <f t="shared" si="1"/>
        <v>-0.89069677871148467</v>
      </c>
    </row>
    <row r="13" spans="1:16" x14ac:dyDescent="0.25">
      <c r="A13" t="s">
        <v>109</v>
      </c>
      <c r="B13" t="s">
        <v>45</v>
      </c>
      <c r="C13">
        <f>COUNTIFS(CALC_GAMES_BASE!C:C, B13, CALC_GAMES_BASE!A:A, A13,CALC_GAMES_BASE!Z:Z,J13)</f>
        <v>52</v>
      </c>
      <c r="D13">
        <f>AVERAGEIFS(CALC_GAMES_BASE!N:N,
  CALC_GAMES_BASE!C:C, B13,
  CALC_GAMES_BASE!A:A, A13,CALC_GAMES_BASE!Z:Z,J13)</f>
        <v>-0.87374999999999992</v>
      </c>
      <c r="E13">
        <f>AVERAGEIFS(CALC_GAMES_BASE!K:K,
  CALC_GAMES_BASE!C:C, B13,
  CALC_GAMES_BASE!A:A, A13,CALC_GAMES_BASE!Z:Z,J13)</f>
        <v>-7.1923076923076925</v>
      </c>
      <c r="F13">
        <f>AVERAGEIFS(CALC_GAMES_BASE!Q:Q,
  CALC_GAMES_BASE!C:C, B13,
  CALC_GAMES_BASE!A:A, A13,CALC_GAMES_BASE!Z:Z,J13)</f>
        <v>0.16984890109890113</v>
      </c>
      <c r="G13">
        <f>AVERAGEIFS(CALC_GAMES_BASE!T:T,
  CALC_GAMES_BASE!C:C, B13,
  CALC_GAMES_BASE!A:A, A13,CALC_GAMES_BASE!Z:Z,J13)</f>
        <v>0.79578754578754585</v>
      </c>
      <c r="H13">
        <f>AVERAGEIFS(CALC_GAMES_BASE!H:H,
  CALC_GAMES_BASE!C:C, B13,
  CALC_GAMES_BASE!A:A, A13,CALC_GAMES_BASE!Z:Z,J13)</f>
        <v>-0.48076923076923078</v>
      </c>
      <c r="I13">
        <f t="shared" si="0"/>
        <v>-1.3877115384615384</v>
      </c>
      <c r="J13" t="s">
        <v>121</v>
      </c>
      <c r="K13">
        <f>AVERAGEIFS(CALC_GAMES_BASE!O:O,
  CALC_GAMES_BASE!C:C, B13,
  CALC_GAMES_BASE!A:A, A13,CALC_GAMES_BASE!Z:Z,J13)</f>
        <v>4</v>
      </c>
      <c r="L13">
        <f t="shared" si="1"/>
        <v>-1.0281967787114845</v>
      </c>
    </row>
    <row r="14" spans="1:16" x14ac:dyDescent="0.25">
      <c r="A14" t="s">
        <v>109</v>
      </c>
      <c r="B14" t="s">
        <v>38</v>
      </c>
      <c r="C14">
        <f>COUNTIFS(CALC_GAMES_BASE!C:C, B14, CALC_GAMES_BASE!A:A, A14,CALC_GAMES_BASE!Z:Z,J14)</f>
        <v>52</v>
      </c>
      <c r="D14">
        <f>AVERAGEIFS(CALC_GAMES_BASE!N:N,
  CALC_GAMES_BASE!C:C, B14,
  CALC_GAMES_BASE!A:A, A14,CALC_GAMES_BASE!Z:Z,J14)</f>
        <v>-0.90687499999999999</v>
      </c>
      <c r="E14">
        <f>AVERAGEIFS(CALC_GAMES_BASE!K:K,
  CALC_GAMES_BASE!C:C, B14,
  CALC_GAMES_BASE!A:A, A14,CALC_GAMES_BASE!Z:Z,J14)</f>
        <v>-5.9038461538461542</v>
      </c>
      <c r="F14">
        <f>AVERAGEIFS(CALC_GAMES_BASE!Q:Q,
  CALC_GAMES_BASE!C:C, B14,
  CALC_GAMES_BASE!A:A, A14,CALC_GAMES_BASE!Z:Z,J14)</f>
        <v>0.14989316239316242</v>
      </c>
      <c r="G14">
        <f>AVERAGEIFS(CALC_GAMES_BASE!T:T,
  CALC_GAMES_BASE!C:C, B14,
  CALC_GAMES_BASE!A:A, A14,CALC_GAMES_BASE!Z:Z,J14)</f>
        <v>0.76758241758241752</v>
      </c>
      <c r="H14">
        <f>AVERAGEIFS(CALC_GAMES_BASE!H:H,
  CALC_GAMES_BASE!C:C, B14,
  CALC_GAMES_BASE!A:A, A14,CALC_GAMES_BASE!Z:Z,J14)</f>
        <v>-0.65384615384615385</v>
      </c>
      <c r="I14">
        <f t="shared" si="0"/>
        <v>-1.3306634615384616</v>
      </c>
      <c r="J14" t="s">
        <v>121</v>
      </c>
      <c r="K14">
        <f>AVERAGEIFS(CALC_GAMES_BASE!O:O,
  CALC_GAMES_BASE!C:C, B14,
  CALC_GAMES_BASE!A:A, A14,CALC_GAMES_BASE!Z:Z,J14)</f>
        <v>3.8846153846153846</v>
      </c>
      <c r="L14">
        <f t="shared" si="1"/>
        <v>-1.0613217787114846</v>
      </c>
    </row>
    <row r="15" spans="1:16" x14ac:dyDescent="0.25">
      <c r="A15" t="s">
        <v>109</v>
      </c>
      <c r="B15" t="s">
        <v>43</v>
      </c>
      <c r="C15">
        <f>COUNTIFS(CALC_GAMES_BASE!C:C, B15, CALC_GAMES_BASE!A:A, A15,CALC_GAMES_BASE!Z:Z,J15)</f>
        <v>52</v>
      </c>
      <c r="D15">
        <f>AVERAGEIFS(CALC_GAMES_BASE!N:N,
  CALC_GAMES_BASE!C:C, B15,
  CALC_GAMES_BASE!A:A, A15,CALC_GAMES_BASE!Z:Z,J15)</f>
        <v>-1.3240000000000001</v>
      </c>
      <c r="E15">
        <f>AVERAGEIFS(CALC_GAMES_BASE!K:K,
  CALC_GAMES_BASE!C:C, B15,
  CALC_GAMES_BASE!A:A, A15,CALC_GAMES_BASE!Z:Z,J15)</f>
        <v>-7.865384615384615</v>
      </c>
      <c r="F15">
        <f>AVERAGEIFS(CALC_GAMES_BASE!Q:Q,
  CALC_GAMES_BASE!C:C, B15,
  CALC_GAMES_BASE!A:A, A15,CALC_GAMES_BASE!Z:Z,J15)</f>
        <v>0.10089285714285713</v>
      </c>
      <c r="G15">
        <f>AVERAGEIFS(CALC_GAMES_BASE!T:T,
  CALC_GAMES_BASE!C:C, B15,
  CALC_GAMES_BASE!A:A, A15,CALC_GAMES_BASE!Z:Z,J15)</f>
        <v>0.80388292263292271</v>
      </c>
      <c r="H15">
        <f>AVERAGEIFS(CALC_GAMES_BASE!H:H,
  CALC_GAMES_BASE!C:C, B15,
  CALC_GAMES_BASE!A:A, A15,CALC_GAMES_BASE!Z:Z,J15)</f>
        <v>-1.2884615384615385</v>
      </c>
      <c r="I15">
        <f t="shared" si="0"/>
        <v>-1.9674769230769229</v>
      </c>
      <c r="J15" t="s">
        <v>121</v>
      </c>
      <c r="K15">
        <f>AVERAGEIFS(CALC_GAMES_BASE!O:O,
  CALC_GAMES_BASE!C:C, B15,
  CALC_GAMES_BASE!A:A, A15,CALC_GAMES_BASE!Z:Z,J15)</f>
        <v>3.8269230769230771</v>
      </c>
      <c r="L15">
        <f t="shared" si="1"/>
        <v>-1.4784467787114848</v>
      </c>
    </row>
  </sheetData>
  <autoFilter ref="A1:L17" xr:uid="{CB3A0BD4-F438-4FBD-B16E-B95ADB1958BE}">
    <sortState xmlns:xlrd2="http://schemas.microsoft.com/office/spreadsheetml/2017/richdata2" ref="A2:L17">
      <sortCondition descending="1" ref="L1:L17"/>
    </sortState>
  </autoFilter>
  <phoneticPr fontId="4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EF72-4434-453D-979D-4B651B209497}">
  <sheetPr>
    <tabColor rgb="FF92D050"/>
  </sheetPr>
  <dimension ref="A1:Z731"/>
  <sheetViews>
    <sheetView topLeftCell="A720" workbookViewId="0">
      <selection activeCell="D731" sqref="D731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5.85546875" bestFit="1" customWidth="1"/>
    <col min="4" max="4" width="9.7109375" bestFit="1" customWidth="1"/>
    <col min="5" max="5" width="10.140625" bestFit="1" customWidth="1"/>
    <col min="6" max="6" width="9.85546875" bestFit="1" customWidth="1"/>
    <col min="7" max="7" width="13.7109375" bestFit="1" customWidth="1"/>
    <col min="8" max="8" width="10" bestFit="1" customWidth="1"/>
    <col min="9" max="9" width="9.5703125" bestFit="1" customWidth="1"/>
    <col min="10" max="10" width="13.42578125" bestFit="1" customWidth="1"/>
    <col min="11" max="11" width="9.7109375" bestFit="1" customWidth="1"/>
    <col min="12" max="12" width="6.85546875" bestFit="1" customWidth="1"/>
    <col min="13" max="13" width="10.5703125" bestFit="1" customWidth="1"/>
    <col min="14" max="14" width="7" bestFit="1" customWidth="1"/>
    <col min="15" max="15" width="5.5703125" bestFit="1" customWidth="1"/>
    <col min="16" max="16" width="5.42578125" bestFit="1" customWidth="1"/>
    <col min="17" max="17" width="8" bestFit="1" customWidth="1"/>
    <col min="18" max="18" width="5.5703125" bestFit="1" customWidth="1"/>
    <col min="19" max="19" width="6.5703125" bestFit="1" customWidth="1"/>
    <col min="20" max="20" width="8" bestFit="1" customWidth="1"/>
    <col min="21" max="21" width="11.5703125" customWidth="1"/>
    <col min="22" max="22" width="18.28515625" bestFit="1" customWidth="1"/>
    <col min="23" max="23" width="14.5703125" bestFit="1" customWidth="1"/>
    <col min="24" max="24" width="15.140625" bestFit="1" customWidth="1"/>
    <col min="25" max="25" width="4.42578125" bestFit="1" customWidth="1"/>
  </cols>
  <sheetData>
    <row r="1" spans="1:26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55</v>
      </c>
      <c r="I1" t="s">
        <v>7</v>
      </c>
      <c r="J1" t="s">
        <v>8</v>
      </c>
      <c r="K1" t="s">
        <v>56</v>
      </c>
      <c r="L1" t="s">
        <v>10</v>
      </c>
      <c r="M1" t="s">
        <v>11</v>
      </c>
      <c r="N1" t="s">
        <v>57</v>
      </c>
      <c r="O1" t="s">
        <v>13</v>
      </c>
      <c r="P1" t="s">
        <v>12</v>
      </c>
      <c r="Q1" t="s">
        <v>58</v>
      </c>
      <c r="R1" t="s">
        <v>29</v>
      </c>
      <c r="S1" t="s">
        <v>14</v>
      </c>
      <c r="T1" t="s">
        <v>59</v>
      </c>
      <c r="U1" t="s">
        <v>138</v>
      </c>
      <c r="V1" t="s">
        <v>139</v>
      </c>
      <c r="W1" t="s">
        <v>15</v>
      </c>
      <c r="X1" t="s">
        <v>16</v>
      </c>
      <c r="Y1" t="s">
        <v>54</v>
      </c>
      <c r="Z1" t="s">
        <v>120</v>
      </c>
    </row>
    <row r="2" spans="1:26" x14ac:dyDescent="0.25">
      <c r="A2" t="str">
        <f>RAW_GAMES!A2</f>
        <v>25/26</v>
      </c>
      <c r="B2" s="3">
        <f>RAW_GAMES!B2</f>
        <v>45909</v>
      </c>
      <c r="C2" s="3" t="str">
        <f>RAW_GAMES!E2</f>
        <v>SPA</v>
      </c>
      <c r="D2" s="3" t="str">
        <f>RAW_GAMES!F2</f>
        <v>CEB</v>
      </c>
      <c r="E2" s="7">
        <f>RAW_GAMES!G2</f>
        <v>0</v>
      </c>
      <c r="F2">
        <f>RAW_GAMES!H2</f>
        <v>3</v>
      </c>
      <c r="G2">
        <f>RAW_GAMES!I2</f>
        <v>2</v>
      </c>
      <c r="H2">
        <f>F2-G2</f>
        <v>1</v>
      </c>
      <c r="I2">
        <f>RAW_GAMES!J2</f>
        <v>26</v>
      </c>
      <c r="J2">
        <f>RAW_GAMES!K2</f>
        <v>28</v>
      </c>
      <c r="K2">
        <f>I2-J2</f>
        <v>-2</v>
      </c>
      <c r="L2">
        <f>IF(RAW_GAMES!L2="","",RAW_GAMES!L2)</f>
        <v>2.2999999999999998</v>
      </c>
      <c r="M2">
        <f>IF(RAW_GAMES!M2="","",RAW_GAMES!M2)</f>
        <v>1.69</v>
      </c>
      <c r="N2">
        <f>IF(L2="","",L2-M2)</f>
        <v>0.60999999999999988</v>
      </c>
      <c r="O2" s="7">
        <f>RAW_GAMES!O2</f>
        <v>2</v>
      </c>
      <c r="P2">
        <f>RAW_GAMES!N2</f>
        <v>0</v>
      </c>
      <c r="Q2">
        <f>IF(O2&gt;0,P2/O2,0)</f>
        <v>0</v>
      </c>
      <c r="R2" s="7">
        <f>RAW_GAMES!Q2</f>
        <v>3</v>
      </c>
      <c r="S2">
        <f>RAW_GAMES!P2</f>
        <v>0</v>
      </c>
      <c r="T2">
        <f>IF(R2&gt;0, 1-(S2/R2),1)</f>
        <v>1</v>
      </c>
      <c r="U2">
        <f>_xlfn.XLOOKUP(C2,
  CALC_TEAMS_SEASON!B:B,
  CALC_TEAMS_SEASON!F:F)</f>
        <v>0.22060439560439565</v>
      </c>
      <c r="V2">
        <f>_xlfn.XLOOKUP(D2,
  CALC_TEAMS_SEASON!B:B,
  CALC_TEAMS_SEASON!F:F)</f>
        <v>0.13021353646353648</v>
      </c>
      <c r="W2" t="str">
        <f>RAW_GAMES!R2</f>
        <v>Kořenář</v>
      </c>
      <c r="X2" s="7">
        <f>RAW_GAMES!S2</f>
        <v>26</v>
      </c>
      <c r="Y2">
        <f>IF(F2&gt;G2,1,0)</f>
        <v>1</v>
      </c>
      <c r="Z2" t="str">
        <f>RAW_GAMES!V2</f>
        <v>RS</v>
      </c>
    </row>
    <row r="3" spans="1:26" x14ac:dyDescent="0.25">
      <c r="A3" t="str">
        <f>RAW_GAMES!A3</f>
        <v>25/26</v>
      </c>
      <c r="B3" s="3">
        <f>RAW_GAMES!B3</f>
        <v>45909</v>
      </c>
      <c r="C3" s="3" t="str">
        <f>RAW_GAMES!E3</f>
        <v>CEB</v>
      </c>
      <c r="D3" s="3" t="str">
        <f>RAW_GAMES!F3</f>
        <v>SPA</v>
      </c>
      <c r="E3" s="7">
        <f>RAW_GAMES!G3</f>
        <v>1</v>
      </c>
      <c r="F3">
        <f>RAW_GAMES!H3</f>
        <v>2</v>
      </c>
      <c r="G3">
        <f>RAW_GAMES!I3</f>
        <v>3</v>
      </c>
      <c r="H3">
        <f t="shared" ref="H3:H66" si="0">F3-G3</f>
        <v>-1</v>
      </c>
      <c r="I3">
        <f>RAW_GAMES!J3</f>
        <v>28</v>
      </c>
      <c r="J3">
        <f>RAW_GAMES!K3</f>
        <v>26</v>
      </c>
      <c r="K3">
        <f t="shared" ref="K3:K66" si="1">I3-J3</f>
        <v>2</v>
      </c>
      <c r="L3">
        <f>IF(RAW_GAMES!L3="","",RAW_GAMES!L3)</f>
        <v>1.69</v>
      </c>
      <c r="M3">
        <f>IF(RAW_GAMES!M3="","",RAW_GAMES!M3)</f>
        <v>2.2999999999999998</v>
      </c>
      <c r="N3">
        <f t="shared" ref="N3:N66" si="2">IF(L3="","",L3-M3)</f>
        <v>-0.60999999999999988</v>
      </c>
      <c r="O3" s="7">
        <f>RAW_GAMES!O3</f>
        <v>3</v>
      </c>
      <c r="P3">
        <f>RAW_GAMES!N3</f>
        <v>0</v>
      </c>
      <c r="Q3">
        <f t="shared" ref="Q3:Q66" si="3">IF(O3&gt;0,P3/O3,0)</f>
        <v>0</v>
      </c>
      <c r="R3" s="7">
        <f>RAW_GAMES!Q3</f>
        <v>2</v>
      </c>
      <c r="S3">
        <f>RAW_GAMES!P3</f>
        <v>0</v>
      </c>
      <c r="T3">
        <f t="shared" ref="T3:T66" si="4">IF(R3&gt;0, 1-(S3/R3),1)</f>
        <v>1</v>
      </c>
      <c r="U3">
        <f>_xlfn.XLOOKUP(C3,
  CALC_TEAMS_SEASON!B:B,
  CALC_TEAMS_SEASON!F:F)</f>
        <v>0.13021353646353648</v>
      </c>
      <c r="V3">
        <f>_xlfn.XLOOKUP(D3,
  CALC_TEAMS_SEASON!B:B,
  CALC_TEAMS_SEASON!F:F)</f>
        <v>0.22060439560439565</v>
      </c>
      <c r="W3" t="str">
        <f>RAW_GAMES!R3</f>
        <v>Strmeň</v>
      </c>
      <c r="X3" s="7">
        <f>RAW_GAMES!S3</f>
        <v>23</v>
      </c>
      <c r="Y3">
        <f t="shared" ref="Y3:Y66" si="5">IF(F3&gt;G3,1,0)</f>
        <v>0</v>
      </c>
      <c r="Z3" t="str">
        <f>RAW_GAMES!V3</f>
        <v>RS</v>
      </c>
    </row>
    <row r="4" spans="1:26" x14ac:dyDescent="0.25">
      <c r="A4" t="str">
        <f>RAW_GAMES!A4</f>
        <v>25/26</v>
      </c>
      <c r="B4" s="3">
        <f>RAW_GAMES!B4</f>
        <v>45910</v>
      </c>
      <c r="C4" s="3" t="str">
        <f>RAW_GAMES!E4</f>
        <v>PCE</v>
      </c>
      <c r="D4" s="3" t="str">
        <f>RAW_GAMES!F4</f>
        <v>MHK</v>
      </c>
      <c r="E4" s="7">
        <f>RAW_GAMES!G4</f>
        <v>1</v>
      </c>
      <c r="F4">
        <f>RAW_GAMES!H4</f>
        <v>7</v>
      </c>
      <c r="G4">
        <f>RAW_GAMES!I4</f>
        <v>1</v>
      </c>
      <c r="H4">
        <f t="shared" si="0"/>
        <v>6</v>
      </c>
      <c r="I4">
        <f>RAW_GAMES!J4</f>
        <v>29</v>
      </c>
      <c r="J4">
        <f>RAW_GAMES!K4</f>
        <v>33</v>
      </c>
      <c r="K4">
        <f t="shared" si="1"/>
        <v>-4</v>
      </c>
      <c r="L4" t="str">
        <f>IF(RAW_GAMES!L4="","",RAW_GAMES!L4)</f>
        <v/>
      </c>
      <c r="M4" t="str">
        <f>IF(RAW_GAMES!M4="","",RAW_GAMES!M4)</f>
        <v/>
      </c>
      <c r="N4" t="str">
        <f t="shared" si="2"/>
        <v/>
      </c>
      <c r="O4" s="7">
        <f>RAW_GAMES!O4</f>
        <v>6</v>
      </c>
      <c r="P4">
        <f>RAW_GAMES!N4</f>
        <v>3</v>
      </c>
      <c r="Q4">
        <f t="shared" si="3"/>
        <v>0.5</v>
      </c>
      <c r="R4" s="7">
        <f>RAW_GAMES!Q4</f>
        <v>8</v>
      </c>
      <c r="S4">
        <f>RAW_GAMES!P4</f>
        <v>0</v>
      </c>
      <c r="T4">
        <f t="shared" si="4"/>
        <v>1</v>
      </c>
      <c r="U4">
        <f>_xlfn.XLOOKUP(C4,
  CALC_TEAMS_SEASON!B:B,
  CALC_TEAMS_SEASON!F:F)</f>
        <v>0.20297619047619053</v>
      </c>
      <c r="V4">
        <f>_xlfn.XLOOKUP(D4,
  CALC_TEAMS_SEASON!B:B,
  CALC_TEAMS_SEASON!F:F)</f>
        <v>0.14184981684981687</v>
      </c>
      <c r="W4" t="str">
        <f>RAW_GAMES!R4</f>
        <v>Will</v>
      </c>
      <c r="X4" s="7">
        <f>RAW_GAMES!S4</f>
        <v>32</v>
      </c>
      <c r="Y4">
        <f t="shared" si="5"/>
        <v>1</v>
      </c>
      <c r="Z4" t="str">
        <f>RAW_GAMES!V4</f>
        <v>RS</v>
      </c>
    </row>
    <row r="5" spans="1:26" x14ac:dyDescent="0.25">
      <c r="A5" t="str">
        <f>RAW_GAMES!A5</f>
        <v>25/26</v>
      </c>
      <c r="B5" s="3">
        <f>RAW_GAMES!B5</f>
        <v>45910</v>
      </c>
      <c r="C5" s="3" t="str">
        <f>RAW_GAMES!E5</f>
        <v>TRI</v>
      </c>
      <c r="D5" s="3" t="str">
        <f>RAW_GAMES!F5</f>
        <v>OLO</v>
      </c>
      <c r="E5" s="7">
        <f>RAW_GAMES!G5</f>
        <v>1</v>
      </c>
      <c r="F5">
        <f>RAW_GAMES!H5</f>
        <v>8</v>
      </c>
      <c r="G5">
        <f>RAW_GAMES!I5</f>
        <v>2</v>
      </c>
      <c r="H5">
        <f t="shared" si="0"/>
        <v>6</v>
      </c>
      <c r="I5">
        <f>RAW_GAMES!J5</f>
        <v>38</v>
      </c>
      <c r="J5">
        <f>RAW_GAMES!K5</f>
        <v>30</v>
      </c>
      <c r="K5">
        <f t="shared" si="1"/>
        <v>8</v>
      </c>
      <c r="L5">
        <f>IF(RAW_GAMES!L5="","",RAW_GAMES!L5)</f>
        <v>2.74</v>
      </c>
      <c r="M5">
        <f>IF(RAW_GAMES!M5="","",RAW_GAMES!M5)</f>
        <v>3.24</v>
      </c>
      <c r="N5">
        <f t="shared" si="2"/>
        <v>-0.5</v>
      </c>
      <c r="O5" s="7">
        <f>RAW_GAMES!O5</f>
        <v>4</v>
      </c>
      <c r="P5">
        <f>RAW_GAMES!N5</f>
        <v>3</v>
      </c>
      <c r="Q5">
        <f t="shared" si="3"/>
        <v>0.75</v>
      </c>
      <c r="R5" s="7">
        <f>RAW_GAMES!Q5</f>
        <v>3</v>
      </c>
      <c r="S5">
        <f>RAW_GAMES!P5</f>
        <v>0</v>
      </c>
      <c r="T5">
        <f t="shared" si="4"/>
        <v>1</v>
      </c>
      <c r="U5">
        <f>_xlfn.XLOOKUP(C5,
  CALC_TEAMS_SEASON!B:B,
  CALC_TEAMS_SEASON!F:F)</f>
        <v>0.17437423687423692</v>
      </c>
      <c r="V5">
        <f>_xlfn.XLOOKUP(D5,
  CALC_TEAMS_SEASON!B:B,
  CALC_TEAMS_SEASON!F:F)</f>
        <v>0.14989316239316242</v>
      </c>
      <c r="W5" t="str">
        <f>RAW_GAMES!R5</f>
        <v>Kacetl</v>
      </c>
      <c r="X5" s="7">
        <f>RAW_GAMES!S5</f>
        <v>28</v>
      </c>
      <c r="Y5">
        <f t="shared" si="5"/>
        <v>1</v>
      </c>
      <c r="Z5" t="str">
        <f>RAW_GAMES!V5</f>
        <v>RS</v>
      </c>
    </row>
    <row r="6" spans="1:26" x14ac:dyDescent="0.25">
      <c r="A6" t="str">
        <f>RAW_GAMES!A6</f>
        <v>25/26</v>
      </c>
      <c r="B6" s="3">
        <f>RAW_GAMES!B6</f>
        <v>45910</v>
      </c>
      <c r="C6" s="3" t="str">
        <f>RAW_GAMES!E6</f>
        <v>KOM</v>
      </c>
      <c r="D6" s="3" t="str">
        <f>RAW_GAMES!F6</f>
        <v>LIT</v>
      </c>
      <c r="E6" s="7">
        <f>RAW_GAMES!G6</f>
        <v>1</v>
      </c>
      <c r="F6">
        <f>RAW_GAMES!H6</f>
        <v>4</v>
      </c>
      <c r="G6">
        <f>RAW_GAMES!I6</f>
        <v>2</v>
      </c>
      <c r="H6">
        <f t="shared" si="0"/>
        <v>2</v>
      </c>
      <c r="I6">
        <f>RAW_GAMES!J6</f>
        <v>28</v>
      </c>
      <c r="J6">
        <f>RAW_GAMES!K6</f>
        <v>14</v>
      </c>
      <c r="K6">
        <f t="shared" si="1"/>
        <v>14</v>
      </c>
      <c r="L6" t="str">
        <f>IF(RAW_GAMES!L6="","",RAW_GAMES!L6)</f>
        <v/>
      </c>
      <c r="M6" t="str">
        <f>IF(RAW_GAMES!M6="","",RAW_GAMES!M6)</f>
        <v/>
      </c>
      <c r="N6" t="str">
        <f t="shared" si="2"/>
        <v/>
      </c>
      <c r="O6" s="7">
        <f>RAW_GAMES!O6</f>
        <v>7</v>
      </c>
      <c r="P6">
        <f>RAW_GAMES!N6</f>
        <v>0</v>
      </c>
      <c r="Q6">
        <f t="shared" si="3"/>
        <v>0</v>
      </c>
      <c r="R6" s="7">
        <f>RAW_GAMES!Q6</f>
        <v>5</v>
      </c>
      <c r="S6">
        <f>RAW_GAMES!P6</f>
        <v>1</v>
      </c>
      <c r="T6">
        <f t="shared" si="4"/>
        <v>0.8</v>
      </c>
      <c r="U6">
        <f>_xlfn.XLOOKUP(C6,
  CALC_TEAMS_SEASON!B:B,
  CALC_TEAMS_SEASON!F:F)</f>
        <v>0.14358974358974358</v>
      </c>
      <c r="V6">
        <f>_xlfn.XLOOKUP(D6,
  CALC_TEAMS_SEASON!B:B,
  CALC_TEAMS_SEASON!F:F)</f>
        <v>0.10089285714285713</v>
      </c>
      <c r="W6" t="str">
        <f>RAW_GAMES!R6</f>
        <v>Stezka</v>
      </c>
      <c r="X6" s="7">
        <f>RAW_GAMES!S6</f>
        <v>12</v>
      </c>
      <c r="Y6">
        <f t="shared" si="5"/>
        <v>1</v>
      </c>
      <c r="Z6" t="str">
        <f>RAW_GAMES!V6</f>
        <v>RS</v>
      </c>
    </row>
    <row r="7" spans="1:26" x14ac:dyDescent="0.25">
      <c r="A7" t="str">
        <f>RAW_GAMES!A7</f>
        <v>25/26</v>
      </c>
      <c r="B7" s="3">
        <f>RAW_GAMES!B7</f>
        <v>45910</v>
      </c>
      <c r="C7" s="3" t="str">
        <f>RAW_GAMES!E7</f>
        <v>KLA</v>
      </c>
      <c r="D7" s="3" t="str">
        <f>RAW_GAMES!F7</f>
        <v>MBL</v>
      </c>
      <c r="E7" s="7">
        <f>RAW_GAMES!G7</f>
        <v>1</v>
      </c>
      <c r="F7">
        <f>RAW_GAMES!H7</f>
        <v>1</v>
      </c>
      <c r="G7">
        <f>RAW_GAMES!I7</f>
        <v>2</v>
      </c>
      <c r="H7">
        <f t="shared" si="0"/>
        <v>-1</v>
      </c>
      <c r="I7">
        <f>RAW_GAMES!J7</f>
        <v>28</v>
      </c>
      <c r="J7">
        <f>RAW_GAMES!K7</f>
        <v>15</v>
      </c>
      <c r="K7">
        <f t="shared" si="1"/>
        <v>13</v>
      </c>
      <c r="L7" t="str">
        <f>IF(RAW_GAMES!L7="","",RAW_GAMES!L7)</f>
        <v/>
      </c>
      <c r="M7" t="str">
        <f>IF(RAW_GAMES!M7="","",RAW_GAMES!M7)</f>
        <v/>
      </c>
      <c r="N7" t="str">
        <f t="shared" si="2"/>
        <v/>
      </c>
      <c r="O7" s="7">
        <f>RAW_GAMES!O7</f>
        <v>5</v>
      </c>
      <c r="P7">
        <f>RAW_GAMES!N7</f>
        <v>0</v>
      </c>
      <c r="Q7">
        <f t="shared" si="3"/>
        <v>0</v>
      </c>
      <c r="R7" s="7">
        <f>RAW_GAMES!Q7</f>
        <v>5</v>
      </c>
      <c r="S7">
        <f>RAW_GAMES!P7</f>
        <v>1</v>
      </c>
      <c r="T7">
        <f t="shared" si="4"/>
        <v>0.8</v>
      </c>
      <c r="U7">
        <f>_xlfn.XLOOKUP(C7,
  CALC_TEAMS_SEASON!B:B,
  CALC_TEAMS_SEASON!F:F)</f>
        <v>0.13120421245421243</v>
      </c>
      <c r="V7">
        <f>_xlfn.XLOOKUP(D7,
  CALC_TEAMS_SEASON!B:B,
  CALC_TEAMS_SEASON!F:F)</f>
        <v>0.11826923076923078</v>
      </c>
      <c r="W7" t="str">
        <f>RAW_GAMES!R7</f>
        <v>Brízgala</v>
      </c>
      <c r="X7" s="7">
        <f>RAW_GAMES!S7</f>
        <v>13</v>
      </c>
      <c r="Y7">
        <f t="shared" si="5"/>
        <v>0</v>
      </c>
      <c r="Z7" t="str">
        <f>RAW_GAMES!V7</f>
        <v>RS</v>
      </c>
    </row>
    <row r="8" spans="1:26" x14ac:dyDescent="0.25">
      <c r="A8" t="str">
        <f>RAW_GAMES!A8</f>
        <v>25/26</v>
      </c>
      <c r="B8" s="3">
        <f>RAW_GAMES!B8</f>
        <v>45910</v>
      </c>
      <c r="C8" s="3" t="str">
        <f>RAW_GAMES!E8</f>
        <v>KVA</v>
      </c>
      <c r="D8" s="3" t="str">
        <f>RAW_GAMES!F8</f>
        <v>VIT</v>
      </c>
      <c r="E8" s="7">
        <f>RAW_GAMES!G8</f>
        <v>1</v>
      </c>
      <c r="F8">
        <f>RAW_GAMES!H8</f>
        <v>4</v>
      </c>
      <c r="G8">
        <f>RAW_GAMES!I8</f>
        <v>7</v>
      </c>
      <c r="H8">
        <f t="shared" si="0"/>
        <v>-3</v>
      </c>
      <c r="I8">
        <f>RAW_GAMES!J8</f>
        <v>31</v>
      </c>
      <c r="J8">
        <f>RAW_GAMES!K8</f>
        <v>24</v>
      </c>
      <c r="K8">
        <f t="shared" si="1"/>
        <v>7</v>
      </c>
      <c r="L8" t="str">
        <f>IF(RAW_GAMES!L8="","",RAW_GAMES!L8)</f>
        <v/>
      </c>
      <c r="M8" t="str">
        <f>IF(RAW_GAMES!M8="","",RAW_GAMES!M8)</f>
        <v/>
      </c>
      <c r="N8" t="str">
        <f t="shared" si="2"/>
        <v/>
      </c>
      <c r="O8" s="7">
        <f>RAW_GAMES!O8</f>
        <v>6</v>
      </c>
      <c r="P8">
        <f>RAW_GAMES!N8</f>
        <v>1</v>
      </c>
      <c r="Q8">
        <f t="shared" si="3"/>
        <v>0.16666666666666666</v>
      </c>
      <c r="R8" s="7">
        <f>RAW_GAMES!Q8</f>
        <v>6</v>
      </c>
      <c r="S8">
        <f>RAW_GAMES!P8</f>
        <v>1</v>
      </c>
      <c r="T8">
        <f t="shared" si="4"/>
        <v>0.83333333333333337</v>
      </c>
      <c r="U8">
        <f>_xlfn.XLOOKUP(C8,
  CALC_TEAMS_SEASON!B:B,
  CALC_TEAMS_SEASON!F:F)</f>
        <v>0.17387057387057389</v>
      </c>
      <c r="V8">
        <f>_xlfn.XLOOKUP(D8,
  CALC_TEAMS_SEASON!B:B,
  CALC_TEAMS_SEASON!F:F)</f>
        <v>0.16984890109890113</v>
      </c>
      <c r="W8" t="str">
        <f>RAW_GAMES!R8</f>
        <v>Král</v>
      </c>
      <c r="X8" s="7">
        <f>RAW_GAMES!S8</f>
        <v>17</v>
      </c>
      <c r="Y8">
        <f t="shared" si="5"/>
        <v>0</v>
      </c>
      <c r="Z8" t="str">
        <f>RAW_GAMES!V8</f>
        <v>RS</v>
      </c>
    </row>
    <row r="9" spans="1:26" x14ac:dyDescent="0.25">
      <c r="A9" t="str">
        <f>RAW_GAMES!A9</f>
        <v>25/26</v>
      </c>
      <c r="B9" s="3">
        <f>RAW_GAMES!B9</f>
        <v>45910</v>
      </c>
      <c r="C9" s="3" t="str">
        <f>RAW_GAMES!E9</f>
        <v>LIB</v>
      </c>
      <c r="D9" s="3" t="str">
        <f>RAW_GAMES!F9</f>
        <v>PLZ</v>
      </c>
      <c r="E9" s="7">
        <f>RAW_GAMES!G9</f>
        <v>1</v>
      </c>
      <c r="F9">
        <f>RAW_GAMES!H9</f>
        <v>1</v>
      </c>
      <c r="G9">
        <f>RAW_GAMES!I9</f>
        <v>3</v>
      </c>
      <c r="H9">
        <f t="shared" si="0"/>
        <v>-2</v>
      </c>
      <c r="I9">
        <f>RAW_GAMES!J9</f>
        <v>24</v>
      </c>
      <c r="J9">
        <f>RAW_GAMES!K9</f>
        <v>25</v>
      </c>
      <c r="K9">
        <f t="shared" si="1"/>
        <v>-1</v>
      </c>
      <c r="L9" t="str">
        <f>IF(RAW_GAMES!L9="","",RAW_GAMES!L9)</f>
        <v/>
      </c>
      <c r="M9" t="str">
        <f>IF(RAW_GAMES!M9="","",RAW_GAMES!M9)</f>
        <v/>
      </c>
      <c r="N9" t="str">
        <f t="shared" si="2"/>
        <v/>
      </c>
      <c r="O9" s="7">
        <f>RAW_GAMES!O9</f>
        <v>5</v>
      </c>
      <c r="P9">
        <f>RAW_GAMES!N9</f>
        <v>0</v>
      </c>
      <c r="Q9">
        <f t="shared" si="3"/>
        <v>0</v>
      </c>
      <c r="R9" s="7">
        <f>RAW_GAMES!Q9</f>
        <v>6</v>
      </c>
      <c r="S9">
        <f>RAW_GAMES!P9</f>
        <v>0</v>
      </c>
      <c r="T9">
        <f t="shared" si="4"/>
        <v>1</v>
      </c>
      <c r="U9">
        <f>_xlfn.XLOOKUP(C9,
  CALC_TEAMS_SEASON!B:B,
  CALC_TEAMS_SEASON!F:F)</f>
        <v>0.14377289377289379</v>
      </c>
      <c r="V9">
        <f>_xlfn.XLOOKUP(D9,
  CALC_TEAMS_SEASON!B:B,
  CALC_TEAMS_SEASON!F:F)</f>
        <v>0.17641178266178262</v>
      </c>
      <c r="W9" t="str">
        <f>RAW_GAMES!R9</f>
        <v>Kváča</v>
      </c>
      <c r="X9" s="7">
        <f>RAW_GAMES!S9</f>
        <v>22</v>
      </c>
      <c r="Y9">
        <f t="shared" si="5"/>
        <v>0</v>
      </c>
      <c r="Z9" t="str">
        <f>RAW_GAMES!V9</f>
        <v>RS</v>
      </c>
    </row>
    <row r="10" spans="1:26" x14ac:dyDescent="0.25">
      <c r="A10" t="str">
        <f>RAW_GAMES!A10</f>
        <v>25/26</v>
      </c>
      <c r="B10" s="3">
        <f>RAW_GAMES!B10</f>
        <v>45910</v>
      </c>
      <c r="C10" s="3" t="str">
        <f>RAW_GAMES!E10</f>
        <v>LIT</v>
      </c>
      <c r="D10" s="3" t="str">
        <f>RAW_GAMES!F10</f>
        <v>KOM</v>
      </c>
      <c r="E10" s="7">
        <f>RAW_GAMES!G10</f>
        <v>0</v>
      </c>
      <c r="F10">
        <f>RAW_GAMES!H10</f>
        <v>2</v>
      </c>
      <c r="G10">
        <f>RAW_GAMES!I10</f>
        <v>4</v>
      </c>
      <c r="H10">
        <f t="shared" si="0"/>
        <v>-2</v>
      </c>
      <c r="I10">
        <f>RAW_GAMES!J10</f>
        <v>14</v>
      </c>
      <c r="J10">
        <f>RAW_GAMES!K10</f>
        <v>28</v>
      </c>
      <c r="K10">
        <f t="shared" si="1"/>
        <v>-14</v>
      </c>
      <c r="L10" t="str">
        <f>IF(RAW_GAMES!L10="","",RAW_GAMES!L10)</f>
        <v/>
      </c>
      <c r="M10" t="str">
        <f>IF(RAW_GAMES!M10="","",RAW_GAMES!M10)</f>
        <v/>
      </c>
      <c r="N10" t="str">
        <f t="shared" si="2"/>
        <v/>
      </c>
      <c r="O10" s="7">
        <f>RAW_GAMES!O10</f>
        <v>5</v>
      </c>
      <c r="P10">
        <f>RAW_GAMES!N10</f>
        <v>1</v>
      </c>
      <c r="Q10">
        <f t="shared" si="3"/>
        <v>0.2</v>
      </c>
      <c r="R10" s="7">
        <f>RAW_GAMES!Q10</f>
        <v>7</v>
      </c>
      <c r="S10">
        <f>RAW_GAMES!P10</f>
        <v>0</v>
      </c>
      <c r="T10">
        <f t="shared" si="4"/>
        <v>1</v>
      </c>
      <c r="U10">
        <f>_xlfn.XLOOKUP(C10,
  CALC_TEAMS_SEASON!B:B,
  CALC_TEAMS_SEASON!F:F)</f>
        <v>0.10089285714285713</v>
      </c>
      <c r="V10">
        <f>_xlfn.XLOOKUP(D10,
  CALC_TEAMS_SEASON!B:B,
  CALC_TEAMS_SEASON!F:F)</f>
        <v>0.14358974358974358</v>
      </c>
      <c r="W10" t="str">
        <f>RAW_GAMES!R10</f>
        <v>Tomek</v>
      </c>
      <c r="X10" s="7">
        <f>RAW_GAMES!S10</f>
        <v>24</v>
      </c>
      <c r="Y10">
        <f t="shared" si="5"/>
        <v>0</v>
      </c>
      <c r="Z10" t="str">
        <f>RAW_GAMES!V10</f>
        <v>RS</v>
      </c>
    </row>
    <row r="11" spans="1:26" x14ac:dyDescent="0.25">
      <c r="A11" t="str">
        <f>RAW_GAMES!A11</f>
        <v>25/26</v>
      </c>
      <c r="B11" s="3">
        <f>RAW_GAMES!B11</f>
        <v>45910</v>
      </c>
      <c r="C11" s="3" t="str">
        <f>RAW_GAMES!E11</f>
        <v>MBL</v>
      </c>
      <c r="D11" s="3" t="str">
        <f>RAW_GAMES!F11</f>
        <v>KLA</v>
      </c>
      <c r="E11" s="7">
        <f>RAW_GAMES!G11</f>
        <v>0</v>
      </c>
      <c r="F11">
        <f>RAW_GAMES!H11</f>
        <v>2</v>
      </c>
      <c r="G11">
        <f>RAW_GAMES!I11</f>
        <v>1</v>
      </c>
      <c r="H11">
        <f t="shared" si="0"/>
        <v>1</v>
      </c>
      <c r="I11">
        <f>RAW_GAMES!J11</f>
        <v>15</v>
      </c>
      <c r="J11">
        <f>RAW_GAMES!K11</f>
        <v>28</v>
      </c>
      <c r="K11">
        <f t="shared" si="1"/>
        <v>-13</v>
      </c>
      <c r="L11" t="str">
        <f>IF(RAW_GAMES!L11="","",RAW_GAMES!L11)</f>
        <v/>
      </c>
      <c r="M11" t="str">
        <f>IF(RAW_GAMES!M11="","",RAW_GAMES!M11)</f>
        <v/>
      </c>
      <c r="N11" t="str">
        <f t="shared" si="2"/>
        <v/>
      </c>
      <c r="O11" s="7">
        <f>RAW_GAMES!O11</f>
        <v>5</v>
      </c>
      <c r="P11">
        <f>RAW_GAMES!N11</f>
        <v>1</v>
      </c>
      <c r="Q11">
        <f t="shared" si="3"/>
        <v>0.2</v>
      </c>
      <c r="R11" s="7">
        <f>RAW_GAMES!Q11</f>
        <v>5</v>
      </c>
      <c r="S11">
        <f>RAW_GAMES!P11</f>
        <v>0</v>
      </c>
      <c r="T11">
        <f t="shared" si="4"/>
        <v>1</v>
      </c>
      <c r="U11">
        <f>_xlfn.XLOOKUP(C11,
  CALC_TEAMS_SEASON!B:B,
  CALC_TEAMS_SEASON!F:F)</f>
        <v>0.11826923076923078</v>
      </c>
      <c r="V11">
        <f>_xlfn.XLOOKUP(D11,
  CALC_TEAMS_SEASON!B:B,
  CALC_TEAMS_SEASON!F:F)</f>
        <v>0.13120421245421243</v>
      </c>
      <c r="W11" t="str">
        <f>RAW_GAMES!R11</f>
        <v>Furch</v>
      </c>
      <c r="X11" s="7">
        <f>RAW_GAMES!S11</f>
        <v>27</v>
      </c>
      <c r="Y11">
        <f t="shared" si="5"/>
        <v>1</v>
      </c>
      <c r="Z11" t="str">
        <f>RAW_GAMES!V11</f>
        <v>RS</v>
      </c>
    </row>
    <row r="12" spans="1:26" x14ac:dyDescent="0.25">
      <c r="A12" t="str">
        <f>RAW_GAMES!A12</f>
        <v>25/26</v>
      </c>
      <c r="B12" s="3">
        <f>RAW_GAMES!B12</f>
        <v>45910</v>
      </c>
      <c r="C12" s="3" t="str">
        <f>RAW_GAMES!E12</f>
        <v>MHK</v>
      </c>
      <c r="D12" s="3" t="str">
        <f>RAW_GAMES!F12</f>
        <v>PCE</v>
      </c>
      <c r="E12" s="7">
        <f>RAW_GAMES!G12</f>
        <v>0</v>
      </c>
      <c r="F12">
        <f>RAW_GAMES!H12</f>
        <v>1</v>
      </c>
      <c r="G12">
        <f>RAW_GAMES!I12</f>
        <v>7</v>
      </c>
      <c r="H12">
        <f t="shared" si="0"/>
        <v>-6</v>
      </c>
      <c r="I12">
        <f>RAW_GAMES!J12</f>
        <v>33</v>
      </c>
      <c r="J12">
        <f>RAW_GAMES!K12</f>
        <v>29</v>
      </c>
      <c r="K12">
        <f t="shared" si="1"/>
        <v>4</v>
      </c>
      <c r="L12" t="str">
        <f>IF(RAW_GAMES!L12="","",RAW_GAMES!L12)</f>
        <v/>
      </c>
      <c r="M12" t="str">
        <f>IF(RAW_GAMES!M12="","",RAW_GAMES!M12)</f>
        <v/>
      </c>
      <c r="N12" t="str">
        <f t="shared" si="2"/>
        <v/>
      </c>
      <c r="O12" s="7">
        <f>RAW_GAMES!O12</f>
        <v>6</v>
      </c>
      <c r="P12">
        <f>RAW_GAMES!N12</f>
        <v>0</v>
      </c>
      <c r="Q12">
        <f t="shared" si="3"/>
        <v>0</v>
      </c>
      <c r="R12" s="7">
        <f>RAW_GAMES!Q12</f>
        <v>8</v>
      </c>
      <c r="S12">
        <f>RAW_GAMES!P12</f>
        <v>3</v>
      </c>
      <c r="T12">
        <f t="shared" si="4"/>
        <v>0.625</v>
      </c>
      <c r="U12">
        <f>_xlfn.XLOOKUP(C12,
  CALC_TEAMS_SEASON!B:B,
  CALC_TEAMS_SEASON!F:F)</f>
        <v>0.14184981684981687</v>
      </c>
      <c r="V12">
        <f>_xlfn.XLOOKUP(D12,
  CALC_TEAMS_SEASON!B:B,
  CALC_TEAMS_SEASON!F:F)</f>
        <v>0.20297619047619053</v>
      </c>
      <c r="W12" t="str">
        <f>RAW_GAMES!R12</f>
        <v>Novotný</v>
      </c>
      <c r="X12" s="7">
        <f>RAW_GAMES!S12</f>
        <v>26</v>
      </c>
      <c r="Y12">
        <f t="shared" si="5"/>
        <v>0</v>
      </c>
      <c r="Z12" t="str">
        <f>RAW_GAMES!V12</f>
        <v>RS</v>
      </c>
    </row>
    <row r="13" spans="1:26" x14ac:dyDescent="0.25">
      <c r="A13" t="str">
        <f>RAW_GAMES!A13</f>
        <v>25/26</v>
      </c>
      <c r="B13" s="3">
        <f>RAW_GAMES!B13</f>
        <v>45910</v>
      </c>
      <c r="C13" s="3" t="str">
        <f>RAW_GAMES!E13</f>
        <v>OLO</v>
      </c>
      <c r="D13" s="3" t="str">
        <f>RAW_GAMES!F13</f>
        <v>TRI</v>
      </c>
      <c r="E13" s="7">
        <f>RAW_GAMES!G13</f>
        <v>0</v>
      </c>
      <c r="F13">
        <f>RAW_GAMES!H13</f>
        <v>2</v>
      </c>
      <c r="G13">
        <f>RAW_GAMES!I13</f>
        <v>8</v>
      </c>
      <c r="H13">
        <f t="shared" si="0"/>
        <v>-6</v>
      </c>
      <c r="I13">
        <f>RAW_GAMES!J13</f>
        <v>30</v>
      </c>
      <c r="J13">
        <f>RAW_GAMES!K13</f>
        <v>38</v>
      </c>
      <c r="K13">
        <f t="shared" si="1"/>
        <v>-8</v>
      </c>
      <c r="L13">
        <f>IF(RAW_GAMES!L13="","",RAW_GAMES!L13)</f>
        <v>3.24</v>
      </c>
      <c r="M13">
        <f>IF(RAW_GAMES!M13="","",RAW_GAMES!M13)</f>
        <v>2.74</v>
      </c>
      <c r="N13">
        <f t="shared" si="2"/>
        <v>0.5</v>
      </c>
      <c r="O13" s="7">
        <f>RAW_GAMES!O13</f>
        <v>3</v>
      </c>
      <c r="P13">
        <f>RAW_GAMES!N13</f>
        <v>0</v>
      </c>
      <c r="Q13">
        <f t="shared" si="3"/>
        <v>0</v>
      </c>
      <c r="R13" s="7">
        <f>RAW_GAMES!Q13</f>
        <v>4</v>
      </c>
      <c r="S13">
        <f>RAW_GAMES!P13</f>
        <v>3</v>
      </c>
      <c r="T13">
        <f t="shared" si="4"/>
        <v>0.25</v>
      </c>
      <c r="U13">
        <f>_xlfn.XLOOKUP(C13,
  CALC_TEAMS_SEASON!B:B,
  CALC_TEAMS_SEASON!F:F)</f>
        <v>0.14989316239316242</v>
      </c>
      <c r="V13">
        <f>_xlfn.XLOOKUP(D13,
  CALC_TEAMS_SEASON!B:B,
  CALC_TEAMS_SEASON!F:F)</f>
        <v>0.17437423687423692</v>
      </c>
      <c r="W13" t="str">
        <f>RAW_GAMES!R13</f>
        <v>Machovský</v>
      </c>
      <c r="X13" s="7">
        <f>RAW_GAMES!S13</f>
        <v>30</v>
      </c>
      <c r="Y13">
        <f t="shared" si="5"/>
        <v>0</v>
      </c>
      <c r="Z13" t="str">
        <f>RAW_GAMES!V13</f>
        <v>RS</v>
      </c>
    </row>
    <row r="14" spans="1:26" x14ac:dyDescent="0.25">
      <c r="A14" t="str">
        <f>RAW_GAMES!A14</f>
        <v>25/26</v>
      </c>
      <c r="B14" s="3">
        <f>RAW_GAMES!B14</f>
        <v>45910</v>
      </c>
      <c r="C14" s="3" t="str">
        <f>RAW_GAMES!E14</f>
        <v>PLZ</v>
      </c>
      <c r="D14" s="3" t="str">
        <f>RAW_GAMES!F14</f>
        <v>LIB</v>
      </c>
      <c r="E14" s="7">
        <f>RAW_GAMES!G14</f>
        <v>0</v>
      </c>
      <c r="F14">
        <f>RAW_GAMES!H14</f>
        <v>3</v>
      </c>
      <c r="G14">
        <f>RAW_GAMES!I14</f>
        <v>1</v>
      </c>
      <c r="H14">
        <f t="shared" si="0"/>
        <v>2</v>
      </c>
      <c r="I14">
        <f>RAW_GAMES!J14</f>
        <v>25</v>
      </c>
      <c r="J14">
        <f>RAW_GAMES!K14</f>
        <v>24</v>
      </c>
      <c r="K14">
        <f t="shared" si="1"/>
        <v>1</v>
      </c>
      <c r="L14" t="str">
        <f>IF(RAW_GAMES!L14="","",RAW_GAMES!L14)</f>
        <v/>
      </c>
      <c r="M14" t="str">
        <f>IF(RAW_GAMES!M14="","",RAW_GAMES!M14)</f>
        <v/>
      </c>
      <c r="N14" t="str">
        <f t="shared" si="2"/>
        <v/>
      </c>
      <c r="O14" s="7">
        <f>RAW_GAMES!O14</f>
        <v>6</v>
      </c>
      <c r="P14">
        <f>RAW_GAMES!N14</f>
        <v>0</v>
      </c>
      <c r="Q14">
        <f t="shared" si="3"/>
        <v>0</v>
      </c>
      <c r="R14" s="7">
        <f>RAW_GAMES!Q14</f>
        <v>5</v>
      </c>
      <c r="S14">
        <f>RAW_GAMES!P14</f>
        <v>0</v>
      </c>
      <c r="T14">
        <f t="shared" si="4"/>
        <v>1</v>
      </c>
      <c r="U14">
        <f>_xlfn.XLOOKUP(C14,
  CALC_TEAMS_SEASON!B:B,
  CALC_TEAMS_SEASON!F:F)</f>
        <v>0.17641178266178262</v>
      </c>
      <c r="V14">
        <f>_xlfn.XLOOKUP(D14,
  CALC_TEAMS_SEASON!B:B,
  CALC_TEAMS_SEASON!F:F)</f>
        <v>0.14377289377289379</v>
      </c>
      <c r="W14" t="str">
        <f>RAW_GAMES!R14</f>
        <v>Malík</v>
      </c>
      <c r="X14" s="7">
        <f>RAW_GAMES!S14</f>
        <v>23</v>
      </c>
      <c r="Y14">
        <f t="shared" si="5"/>
        <v>1</v>
      </c>
      <c r="Z14" t="str">
        <f>RAW_GAMES!V14</f>
        <v>RS</v>
      </c>
    </row>
    <row r="15" spans="1:26" x14ac:dyDescent="0.25">
      <c r="A15" t="str">
        <f>RAW_GAMES!A15</f>
        <v>25/26</v>
      </c>
      <c r="B15" s="3">
        <f>RAW_GAMES!B15</f>
        <v>45910</v>
      </c>
      <c r="C15" s="3" t="str">
        <f>RAW_GAMES!E15</f>
        <v>VIT</v>
      </c>
      <c r="D15" s="3" t="str">
        <f>RAW_GAMES!F15</f>
        <v>KVA</v>
      </c>
      <c r="E15" s="7">
        <f>RAW_GAMES!G15</f>
        <v>0</v>
      </c>
      <c r="F15">
        <f>RAW_GAMES!H15</f>
        <v>7</v>
      </c>
      <c r="G15">
        <f>RAW_GAMES!I15</f>
        <v>4</v>
      </c>
      <c r="H15">
        <f t="shared" si="0"/>
        <v>3</v>
      </c>
      <c r="I15">
        <f>RAW_GAMES!J15</f>
        <v>24</v>
      </c>
      <c r="J15">
        <f>RAW_GAMES!K15</f>
        <v>31</v>
      </c>
      <c r="K15">
        <f t="shared" si="1"/>
        <v>-7</v>
      </c>
      <c r="L15" t="str">
        <f>IF(RAW_GAMES!L15="","",RAW_GAMES!L15)</f>
        <v/>
      </c>
      <c r="M15" t="str">
        <f>IF(RAW_GAMES!M15="","",RAW_GAMES!M15)</f>
        <v/>
      </c>
      <c r="N15" t="str">
        <f t="shared" si="2"/>
        <v/>
      </c>
      <c r="O15" s="7">
        <f>RAW_GAMES!O15</f>
        <v>6</v>
      </c>
      <c r="P15">
        <f>RAW_GAMES!N15</f>
        <v>1</v>
      </c>
      <c r="Q15">
        <f t="shared" si="3"/>
        <v>0.16666666666666666</v>
      </c>
      <c r="R15" s="7">
        <f>RAW_GAMES!Q15</f>
        <v>6</v>
      </c>
      <c r="S15">
        <f>RAW_GAMES!P15</f>
        <v>1</v>
      </c>
      <c r="T15">
        <f t="shared" si="4"/>
        <v>0.83333333333333337</v>
      </c>
      <c r="U15">
        <f>_xlfn.XLOOKUP(C15,
  CALC_TEAMS_SEASON!B:B,
  CALC_TEAMS_SEASON!F:F)</f>
        <v>0.16984890109890113</v>
      </c>
      <c r="V15">
        <f>_xlfn.XLOOKUP(D15,
  CALC_TEAMS_SEASON!B:B,
  CALC_TEAMS_SEASON!F:F)</f>
        <v>0.17387057387057389</v>
      </c>
      <c r="W15" t="str">
        <f>RAW_GAMES!R15</f>
        <v>Hrachovina</v>
      </c>
      <c r="X15" s="7">
        <f>RAW_GAMES!S15</f>
        <v>27</v>
      </c>
      <c r="Y15">
        <f t="shared" si="5"/>
        <v>1</v>
      </c>
      <c r="Z15" t="str">
        <f>RAW_GAMES!V15</f>
        <v>RS</v>
      </c>
    </row>
    <row r="16" spans="1:26" x14ac:dyDescent="0.25">
      <c r="A16" t="str">
        <f>RAW_GAMES!A16</f>
        <v>25/26</v>
      </c>
      <c r="B16" s="3">
        <f>RAW_GAMES!B16</f>
        <v>45912</v>
      </c>
      <c r="C16" s="3" t="str">
        <f>RAW_GAMES!E16</f>
        <v>PCE</v>
      </c>
      <c r="D16" s="3" t="str">
        <f>RAW_GAMES!F16</f>
        <v>LIB</v>
      </c>
      <c r="E16" s="7">
        <f>RAW_GAMES!G16</f>
        <v>0</v>
      </c>
      <c r="F16">
        <f>RAW_GAMES!H16</f>
        <v>2</v>
      </c>
      <c r="G16">
        <f>RAW_GAMES!I16</f>
        <v>4</v>
      </c>
      <c r="H16">
        <f t="shared" si="0"/>
        <v>-2</v>
      </c>
      <c r="I16">
        <f>RAW_GAMES!J16</f>
        <v>29</v>
      </c>
      <c r="J16">
        <f>RAW_GAMES!K16</f>
        <v>36</v>
      </c>
      <c r="K16">
        <f t="shared" si="1"/>
        <v>-7</v>
      </c>
      <c r="L16">
        <f>IF(RAW_GAMES!L16="","",RAW_GAMES!L16)</f>
        <v>2.71</v>
      </c>
      <c r="M16">
        <f>IF(RAW_GAMES!M16="","",RAW_GAMES!M16)</f>
        <v>3</v>
      </c>
      <c r="N16">
        <f t="shared" si="2"/>
        <v>-0.29000000000000004</v>
      </c>
      <c r="O16" s="7">
        <f>RAW_GAMES!O16</f>
        <v>6</v>
      </c>
      <c r="P16">
        <f>RAW_GAMES!N16</f>
        <v>0</v>
      </c>
      <c r="Q16">
        <f t="shared" si="3"/>
        <v>0</v>
      </c>
      <c r="R16" s="7">
        <f>RAW_GAMES!Q16</f>
        <v>8</v>
      </c>
      <c r="S16">
        <f>RAW_GAMES!P16</f>
        <v>1</v>
      </c>
      <c r="T16">
        <f t="shared" si="4"/>
        <v>0.875</v>
      </c>
      <c r="U16">
        <f>_xlfn.XLOOKUP(C16,
  CALC_TEAMS_SEASON!B:B,
  CALC_TEAMS_SEASON!F:F)</f>
        <v>0.20297619047619053</v>
      </c>
      <c r="V16">
        <f>_xlfn.XLOOKUP(D16,
  CALC_TEAMS_SEASON!B:B,
  CALC_TEAMS_SEASON!F:F)</f>
        <v>0.14377289377289379</v>
      </c>
      <c r="W16" t="str">
        <f>RAW_GAMES!R16</f>
        <v>Will</v>
      </c>
      <c r="X16" s="7">
        <f>RAW_GAMES!S16</f>
        <v>32</v>
      </c>
      <c r="Y16">
        <f t="shared" si="5"/>
        <v>0</v>
      </c>
      <c r="Z16" t="str">
        <f>RAW_GAMES!V16</f>
        <v>RS</v>
      </c>
    </row>
    <row r="17" spans="1:26" x14ac:dyDescent="0.25">
      <c r="A17" t="str">
        <f>RAW_GAMES!A17</f>
        <v>25/26</v>
      </c>
      <c r="B17" s="3">
        <f>RAW_GAMES!B17</f>
        <v>45912</v>
      </c>
      <c r="C17" s="3" t="str">
        <f>RAW_GAMES!E17</f>
        <v>TRI</v>
      </c>
      <c r="D17" s="3" t="str">
        <f>RAW_GAMES!F17</f>
        <v>SPA</v>
      </c>
      <c r="E17" s="7">
        <f>RAW_GAMES!G17</f>
        <v>0</v>
      </c>
      <c r="F17">
        <f>RAW_GAMES!H17</f>
        <v>2</v>
      </c>
      <c r="G17">
        <f>RAW_GAMES!I17</f>
        <v>5</v>
      </c>
      <c r="H17">
        <f t="shared" si="0"/>
        <v>-3</v>
      </c>
      <c r="I17">
        <f>RAW_GAMES!J17</f>
        <v>21</v>
      </c>
      <c r="J17">
        <f>RAW_GAMES!K17</f>
        <v>39</v>
      </c>
      <c r="K17">
        <f t="shared" si="1"/>
        <v>-18</v>
      </c>
      <c r="L17">
        <f>IF(RAW_GAMES!L17="","",RAW_GAMES!L17)</f>
        <v>2.44</v>
      </c>
      <c r="M17">
        <f>IF(RAW_GAMES!M17="","",RAW_GAMES!M17)</f>
        <v>3.79</v>
      </c>
      <c r="N17">
        <f t="shared" si="2"/>
        <v>-1.35</v>
      </c>
      <c r="O17" s="7">
        <f>RAW_GAMES!O17</f>
        <v>6</v>
      </c>
      <c r="P17">
        <f>RAW_GAMES!N17</f>
        <v>0</v>
      </c>
      <c r="Q17">
        <f t="shared" si="3"/>
        <v>0</v>
      </c>
      <c r="R17" s="7">
        <f>RAW_GAMES!Q17</f>
        <v>6</v>
      </c>
      <c r="S17">
        <f>RAW_GAMES!P17</f>
        <v>1</v>
      </c>
      <c r="T17">
        <f t="shared" si="4"/>
        <v>0.83333333333333337</v>
      </c>
      <c r="U17">
        <f>_xlfn.XLOOKUP(C17,
  CALC_TEAMS_SEASON!B:B,
  CALC_TEAMS_SEASON!F:F)</f>
        <v>0.17437423687423692</v>
      </c>
      <c r="V17">
        <f>_xlfn.XLOOKUP(D17,
  CALC_TEAMS_SEASON!B:B,
  CALC_TEAMS_SEASON!F:F)</f>
        <v>0.22060439560439565</v>
      </c>
      <c r="W17" t="str">
        <f>RAW_GAMES!R17</f>
        <v>Kacetl</v>
      </c>
      <c r="X17" s="7">
        <f>RAW_GAMES!S17</f>
        <v>34</v>
      </c>
      <c r="Y17">
        <f t="shared" si="5"/>
        <v>0</v>
      </c>
      <c r="Z17" t="str">
        <f>RAW_GAMES!V17</f>
        <v>RS</v>
      </c>
    </row>
    <row r="18" spans="1:26" x14ac:dyDescent="0.25">
      <c r="A18" t="str">
        <f>RAW_GAMES!A18</f>
        <v>25/26</v>
      </c>
      <c r="B18" s="3">
        <f>RAW_GAMES!B18</f>
        <v>45912</v>
      </c>
      <c r="C18" s="3" t="str">
        <f>RAW_GAMES!E18</f>
        <v>SPA</v>
      </c>
      <c r="D18" s="3" t="str">
        <f>RAW_GAMES!F18</f>
        <v>TRI</v>
      </c>
      <c r="E18" s="7">
        <f>RAW_GAMES!G18</f>
        <v>1</v>
      </c>
      <c r="F18">
        <f>RAW_GAMES!H18</f>
        <v>5</v>
      </c>
      <c r="G18">
        <f>RAW_GAMES!I18</f>
        <v>2</v>
      </c>
      <c r="H18">
        <f t="shared" si="0"/>
        <v>3</v>
      </c>
      <c r="I18">
        <f>RAW_GAMES!J18</f>
        <v>39</v>
      </c>
      <c r="J18">
        <f>RAW_GAMES!K18</f>
        <v>21</v>
      </c>
      <c r="K18">
        <f t="shared" si="1"/>
        <v>18</v>
      </c>
      <c r="L18">
        <f>IF(RAW_GAMES!L18="","",RAW_GAMES!L18)</f>
        <v>3.79</v>
      </c>
      <c r="M18">
        <f>IF(RAW_GAMES!M18="","",RAW_GAMES!M18)</f>
        <v>2.44</v>
      </c>
      <c r="N18">
        <f t="shared" si="2"/>
        <v>1.35</v>
      </c>
      <c r="O18" s="7">
        <f>RAW_GAMES!O18</f>
        <v>6</v>
      </c>
      <c r="P18">
        <f>RAW_GAMES!N18</f>
        <v>0</v>
      </c>
      <c r="Q18">
        <f t="shared" si="3"/>
        <v>0</v>
      </c>
      <c r="R18" s="7">
        <f>RAW_GAMES!Q18</f>
        <v>6</v>
      </c>
      <c r="S18">
        <f>RAW_GAMES!P18</f>
        <v>1</v>
      </c>
      <c r="T18">
        <f t="shared" si="4"/>
        <v>0.83333333333333337</v>
      </c>
      <c r="U18">
        <f>_xlfn.XLOOKUP(C18,
  CALC_TEAMS_SEASON!B:B,
  CALC_TEAMS_SEASON!F:F)</f>
        <v>0.22060439560439565</v>
      </c>
      <c r="V18">
        <f>_xlfn.XLOOKUP(D18,
  CALC_TEAMS_SEASON!B:B,
  CALC_TEAMS_SEASON!F:F)</f>
        <v>0.17437423687423692</v>
      </c>
      <c r="W18" t="str">
        <f>RAW_GAMES!R18</f>
        <v>Kovář</v>
      </c>
      <c r="X18" s="7">
        <f>RAW_GAMES!S18</f>
        <v>19</v>
      </c>
      <c r="Y18">
        <f t="shared" si="5"/>
        <v>1</v>
      </c>
      <c r="Z18" t="str">
        <f>RAW_GAMES!V18</f>
        <v>RS</v>
      </c>
    </row>
    <row r="19" spans="1:26" x14ac:dyDescent="0.25">
      <c r="A19" t="str">
        <f>RAW_GAMES!A19</f>
        <v>25/26</v>
      </c>
      <c r="B19" s="3">
        <f>RAW_GAMES!B19</f>
        <v>45912</v>
      </c>
      <c r="C19" s="3" t="str">
        <f>RAW_GAMES!E19</f>
        <v>KOM</v>
      </c>
      <c r="D19" s="3" t="str">
        <f>RAW_GAMES!F19</f>
        <v>MBL</v>
      </c>
      <c r="E19" s="7">
        <f>RAW_GAMES!G19</f>
        <v>0</v>
      </c>
      <c r="F19">
        <f>RAW_GAMES!H19</f>
        <v>3</v>
      </c>
      <c r="G19">
        <f>RAW_GAMES!I19</f>
        <v>1</v>
      </c>
      <c r="H19">
        <f t="shared" si="0"/>
        <v>2</v>
      </c>
      <c r="I19">
        <f>RAW_GAMES!J19</f>
        <v>29</v>
      </c>
      <c r="J19">
        <f>RAW_GAMES!K19</f>
        <v>30</v>
      </c>
      <c r="K19">
        <f t="shared" si="1"/>
        <v>-1</v>
      </c>
      <c r="L19">
        <f>IF(RAW_GAMES!L19="","",RAW_GAMES!L19)</f>
        <v>2.44</v>
      </c>
      <c r="M19">
        <f>IF(RAW_GAMES!M19="","",RAW_GAMES!M19)</f>
        <v>2.42</v>
      </c>
      <c r="N19">
        <f t="shared" si="2"/>
        <v>2.0000000000000018E-2</v>
      </c>
      <c r="O19" s="7">
        <f>RAW_GAMES!O19</f>
        <v>3</v>
      </c>
      <c r="P19">
        <f>RAW_GAMES!N19</f>
        <v>2</v>
      </c>
      <c r="Q19">
        <f t="shared" si="3"/>
        <v>0.66666666666666663</v>
      </c>
      <c r="R19" s="7">
        <f>RAW_GAMES!Q19</f>
        <v>4</v>
      </c>
      <c r="S19">
        <f>RAW_GAMES!P19</f>
        <v>1</v>
      </c>
      <c r="T19">
        <f t="shared" si="4"/>
        <v>0.75</v>
      </c>
      <c r="U19">
        <f>_xlfn.XLOOKUP(C19,
  CALC_TEAMS_SEASON!B:B,
  CALC_TEAMS_SEASON!F:F)</f>
        <v>0.14358974358974358</v>
      </c>
      <c r="V19">
        <f>_xlfn.XLOOKUP(D19,
  CALC_TEAMS_SEASON!B:B,
  CALC_TEAMS_SEASON!F:F)</f>
        <v>0.11826923076923078</v>
      </c>
      <c r="W19" t="str">
        <f>RAW_GAMES!R19</f>
        <v>Stezka</v>
      </c>
      <c r="X19" s="7">
        <f>RAW_GAMES!S19</f>
        <v>29</v>
      </c>
      <c r="Y19">
        <f t="shared" si="5"/>
        <v>1</v>
      </c>
      <c r="Z19" t="str">
        <f>RAW_GAMES!V19</f>
        <v>RS</v>
      </c>
    </row>
    <row r="20" spans="1:26" x14ac:dyDescent="0.25">
      <c r="A20" t="str">
        <f>RAW_GAMES!A20</f>
        <v>25/26</v>
      </c>
      <c r="B20" s="3">
        <f>RAW_GAMES!B20</f>
        <v>45912</v>
      </c>
      <c r="C20" s="3" t="str">
        <f>RAW_GAMES!E20</f>
        <v>CEB</v>
      </c>
      <c r="D20" s="3" t="str">
        <f>RAW_GAMES!F20</f>
        <v>MHK</v>
      </c>
      <c r="E20" s="7">
        <f>RAW_GAMES!G20</f>
        <v>0</v>
      </c>
      <c r="F20">
        <f>RAW_GAMES!H20</f>
        <v>4</v>
      </c>
      <c r="G20">
        <f>RAW_GAMES!I20</f>
        <v>3</v>
      </c>
      <c r="H20">
        <f t="shared" si="0"/>
        <v>1</v>
      </c>
      <c r="I20">
        <f>RAW_GAMES!J20</f>
        <v>21</v>
      </c>
      <c r="J20">
        <f>RAW_GAMES!K20</f>
        <v>18</v>
      </c>
      <c r="K20">
        <f t="shared" si="1"/>
        <v>3</v>
      </c>
      <c r="L20" t="str">
        <f>IF(RAW_GAMES!L20="","",RAW_GAMES!L20)</f>
        <v/>
      </c>
      <c r="M20" t="str">
        <f>IF(RAW_GAMES!M20="","",RAW_GAMES!M20)</f>
        <v/>
      </c>
      <c r="N20" t="str">
        <f t="shared" si="2"/>
        <v/>
      </c>
      <c r="O20" s="7">
        <f>RAW_GAMES!O20</f>
        <v>4</v>
      </c>
      <c r="P20">
        <f>RAW_GAMES!N20</f>
        <v>1</v>
      </c>
      <c r="Q20">
        <f t="shared" si="3"/>
        <v>0.25</v>
      </c>
      <c r="R20" s="7">
        <f>RAW_GAMES!Q20</f>
        <v>4</v>
      </c>
      <c r="S20">
        <f>RAW_GAMES!P20</f>
        <v>0</v>
      </c>
      <c r="T20">
        <f t="shared" si="4"/>
        <v>1</v>
      </c>
      <c r="U20">
        <f>_xlfn.XLOOKUP(C20,
  CALC_TEAMS_SEASON!B:B,
  CALC_TEAMS_SEASON!F:F)</f>
        <v>0.13021353646353648</v>
      </c>
      <c r="V20">
        <f>_xlfn.XLOOKUP(D20,
  CALC_TEAMS_SEASON!B:B,
  CALC_TEAMS_SEASON!F:F)</f>
        <v>0.14184981684981687</v>
      </c>
      <c r="W20" t="str">
        <f>RAW_GAMES!R20</f>
        <v>Strmeň</v>
      </c>
      <c r="X20" s="7">
        <f>RAW_GAMES!S20</f>
        <v>15</v>
      </c>
      <c r="Y20">
        <f t="shared" si="5"/>
        <v>1</v>
      </c>
      <c r="Z20" t="str">
        <f>RAW_GAMES!V20</f>
        <v>RS</v>
      </c>
    </row>
    <row r="21" spans="1:26" x14ac:dyDescent="0.25">
      <c r="A21" t="str">
        <f>RAW_GAMES!A21</f>
        <v>25/26</v>
      </c>
      <c r="B21" s="3">
        <f>RAW_GAMES!B21</f>
        <v>45912</v>
      </c>
      <c r="C21" s="3" t="str">
        <f>RAW_GAMES!E21</f>
        <v>KLA</v>
      </c>
      <c r="D21" s="3" t="str">
        <f>RAW_GAMES!F21</f>
        <v>VIT</v>
      </c>
      <c r="E21" s="7">
        <f>RAW_GAMES!G21</f>
        <v>0</v>
      </c>
      <c r="F21">
        <f>RAW_GAMES!H21</f>
        <v>0</v>
      </c>
      <c r="G21">
        <f>RAW_GAMES!I21</f>
        <v>1</v>
      </c>
      <c r="H21">
        <f t="shared" si="0"/>
        <v>-1</v>
      </c>
      <c r="I21">
        <f>RAW_GAMES!J21</f>
        <v>41</v>
      </c>
      <c r="J21">
        <f>RAW_GAMES!K21</f>
        <v>24</v>
      </c>
      <c r="K21">
        <f t="shared" si="1"/>
        <v>17</v>
      </c>
      <c r="L21" t="str">
        <f>IF(RAW_GAMES!L21="","",RAW_GAMES!L21)</f>
        <v/>
      </c>
      <c r="M21" t="str">
        <f>IF(RAW_GAMES!M21="","",RAW_GAMES!M21)</f>
        <v/>
      </c>
      <c r="N21" t="str">
        <f t="shared" si="2"/>
        <v/>
      </c>
      <c r="O21" s="7">
        <f>RAW_GAMES!O21</f>
        <v>3</v>
      </c>
      <c r="P21">
        <f>RAW_GAMES!N21</f>
        <v>0</v>
      </c>
      <c r="Q21">
        <f t="shared" si="3"/>
        <v>0</v>
      </c>
      <c r="R21" s="7">
        <f>RAW_GAMES!Q21</f>
        <v>5</v>
      </c>
      <c r="S21">
        <f>RAW_GAMES!P21</f>
        <v>0</v>
      </c>
      <c r="T21">
        <f t="shared" si="4"/>
        <v>1</v>
      </c>
      <c r="U21">
        <f>_xlfn.XLOOKUP(C21,
  CALC_TEAMS_SEASON!B:B,
  CALC_TEAMS_SEASON!F:F)</f>
        <v>0.13120421245421243</v>
      </c>
      <c r="V21">
        <f>_xlfn.XLOOKUP(D21,
  CALC_TEAMS_SEASON!B:B,
  CALC_TEAMS_SEASON!F:F)</f>
        <v>0.16984890109890113</v>
      </c>
      <c r="W21" t="str">
        <f>RAW_GAMES!R21</f>
        <v>Brízgala</v>
      </c>
      <c r="X21" s="7">
        <f>RAW_GAMES!S21</f>
        <v>24</v>
      </c>
      <c r="Y21">
        <f t="shared" si="5"/>
        <v>0</v>
      </c>
      <c r="Z21" t="str">
        <f>RAW_GAMES!V21</f>
        <v>RS</v>
      </c>
    </row>
    <row r="22" spans="1:26" x14ac:dyDescent="0.25">
      <c r="A22" t="str">
        <f>RAW_GAMES!A22</f>
        <v>25/26</v>
      </c>
      <c r="B22" s="3">
        <f>RAW_GAMES!B22</f>
        <v>45912</v>
      </c>
      <c r="C22" s="3" t="str">
        <f>RAW_GAMES!E22</f>
        <v>KVA</v>
      </c>
      <c r="D22" s="3" t="str">
        <f>RAW_GAMES!F22</f>
        <v>LIT</v>
      </c>
      <c r="E22" s="7">
        <f>RAW_GAMES!G22</f>
        <v>0</v>
      </c>
      <c r="F22">
        <f>RAW_GAMES!H22</f>
        <v>4</v>
      </c>
      <c r="G22">
        <f>RAW_GAMES!I22</f>
        <v>0</v>
      </c>
      <c r="H22">
        <f t="shared" si="0"/>
        <v>4</v>
      </c>
      <c r="I22">
        <f>RAW_GAMES!J22</f>
        <v>26</v>
      </c>
      <c r="J22">
        <f>RAW_GAMES!K22</f>
        <v>24</v>
      </c>
      <c r="K22">
        <f t="shared" si="1"/>
        <v>2</v>
      </c>
      <c r="L22" t="str">
        <f>IF(RAW_GAMES!L22="","",RAW_GAMES!L22)</f>
        <v/>
      </c>
      <c r="M22" t="str">
        <f>IF(RAW_GAMES!M22="","",RAW_GAMES!M22)</f>
        <v/>
      </c>
      <c r="N22" t="str">
        <f t="shared" si="2"/>
        <v/>
      </c>
      <c r="O22" s="7">
        <f>RAW_GAMES!O22</f>
        <v>6</v>
      </c>
      <c r="P22">
        <f>RAW_GAMES!N22</f>
        <v>1</v>
      </c>
      <c r="Q22">
        <f t="shared" si="3"/>
        <v>0.16666666666666666</v>
      </c>
      <c r="R22" s="7">
        <f>RAW_GAMES!Q22</f>
        <v>6</v>
      </c>
      <c r="S22">
        <f>RAW_GAMES!P22</f>
        <v>0</v>
      </c>
      <c r="T22">
        <f t="shared" si="4"/>
        <v>1</v>
      </c>
      <c r="U22">
        <f>_xlfn.XLOOKUP(C22,
  CALC_TEAMS_SEASON!B:B,
  CALC_TEAMS_SEASON!F:F)</f>
        <v>0.17387057387057389</v>
      </c>
      <c r="V22">
        <f>_xlfn.XLOOKUP(D22,
  CALC_TEAMS_SEASON!B:B,
  CALC_TEAMS_SEASON!F:F)</f>
        <v>0.10089285714285713</v>
      </c>
      <c r="W22" t="str">
        <f>RAW_GAMES!R22</f>
        <v>Frodl</v>
      </c>
      <c r="X22" s="7">
        <f>RAW_GAMES!S22</f>
        <v>24</v>
      </c>
      <c r="Y22">
        <f t="shared" si="5"/>
        <v>1</v>
      </c>
      <c r="Z22" t="str">
        <f>RAW_GAMES!V22</f>
        <v>RS</v>
      </c>
    </row>
    <row r="23" spans="1:26" x14ac:dyDescent="0.25">
      <c r="A23" t="str">
        <f>RAW_GAMES!A23</f>
        <v>25/26</v>
      </c>
      <c r="B23" s="3">
        <f>RAW_GAMES!B23</f>
        <v>45912</v>
      </c>
      <c r="C23" s="3" t="str">
        <f>RAW_GAMES!E23</f>
        <v>LIB</v>
      </c>
      <c r="D23" s="3" t="str">
        <f>RAW_GAMES!F23</f>
        <v>PCE</v>
      </c>
      <c r="E23" s="7">
        <f>RAW_GAMES!G23</f>
        <v>1</v>
      </c>
      <c r="F23">
        <f>RAW_GAMES!H23</f>
        <v>4</v>
      </c>
      <c r="G23">
        <f>RAW_GAMES!I23</f>
        <v>2</v>
      </c>
      <c r="H23">
        <f t="shared" si="0"/>
        <v>2</v>
      </c>
      <c r="I23">
        <f>RAW_GAMES!J23</f>
        <v>36</v>
      </c>
      <c r="J23">
        <f>RAW_GAMES!K23</f>
        <v>29</v>
      </c>
      <c r="K23">
        <f t="shared" si="1"/>
        <v>7</v>
      </c>
      <c r="L23">
        <f>IF(RAW_GAMES!L23="","",RAW_GAMES!L23)</f>
        <v>3</v>
      </c>
      <c r="M23">
        <f>IF(RAW_GAMES!M23="","",RAW_GAMES!M23)</f>
        <v>2.71</v>
      </c>
      <c r="N23">
        <f t="shared" si="2"/>
        <v>0.29000000000000004</v>
      </c>
      <c r="O23" s="7">
        <f>RAW_GAMES!O23</f>
        <v>8</v>
      </c>
      <c r="P23">
        <f>RAW_GAMES!N23</f>
        <v>1</v>
      </c>
      <c r="Q23">
        <f t="shared" si="3"/>
        <v>0.125</v>
      </c>
      <c r="R23" s="7">
        <f>RAW_GAMES!Q23</f>
        <v>6</v>
      </c>
      <c r="S23">
        <f>RAW_GAMES!P23</f>
        <v>0</v>
      </c>
      <c r="T23">
        <f t="shared" si="4"/>
        <v>1</v>
      </c>
      <c r="U23">
        <f>_xlfn.XLOOKUP(C23,
  CALC_TEAMS_SEASON!B:B,
  CALC_TEAMS_SEASON!F:F)</f>
        <v>0.14377289377289379</v>
      </c>
      <c r="V23">
        <f>_xlfn.XLOOKUP(D23,
  CALC_TEAMS_SEASON!B:B,
  CALC_TEAMS_SEASON!F:F)</f>
        <v>0.20297619047619053</v>
      </c>
      <c r="W23" t="str">
        <f>RAW_GAMES!R23</f>
        <v>Kváča</v>
      </c>
      <c r="X23" s="7">
        <f>RAW_GAMES!S23</f>
        <v>27</v>
      </c>
      <c r="Y23">
        <f t="shared" si="5"/>
        <v>1</v>
      </c>
      <c r="Z23" t="str">
        <f>RAW_GAMES!V23</f>
        <v>RS</v>
      </c>
    </row>
    <row r="24" spans="1:26" x14ac:dyDescent="0.25">
      <c r="A24" t="str">
        <f>RAW_GAMES!A24</f>
        <v>25/26</v>
      </c>
      <c r="B24" s="3">
        <f>RAW_GAMES!B24</f>
        <v>45912</v>
      </c>
      <c r="C24" s="3" t="str">
        <f>RAW_GAMES!E24</f>
        <v>LIT</v>
      </c>
      <c r="D24" s="3" t="str">
        <f>RAW_GAMES!F24</f>
        <v>KVA</v>
      </c>
      <c r="E24" s="7">
        <f>RAW_GAMES!G24</f>
        <v>1</v>
      </c>
      <c r="F24">
        <f>RAW_GAMES!H24</f>
        <v>0</v>
      </c>
      <c r="G24">
        <f>RAW_GAMES!I24</f>
        <v>4</v>
      </c>
      <c r="H24">
        <f t="shared" si="0"/>
        <v>-4</v>
      </c>
      <c r="I24">
        <f>RAW_GAMES!J24</f>
        <v>24</v>
      </c>
      <c r="J24">
        <f>RAW_GAMES!K24</f>
        <v>26</v>
      </c>
      <c r="K24">
        <f t="shared" si="1"/>
        <v>-2</v>
      </c>
      <c r="L24" t="str">
        <f>IF(RAW_GAMES!L24="","",RAW_GAMES!L24)</f>
        <v/>
      </c>
      <c r="M24" t="str">
        <f>IF(RAW_GAMES!M24="","",RAW_GAMES!M24)</f>
        <v/>
      </c>
      <c r="N24" t="str">
        <f t="shared" si="2"/>
        <v/>
      </c>
      <c r="O24" s="7">
        <f>RAW_GAMES!O24</f>
        <v>6</v>
      </c>
      <c r="P24">
        <f>RAW_GAMES!N24</f>
        <v>0</v>
      </c>
      <c r="Q24">
        <f t="shared" si="3"/>
        <v>0</v>
      </c>
      <c r="R24" s="7">
        <f>RAW_GAMES!Q24</f>
        <v>6</v>
      </c>
      <c r="S24">
        <f>RAW_GAMES!P24</f>
        <v>1</v>
      </c>
      <c r="T24">
        <f t="shared" si="4"/>
        <v>0.83333333333333337</v>
      </c>
      <c r="U24">
        <f>_xlfn.XLOOKUP(C24,
  CALC_TEAMS_SEASON!B:B,
  CALC_TEAMS_SEASON!F:F)</f>
        <v>0.10089285714285713</v>
      </c>
      <c r="V24">
        <f>_xlfn.XLOOKUP(D24,
  CALC_TEAMS_SEASON!B:B,
  CALC_TEAMS_SEASON!F:F)</f>
        <v>0.17387057387057389</v>
      </c>
      <c r="W24" t="str">
        <f>RAW_GAMES!R24</f>
        <v>Tomek</v>
      </c>
      <c r="X24" s="7">
        <f>RAW_GAMES!S24</f>
        <v>22</v>
      </c>
      <c r="Y24">
        <f t="shared" si="5"/>
        <v>0</v>
      </c>
      <c r="Z24" t="str">
        <f>RAW_GAMES!V24</f>
        <v>RS</v>
      </c>
    </row>
    <row r="25" spans="1:26" x14ac:dyDescent="0.25">
      <c r="A25" t="str">
        <f>RAW_GAMES!A25</f>
        <v>25/26</v>
      </c>
      <c r="B25" s="3">
        <f>RAW_GAMES!B25</f>
        <v>45912</v>
      </c>
      <c r="C25" s="3" t="str">
        <f>RAW_GAMES!E25</f>
        <v>MBL</v>
      </c>
      <c r="D25" s="3" t="str">
        <f>RAW_GAMES!F25</f>
        <v>KOM</v>
      </c>
      <c r="E25" s="7">
        <f>RAW_GAMES!G25</f>
        <v>1</v>
      </c>
      <c r="F25">
        <f>RAW_GAMES!H25</f>
        <v>1</v>
      </c>
      <c r="G25">
        <f>RAW_GAMES!I25</f>
        <v>3</v>
      </c>
      <c r="H25">
        <f t="shared" si="0"/>
        <v>-2</v>
      </c>
      <c r="I25">
        <f>RAW_GAMES!J25</f>
        <v>30</v>
      </c>
      <c r="J25">
        <f>RAW_GAMES!K25</f>
        <v>29</v>
      </c>
      <c r="K25">
        <f t="shared" si="1"/>
        <v>1</v>
      </c>
      <c r="L25">
        <f>IF(RAW_GAMES!L25="","",RAW_GAMES!L25)</f>
        <v>2.42</v>
      </c>
      <c r="M25">
        <f>IF(RAW_GAMES!M25="","",RAW_GAMES!M25)</f>
        <v>2.44</v>
      </c>
      <c r="N25">
        <f t="shared" si="2"/>
        <v>-2.0000000000000018E-2</v>
      </c>
      <c r="O25" s="7">
        <f>RAW_GAMES!O25</f>
        <v>4</v>
      </c>
      <c r="P25">
        <f>RAW_GAMES!N25</f>
        <v>1</v>
      </c>
      <c r="Q25">
        <f t="shared" si="3"/>
        <v>0.25</v>
      </c>
      <c r="R25" s="7">
        <f>RAW_GAMES!Q25</f>
        <v>3</v>
      </c>
      <c r="S25">
        <f>RAW_GAMES!P25</f>
        <v>2</v>
      </c>
      <c r="T25">
        <f t="shared" si="4"/>
        <v>0.33333333333333337</v>
      </c>
      <c r="U25">
        <f>_xlfn.XLOOKUP(C25,
  CALC_TEAMS_SEASON!B:B,
  CALC_TEAMS_SEASON!F:F)</f>
        <v>0.11826923076923078</v>
      </c>
      <c r="V25">
        <f>_xlfn.XLOOKUP(D25,
  CALC_TEAMS_SEASON!B:B,
  CALC_TEAMS_SEASON!F:F)</f>
        <v>0.14358974358974358</v>
      </c>
      <c r="W25" t="str">
        <f>RAW_GAMES!R25</f>
        <v>Furch</v>
      </c>
      <c r="X25" s="7">
        <f>RAW_GAMES!S25</f>
        <v>26</v>
      </c>
      <c r="Y25">
        <f t="shared" si="5"/>
        <v>0</v>
      </c>
      <c r="Z25" t="str">
        <f>RAW_GAMES!V25</f>
        <v>RS</v>
      </c>
    </row>
    <row r="26" spans="1:26" x14ac:dyDescent="0.25">
      <c r="A26" t="str">
        <f>RAW_GAMES!A26</f>
        <v>25/26</v>
      </c>
      <c r="B26" s="3">
        <f>RAW_GAMES!B26</f>
        <v>45912</v>
      </c>
      <c r="C26" s="3" t="str">
        <f>RAW_GAMES!E26</f>
        <v>MHK</v>
      </c>
      <c r="D26" s="3" t="str">
        <f>RAW_GAMES!F26</f>
        <v>CEB</v>
      </c>
      <c r="E26" s="7">
        <f>RAW_GAMES!G26</f>
        <v>1</v>
      </c>
      <c r="F26">
        <f>RAW_GAMES!H26</f>
        <v>3</v>
      </c>
      <c r="G26">
        <f>RAW_GAMES!I26</f>
        <v>4</v>
      </c>
      <c r="H26">
        <f t="shared" si="0"/>
        <v>-1</v>
      </c>
      <c r="I26">
        <f>RAW_GAMES!J26</f>
        <v>18</v>
      </c>
      <c r="J26">
        <f>RAW_GAMES!K26</f>
        <v>21</v>
      </c>
      <c r="K26">
        <f t="shared" si="1"/>
        <v>-3</v>
      </c>
      <c r="L26" t="str">
        <f>IF(RAW_GAMES!L26="","",RAW_GAMES!L26)</f>
        <v/>
      </c>
      <c r="M26" t="str">
        <f>IF(RAW_GAMES!M26="","",RAW_GAMES!M26)</f>
        <v/>
      </c>
      <c r="N26" t="str">
        <f t="shared" si="2"/>
        <v/>
      </c>
      <c r="O26" s="7">
        <f>RAW_GAMES!O26</f>
        <v>4</v>
      </c>
      <c r="P26">
        <f>RAW_GAMES!N26</f>
        <v>0</v>
      </c>
      <c r="Q26">
        <f t="shared" si="3"/>
        <v>0</v>
      </c>
      <c r="R26" s="7">
        <f>RAW_GAMES!Q26</f>
        <v>4</v>
      </c>
      <c r="S26">
        <f>RAW_GAMES!P26</f>
        <v>1</v>
      </c>
      <c r="T26">
        <f t="shared" si="4"/>
        <v>0.75</v>
      </c>
      <c r="U26">
        <f>_xlfn.XLOOKUP(C26,
  CALC_TEAMS_SEASON!B:B,
  CALC_TEAMS_SEASON!F:F)</f>
        <v>0.14184981684981687</v>
      </c>
      <c r="V26">
        <f>_xlfn.XLOOKUP(D26,
  CALC_TEAMS_SEASON!B:B,
  CALC_TEAMS_SEASON!F:F)</f>
        <v>0.13021353646353648</v>
      </c>
      <c r="W26" t="str">
        <f>RAW_GAMES!R26</f>
        <v>Novotný</v>
      </c>
      <c r="X26" s="7">
        <f>RAW_GAMES!S26</f>
        <v>17</v>
      </c>
      <c r="Y26">
        <f t="shared" si="5"/>
        <v>0</v>
      </c>
      <c r="Z26" t="str">
        <f>RAW_GAMES!V26</f>
        <v>RS</v>
      </c>
    </row>
    <row r="27" spans="1:26" x14ac:dyDescent="0.25">
      <c r="A27" t="str">
        <f>RAW_GAMES!A27</f>
        <v>25/26</v>
      </c>
      <c r="B27" s="3">
        <f>RAW_GAMES!B27</f>
        <v>45912</v>
      </c>
      <c r="C27" s="3" t="str">
        <f>RAW_GAMES!E27</f>
        <v>OLO</v>
      </c>
      <c r="D27" s="3" t="str">
        <f>RAW_GAMES!F27</f>
        <v>PLZ</v>
      </c>
      <c r="E27" s="7">
        <f>RAW_GAMES!G27</f>
        <v>1</v>
      </c>
      <c r="F27">
        <f>RAW_GAMES!H27</f>
        <v>1</v>
      </c>
      <c r="G27">
        <f>RAW_GAMES!I27</f>
        <v>4</v>
      </c>
      <c r="H27">
        <f t="shared" si="0"/>
        <v>-3</v>
      </c>
      <c r="I27">
        <f>RAW_GAMES!J27</f>
        <v>26</v>
      </c>
      <c r="J27">
        <f>RAW_GAMES!K27</f>
        <v>29</v>
      </c>
      <c r="K27">
        <f t="shared" si="1"/>
        <v>-3</v>
      </c>
      <c r="L27" t="str">
        <f>IF(RAW_GAMES!L27="","",RAW_GAMES!L27)</f>
        <v/>
      </c>
      <c r="M27" t="str">
        <f>IF(RAW_GAMES!M27="","",RAW_GAMES!M27)</f>
        <v/>
      </c>
      <c r="N27" t="str">
        <f t="shared" si="2"/>
        <v/>
      </c>
      <c r="O27" s="7">
        <f>RAW_GAMES!O27</f>
        <v>2</v>
      </c>
      <c r="P27">
        <f>RAW_GAMES!N27</f>
        <v>1</v>
      </c>
      <c r="Q27">
        <f t="shared" si="3"/>
        <v>0.5</v>
      </c>
      <c r="R27" s="7">
        <f>RAW_GAMES!Q27</f>
        <v>2</v>
      </c>
      <c r="S27">
        <f>RAW_GAMES!P27</f>
        <v>1</v>
      </c>
      <c r="T27">
        <f t="shared" si="4"/>
        <v>0.5</v>
      </c>
      <c r="U27">
        <f>_xlfn.XLOOKUP(C27,
  CALC_TEAMS_SEASON!B:B,
  CALC_TEAMS_SEASON!F:F)</f>
        <v>0.14989316239316242</v>
      </c>
      <c r="V27">
        <f>_xlfn.XLOOKUP(D27,
  CALC_TEAMS_SEASON!B:B,
  CALC_TEAMS_SEASON!F:F)</f>
        <v>0.17641178266178262</v>
      </c>
      <c r="W27" t="str">
        <f>RAW_GAMES!R27</f>
        <v>Machovský</v>
      </c>
      <c r="X27" s="7">
        <f>RAW_GAMES!S27</f>
        <v>25</v>
      </c>
      <c r="Y27">
        <f t="shared" si="5"/>
        <v>0</v>
      </c>
      <c r="Z27" t="str">
        <f>RAW_GAMES!V27</f>
        <v>RS</v>
      </c>
    </row>
    <row r="28" spans="1:26" x14ac:dyDescent="0.25">
      <c r="A28" t="str">
        <f>RAW_GAMES!A28</f>
        <v>25/26</v>
      </c>
      <c r="B28" s="3">
        <f>RAW_GAMES!B28</f>
        <v>45912</v>
      </c>
      <c r="C28" s="3" t="str">
        <f>RAW_GAMES!E28</f>
        <v>PLZ</v>
      </c>
      <c r="D28" s="3" t="str">
        <f>RAW_GAMES!F28</f>
        <v>OLO</v>
      </c>
      <c r="E28" s="7">
        <f>RAW_GAMES!G28</f>
        <v>0</v>
      </c>
      <c r="F28">
        <f>RAW_GAMES!H28</f>
        <v>4</v>
      </c>
      <c r="G28">
        <f>RAW_GAMES!I28</f>
        <v>1</v>
      </c>
      <c r="H28">
        <f t="shared" si="0"/>
        <v>3</v>
      </c>
      <c r="I28">
        <f>RAW_GAMES!J28</f>
        <v>29</v>
      </c>
      <c r="J28">
        <f>RAW_GAMES!K28</f>
        <v>26</v>
      </c>
      <c r="K28">
        <f t="shared" si="1"/>
        <v>3</v>
      </c>
      <c r="L28" t="str">
        <f>IF(RAW_GAMES!L28="","",RAW_GAMES!L28)</f>
        <v/>
      </c>
      <c r="M28" t="str">
        <f>IF(RAW_GAMES!M28="","",RAW_GAMES!M28)</f>
        <v/>
      </c>
      <c r="N28" t="str">
        <f t="shared" si="2"/>
        <v/>
      </c>
      <c r="O28" s="7">
        <f>RAW_GAMES!O28</f>
        <v>2</v>
      </c>
      <c r="P28">
        <f>RAW_GAMES!N28</f>
        <v>1</v>
      </c>
      <c r="Q28">
        <f t="shared" si="3"/>
        <v>0.5</v>
      </c>
      <c r="R28" s="7">
        <f>RAW_GAMES!Q28</f>
        <v>2</v>
      </c>
      <c r="S28">
        <f>RAW_GAMES!P28</f>
        <v>1</v>
      </c>
      <c r="T28">
        <f t="shared" si="4"/>
        <v>0.5</v>
      </c>
      <c r="U28">
        <f>_xlfn.XLOOKUP(C28,
  CALC_TEAMS_SEASON!B:B,
  CALC_TEAMS_SEASON!F:F)</f>
        <v>0.17641178266178262</v>
      </c>
      <c r="V28">
        <f>_xlfn.XLOOKUP(D28,
  CALC_TEAMS_SEASON!B:B,
  CALC_TEAMS_SEASON!F:F)</f>
        <v>0.14989316239316242</v>
      </c>
      <c r="W28" t="str">
        <f>RAW_GAMES!R28</f>
        <v>Malík</v>
      </c>
      <c r="X28" s="7">
        <f>RAW_GAMES!S28</f>
        <v>25</v>
      </c>
      <c r="Y28">
        <f t="shared" si="5"/>
        <v>1</v>
      </c>
      <c r="Z28" t="str">
        <f>RAW_GAMES!V28</f>
        <v>RS</v>
      </c>
    </row>
    <row r="29" spans="1:26" x14ac:dyDescent="0.25">
      <c r="A29" t="str">
        <f>RAW_GAMES!A29</f>
        <v>25/26</v>
      </c>
      <c r="B29" s="3">
        <f>RAW_GAMES!B29</f>
        <v>45912</v>
      </c>
      <c r="C29" s="3" t="str">
        <f>RAW_GAMES!E29</f>
        <v>VIT</v>
      </c>
      <c r="D29" s="3" t="str">
        <f>RAW_GAMES!F29</f>
        <v>KLA</v>
      </c>
      <c r="E29" s="7">
        <f>RAW_GAMES!G29</f>
        <v>1</v>
      </c>
      <c r="F29">
        <f>RAW_GAMES!H29</f>
        <v>1</v>
      </c>
      <c r="G29">
        <f>RAW_GAMES!I29</f>
        <v>0</v>
      </c>
      <c r="H29">
        <f t="shared" si="0"/>
        <v>1</v>
      </c>
      <c r="I29">
        <f>RAW_GAMES!J29</f>
        <v>24</v>
      </c>
      <c r="J29">
        <f>RAW_GAMES!K29</f>
        <v>41</v>
      </c>
      <c r="K29">
        <f t="shared" si="1"/>
        <v>-17</v>
      </c>
      <c r="L29" t="str">
        <f>IF(RAW_GAMES!L29="","",RAW_GAMES!L29)</f>
        <v/>
      </c>
      <c r="M29" t="str">
        <f>IF(RAW_GAMES!M29="","",RAW_GAMES!M29)</f>
        <v/>
      </c>
      <c r="N29" t="str">
        <f t="shared" si="2"/>
        <v/>
      </c>
      <c r="O29" s="7">
        <f>RAW_GAMES!O29</f>
        <v>5</v>
      </c>
      <c r="P29">
        <f>RAW_GAMES!N29</f>
        <v>0</v>
      </c>
      <c r="Q29">
        <f t="shared" si="3"/>
        <v>0</v>
      </c>
      <c r="R29" s="7">
        <f>RAW_GAMES!Q29</f>
        <v>3</v>
      </c>
      <c r="S29">
        <f>RAW_GAMES!P29</f>
        <v>0</v>
      </c>
      <c r="T29">
        <f t="shared" si="4"/>
        <v>1</v>
      </c>
      <c r="U29">
        <f>_xlfn.XLOOKUP(C29,
  CALC_TEAMS_SEASON!B:B,
  CALC_TEAMS_SEASON!F:F)</f>
        <v>0.16984890109890113</v>
      </c>
      <c r="V29">
        <f>_xlfn.XLOOKUP(D29,
  CALC_TEAMS_SEASON!B:B,
  CALC_TEAMS_SEASON!F:F)</f>
        <v>0.13120421245421243</v>
      </c>
      <c r="W29" t="str">
        <f>RAW_GAMES!R29</f>
        <v>Hrachovina</v>
      </c>
      <c r="X29" s="7">
        <f>RAW_GAMES!S29</f>
        <v>41</v>
      </c>
      <c r="Y29">
        <f t="shared" si="5"/>
        <v>1</v>
      </c>
      <c r="Z29" t="str">
        <f>RAW_GAMES!V29</f>
        <v>RS</v>
      </c>
    </row>
    <row r="30" spans="1:26" x14ac:dyDescent="0.25">
      <c r="A30" t="str">
        <f>RAW_GAMES!A30</f>
        <v>25/26</v>
      </c>
      <c r="B30" s="3">
        <f>RAW_GAMES!B30</f>
        <v>45914</v>
      </c>
      <c r="C30" s="3" t="str">
        <f>RAW_GAMES!E30</f>
        <v>PCE</v>
      </c>
      <c r="D30" s="3" t="str">
        <f>RAW_GAMES!F30</f>
        <v>MBL</v>
      </c>
      <c r="E30" s="7">
        <f>RAW_GAMES!G30</f>
        <v>1</v>
      </c>
      <c r="F30">
        <f>RAW_GAMES!H30</f>
        <v>4</v>
      </c>
      <c r="G30">
        <f>RAW_GAMES!I30</f>
        <v>1</v>
      </c>
      <c r="H30">
        <f t="shared" si="0"/>
        <v>3</v>
      </c>
      <c r="I30">
        <f>RAW_GAMES!J30</f>
        <v>43</v>
      </c>
      <c r="J30">
        <f>RAW_GAMES!K30</f>
        <v>14</v>
      </c>
      <c r="K30">
        <f t="shared" si="1"/>
        <v>29</v>
      </c>
      <c r="L30">
        <f>IF(RAW_GAMES!L30="","",RAW_GAMES!L30)</f>
        <v>4.1100000000000003</v>
      </c>
      <c r="M30">
        <f>IF(RAW_GAMES!M30="","",RAW_GAMES!M30)</f>
        <v>1.3</v>
      </c>
      <c r="N30">
        <f t="shared" si="2"/>
        <v>2.8100000000000005</v>
      </c>
      <c r="O30" s="7">
        <f>RAW_GAMES!O30</f>
        <v>6</v>
      </c>
      <c r="P30">
        <f>RAW_GAMES!N30</f>
        <v>2</v>
      </c>
      <c r="Q30">
        <f t="shared" si="3"/>
        <v>0.33333333333333331</v>
      </c>
      <c r="R30" s="7">
        <f>RAW_GAMES!Q30</f>
        <v>4</v>
      </c>
      <c r="S30">
        <f>RAW_GAMES!P30</f>
        <v>0</v>
      </c>
      <c r="T30">
        <f t="shared" si="4"/>
        <v>1</v>
      </c>
      <c r="U30">
        <f>_xlfn.XLOOKUP(C30,
  CALC_TEAMS_SEASON!B:B,
  CALC_TEAMS_SEASON!F:F)</f>
        <v>0.20297619047619053</v>
      </c>
      <c r="V30">
        <f>_xlfn.XLOOKUP(D30,
  CALC_TEAMS_SEASON!B:B,
  CALC_TEAMS_SEASON!F:F)</f>
        <v>0.11826923076923078</v>
      </c>
      <c r="W30" t="str">
        <f>RAW_GAMES!R30</f>
        <v>Will</v>
      </c>
      <c r="X30" s="7">
        <f>RAW_GAMES!S30</f>
        <v>13</v>
      </c>
      <c r="Y30">
        <f t="shared" si="5"/>
        <v>1</v>
      </c>
      <c r="Z30" t="str">
        <f>RAW_GAMES!V30</f>
        <v>RS</v>
      </c>
    </row>
    <row r="31" spans="1:26" x14ac:dyDescent="0.25">
      <c r="A31" t="str">
        <f>RAW_GAMES!A31</f>
        <v>25/26</v>
      </c>
      <c r="B31" s="3">
        <f>RAW_GAMES!B31</f>
        <v>45914</v>
      </c>
      <c r="C31" s="3" t="str">
        <f>RAW_GAMES!E31</f>
        <v>TRI</v>
      </c>
      <c r="D31" s="3" t="str">
        <f>RAW_GAMES!F31</f>
        <v>LIB</v>
      </c>
      <c r="E31" s="7">
        <f>RAW_GAMES!G31</f>
        <v>1</v>
      </c>
      <c r="F31">
        <f>RAW_GAMES!H31</f>
        <v>4</v>
      </c>
      <c r="G31">
        <f>RAW_GAMES!I31</f>
        <v>2</v>
      </c>
      <c r="H31">
        <f t="shared" si="0"/>
        <v>2</v>
      </c>
      <c r="I31">
        <f>RAW_GAMES!J31</f>
        <v>23</v>
      </c>
      <c r="J31">
        <f>RAW_GAMES!K31</f>
        <v>26</v>
      </c>
      <c r="K31">
        <f t="shared" si="1"/>
        <v>-3</v>
      </c>
      <c r="L31">
        <f>IF(RAW_GAMES!L31="","",RAW_GAMES!L31)</f>
        <v>3.46</v>
      </c>
      <c r="M31">
        <f>IF(RAW_GAMES!M31="","",RAW_GAMES!M31)</f>
        <v>1.83</v>
      </c>
      <c r="N31">
        <f t="shared" si="2"/>
        <v>1.63</v>
      </c>
      <c r="O31" s="7">
        <f>RAW_GAMES!O31</f>
        <v>5</v>
      </c>
      <c r="P31">
        <f>RAW_GAMES!N31</f>
        <v>0</v>
      </c>
      <c r="Q31">
        <f t="shared" si="3"/>
        <v>0</v>
      </c>
      <c r="R31" s="7">
        <f>RAW_GAMES!Q31</f>
        <v>3</v>
      </c>
      <c r="S31">
        <f>RAW_GAMES!P31</f>
        <v>1</v>
      </c>
      <c r="T31">
        <f t="shared" si="4"/>
        <v>0.66666666666666674</v>
      </c>
      <c r="U31">
        <f>_xlfn.XLOOKUP(C31,
  CALC_TEAMS_SEASON!B:B,
  CALC_TEAMS_SEASON!F:F)</f>
        <v>0.17437423687423692</v>
      </c>
      <c r="V31">
        <f>_xlfn.XLOOKUP(D31,
  CALC_TEAMS_SEASON!B:B,
  CALC_TEAMS_SEASON!F:F)</f>
        <v>0.14377289377289379</v>
      </c>
      <c r="W31" t="str">
        <f>RAW_GAMES!R31</f>
        <v>Mazanec</v>
      </c>
      <c r="X31" s="7">
        <f>RAW_GAMES!S31</f>
        <v>24</v>
      </c>
      <c r="Y31">
        <f t="shared" si="5"/>
        <v>1</v>
      </c>
      <c r="Z31" t="str">
        <f>RAW_GAMES!V31</f>
        <v>RS</v>
      </c>
    </row>
    <row r="32" spans="1:26" x14ac:dyDescent="0.25">
      <c r="A32" t="str">
        <f>RAW_GAMES!A32</f>
        <v>25/26</v>
      </c>
      <c r="B32" s="3">
        <f>RAW_GAMES!B32</f>
        <v>45914</v>
      </c>
      <c r="C32" s="3" t="str">
        <f>RAW_GAMES!E32</f>
        <v>SPA</v>
      </c>
      <c r="D32" s="3" t="str">
        <f>RAW_GAMES!F32</f>
        <v>KOM</v>
      </c>
      <c r="E32" s="7">
        <f>RAW_GAMES!G32</f>
        <v>0</v>
      </c>
      <c r="F32">
        <f>RAW_GAMES!H32</f>
        <v>0</v>
      </c>
      <c r="G32">
        <f>RAW_GAMES!I32</f>
        <v>2</v>
      </c>
      <c r="H32">
        <f t="shared" si="0"/>
        <v>-2</v>
      </c>
      <c r="I32">
        <f>RAW_GAMES!J32</f>
        <v>27</v>
      </c>
      <c r="J32">
        <f>RAW_GAMES!K32</f>
        <v>21</v>
      </c>
      <c r="K32">
        <f t="shared" si="1"/>
        <v>6</v>
      </c>
      <c r="L32">
        <f>IF(RAW_GAMES!L32="","",RAW_GAMES!L32)</f>
        <v>3.37</v>
      </c>
      <c r="M32">
        <f>IF(RAW_GAMES!M32="","",RAW_GAMES!M32)</f>
        <v>2.36</v>
      </c>
      <c r="N32">
        <f t="shared" si="2"/>
        <v>1.0100000000000002</v>
      </c>
      <c r="O32" s="7">
        <f>RAW_GAMES!O32</f>
        <v>9</v>
      </c>
      <c r="P32">
        <f>RAW_GAMES!N32</f>
        <v>0</v>
      </c>
      <c r="Q32">
        <f t="shared" si="3"/>
        <v>0</v>
      </c>
      <c r="R32" s="7">
        <f>RAW_GAMES!Q32</f>
        <v>8</v>
      </c>
      <c r="S32">
        <f>RAW_GAMES!P32</f>
        <v>1</v>
      </c>
      <c r="T32">
        <f t="shared" si="4"/>
        <v>0.875</v>
      </c>
      <c r="U32">
        <f>_xlfn.XLOOKUP(C32,
  CALC_TEAMS_SEASON!B:B,
  CALC_TEAMS_SEASON!F:F)</f>
        <v>0.22060439560439565</v>
      </c>
      <c r="V32">
        <f>_xlfn.XLOOKUP(D32,
  CALC_TEAMS_SEASON!B:B,
  CALC_TEAMS_SEASON!F:F)</f>
        <v>0.14358974358974358</v>
      </c>
      <c r="W32" t="str">
        <f>RAW_GAMES!R32</f>
        <v>Kořenář</v>
      </c>
      <c r="X32" s="7">
        <f>RAW_GAMES!S32</f>
        <v>19</v>
      </c>
      <c r="Y32">
        <f t="shared" si="5"/>
        <v>0</v>
      </c>
      <c r="Z32" t="str">
        <f>RAW_GAMES!V32</f>
        <v>RS</v>
      </c>
    </row>
    <row r="33" spans="1:26" x14ac:dyDescent="0.25">
      <c r="A33" t="str">
        <f>RAW_GAMES!A33</f>
        <v>25/26</v>
      </c>
      <c r="B33" s="3">
        <f>RAW_GAMES!B33</f>
        <v>45914</v>
      </c>
      <c r="C33" s="3" t="str">
        <f>RAW_GAMES!E33</f>
        <v>KOM</v>
      </c>
      <c r="D33" s="3" t="str">
        <f>RAW_GAMES!F33</f>
        <v>SPA</v>
      </c>
      <c r="E33" s="7">
        <f>RAW_GAMES!G33</f>
        <v>1</v>
      </c>
      <c r="F33">
        <f>RAW_GAMES!H33</f>
        <v>2</v>
      </c>
      <c r="G33">
        <f>RAW_GAMES!I33</f>
        <v>0</v>
      </c>
      <c r="H33">
        <f t="shared" si="0"/>
        <v>2</v>
      </c>
      <c r="I33">
        <f>RAW_GAMES!J33</f>
        <v>21</v>
      </c>
      <c r="J33">
        <f>RAW_GAMES!K33</f>
        <v>27</v>
      </c>
      <c r="K33">
        <f t="shared" si="1"/>
        <v>-6</v>
      </c>
      <c r="L33">
        <f>IF(RAW_GAMES!L33="","",RAW_GAMES!L33)</f>
        <v>2.36</v>
      </c>
      <c r="M33">
        <f>IF(RAW_GAMES!M33="","",RAW_GAMES!M33)</f>
        <v>3.37</v>
      </c>
      <c r="N33">
        <f t="shared" si="2"/>
        <v>-1.0100000000000002</v>
      </c>
      <c r="O33" s="7">
        <f>RAW_GAMES!O33</f>
        <v>8</v>
      </c>
      <c r="P33">
        <f>RAW_GAMES!N33</f>
        <v>1</v>
      </c>
      <c r="Q33">
        <f t="shared" si="3"/>
        <v>0.125</v>
      </c>
      <c r="R33" s="7">
        <f>RAW_GAMES!Q33</f>
        <v>9</v>
      </c>
      <c r="S33">
        <f>RAW_GAMES!P33</f>
        <v>0</v>
      </c>
      <c r="T33">
        <f t="shared" si="4"/>
        <v>1</v>
      </c>
      <c r="U33">
        <f>_xlfn.XLOOKUP(C33,
  CALC_TEAMS_SEASON!B:B,
  CALC_TEAMS_SEASON!F:F)</f>
        <v>0.14358974358974358</v>
      </c>
      <c r="V33">
        <f>_xlfn.XLOOKUP(D33,
  CALC_TEAMS_SEASON!B:B,
  CALC_TEAMS_SEASON!F:F)</f>
        <v>0.22060439560439565</v>
      </c>
      <c r="W33" t="str">
        <f>RAW_GAMES!R33</f>
        <v>Stezka</v>
      </c>
      <c r="X33" s="7">
        <f>RAW_GAMES!S33</f>
        <v>27</v>
      </c>
      <c r="Y33">
        <f t="shared" si="5"/>
        <v>1</v>
      </c>
      <c r="Z33" t="str">
        <f>RAW_GAMES!V33</f>
        <v>RS</v>
      </c>
    </row>
    <row r="34" spans="1:26" x14ac:dyDescent="0.25">
      <c r="A34" t="str">
        <f>RAW_GAMES!A34</f>
        <v>25/26</v>
      </c>
      <c r="B34" s="3">
        <f>RAW_GAMES!B34</f>
        <v>45914</v>
      </c>
      <c r="C34" s="3" t="str">
        <f>RAW_GAMES!E34</f>
        <v>CEB</v>
      </c>
      <c r="D34" s="3" t="str">
        <f>RAW_GAMES!F34</f>
        <v>PLZ</v>
      </c>
      <c r="E34" s="7">
        <f>RAW_GAMES!G34</f>
        <v>0</v>
      </c>
      <c r="F34">
        <f>RAW_GAMES!H34</f>
        <v>4</v>
      </c>
      <c r="G34">
        <f>RAW_GAMES!I34</f>
        <v>1</v>
      </c>
      <c r="H34">
        <f t="shared" si="0"/>
        <v>3</v>
      </c>
      <c r="I34">
        <f>RAW_GAMES!J34</f>
        <v>28</v>
      </c>
      <c r="J34">
        <f>RAW_GAMES!K34</f>
        <v>24</v>
      </c>
      <c r="K34">
        <f t="shared" si="1"/>
        <v>4</v>
      </c>
      <c r="L34" t="str">
        <f>IF(RAW_GAMES!L34="","",RAW_GAMES!L34)</f>
        <v/>
      </c>
      <c r="M34" t="str">
        <f>IF(RAW_GAMES!M34="","",RAW_GAMES!M34)</f>
        <v/>
      </c>
      <c r="N34" t="str">
        <f t="shared" si="2"/>
        <v/>
      </c>
      <c r="O34" s="7">
        <f>RAW_GAMES!O34</f>
        <v>7</v>
      </c>
      <c r="P34">
        <f>RAW_GAMES!N34</f>
        <v>2</v>
      </c>
      <c r="Q34">
        <f t="shared" si="3"/>
        <v>0.2857142857142857</v>
      </c>
      <c r="R34" s="7">
        <f>RAW_GAMES!Q34</f>
        <v>10</v>
      </c>
      <c r="S34">
        <f>RAW_GAMES!P34</f>
        <v>0</v>
      </c>
      <c r="T34">
        <f t="shared" si="4"/>
        <v>1</v>
      </c>
      <c r="U34">
        <f>_xlfn.XLOOKUP(C34,
  CALC_TEAMS_SEASON!B:B,
  CALC_TEAMS_SEASON!F:F)</f>
        <v>0.13021353646353648</v>
      </c>
      <c r="V34">
        <f>_xlfn.XLOOKUP(D34,
  CALC_TEAMS_SEASON!B:B,
  CALC_TEAMS_SEASON!F:F)</f>
        <v>0.17641178266178262</v>
      </c>
      <c r="W34" t="str">
        <f>RAW_GAMES!R34</f>
        <v>Klouček</v>
      </c>
      <c r="X34" s="7">
        <f>RAW_GAMES!S34</f>
        <v>23</v>
      </c>
      <c r="Y34">
        <f t="shared" si="5"/>
        <v>1</v>
      </c>
      <c r="Z34" t="str">
        <f>RAW_GAMES!V34</f>
        <v>RS</v>
      </c>
    </row>
    <row r="35" spans="1:26" x14ac:dyDescent="0.25">
      <c r="A35" t="str">
        <f>RAW_GAMES!A35</f>
        <v>25/26</v>
      </c>
      <c r="B35" s="3">
        <f>RAW_GAMES!B35</f>
        <v>45914</v>
      </c>
      <c r="C35" s="3" t="str">
        <f>RAW_GAMES!E35</f>
        <v>KLA</v>
      </c>
      <c r="D35" s="3" t="str">
        <f>RAW_GAMES!F35</f>
        <v>MHK</v>
      </c>
      <c r="E35" s="7">
        <f>RAW_GAMES!G35</f>
        <v>1</v>
      </c>
      <c r="F35">
        <f>RAW_GAMES!H35</f>
        <v>4</v>
      </c>
      <c r="G35">
        <f>RAW_GAMES!I35</f>
        <v>2</v>
      </c>
      <c r="H35">
        <f t="shared" si="0"/>
        <v>2</v>
      </c>
      <c r="I35">
        <f>RAW_GAMES!J35</f>
        <v>31</v>
      </c>
      <c r="J35">
        <f>RAW_GAMES!K35</f>
        <v>34</v>
      </c>
      <c r="K35">
        <f t="shared" si="1"/>
        <v>-3</v>
      </c>
      <c r="L35" t="str">
        <f>IF(RAW_GAMES!L35="","",RAW_GAMES!L35)</f>
        <v/>
      </c>
      <c r="M35" t="str">
        <f>IF(RAW_GAMES!M35="","",RAW_GAMES!M35)</f>
        <v/>
      </c>
      <c r="N35" t="str">
        <f t="shared" si="2"/>
        <v/>
      </c>
      <c r="O35" s="7">
        <f>RAW_GAMES!O35</f>
        <v>5</v>
      </c>
      <c r="P35">
        <f>RAW_GAMES!N35</f>
        <v>2</v>
      </c>
      <c r="Q35">
        <f t="shared" si="3"/>
        <v>0.4</v>
      </c>
      <c r="R35" s="7">
        <f>RAW_GAMES!Q35</f>
        <v>5</v>
      </c>
      <c r="S35">
        <f>RAW_GAMES!P35</f>
        <v>1</v>
      </c>
      <c r="T35">
        <f t="shared" si="4"/>
        <v>0.8</v>
      </c>
      <c r="U35">
        <f>_xlfn.XLOOKUP(C35,
  CALC_TEAMS_SEASON!B:B,
  CALC_TEAMS_SEASON!F:F)</f>
        <v>0.13120421245421243</v>
      </c>
      <c r="V35">
        <f>_xlfn.XLOOKUP(D35,
  CALC_TEAMS_SEASON!B:B,
  CALC_TEAMS_SEASON!F:F)</f>
        <v>0.14184981684981687</v>
      </c>
      <c r="W35" t="str">
        <f>RAW_GAMES!R35</f>
        <v>Brízgala</v>
      </c>
      <c r="X35" s="7">
        <f>RAW_GAMES!S35</f>
        <v>32</v>
      </c>
      <c r="Y35">
        <f t="shared" si="5"/>
        <v>1</v>
      </c>
      <c r="Z35" t="str">
        <f>RAW_GAMES!V35</f>
        <v>RS</v>
      </c>
    </row>
    <row r="36" spans="1:26" x14ac:dyDescent="0.25">
      <c r="A36" t="str">
        <f>RAW_GAMES!A36</f>
        <v>25/26</v>
      </c>
      <c r="B36" s="3">
        <f>RAW_GAMES!B36</f>
        <v>45914</v>
      </c>
      <c r="C36" s="3" t="str">
        <f>RAW_GAMES!E36</f>
        <v>KVA</v>
      </c>
      <c r="D36" s="3" t="str">
        <f>RAW_GAMES!F36</f>
        <v>OLO</v>
      </c>
      <c r="E36" s="7">
        <f>RAW_GAMES!G36</f>
        <v>1</v>
      </c>
      <c r="F36">
        <f>RAW_GAMES!H36</f>
        <v>2</v>
      </c>
      <c r="G36">
        <f>RAW_GAMES!I36</f>
        <v>4</v>
      </c>
      <c r="H36">
        <f t="shared" si="0"/>
        <v>-2</v>
      </c>
      <c r="I36">
        <f>RAW_GAMES!J36</f>
        <v>23</v>
      </c>
      <c r="J36">
        <f>RAW_GAMES!K36</f>
        <v>41</v>
      </c>
      <c r="K36">
        <f t="shared" si="1"/>
        <v>-18</v>
      </c>
      <c r="L36" t="str">
        <f>IF(RAW_GAMES!L36="","",RAW_GAMES!L36)</f>
        <v/>
      </c>
      <c r="M36" t="str">
        <f>IF(RAW_GAMES!M36="","",RAW_GAMES!M36)</f>
        <v/>
      </c>
      <c r="N36" t="str">
        <f t="shared" si="2"/>
        <v/>
      </c>
      <c r="O36" s="7">
        <f>RAW_GAMES!O36</f>
        <v>3</v>
      </c>
      <c r="P36">
        <f>RAW_GAMES!N36</f>
        <v>0</v>
      </c>
      <c r="Q36">
        <f t="shared" si="3"/>
        <v>0</v>
      </c>
      <c r="R36" s="7">
        <f>RAW_GAMES!Q36</f>
        <v>5</v>
      </c>
      <c r="S36">
        <f>RAW_GAMES!P36</f>
        <v>0</v>
      </c>
      <c r="T36">
        <f t="shared" si="4"/>
        <v>1</v>
      </c>
      <c r="U36">
        <f>_xlfn.XLOOKUP(C36,
  CALC_TEAMS_SEASON!B:B,
  CALC_TEAMS_SEASON!F:F)</f>
        <v>0.17387057387057389</v>
      </c>
      <c r="V36">
        <f>_xlfn.XLOOKUP(D36,
  CALC_TEAMS_SEASON!B:B,
  CALC_TEAMS_SEASON!F:F)</f>
        <v>0.14989316239316242</v>
      </c>
      <c r="W36" t="str">
        <f>RAW_GAMES!R36</f>
        <v>Frodl</v>
      </c>
      <c r="X36" s="7">
        <f>RAW_GAMES!S36</f>
        <v>37</v>
      </c>
      <c r="Y36">
        <f t="shared" si="5"/>
        <v>0</v>
      </c>
      <c r="Z36" t="str">
        <f>RAW_GAMES!V36</f>
        <v>RS</v>
      </c>
    </row>
    <row r="37" spans="1:26" x14ac:dyDescent="0.25">
      <c r="A37" t="str">
        <f>RAW_GAMES!A37</f>
        <v>25/26</v>
      </c>
      <c r="B37" s="3">
        <f>RAW_GAMES!B37</f>
        <v>45914</v>
      </c>
      <c r="C37" s="3" t="str">
        <f>RAW_GAMES!E37</f>
        <v>LIB</v>
      </c>
      <c r="D37" s="3" t="str">
        <f>RAW_GAMES!F37</f>
        <v>TRI</v>
      </c>
      <c r="E37" s="7">
        <f>RAW_GAMES!G37</f>
        <v>0</v>
      </c>
      <c r="F37">
        <f>RAW_GAMES!H37</f>
        <v>2</v>
      </c>
      <c r="G37">
        <f>RAW_GAMES!I37</f>
        <v>4</v>
      </c>
      <c r="H37">
        <f t="shared" si="0"/>
        <v>-2</v>
      </c>
      <c r="I37">
        <f>RAW_GAMES!J37</f>
        <v>26</v>
      </c>
      <c r="J37">
        <f>RAW_GAMES!K37</f>
        <v>23</v>
      </c>
      <c r="K37">
        <f t="shared" si="1"/>
        <v>3</v>
      </c>
      <c r="L37">
        <f>IF(RAW_GAMES!L37="","",RAW_GAMES!L37)</f>
        <v>1.83</v>
      </c>
      <c r="M37">
        <f>IF(RAW_GAMES!M37="","",RAW_GAMES!M37)</f>
        <v>3.46</v>
      </c>
      <c r="N37">
        <f t="shared" si="2"/>
        <v>-1.63</v>
      </c>
      <c r="O37" s="7">
        <f>RAW_GAMES!O37</f>
        <v>3</v>
      </c>
      <c r="P37">
        <f>RAW_GAMES!N37</f>
        <v>1</v>
      </c>
      <c r="Q37">
        <f t="shared" si="3"/>
        <v>0.33333333333333331</v>
      </c>
      <c r="R37" s="7">
        <f>RAW_GAMES!Q37</f>
        <v>5</v>
      </c>
      <c r="S37">
        <f>RAW_GAMES!P37</f>
        <v>0</v>
      </c>
      <c r="T37">
        <f t="shared" si="4"/>
        <v>1</v>
      </c>
      <c r="U37">
        <f>_xlfn.XLOOKUP(C37,
  CALC_TEAMS_SEASON!B:B,
  CALC_TEAMS_SEASON!F:F)</f>
        <v>0.14377289377289379</v>
      </c>
      <c r="V37">
        <f>_xlfn.XLOOKUP(D37,
  CALC_TEAMS_SEASON!B:B,
  CALC_TEAMS_SEASON!F:F)</f>
        <v>0.17437423687423692</v>
      </c>
      <c r="W37" t="str">
        <f>RAW_GAMES!R37</f>
        <v>Kváča</v>
      </c>
      <c r="X37" s="7">
        <f>RAW_GAMES!S37</f>
        <v>19</v>
      </c>
      <c r="Y37">
        <f t="shared" si="5"/>
        <v>0</v>
      </c>
      <c r="Z37" t="str">
        <f>RAW_GAMES!V37</f>
        <v>RS</v>
      </c>
    </row>
    <row r="38" spans="1:26" x14ac:dyDescent="0.25">
      <c r="A38" t="str">
        <f>RAW_GAMES!A38</f>
        <v>25/26</v>
      </c>
      <c r="B38" s="3">
        <f>RAW_GAMES!B38</f>
        <v>45914</v>
      </c>
      <c r="C38" s="3" t="str">
        <f>RAW_GAMES!E38</f>
        <v>LIT</v>
      </c>
      <c r="D38" s="3" t="str">
        <f>RAW_GAMES!F38</f>
        <v>VIT</v>
      </c>
      <c r="E38" s="7">
        <f>RAW_GAMES!G38</f>
        <v>1</v>
      </c>
      <c r="F38">
        <f>RAW_GAMES!H38</f>
        <v>0</v>
      </c>
      <c r="G38">
        <f>RAW_GAMES!I38</f>
        <v>3</v>
      </c>
      <c r="H38">
        <f t="shared" si="0"/>
        <v>-3</v>
      </c>
      <c r="I38">
        <f>RAW_GAMES!J38</f>
        <v>32</v>
      </c>
      <c r="J38">
        <f>RAW_GAMES!K38</f>
        <v>22</v>
      </c>
      <c r="K38">
        <f t="shared" si="1"/>
        <v>10</v>
      </c>
      <c r="L38" t="str">
        <f>IF(RAW_GAMES!L38="","",RAW_GAMES!L38)</f>
        <v/>
      </c>
      <c r="M38" t="str">
        <f>IF(RAW_GAMES!M38="","",RAW_GAMES!M38)</f>
        <v/>
      </c>
      <c r="N38" t="str">
        <f t="shared" si="2"/>
        <v/>
      </c>
      <c r="O38" s="7">
        <f>RAW_GAMES!O38</f>
        <v>2</v>
      </c>
      <c r="P38">
        <f>RAW_GAMES!N38</f>
        <v>0</v>
      </c>
      <c r="Q38">
        <f t="shared" si="3"/>
        <v>0</v>
      </c>
      <c r="R38" s="7">
        <f>RAW_GAMES!Q38</f>
        <v>4</v>
      </c>
      <c r="S38">
        <f>RAW_GAMES!P38</f>
        <v>1</v>
      </c>
      <c r="T38">
        <f t="shared" si="4"/>
        <v>0.75</v>
      </c>
      <c r="U38">
        <f>_xlfn.XLOOKUP(C38,
  CALC_TEAMS_SEASON!B:B,
  CALC_TEAMS_SEASON!F:F)</f>
        <v>0.10089285714285713</v>
      </c>
      <c r="V38">
        <f>_xlfn.XLOOKUP(D38,
  CALC_TEAMS_SEASON!B:B,
  CALC_TEAMS_SEASON!F:F)</f>
        <v>0.16984890109890113</v>
      </c>
      <c r="W38" t="str">
        <f>RAW_GAMES!R38</f>
        <v>Čajan</v>
      </c>
      <c r="X38" s="7">
        <f>RAW_GAMES!S38</f>
        <v>19</v>
      </c>
      <c r="Y38">
        <f t="shared" si="5"/>
        <v>0</v>
      </c>
      <c r="Z38" t="str">
        <f>RAW_GAMES!V38</f>
        <v>RS</v>
      </c>
    </row>
    <row r="39" spans="1:26" x14ac:dyDescent="0.25">
      <c r="A39" t="str">
        <f>RAW_GAMES!A39</f>
        <v>25/26</v>
      </c>
      <c r="B39" s="3">
        <f>RAW_GAMES!B39</f>
        <v>45914</v>
      </c>
      <c r="C39" s="3" t="str">
        <f>RAW_GAMES!E39</f>
        <v>MBL</v>
      </c>
      <c r="D39" s="3" t="str">
        <f>RAW_GAMES!F39</f>
        <v>PCE</v>
      </c>
      <c r="E39" s="7">
        <f>RAW_GAMES!G39</f>
        <v>0</v>
      </c>
      <c r="F39">
        <f>RAW_GAMES!H39</f>
        <v>1</v>
      </c>
      <c r="G39">
        <f>RAW_GAMES!I39</f>
        <v>4</v>
      </c>
      <c r="H39">
        <f t="shared" si="0"/>
        <v>-3</v>
      </c>
      <c r="I39">
        <f>RAW_GAMES!J39</f>
        <v>14</v>
      </c>
      <c r="J39">
        <f>RAW_GAMES!K39</f>
        <v>43</v>
      </c>
      <c r="K39">
        <f t="shared" si="1"/>
        <v>-29</v>
      </c>
      <c r="L39">
        <f>IF(RAW_GAMES!L39="","",RAW_GAMES!L39)</f>
        <v>1.3</v>
      </c>
      <c r="M39">
        <f>IF(RAW_GAMES!M39="","",RAW_GAMES!M39)</f>
        <v>4.1100000000000003</v>
      </c>
      <c r="N39">
        <f t="shared" si="2"/>
        <v>-2.8100000000000005</v>
      </c>
      <c r="O39" s="7">
        <f>RAW_GAMES!O39</f>
        <v>4</v>
      </c>
      <c r="P39">
        <f>RAW_GAMES!N39</f>
        <v>0</v>
      </c>
      <c r="Q39">
        <f t="shared" si="3"/>
        <v>0</v>
      </c>
      <c r="R39" s="7">
        <f>RAW_GAMES!Q39</f>
        <v>6</v>
      </c>
      <c r="S39">
        <f>RAW_GAMES!P39</f>
        <v>2</v>
      </c>
      <c r="T39">
        <f t="shared" si="4"/>
        <v>0.66666666666666674</v>
      </c>
      <c r="U39">
        <f>_xlfn.XLOOKUP(C39,
  CALC_TEAMS_SEASON!B:B,
  CALC_TEAMS_SEASON!F:F)</f>
        <v>0.11826923076923078</v>
      </c>
      <c r="V39">
        <f>_xlfn.XLOOKUP(D39,
  CALC_TEAMS_SEASON!B:B,
  CALC_TEAMS_SEASON!F:F)</f>
        <v>0.20297619047619053</v>
      </c>
      <c r="W39" t="str">
        <f>RAW_GAMES!R39</f>
        <v>Westerholm</v>
      </c>
      <c r="X39" s="7">
        <f>RAW_GAMES!S39</f>
        <v>39</v>
      </c>
      <c r="Y39">
        <f t="shared" si="5"/>
        <v>0</v>
      </c>
      <c r="Z39" t="str">
        <f>RAW_GAMES!V39</f>
        <v>RS</v>
      </c>
    </row>
    <row r="40" spans="1:26" x14ac:dyDescent="0.25">
      <c r="A40" t="str">
        <f>RAW_GAMES!A40</f>
        <v>25/26</v>
      </c>
      <c r="B40" s="3">
        <f>RAW_GAMES!B40</f>
        <v>45914</v>
      </c>
      <c r="C40" s="3" t="str">
        <f>RAW_GAMES!E40</f>
        <v>MHK</v>
      </c>
      <c r="D40" s="3" t="str">
        <f>RAW_GAMES!F40</f>
        <v>KLA</v>
      </c>
      <c r="E40" s="7">
        <f>RAW_GAMES!G40</f>
        <v>0</v>
      </c>
      <c r="F40">
        <f>RAW_GAMES!H40</f>
        <v>2</v>
      </c>
      <c r="G40">
        <f>RAW_GAMES!I40</f>
        <v>4</v>
      </c>
      <c r="H40">
        <f t="shared" si="0"/>
        <v>-2</v>
      </c>
      <c r="I40">
        <f>RAW_GAMES!J40</f>
        <v>34</v>
      </c>
      <c r="J40">
        <f>RAW_GAMES!K40</f>
        <v>31</v>
      </c>
      <c r="K40">
        <f t="shared" si="1"/>
        <v>3</v>
      </c>
      <c r="L40" t="str">
        <f>IF(RAW_GAMES!L40="","",RAW_GAMES!L40)</f>
        <v/>
      </c>
      <c r="M40" t="str">
        <f>IF(RAW_GAMES!M40="","",RAW_GAMES!M40)</f>
        <v/>
      </c>
      <c r="N40" t="str">
        <f t="shared" si="2"/>
        <v/>
      </c>
      <c r="O40" s="7">
        <f>RAW_GAMES!O40</f>
        <v>5</v>
      </c>
      <c r="P40">
        <f>RAW_GAMES!N40</f>
        <v>1</v>
      </c>
      <c r="Q40">
        <f t="shared" si="3"/>
        <v>0.2</v>
      </c>
      <c r="R40" s="7">
        <f>RAW_GAMES!Q40</f>
        <v>5</v>
      </c>
      <c r="S40">
        <f>RAW_GAMES!P40</f>
        <v>2</v>
      </c>
      <c r="T40">
        <f t="shared" si="4"/>
        <v>0.6</v>
      </c>
      <c r="U40">
        <f>_xlfn.XLOOKUP(C40,
  CALC_TEAMS_SEASON!B:B,
  CALC_TEAMS_SEASON!F:F)</f>
        <v>0.14184981684981687</v>
      </c>
      <c r="V40">
        <f>_xlfn.XLOOKUP(D40,
  CALC_TEAMS_SEASON!B:B,
  CALC_TEAMS_SEASON!F:F)</f>
        <v>0.13120421245421243</v>
      </c>
      <c r="W40" t="str">
        <f>RAW_GAMES!R40</f>
        <v>Škorvánek</v>
      </c>
      <c r="X40" s="7">
        <f>RAW_GAMES!S40</f>
        <v>27</v>
      </c>
      <c r="Y40">
        <f t="shared" si="5"/>
        <v>0</v>
      </c>
      <c r="Z40" t="str">
        <f>RAW_GAMES!V40</f>
        <v>RS</v>
      </c>
    </row>
    <row r="41" spans="1:26" x14ac:dyDescent="0.25">
      <c r="A41" t="str">
        <f>RAW_GAMES!A41</f>
        <v>25/26</v>
      </c>
      <c r="B41" s="3">
        <f>RAW_GAMES!B41</f>
        <v>45914</v>
      </c>
      <c r="C41" s="3" t="str">
        <f>RAW_GAMES!E41</f>
        <v>OLO</v>
      </c>
      <c r="D41" s="3" t="str">
        <f>RAW_GAMES!F41</f>
        <v>KVA</v>
      </c>
      <c r="E41" s="7">
        <f>RAW_GAMES!G41</f>
        <v>0</v>
      </c>
      <c r="F41">
        <f>RAW_GAMES!H41</f>
        <v>4</v>
      </c>
      <c r="G41">
        <f>RAW_GAMES!I41</f>
        <v>2</v>
      </c>
      <c r="H41">
        <f t="shared" si="0"/>
        <v>2</v>
      </c>
      <c r="I41">
        <f>RAW_GAMES!J41</f>
        <v>41</v>
      </c>
      <c r="J41">
        <f>RAW_GAMES!K41</f>
        <v>23</v>
      </c>
      <c r="K41">
        <f t="shared" si="1"/>
        <v>18</v>
      </c>
      <c r="L41" t="str">
        <f>IF(RAW_GAMES!L41="","",RAW_GAMES!L41)</f>
        <v/>
      </c>
      <c r="M41" t="str">
        <f>IF(RAW_GAMES!M41="","",RAW_GAMES!M41)</f>
        <v/>
      </c>
      <c r="N41" t="str">
        <f t="shared" si="2"/>
        <v/>
      </c>
      <c r="O41" s="7">
        <f>RAW_GAMES!O41</f>
        <v>5</v>
      </c>
      <c r="P41">
        <f>RAW_GAMES!N41</f>
        <v>0</v>
      </c>
      <c r="Q41">
        <f t="shared" si="3"/>
        <v>0</v>
      </c>
      <c r="R41" s="7">
        <f>RAW_GAMES!Q41</f>
        <v>3</v>
      </c>
      <c r="S41">
        <f>RAW_GAMES!P41</f>
        <v>0</v>
      </c>
      <c r="T41">
        <f t="shared" si="4"/>
        <v>1</v>
      </c>
      <c r="U41">
        <f>_xlfn.XLOOKUP(C41,
  CALC_TEAMS_SEASON!B:B,
  CALC_TEAMS_SEASON!F:F)</f>
        <v>0.14989316239316242</v>
      </c>
      <c r="V41">
        <f>_xlfn.XLOOKUP(D41,
  CALC_TEAMS_SEASON!B:B,
  CALC_TEAMS_SEASON!F:F)</f>
        <v>0.17387057387057389</v>
      </c>
      <c r="W41" t="str">
        <f>RAW_GAMES!R41</f>
        <v>Machovský</v>
      </c>
      <c r="X41" s="7">
        <f>RAW_GAMES!S41</f>
        <v>21</v>
      </c>
      <c r="Y41">
        <f t="shared" si="5"/>
        <v>1</v>
      </c>
      <c r="Z41" t="str">
        <f>RAW_GAMES!V41</f>
        <v>RS</v>
      </c>
    </row>
    <row r="42" spans="1:26" x14ac:dyDescent="0.25">
      <c r="A42" t="str">
        <f>RAW_GAMES!A42</f>
        <v>25/26</v>
      </c>
      <c r="B42" s="3">
        <f>RAW_GAMES!B42</f>
        <v>45914</v>
      </c>
      <c r="C42" s="3" t="str">
        <f>RAW_GAMES!E42</f>
        <v>PLZ</v>
      </c>
      <c r="D42" s="3" t="str">
        <f>RAW_GAMES!F42</f>
        <v>CEB</v>
      </c>
      <c r="E42" s="7">
        <f>RAW_GAMES!G42</f>
        <v>1</v>
      </c>
      <c r="F42">
        <f>RAW_GAMES!H42</f>
        <v>1</v>
      </c>
      <c r="G42">
        <f>RAW_GAMES!I42</f>
        <v>4</v>
      </c>
      <c r="H42">
        <f t="shared" si="0"/>
        <v>-3</v>
      </c>
      <c r="I42">
        <f>RAW_GAMES!J42</f>
        <v>24</v>
      </c>
      <c r="J42">
        <f>RAW_GAMES!K42</f>
        <v>28</v>
      </c>
      <c r="K42">
        <f t="shared" si="1"/>
        <v>-4</v>
      </c>
      <c r="L42" t="str">
        <f>IF(RAW_GAMES!L42="","",RAW_GAMES!L42)</f>
        <v/>
      </c>
      <c r="M42" t="str">
        <f>IF(RAW_GAMES!M42="","",RAW_GAMES!M42)</f>
        <v/>
      </c>
      <c r="N42" t="str">
        <f t="shared" si="2"/>
        <v/>
      </c>
      <c r="O42" s="7">
        <f>RAW_GAMES!O42</f>
        <v>10</v>
      </c>
      <c r="P42">
        <f>RAW_GAMES!N42</f>
        <v>0</v>
      </c>
      <c r="Q42">
        <f t="shared" si="3"/>
        <v>0</v>
      </c>
      <c r="R42" s="7">
        <f>RAW_GAMES!Q42</f>
        <v>7</v>
      </c>
      <c r="S42">
        <f>RAW_GAMES!P42</f>
        <v>2</v>
      </c>
      <c r="T42">
        <f t="shared" si="4"/>
        <v>0.7142857142857143</v>
      </c>
      <c r="U42">
        <f>_xlfn.XLOOKUP(C42,
  CALC_TEAMS_SEASON!B:B,
  CALC_TEAMS_SEASON!F:F)</f>
        <v>0.17641178266178262</v>
      </c>
      <c r="V42">
        <f>_xlfn.XLOOKUP(D42,
  CALC_TEAMS_SEASON!B:B,
  CALC_TEAMS_SEASON!F:F)</f>
        <v>0.13021353646353648</v>
      </c>
      <c r="W42" t="str">
        <f>RAW_GAMES!R42</f>
        <v>Malík</v>
      </c>
      <c r="X42" s="7">
        <f>RAW_GAMES!S42</f>
        <v>24</v>
      </c>
      <c r="Y42">
        <f t="shared" si="5"/>
        <v>0</v>
      </c>
      <c r="Z42" t="str">
        <f>RAW_GAMES!V42</f>
        <v>RS</v>
      </c>
    </row>
    <row r="43" spans="1:26" x14ac:dyDescent="0.25">
      <c r="A43" t="str">
        <f>RAW_GAMES!A43</f>
        <v>25/26</v>
      </c>
      <c r="B43" s="3">
        <f>RAW_GAMES!B43</f>
        <v>45914</v>
      </c>
      <c r="C43" s="3" t="str">
        <f>RAW_GAMES!E43</f>
        <v>VIT</v>
      </c>
      <c r="D43" s="3" t="str">
        <f>RAW_GAMES!F43</f>
        <v>LIT</v>
      </c>
      <c r="E43" s="7">
        <f>RAW_GAMES!G43</f>
        <v>0</v>
      </c>
      <c r="F43">
        <f>RAW_GAMES!H43</f>
        <v>3</v>
      </c>
      <c r="G43">
        <f>RAW_GAMES!I43</f>
        <v>0</v>
      </c>
      <c r="H43">
        <f t="shared" si="0"/>
        <v>3</v>
      </c>
      <c r="I43">
        <f>RAW_GAMES!J43</f>
        <v>22</v>
      </c>
      <c r="J43">
        <f>RAW_GAMES!K43</f>
        <v>32</v>
      </c>
      <c r="K43">
        <f t="shared" si="1"/>
        <v>-10</v>
      </c>
      <c r="L43" t="str">
        <f>IF(RAW_GAMES!L43="","",RAW_GAMES!L43)</f>
        <v/>
      </c>
      <c r="M43" t="str">
        <f>IF(RAW_GAMES!M43="","",RAW_GAMES!M43)</f>
        <v/>
      </c>
      <c r="N43" t="str">
        <f t="shared" si="2"/>
        <v/>
      </c>
      <c r="O43" s="7">
        <f>RAW_GAMES!O43</f>
        <v>4</v>
      </c>
      <c r="P43">
        <f>RAW_GAMES!N43</f>
        <v>1</v>
      </c>
      <c r="Q43">
        <f t="shared" si="3"/>
        <v>0.25</v>
      </c>
      <c r="R43" s="7">
        <f>RAW_GAMES!Q43</f>
        <v>2</v>
      </c>
      <c r="S43">
        <f>RAW_GAMES!P43</f>
        <v>0</v>
      </c>
      <c r="T43">
        <f t="shared" si="4"/>
        <v>1</v>
      </c>
      <c r="U43">
        <f>_xlfn.XLOOKUP(C43,
  CALC_TEAMS_SEASON!B:B,
  CALC_TEAMS_SEASON!F:F)</f>
        <v>0.16984890109890113</v>
      </c>
      <c r="V43">
        <f>_xlfn.XLOOKUP(D43,
  CALC_TEAMS_SEASON!B:B,
  CALC_TEAMS_SEASON!F:F)</f>
        <v>0.10089285714285713</v>
      </c>
      <c r="W43" t="str">
        <f>RAW_GAMES!R43</f>
        <v>Klimeš</v>
      </c>
      <c r="X43" s="7">
        <f>RAW_GAMES!S43</f>
        <v>32</v>
      </c>
      <c r="Y43">
        <f t="shared" si="5"/>
        <v>1</v>
      </c>
      <c r="Z43" t="str">
        <f>RAW_GAMES!V43</f>
        <v>RS</v>
      </c>
    </row>
    <row r="44" spans="1:26" x14ac:dyDescent="0.25">
      <c r="A44" t="str">
        <f>RAW_GAMES!A44</f>
        <v>25/26</v>
      </c>
      <c r="B44" s="3">
        <f>RAW_GAMES!B44</f>
        <v>45916</v>
      </c>
      <c r="C44" s="3" t="str">
        <f>RAW_GAMES!E44</f>
        <v>PCE</v>
      </c>
      <c r="D44" s="3" t="str">
        <f>RAW_GAMES!F44</f>
        <v>CEB</v>
      </c>
      <c r="E44" s="7">
        <f>RAW_GAMES!G44</f>
        <v>0</v>
      </c>
      <c r="F44">
        <f>RAW_GAMES!H44</f>
        <v>1</v>
      </c>
      <c r="G44">
        <f>RAW_GAMES!I44</f>
        <v>4</v>
      </c>
      <c r="H44">
        <f t="shared" si="0"/>
        <v>-3</v>
      </c>
      <c r="I44">
        <f>RAW_GAMES!J44</f>
        <v>31</v>
      </c>
      <c r="J44">
        <f>RAW_GAMES!K44</f>
        <v>33</v>
      </c>
      <c r="K44">
        <f t="shared" si="1"/>
        <v>-2</v>
      </c>
      <c r="L44">
        <f>IF(RAW_GAMES!L44="","",RAW_GAMES!L44)</f>
        <v>2.78</v>
      </c>
      <c r="M44">
        <f>IF(RAW_GAMES!M44="","",RAW_GAMES!M44)</f>
        <v>3.94</v>
      </c>
      <c r="N44">
        <f t="shared" si="2"/>
        <v>-1.1600000000000001</v>
      </c>
      <c r="O44" s="7">
        <f>RAW_GAMES!O44</f>
        <v>6</v>
      </c>
      <c r="P44">
        <f>RAW_GAMES!N44</f>
        <v>1</v>
      </c>
      <c r="Q44">
        <f t="shared" si="3"/>
        <v>0.16666666666666666</v>
      </c>
      <c r="R44" s="7">
        <f>RAW_GAMES!Q44</f>
        <v>6</v>
      </c>
      <c r="S44">
        <f>RAW_GAMES!P44</f>
        <v>1</v>
      </c>
      <c r="T44">
        <f t="shared" si="4"/>
        <v>0.83333333333333337</v>
      </c>
      <c r="U44">
        <f>_xlfn.XLOOKUP(C44,
  CALC_TEAMS_SEASON!B:B,
  CALC_TEAMS_SEASON!F:F)</f>
        <v>0.20297619047619053</v>
      </c>
      <c r="V44">
        <f>_xlfn.XLOOKUP(D44,
  CALC_TEAMS_SEASON!B:B,
  CALC_TEAMS_SEASON!F:F)</f>
        <v>0.13021353646353648</v>
      </c>
      <c r="W44" t="str">
        <f>RAW_GAMES!R44</f>
        <v>Vomáčka</v>
      </c>
      <c r="X44" s="7">
        <f>RAW_GAMES!S44</f>
        <v>29</v>
      </c>
      <c r="Y44">
        <f t="shared" si="5"/>
        <v>0</v>
      </c>
      <c r="Z44" t="str">
        <f>RAW_GAMES!V44</f>
        <v>RS</v>
      </c>
    </row>
    <row r="45" spans="1:26" x14ac:dyDescent="0.25">
      <c r="A45" t="str">
        <f>RAW_GAMES!A45</f>
        <v>25/26</v>
      </c>
      <c r="B45" s="3">
        <f>RAW_GAMES!B45</f>
        <v>45916</v>
      </c>
      <c r="C45" s="3" t="str">
        <f>RAW_GAMES!E45</f>
        <v>TRI</v>
      </c>
      <c r="D45" s="3" t="str">
        <f>RAW_GAMES!F45</f>
        <v>MBL</v>
      </c>
      <c r="E45" s="7">
        <f>RAW_GAMES!G45</f>
        <v>0</v>
      </c>
      <c r="F45">
        <f>RAW_GAMES!H45</f>
        <v>1</v>
      </c>
      <c r="G45">
        <f>RAW_GAMES!I45</f>
        <v>2</v>
      </c>
      <c r="H45">
        <f t="shared" si="0"/>
        <v>-1</v>
      </c>
      <c r="I45">
        <f>RAW_GAMES!J45</f>
        <v>22</v>
      </c>
      <c r="J45">
        <f>RAW_GAMES!K45</f>
        <v>22</v>
      </c>
      <c r="K45">
        <f t="shared" si="1"/>
        <v>0</v>
      </c>
      <c r="L45">
        <f>IF(RAW_GAMES!L45="","",RAW_GAMES!L45)</f>
        <v>2.19</v>
      </c>
      <c r="M45">
        <f>IF(RAW_GAMES!M45="","",RAW_GAMES!M45)</f>
        <v>3.1</v>
      </c>
      <c r="N45">
        <f t="shared" si="2"/>
        <v>-0.91000000000000014</v>
      </c>
      <c r="O45" s="7">
        <f>RAW_GAMES!O45</f>
        <v>1</v>
      </c>
      <c r="P45">
        <f>RAW_GAMES!N45</f>
        <v>0</v>
      </c>
      <c r="Q45">
        <f t="shared" si="3"/>
        <v>0</v>
      </c>
      <c r="R45" s="7">
        <f>RAW_GAMES!Q45</f>
        <v>2</v>
      </c>
      <c r="S45">
        <f>RAW_GAMES!P45</f>
        <v>0</v>
      </c>
      <c r="T45">
        <f t="shared" si="4"/>
        <v>1</v>
      </c>
      <c r="U45">
        <f>_xlfn.XLOOKUP(C45,
  CALC_TEAMS_SEASON!B:B,
  CALC_TEAMS_SEASON!F:F)</f>
        <v>0.17437423687423692</v>
      </c>
      <c r="V45">
        <f>_xlfn.XLOOKUP(D45,
  CALC_TEAMS_SEASON!B:B,
  CALC_TEAMS_SEASON!F:F)</f>
        <v>0.11826923076923078</v>
      </c>
      <c r="W45" t="str">
        <f>RAW_GAMES!R45</f>
        <v>Mazanec</v>
      </c>
      <c r="X45" s="7">
        <f>RAW_GAMES!S45</f>
        <v>20</v>
      </c>
      <c r="Y45">
        <f t="shared" si="5"/>
        <v>0</v>
      </c>
      <c r="Z45" t="str">
        <f>RAW_GAMES!V45</f>
        <v>RS</v>
      </c>
    </row>
    <row r="46" spans="1:26" x14ac:dyDescent="0.25">
      <c r="A46" t="str">
        <f>RAW_GAMES!A46</f>
        <v>25/26</v>
      </c>
      <c r="B46" s="3">
        <f>RAW_GAMES!B46</f>
        <v>45916</v>
      </c>
      <c r="C46" s="3" t="str">
        <f>RAW_GAMES!E46</f>
        <v>SPA</v>
      </c>
      <c r="D46" s="3" t="str">
        <f>RAW_GAMES!F46</f>
        <v>KVA</v>
      </c>
      <c r="E46" s="7">
        <f>RAW_GAMES!G46</f>
        <v>1</v>
      </c>
      <c r="F46">
        <f>RAW_GAMES!H46</f>
        <v>1</v>
      </c>
      <c r="G46">
        <f>RAW_GAMES!I46</f>
        <v>2</v>
      </c>
      <c r="H46">
        <f t="shared" si="0"/>
        <v>-1</v>
      </c>
      <c r="I46">
        <f>RAW_GAMES!J46</f>
        <v>38</v>
      </c>
      <c r="J46">
        <f>RAW_GAMES!K46</f>
        <v>32</v>
      </c>
      <c r="K46">
        <f t="shared" si="1"/>
        <v>6</v>
      </c>
      <c r="L46">
        <f>IF(RAW_GAMES!L46="","",RAW_GAMES!L46)</f>
        <v>3.22</v>
      </c>
      <c r="M46">
        <f>IF(RAW_GAMES!M46="","",RAW_GAMES!M46)</f>
        <v>2.5299999999999998</v>
      </c>
      <c r="N46">
        <f t="shared" si="2"/>
        <v>0.69000000000000039</v>
      </c>
      <c r="O46" s="7">
        <f>RAW_GAMES!O46</f>
        <v>3</v>
      </c>
      <c r="P46">
        <f>RAW_GAMES!N46</f>
        <v>1</v>
      </c>
      <c r="Q46">
        <f t="shared" si="3"/>
        <v>0.33333333333333331</v>
      </c>
      <c r="R46" s="7">
        <f>RAW_GAMES!Q46</f>
        <v>3</v>
      </c>
      <c r="S46">
        <f>RAW_GAMES!P46</f>
        <v>0</v>
      </c>
      <c r="T46">
        <f t="shared" si="4"/>
        <v>1</v>
      </c>
      <c r="U46">
        <f>_xlfn.XLOOKUP(C46,
  CALC_TEAMS_SEASON!B:B,
  CALC_TEAMS_SEASON!F:F)</f>
        <v>0.22060439560439565</v>
      </c>
      <c r="V46">
        <f>_xlfn.XLOOKUP(D46,
  CALC_TEAMS_SEASON!B:B,
  CALC_TEAMS_SEASON!F:F)</f>
        <v>0.17387057387057389</v>
      </c>
      <c r="W46" t="str">
        <f>RAW_GAMES!R46</f>
        <v>Kovář</v>
      </c>
      <c r="X46" s="7">
        <f>RAW_GAMES!S46</f>
        <v>30</v>
      </c>
      <c r="Y46">
        <f t="shared" si="5"/>
        <v>0</v>
      </c>
      <c r="Z46" t="str">
        <f>RAW_GAMES!V46</f>
        <v>RS</v>
      </c>
    </row>
    <row r="47" spans="1:26" x14ac:dyDescent="0.25">
      <c r="A47" t="str">
        <f>RAW_GAMES!A47</f>
        <v>25/26</v>
      </c>
      <c r="B47" s="3">
        <f>RAW_GAMES!B47</f>
        <v>45916</v>
      </c>
      <c r="C47" s="3" t="str">
        <f>RAW_GAMES!E47</f>
        <v>KVA</v>
      </c>
      <c r="D47" s="3" t="str">
        <f>RAW_GAMES!F47</f>
        <v>SPA</v>
      </c>
      <c r="E47" s="7">
        <f>RAW_GAMES!G47</f>
        <v>0</v>
      </c>
      <c r="F47">
        <f>RAW_GAMES!H47</f>
        <v>2</v>
      </c>
      <c r="G47">
        <f>RAW_GAMES!I47</f>
        <v>1</v>
      </c>
      <c r="H47">
        <f t="shared" si="0"/>
        <v>1</v>
      </c>
      <c r="I47">
        <f>RAW_GAMES!J47</f>
        <v>32</v>
      </c>
      <c r="J47">
        <f>RAW_GAMES!K47</f>
        <v>38</v>
      </c>
      <c r="K47">
        <f t="shared" si="1"/>
        <v>-6</v>
      </c>
      <c r="L47">
        <f>IF(RAW_GAMES!L47="","",RAW_GAMES!L47)</f>
        <v>2.5299999999999998</v>
      </c>
      <c r="M47">
        <f>IF(RAW_GAMES!M47="","",RAW_GAMES!M47)</f>
        <v>3.22</v>
      </c>
      <c r="N47">
        <f t="shared" si="2"/>
        <v>-0.69000000000000039</v>
      </c>
      <c r="O47" s="7">
        <f>RAW_GAMES!O47</f>
        <v>3</v>
      </c>
      <c r="P47">
        <f>RAW_GAMES!N47</f>
        <v>0</v>
      </c>
      <c r="Q47">
        <f t="shared" si="3"/>
        <v>0</v>
      </c>
      <c r="R47" s="7">
        <f>RAW_GAMES!Q47</f>
        <v>3</v>
      </c>
      <c r="S47">
        <f>RAW_GAMES!P47</f>
        <v>1</v>
      </c>
      <c r="T47">
        <f t="shared" si="4"/>
        <v>0.66666666666666674</v>
      </c>
      <c r="U47">
        <f>_xlfn.XLOOKUP(C47,
  CALC_TEAMS_SEASON!B:B,
  CALC_TEAMS_SEASON!F:F)</f>
        <v>0.17387057387057389</v>
      </c>
      <c r="V47">
        <f>_xlfn.XLOOKUP(D47,
  CALC_TEAMS_SEASON!B:B,
  CALC_TEAMS_SEASON!F:F)</f>
        <v>0.22060439560439565</v>
      </c>
      <c r="W47" t="str">
        <f>RAW_GAMES!R47</f>
        <v>Frodl</v>
      </c>
      <c r="X47" s="7">
        <f>RAW_GAMES!S47</f>
        <v>37</v>
      </c>
      <c r="Y47">
        <f t="shared" si="5"/>
        <v>1</v>
      </c>
      <c r="Z47" t="str">
        <f>RAW_GAMES!V47</f>
        <v>RS</v>
      </c>
    </row>
    <row r="48" spans="1:26" x14ac:dyDescent="0.25">
      <c r="A48" t="str">
        <f>RAW_GAMES!A48</f>
        <v>25/26</v>
      </c>
      <c r="B48" s="3">
        <f>RAW_GAMES!B48</f>
        <v>45916</v>
      </c>
      <c r="C48" s="3" t="str">
        <f>RAW_GAMES!E48</f>
        <v>KOM</v>
      </c>
      <c r="D48" s="3" t="str">
        <f>RAW_GAMES!F48</f>
        <v>VIT</v>
      </c>
      <c r="E48" s="7">
        <f>RAW_GAMES!G48</f>
        <v>1</v>
      </c>
      <c r="F48">
        <f>RAW_GAMES!H48</f>
        <v>5</v>
      </c>
      <c r="G48">
        <f>RAW_GAMES!I48</f>
        <v>2</v>
      </c>
      <c r="H48">
        <f t="shared" si="0"/>
        <v>3</v>
      </c>
      <c r="I48">
        <f>RAW_GAMES!J48</f>
        <v>17</v>
      </c>
      <c r="J48">
        <f>RAW_GAMES!K48</f>
        <v>21</v>
      </c>
      <c r="K48">
        <f t="shared" si="1"/>
        <v>-4</v>
      </c>
      <c r="L48">
        <f>IF(RAW_GAMES!L48="","",RAW_GAMES!L48)</f>
        <v>2.74</v>
      </c>
      <c r="M48">
        <f>IF(RAW_GAMES!M48="","",RAW_GAMES!M48)</f>
        <v>1.3</v>
      </c>
      <c r="N48">
        <f t="shared" si="2"/>
        <v>1.4400000000000002</v>
      </c>
      <c r="O48" s="7">
        <f>RAW_GAMES!O48</f>
        <v>3</v>
      </c>
      <c r="P48">
        <f>RAW_GAMES!N48</f>
        <v>2</v>
      </c>
      <c r="Q48">
        <f t="shared" si="3"/>
        <v>0.66666666666666663</v>
      </c>
      <c r="R48" s="7">
        <f>RAW_GAMES!Q48</f>
        <v>2</v>
      </c>
      <c r="S48">
        <f>RAW_GAMES!P48</f>
        <v>1</v>
      </c>
      <c r="T48">
        <f t="shared" si="4"/>
        <v>0.5</v>
      </c>
      <c r="U48">
        <f>_xlfn.XLOOKUP(C48,
  CALC_TEAMS_SEASON!B:B,
  CALC_TEAMS_SEASON!F:F)</f>
        <v>0.14358974358974358</v>
      </c>
      <c r="V48">
        <f>_xlfn.XLOOKUP(D48,
  CALC_TEAMS_SEASON!B:B,
  CALC_TEAMS_SEASON!F:F)</f>
        <v>0.16984890109890113</v>
      </c>
      <c r="W48" t="str">
        <f>RAW_GAMES!R48</f>
        <v>Stezka</v>
      </c>
      <c r="X48" s="7">
        <f>RAW_GAMES!S48</f>
        <v>19</v>
      </c>
      <c r="Y48">
        <f t="shared" si="5"/>
        <v>1</v>
      </c>
      <c r="Z48" t="str">
        <f>RAW_GAMES!V48</f>
        <v>RS</v>
      </c>
    </row>
    <row r="49" spans="1:26" x14ac:dyDescent="0.25">
      <c r="A49" t="str">
        <f>RAW_GAMES!A49</f>
        <v>25/26</v>
      </c>
      <c r="B49" s="3">
        <f>RAW_GAMES!B49</f>
        <v>45916</v>
      </c>
      <c r="C49" s="3" t="str">
        <f>RAW_GAMES!E49</f>
        <v>CEB</v>
      </c>
      <c r="D49" s="3" t="str">
        <f>RAW_GAMES!F49</f>
        <v>PCE</v>
      </c>
      <c r="E49" s="7">
        <f>RAW_GAMES!G49</f>
        <v>1</v>
      </c>
      <c r="F49">
        <f>RAW_GAMES!H49</f>
        <v>4</v>
      </c>
      <c r="G49">
        <f>RAW_GAMES!I49</f>
        <v>1</v>
      </c>
      <c r="H49">
        <f t="shared" si="0"/>
        <v>3</v>
      </c>
      <c r="I49">
        <f>RAW_GAMES!J49</f>
        <v>33</v>
      </c>
      <c r="J49">
        <f>RAW_GAMES!K49</f>
        <v>31</v>
      </c>
      <c r="K49">
        <f t="shared" si="1"/>
        <v>2</v>
      </c>
      <c r="L49">
        <f>IF(RAW_GAMES!L49="","",RAW_GAMES!L49)</f>
        <v>3.94</v>
      </c>
      <c r="M49">
        <f>IF(RAW_GAMES!M49="","",RAW_GAMES!M49)</f>
        <v>2.78</v>
      </c>
      <c r="N49">
        <f t="shared" si="2"/>
        <v>1.1600000000000001</v>
      </c>
      <c r="O49" s="7">
        <f>RAW_GAMES!O49</f>
        <v>6</v>
      </c>
      <c r="P49">
        <f>RAW_GAMES!N49</f>
        <v>1</v>
      </c>
      <c r="Q49">
        <f t="shared" si="3"/>
        <v>0.16666666666666666</v>
      </c>
      <c r="R49" s="7">
        <f>RAW_GAMES!Q49</f>
        <v>6</v>
      </c>
      <c r="S49">
        <f>RAW_GAMES!P49</f>
        <v>1</v>
      </c>
      <c r="T49">
        <f t="shared" si="4"/>
        <v>0.83333333333333337</v>
      </c>
      <c r="U49">
        <f>_xlfn.XLOOKUP(C49,
  CALC_TEAMS_SEASON!B:B,
  CALC_TEAMS_SEASON!F:F)</f>
        <v>0.13021353646353648</v>
      </c>
      <c r="V49">
        <f>_xlfn.XLOOKUP(D49,
  CALC_TEAMS_SEASON!B:B,
  CALC_TEAMS_SEASON!F:F)</f>
        <v>0.20297619047619053</v>
      </c>
      <c r="W49" t="str">
        <f>RAW_GAMES!R49</f>
        <v>Klouček</v>
      </c>
      <c r="X49" s="7">
        <f>RAW_GAMES!S49</f>
        <v>30</v>
      </c>
      <c r="Y49">
        <f t="shared" si="5"/>
        <v>1</v>
      </c>
      <c r="Z49" t="str">
        <f>RAW_GAMES!V49</f>
        <v>RS</v>
      </c>
    </row>
    <row r="50" spans="1:26" x14ac:dyDescent="0.25">
      <c r="A50" t="str">
        <f>RAW_GAMES!A50</f>
        <v>25/26</v>
      </c>
      <c r="B50" s="3">
        <f>RAW_GAMES!B50</f>
        <v>45916</v>
      </c>
      <c r="C50" s="3" t="str">
        <f>RAW_GAMES!E50</f>
        <v>LIB</v>
      </c>
      <c r="D50" s="3" t="str">
        <f>RAW_GAMES!F50</f>
        <v>LIT</v>
      </c>
      <c r="E50" s="7">
        <f>RAW_GAMES!G50</f>
        <v>1</v>
      </c>
      <c r="F50">
        <f>RAW_GAMES!H50</f>
        <v>2</v>
      </c>
      <c r="G50">
        <f>RAW_GAMES!I50</f>
        <v>4</v>
      </c>
      <c r="H50">
        <f t="shared" si="0"/>
        <v>-2</v>
      </c>
      <c r="I50">
        <f>RAW_GAMES!J50</f>
        <v>60</v>
      </c>
      <c r="J50">
        <f>RAW_GAMES!K50</f>
        <v>16</v>
      </c>
      <c r="K50">
        <f t="shared" si="1"/>
        <v>44</v>
      </c>
      <c r="L50" t="str">
        <f>IF(RAW_GAMES!L50="","",RAW_GAMES!L50)</f>
        <v/>
      </c>
      <c r="M50" t="str">
        <f>IF(RAW_GAMES!M50="","",RAW_GAMES!M50)</f>
        <v/>
      </c>
      <c r="N50" t="str">
        <f t="shared" si="2"/>
        <v/>
      </c>
      <c r="O50" s="7">
        <f>RAW_GAMES!O50</f>
        <v>8</v>
      </c>
      <c r="P50">
        <f>RAW_GAMES!N50</f>
        <v>0</v>
      </c>
      <c r="Q50">
        <f t="shared" si="3"/>
        <v>0</v>
      </c>
      <c r="R50" s="7">
        <f>RAW_GAMES!Q50</f>
        <v>3</v>
      </c>
      <c r="S50">
        <f>RAW_GAMES!P50</f>
        <v>1</v>
      </c>
      <c r="T50">
        <f t="shared" si="4"/>
        <v>0.66666666666666674</v>
      </c>
      <c r="U50">
        <f>_xlfn.XLOOKUP(C50,
  CALC_TEAMS_SEASON!B:B,
  CALC_TEAMS_SEASON!F:F)</f>
        <v>0.14377289377289379</v>
      </c>
      <c r="V50">
        <f>_xlfn.XLOOKUP(D50,
  CALC_TEAMS_SEASON!B:B,
  CALC_TEAMS_SEASON!F:F)</f>
        <v>0.10089285714285713</v>
      </c>
      <c r="W50" t="str">
        <f>RAW_GAMES!R50</f>
        <v>Hamalčík</v>
      </c>
      <c r="X50" s="7">
        <f>RAW_GAMES!S50</f>
        <v>12</v>
      </c>
      <c r="Y50">
        <f t="shared" si="5"/>
        <v>0</v>
      </c>
      <c r="Z50" t="str">
        <f>RAW_GAMES!V50</f>
        <v>RS</v>
      </c>
    </row>
    <row r="51" spans="1:26" x14ac:dyDescent="0.25">
      <c r="A51" t="str">
        <f>RAW_GAMES!A51</f>
        <v>25/26</v>
      </c>
      <c r="B51" s="3">
        <f>RAW_GAMES!B51</f>
        <v>45916</v>
      </c>
      <c r="C51" s="3" t="str">
        <f>RAW_GAMES!E51</f>
        <v>LIT</v>
      </c>
      <c r="D51" s="3" t="str">
        <f>RAW_GAMES!F51</f>
        <v>LIB</v>
      </c>
      <c r="E51" s="7">
        <f>RAW_GAMES!G51</f>
        <v>0</v>
      </c>
      <c r="F51">
        <f>RAW_GAMES!H51</f>
        <v>4</v>
      </c>
      <c r="G51">
        <f>RAW_GAMES!I51</f>
        <v>2</v>
      </c>
      <c r="H51">
        <f t="shared" si="0"/>
        <v>2</v>
      </c>
      <c r="I51">
        <f>RAW_GAMES!J51</f>
        <v>16</v>
      </c>
      <c r="J51">
        <f>RAW_GAMES!K51</f>
        <v>60</v>
      </c>
      <c r="K51">
        <f t="shared" si="1"/>
        <v>-44</v>
      </c>
      <c r="L51" t="str">
        <f>IF(RAW_GAMES!L51="","",RAW_GAMES!L51)</f>
        <v/>
      </c>
      <c r="M51" t="str">
        <f>IF(RAW_GAMES!M51="","",RAW_GAMES!M51)</f>
        <v/>
      </c>
      <c r="N51" t="str">
        <f t="shared" si="2"/>
        <v/>
      </c>
      <c r="O51" s="7">
        <f>RAW_GAMES!O51</f>
        <v>3</v>
      </c>
      <c r="P51">
        <f>RAW_GAMES!N51</f>
        <v>1</v>
      </c>
      <c r="Q51">
        <f t="shared" si="3"/>
        <v>0.33333333333333331</v>
      </c>
      <c r="R51" s="7">
        <f>RAW_GAMES!Q51</f>
        <v>8</v>
      </c>
      <c r="S51">
        <f>RAW_GAMES!P51</f>
        <v>0</v>
      </c>
      <c r="T51">
        <f t="shared" si="4"/>
        <v>1</v>
      </c>
      <c r="U51">
        <f>_xlfn.XLOOKUP(C51,
  CALC_TEAMS_SEASON!B:B,
  CALC_TEAMS_SEASON!F:F)</f>
        <v>0.10089285714285713</v>
      </c>
      <c r="V51">
        <f>_xlfn.XLOOKUP(D51,
  CALC_TEAMS_SEASON!B:B,
  CALC_TEAMS_SEASON!F:F)</f>
        <v>0.14377289377289379</v>
      </c>
      <c r="W51" t="str">
        <f>RAW_GAMES!R51</f>
        <v>Čajan</v>
      </c>
      <c r="X51" s="7">
        <f>RAW_GAMES!S51</f>
        <v>58</v>
      </c>
      <c r="Y51">
        <f t="shared" si="5"/>
        <v>1</v>
      </c>
      <c r="Z51" t="str">
        <f>RAW_GAMES!V51</f>
        <v>RS</v>
      </c>
    </row>
    <row r="52" spans="1:26" x14ac:dyDescent="0.25">
      <c r="A52" t="str">
        <f>RAW_GAMES!A52</f>
        <v>25/26</v>
      </c>
      <c r="B52" s="3">
        <f>RAW_GAMES!B52</f>
        <v>45916</v>
      </c>
      <c r="C52" s="3" t="str">
        <f>RAW_GAMES!E52</f>
        <v>MBL</v>
      </c>
      <c r="D52" s="3" t="str">
        <f>RAW_GAMES!F52</f>
        <v>TRI</v>
      </c>
      <c r="E52" s="7">
        <f>RAW_GAMES!G52</f>
        <v>1</v>
      </c>
      <c r="F52">
        <f>RAW_GAMES!H52</f>
        <v>2</v>
      </c>
      <c r="G52">
        <f>RAW_GAMES!I52</f>
        <v>1</v>
      </c>
      <c r="H52">
        <f t="shared" si="0"/>
        <v>1</v>
      </c>
      <c r="I52">
        <f>RAW_GAMES!J52</f>
        <v>22</v>
      </c>
      <c r="J52">
        <f>RAW_GAMES!K52</f>
        <v>22</v>
      </c>
      <c r="K52">
        <f t="shared" si="1"/>
        <v>0</v>
      </c>
      <c r="L52">
        <f>IF(RAW_GAMES!L52="","",RAW_GAMES!L52)</f>
        <v>3.1</v>
      </c>
      <c r="M52">
        <f>IF(RAW_GAMES!M52="","",RAW_GAMES!M52)</f>
        <v>2.19</v>
      </c>
      <c r="N52">
        <f t="shared" si="2"/>
        <v>0.91000000000000014</v>
      </c>
      <c r="O52" s="7">
        <f>RAW_GAMES!O52</f>
        <v>2</v>
      </c>
      <c r="P52">
        <f>RAW_GAMES!N52</f>
        <v>0</v>
      </c>
      <c r="Q52">
        <f t="shared" si="3"/>
        <v>0</v>
      </c>
      <c r="R52" s="7">
        <f>RAW_GAMES!Q52</f>
        <v>1</v>
      </c>
      <c r="S52">
        <f>RAW_GAMES!P52</f>
        <v>0</v>
      </c>
      <c r="T52">
        <f t="shared" si="4"/>
        <v>1</v>
      </c>
      <c r="U52">
        <f>_xlfn.XLOOKUP(C52,
  CALC_TEAMS_SEASON!B:B,
  CALC_TEAMS_SEASON!F:F)</f>
        <v>0.11826923076923078</v>
      </c>
      <c r="V52">
        <f>_xlfn.XLOOKUP(D52,
  CALC_TEAMS_SEASON!B:B,
  CALC_TEAMS_SEASON!F:F)</f>
        <v>0.17437423687423692</v>
      </c>
      <c r="W52" t="str">
        <f>RAW_GAMES!R52</f>
        <v>Furch</v>
      </c>
      <c r="X52" s="7">
        <f>RAW_GAMES!S52</f>
        <v>21</v>
      </c>
      <c r="Y52">
        <f t="shared" si="5"/>
        <v>1</v>
      </c>
      <c r="Z52" t="str">
        <f>RAW_GAMES!V52</f>
        <v>RS</v>
      </c>
    </row>
    <row r="53" spans="1:26" x14ac:dyDescent="0.25">
      <c r="A53" t="str">
        <f>RAW_GAMES!A53</f>
        <v>25/26</v>
      </c>
      <c r="B53" s="3">
        <f>RAW_GAMES!B53</f>
        <v>45916</v>
      </c>
      <c r="C53" s="3" t="str">
        <f>RAW_GAMES!E53</f>
        <v>MHK</v>
      </c>
      <c r="D53" s="3" t="str">
        <f>RAW_GAMES!F53</f>
        <v>PLZ</v>
      </c>
      <c r="E53" s="7">
        <f>RAW_GAMES!G53</f>
        <v>1</v>
      </c>
      <c r="F53">
        <f>RAW_GAMES!H53</f>
        <v>4</v>
      </c>
      <c r="G53">
        <f>RAW_GAMES!I53</f>
        <v>3</v>
      </c>
      <c r="H53">
        <f t="shared" si="0"/>
        <v>1</v>
      </c>
      <c r="I53">
        <f>RAW_GAMES!J53</f>
        <v>32</v>
      </c>
      <c r="J53">
        <f>RAW_GAMES!K53</f>
        <v>29</v>
      </c>
      <c r="K53">
        <f t="shared" si="1"/>
        <v>3</v>
      </c>
      <c r="L53" t="str">
        <f>IF(RAW_GAMES!L53="","",RAW_GAMES!L53)</f>
        <v/>
      </c>
      <c r="M53" t="str">
        <f>IF(RAW_GAMES!M53="","",RAW_GAMES!M53)</f>
        <v/>
      </c>
      <c r="N53" t="str">
        <f t="shared" si="2"/>
        <v/>
      </c>
      <c r="O53" s="7">
        <f>RAW_GAMES!O53</f>
        <v>8</v>
      </c>
      <c r="P53">
        <f>RAW_GAMES!N53</f>
        <v>0</v>
      </c>
      <c r="Q53">
        <f t="shared" si="3"/>
        <v>0</v>
      </c>
      <c r="R53" s="7">
        <f>RAW_GAMES!Q53</f>
        <v>3</v>
      </c>
      <c r="S53">
        <f>RAW_GAMES!P53</f>
        <v>1</v>
      </c>
      <c r="T53">
        <f t="shared" si="4"/>
        <v>0.66666666666666674</v>
      </c>
      <c r="U53">
        <f>_xlfn.XLOOKUP(C53,
  CALC_TEAMS_SEASON!B:B,
  CALC_TEAMS_SEASON!F:F)</f>
        <v>0.14184981684981687</v>
      </c>
      <c r="V53">
        <f>_xlfn.XLOOKUP(D53,
  CALC_TEAMS_SEASON!B:B,
  CALC_TEAMS_SEASON!F:F)</f>
        <v>0.17641178266178262</v>
      </c>
      <c r="W53" t="str">
        <f>RAW_GAMES!R53</f>
        <v>Škorvánek</v>
      </c>
      <c r="X53" s="7">
        <f>RAW_GAMES!S53</f>
        <v>26</v>
      </c>
      <c r="Y53">
        <f t="shared" si="5"/>
        <v>1</v>
      </c>
      <c r="Z53" t="str">
        <f>RAW_GAMES!V53</f>
        <v>RS</v>
      </c>
    </row>
    <row r="54" spans="1:26" x14ac:dyDescent="0.25">
      <c r="A54" t="str">
        <f>RAW_GAMES!A54</f>
        <v>25/26</v>
      </c>
      <c r="B54" s="3">
        <f>RAW_GAMES!B54</f>
        <v>45916</v>
      </c>
      <c r="C54" s="3" t="str">
        <f>RAW_GAMES!E54</f>
        <v>PLZ</v>
      </c>
      <c r="D54" s="3" t="str">
        <f>RAW_GAMES!F54</f>
        <v>MHK</v>
      </c>
      <c r="E54" s="7">
        <f>RAW_GAMES!G54</f>
        <v>0</v>
      </c>
      <c r="F54">
        <f>RAW_GAMES!H54</f>
        <v>3</v>
      </c>
      <c r="G54">
        <f>RAW_GAMES!I54</f>
        <v>4</v>
      </c>
      <c r="H54">
        <f t="shared" si="0"/>
        <v>-1</v>
      </c>
      <c r="I54">
        <f>RAW_GAMES!J54</f>
        <v>29</v>
      </c>
      <c r="J54">
        <f>RAW_GAMES!K54</f>
        <v>32</v>
      </c>
      <c r="K54">
        <f t="shared" si="1"/>
        <v>-3</v>
      </c>
      <c r="L54" t="str">
        <f>IF(RAW_GAMES!L54="","",RAW_GAMES!L54)</f>
        <v/>
      </c>
      <c r="M54" t="str">
        <f>IF(RAW_GAMES!M54="","",RAW_GAMES!M54)</f>
        <v/>
      </c>
      <c r="N54" t="str">
        <f t="shared" si="2"/>
        <v/>
      </c>
      <c r="O54" s="7">
        <f>RAW_GAMES!O54</f>
        <v>3</v>
      </c>
      <c r="P54">
        <f>RAW_GAMES!N54</f>
        <v>1</v>
      </c>
      <c r="Q54">
        <f t="shared" si="3"/>
        <v>0.33333333333333331</v>
      </c>
      <c r="R54" s="7">
        <f>RAW_GAMES!Q54</f>
        <v>8</v>
      </c>
      <c r="S54">
        <f>RAW_GAMES!P54</f>
        <v>0</v>
      </c>
      <c r="T54">
        <f t="shared" si="4"/>
        <v>1</v>
      </c>
      <c r="U54">
        <f>_xlfn.XLOOKUP(C54,
  CALC_TEAMS_SEASON!B:B,
  CALC_TEAMS_SEASON!F:F)</f>
        <v>0.17641178266178262</v>
      </c>
      <c r="V54">
        <f>_xlfn.XLOOKUP(D54,
  CALC_TEAMS_SEASON!B:B,
  CALC_TEAMS_SEASON!F:F)</f>
        <v>0.14184981684981687</v>
      </c>
      <c r="W54" t="str">
        <f>RAW_GAMES!R54</f>
        <v>Malík</v>
      </c>
      <c r="X54" s="7">
        <f>RAW_GAMES!S54</f>
        <v>28</v>
      </c>
      <c r="Y54">
        <f t="shared" si="5"/>
        <v>0</v>
      </c>
      <c r="Z54" t="str">
        <f>RAW_GAMES!V54</f>
        <v>RS</v>
      </c>
    </row>
    <row r="55" spans="1:26" x14ac:dyDescent="0.25">
      <c r="A55" t="str">
        <f>RAW_GAMES!A55</f>
        <v>25/26</v>
      </c>
      <c r="B55" s="3">
        <f>RAW_GAMES!B55</f>
        <v>45916</v>
      </c>
      <c r="C55" s="3" t="str">
        <f>RAW_GAMES!E55</f>
        <v>VIT</v>
      </c>
      <c r="D55" s="3" t="str">
        <f>RAW_GAMES!F55</f>
        <v>KOM</v>
      </c>
      <c r="E55" s="7">
        <f>RAW_GAMES!G55</f>
        <v>0</v>
      </c>
      <c r="F55">
        <f>RAW_GAMES!H55</f>
        <v>2</v>
      </c>
      <c r="G55">
        <f>RAW_GAMES!I55</f>
        <v>5</v>
      </c>
      <c r="H55">
        <f t="shared" si="0"/>
        <v>-3</v>
      </c>
      <c r="I55">
        <f>RAW_GAMES!J55</f>
        <v>21</v>
      </c>
      <c r="J55">
        <f>RAW_GAMES!K55</f>
        <v>17</v>
      </c>
      <c r="K55">
        <f t="shared" si="1"/>
        <v>4</v>
      </c>
      <c r="L55">
        <f>IF(RAW_GAMES!L55="","",RAW_GAMES!L55)</f>
        <v>1.3</v>
      </c>
      <c r="M55">
        <f>IF(RAW_GAMES!M55="","",RAW_GAMES!M55)</f>
        <v>2.74</v>
      </c>
      <c r="N55">
        <f t="shared" si="2"/>
        <v>-1.4400000000000002</v>
      </c>
      <c r="O55" s="7">
        <f>RAW_GAMES!O55</f>
        <v>2</v>
      </c>
      <c r="P55">
        <f>RAW_GAMES!N55</f>
        <v>1</v>
      </c>
      <c r="Q55">
        <f t="shared" si="3"/>
        <v>0.5</v>
      </c>
      <c r="R55" s="7">
        <f>RAW_GAMES!Q55</f>
        <v>3</v>
      </c>
      <c r="S55">
        <f>RAW_GAMES!P55</f>
        <v>2</v>
      </c>
      <c r="T55">
        <f t="shared" si="4"/>
        <v>0.33333333333333337</v>
      </c>
      <c r="U55">
        <f>_xlfn.XLOOKUP(C55,
  CALC_TEAMS_SEASON!B:B,
  CALC_TEAMS_SEASON!F:F)</f>
        <v>0.16984890109890113</v>
      </c>
      <c r="V55">
        <f>_xlfn.XLOOKUP(D55,
  CALC_TEAMS_SEASON!B:B,
  CALC_TEAMS_SEASON!F:F)</f>
        <v>0.14358974358974358</v>
      </c>
      <c r="W55" t="str">
        <f>RAW_GAMES!R55</f>
        <v>Hrachovina</v>
      </c>
      <c r="X55" s="7">
        <f>RAW_GAMES!S55</f>
        <v>12</v>
      </c>
      <c r="Y55">
        <f t="shared" si="5"/>
        <v>0</v>
      </c>
      <c r="Z55" t="str">
        <f>RAW_GAMES!V55</f>
        <v>RS</v>
      </c>
    </row>
    <row r="56" spans="1:26" x14ac:dyDescent="0.25">
      <c r="A56" t="str">
        <f>RAW_GAMES!A56</f>
        <v>25/26</v>
      </c>
      <c r="B56" s="3">
        <f>RAW_GAMES!B56</f>
        <v>45917</v>
      </c>
      <c r="C56" s="3" t="str">
        <f>RAW_GAMES!E56</f>
        <v>OLO</v>
      </c>
      <c r="D56" s="3" t="str">
        <f>RAW_GAMES!F56</f>
        <v>KLA</v>
      </c>
      <c r="E56" s="7">
        <f>RAW_GAMES!G56</f>
        <v>1</v>
      </c>
      <c r="F56">
        <f>RAW_GAMES!H56</f>
        <v>4</v>
      </c>
      <c r="G56">
        <f>RAW_GAMES!I56</f>
        <v>1</v>
      </c>
      <c r="H56">
        <f t="shared" si="0"/>
        <v>3</v>
      </c>
      <c r="I56">
        <f>RAW_GAMES!J56</f>
        <v>34</v>
      </c>
      <c r="J56">
        <f>RAW_GAMES!K56</f>
        <v>31</v>
      </c>
      <c r="K56">
        <f t="shared" si="1"/>
        <v>3</v>
      </c>
      <c r="L56" t="str">
        <f>IF(RAW_GAMES!L56="","",RAW_GAMES!L56)</f>
        <v/>
      </c>
      <c r="M56" t="str">
        <f>IF(RAW_GAMES!M56="","",RAW_GAMES!M56)</f>
        <v/>
      </c>
      <c r="N56" t="str">
        <f t="shared" si="2"/>
        <v/>
      </c>
      <c r="O56" s="7">
        <f>RAW_GAMES!O56</f>
        <v>6</v>
      </c>
      <c r="P56">
        <f>RAW_GAMES!N56</f>
        <v>0</v>
      </c>
      <c r="Q56">
        <f t="shared" si="3"/>
        <v>0</v>
      </c>
      <c r="R56" s="7">
        <f>RAW_GAMES!Q56</f>
        <v>4</v>
      </c>
      <c r="S56">
        <f>RAW_GAMES!P56</f>
        <v>0</v>
      </c>
      <c r="T56">
        <f t="shared" si="4"/>
        <v>1</v>
      </c>
      <c r="U56">
        <f>_xlfn.XLOOKUP(C56,
  CALC_TEAMS_SEASON!B:B,
  CALC_TEAMS_SEASON!F:F)</f>
        <v>0.14989316239316242</v>
      </c>
      <c r="V56">
        <f>_xlfn.XLOOKUP(D56,
  CALC_TEAMS_SEASON!B:B,
  CALC_TEAMS_SEASON!F:F)</f>
        <v>0.13120421245421243</v>
      </c>
      <c r="W56" t="str">
        <f>RAW_GAMES!R56</f>
        <v>Machovský</v>
      </c>
      <c r="X56" s="7">
        <f>RAW_GAMES!S56</f>
        <v>30</v>
      </c>
      <c r="Y56">
        <f t="shared" si="5"/>
        <v>1</v>
      </c>
      <c r="Z56" t="str">
        <f>RAW_GAMES!V56</f>
        <v>RS</v>
      </c>
    </row>
    <row r="57" spans="1:26" x14ac:dyDescent="0.25">
      <c r="A57" t="str">
        <f>RAW_GAMES!A57</f>
        <v>25/26</v>
      </c>
      <c r="B57" s="3">
        <f>RAW_GAMES!B57</f>
        <v>45917</v>
      </c>
      <c r="C57" s="3" t="str">
        <f>RAW_GAMES!E57</f>
        <v>KLA</v>
      </c>
      <c r="D57" s="3" t="str">
        <f>RAW_GAMES!F57</f>
        <v>OLO</v>
      </c>
      <c r="E57" s="7">
        <f>RAW_GAMES!G57</f>
        <v>0</v>
      </c>
      <c r="F57">
        <f>RAW_GAMES!H57</f>
        <v>1</v>
      </c>
      <c r="G57">
        <f>RAW_GAMES!I57</f>
        <v>4</v>
      </c>
      <c r="H57">
        <f t="shared" si="0"/>
        <v>-3</v>
      </c>
      <c r="I57">
        <f>RAW_GAMES!J57</f>
        <v>31</v>
      </c>
      <c r="J57">
        <f>RAW_GAMES!K57</f>
        <v>34</v>
      </c>
      <c r="K57">
        <f t="shared" si="1"/>
        <v>-3</v>
      </c>
      <c r="L57" t="str">
        <f>IF(RAW_GAMES!L57="","",RAW_GAMES!L57)</f>
        <v/>
      </c>
      <c r="M57" t="str">
        <f>IF(RAW_GAMES!M57="","",RAW_GAMES!M57)</f>
        <v/>
      </c>
      <c r="N57" t="str">
        <f t="shared" si="2"/>
        <v/>
      </c>
      <c r="O57" s="7">
        <f>RAW_GAMES!O57</f>
        <v>4</v>
      </c>
      <c r="P57">
        <f>RAW_GAMES!N57</f>
        <v>0</v>
      </c>
      <c r="Q57">
        <f t="shared" si="3"/>
        <v>0</v>
      </c>
      <c r="R57" s="7">
        <f>RAW_GAMES!Q57</f>
        <v>6</v>
      </c>
      <c r="S57">
        <f>RAW_GAMES!P57</f>
        <v>0</v>
      </c>
      <c r="T57">
        <f t="shared" si="4"/>
        <v>1</v>
      </c>
      <c r="U57">
        <f>_xlfn.XLOOKUP(C57,
  CALC_TEAMS_SEASON!B:B,
  CALC_TEAMS_SEASON!F:F)</f>
        <v>0.13120421245421243</v>
      </c>
      <c r="V57">
        <f>_xlfn.XLOOKUP(D57,
  CALC_TEAMS_SEASON!B:B,
  CALC_TEAMS_SEASON!F:F)</f>
        <v>0.14989316239316242</v>
      </c>
      <c r="W57" t="str">
        <f>RAW_GAMES!R57</f>
        <v>Brízgala</v>
      </c>
      <c r="X57" s="7">
        <f>RAW_GAMES!S57</f>
        <v>30</v>
      </c>
      <c r="Y57">
        <f t="shared" si="5"/>
        <v>0</v>
      </c>
      <c r="Z57" t="str">
        <f>RAW_GAMES!V57</f>
        <v>RS</v>
      </c>
    </row>
    <row r="58" spans="1:26" x14ac:dyDescent="0.25">
      <c r="A58" t="str">
        <f>RAW_GAMES!A58</f>
        <v>25/26</v>
      </c>
      <c r="B58" s="3">
        <f>RAW_GAMES!B58</f>
        <v>45919</v>
      </c>
      <c r="C58" s="3" t="str">
        <f>RAW_GAMES!E58</f>
        <v>PCE</v>
      </c>
      <c r="D58" s="3" t="str">
        <f>RAW_GAMES!F58</f>
        <v>OLO</v>
      </c>
      <c r="E58" s="7">
        <f>RAW_GAMES!G58</f>
        <v>1</v>
      </c>
      <c r="F58">
        <f>RAW_GAMES!H58</f>
        <v>3</v>
      </c>
      <c r="G58">
        <f>RAW_GAMES!I58</f>
        <v>1</v>
      </c>
      <c r="H58">
        <f t="shared" si="0"/>
        <v>2</v>
      </c>
      <c r="I58">
        <f>RAW_GAMES!J58</f>
        <v>41</v>
      </c>
      <c r="J58">
        <f>RAW_GAMES!K58</f>
        <v>20</v>
      </c>
      <c r="K58">
        <f t="shared" si="1"/>
        <v>21</v>
      </c>
      <c r="L58">
        <f>IF(RAW_GAMES!L58="","",RAW_GAMES!L58)</f>
        <v>4.2</v>
      </c>
      <c r="M58">
        <f>IF(RAW_GAMES!M58="","",RAW_GAMES!M58)</f>
        <v>1.56</v>
      </c>
      <c r="N58">
        <f t="shared" si="2"/>
        <v>2.64</v>
      </c>
      <c r="O58" s="7">
        <f>RAW_GAMES!O58</f>
        <v>3</v>
      </c>
      <c r="P58">
        <f>RAW_GAMES!N58</f>
        <v>1</v>
      </c>
      <c r="Q58">
        <f t="shared" si="3"/>
        <v>0.33333333333333331</v>
      </c>
      <c r="R58" s="7">
        <f>RAW_GAMES!Q58</f>
        <v>3</v>
      </c>
      <c r="S58">
        <f>RAW_GAMES!P58</f>
        <v>0</v>
      </c>
      <c r="T58">
        <f t="shared" si="4"/>
        <v>1</v>
      </c>
      <c r="U58">
        <f>_xlfn.XLOOKUP(C58,
  CALC_TEAMS_SEASON!B:B,
  CALC_TEAMS_SEASON!F:F)</f>
        <v>0.20297619047619053</v>
      </c>
      <c r="V58">
        <f>_xlfn.XLOOKUP(D58,
  CALC_TEAMS_SEASON!B:B,
  CALC_TEAMS_SEASON!F:F)</f>
        <v>0.14989316239316242</v>
      </c>
      <c r="W58" t="str">
        <f>RAW_GAMES!R58</f>
        <v>Will</v>
      </c>
      <c r="X58" s="7">
        <f>RAW_GAMES!S58</f>
        <v>19</v>
      </c>
      <c r="Y58">
        <f t="shared" si="5"/>
        <v>1</v>
      </c>
      <c r="Z58" t="str">
        <f>RAW_GAMES!V58</f>
        <v>RS</v>
      </c>
    </row>
    <row r="59" spans="1:26" x14ac:dyDescent="0.25">
      <c r="A59" t="str">
        <f>RAW_GAMES!A59</f>
        <v>25/26</v>
      </c>
      <c r="B59" s="3">
        <f>RAW_GAMES!B59</f>
        <v>45919</v>
      </c>
      <c r="C59" s="3" t="str">
        <f>RAW_GAMES!E59</f>
        <v>TRI</v>
      </c>
      <c r="D59" s="3" t="str">
        <f>RAW_GAMES!F59</f>
        <v>PLZ</v>
      </c>
      <c r="E59" s="7">
        <f>RAW_GAMES!G59</f>
        <v>1</v>
      </c>
      <c r="F59">
        <f>RAW_GAMES!H59</f>
        <v>2</v>
      </c>
      <c r="G59">
        <f>RAW_GAMES!I59</f>
        <v>1</v>
      </c>
      <c r="H59">
        <f t="shared" si="0"/>
        <v>1</v>
      </c>
      <c r="I59">
        <f>RAW_GAMES!J59</f>
        <v>31</v>
      </c>
      <c r="J59">
        <f>RAW_GAMES!K59</f>
        <v>31</v>
      </c>
      <c r="K59">
        <f t="shared" si="1"/>
        <v>0</v>
      </c>
      <c r="L59">
        <f>IF(RAW_GAMES!L59="","",RAW_GAMES!L59)</f>
        <v>2.0699999999999998</v>
      </c>
      <c r="M59">
        <f>IF(RAW_GAMES!M59="","",RAW_GAMES!M59)</f>
        <v>3.09</v>
      </c>
      <c r="N59">
        <f t="shared" si="2"/>
        <v>-1.02</v>
      </c>
      <c r="O59" s="7">
        <f>RAW_GAMES!O59</f>
        <v>1</v>
      </c>
      <c r="P59">
        <f>RAW_GAMES!N59</f>
        <v>0</v>
      </c>
      <c r="Q59">
        <f t="shared" si="3"/>
        <v>0</v>
      </c>
      <c r="R59" s="7">
        <f>RAW_GAMES!Q59</f>
        <v>2</v>
      </c>
      <c r="S59">
        <f>RAW_GAMES!P59</f>
        <v>1</v>
      </c>
      <c r="T59">
        <f t="shared" si="4"/>
        <v>0.5</v>
      </c>
      <c r="U59">
        <f>_xlfn.XLOOKUP(C59,
  CALC_TEAMS_SEASON!B:B,
  CALC_TEAMS_SEASON!F:F)</f>
        <v>0.17437423687423692</v>
      </c>
      <c r="V59">
        <f>_xlfn.XLOOKUP(D59,
  CALC_TEAMS_SEASON!B:B,
  CALC_TEAMS_SEASON!F:F)</f>
        <v>0.17641178266178262</v>
      </c>
      <c r="W59" t="str">
        <f>RAW_GAMES!R59</f>
        <v>Kacetl</v>
      </c>
      <c r="X59" s="7">
        <f>RAW_GAMES!S59</f>
        <v>30</v>
      </c>
      <c r="Y59">
        <f t="shared" si="5"/>
        <v>1</v>
      </c>
      <c r="Z59" t="str">
        <f>RAW_GAMES!V59</f>
        <v>RS</v>
      </c>
    </row>
    <row r="60" spans="1:26" x14ac:dyDescent="0.25">
      <c r="A60" t="str">
        <f>RAW_GAMES!A60</f>
        <v>25/26</v>
      </c>
      <c r="B60" s="3">
        <f>RAW_GAMES!B60</f>
        <v>45919</v>
      </c>
      <c r="C60" s="3" t="str">
        <f>RAW_GAMES!E60</f>
        <v>SPA</v>
      </c>
      <c r="D60" s="3" t="str">
        <f>RAW_GAMES!F60</f>
        <v>LIT</v>
      </c>
      <c r="E60" s="7">
        <f>RAW_GAMES!G60</f>
        <v>0</v>
      </c>
      <c r="F60">
        <f>RAW_GAMES!H60</f>
        <v>5</v>
      </c>
      <c r="G60">
        <f>RAW_GAMES!I60</f>
        <v>1</v>
      </c>
      <c r="H60">
        <f t="shared" si="0"/>
        <v>4</v>
      </c>
      <c r="I60">
        <f>RAW_GAMES!J60</f>
        <v>34</v>
      </c>
      <c r="J60">
        <f>RAW_GAMES!K60</f>
        <v>20</v>
      </c>
      <c r="K60">
        <f t="shared" si="1"/>
        <v>14</v>
      </c>
      <c r="L60">
        <f>IF(RAW_GAMES!L60="","",RAW_GAMES!L60)</f>
        <v>4.3</v>
      </c>
      <c r="M60">
        <f>IF(RAW_GAMES!M60="","",RAW_GAMES!M60)</f>
        <v>2.0499999999999998</v>
      </c>
      <c r="N60">
        <f t="shared" si="2"/>
        <v>2.25</v>
      </c>
      <c r="O60" s="7">
        <f>RAW_GAMES!O60</f>
        <v>2</v>
      </c>
      <c r="P60">
        <f>RAW_GAMES!N60</f>
        <v>1</v>
      </c>
      <c r="Q60">
        <f t="shared" si="3"/>
        <v>0.5</v>
      </c>
      <c r="R60" s="7">
        <f>RAW_GAMES!Q60</f>
        <v>2</v>
      </c>
      <c r="S60">
        <f>RAW_GAMES!P60</f>
        <v>1</v>
      </c>
      <c r="T60">
        <f t="shared" si="4"/>
        <v>0.5</v>
      </c>
      <c r="U60">
        <f>_xlfn.XLOOKUP(C60,
  CALC_TEAMS_SEASON!B:B,
  CALC_TEAMS_SEASON!F:F)</f>
        <v>0.22060439560439565</v>
      </c>
      <c r="V60">
        <f>_xlfn.XLOOKUP(D60,
  CALC_TEAMS_SEASON!B:B,
  CALC_TEAMS_SEASON!F:F)</f>
        <v>0.10089285714285713</v>
      </c>
      <c r="W60" t="str">
        <f>RAW_GAMES!R60</f>
        <v>Kořenář</v>
      </c>
      <c r="X60" s="7">
        <f>RAW_GAMES!S60</f>
        <v>19</v>
      </c>
      <c r="Y60">
        <f t="shared" si="5"/>
        <v>1</v>
      </c>
      <c r="Z60" t="str">
        <f>RAW_GAMES!V60</f>
        <v>RS</v>
      </c>
    </row>
    <row r="61" spans="1:26" x14ac:dyDescent="0.25">
      <c r="A61" t="str">
        <f>RAW_GAMES!A61</f>
        <v>25/26</v>
      </c>
      <c r="B61" s="3">
        <f>RAW_GAMES!B61</f>
        <v>45919</v>
      </c>
      <c r="C61" s="3" t="str">
        <f>RAW_GAMES!E61</f>
        <v>KOM</v>
      </c>
      <c r="D61" s="3" t="str">
        <f>RAW_GAMES!F61</f>
        <v>LIB</v>
      </c>
      <c r="E61" s="7">
        <f>RAW_GAMES!G61</f>
        <v>1</v>
      </c>
      <c r="F61">
        <f>RAW_GAMES!H61</f>
        <v>4</v>
      </c>
      <c r="G61">
        <f>RAW_GAMES!I61</f>
        <v>5</v>
      </c>
      <c r="H61">
        <f t="shared" si="0"/>
        <v>-1</v>
      </c>
      <c r="I61">
        <f>RAW_GAMES!J61</f>
        <v>21</v>
      </c>
      <c r="J61">
        <f>RAW_GAMES!K61</f>
        <v>36</v>
      </c>
      <c r="K61">
        <f t="shared" si="1"/>
        <v>-15</v>
      </c>
      <c r="L61">
        <f>IF(RAW_GAMES!L61="","",RAW_GAMES!L61)</f>
        <v>1.93</v>
      </c>
      <c r="M61">
        <f>IF(RAW_GAMES!M61="","",RAW_GAMES!M61)</f>
        <v>4.1399999999999997</v>
      </c>
      <c r="N61">
        <f t="shared" si="2"/>
        <v>-2.21</v>
      </c>
      <c r="O61" s="7">
        <f>RAW_GAMES!O61</f>
        <v>6</v>
      </c>
      <c r="P61">
        <f>RAW_GAMES!N61</f>
        <v>2</v>
      </c>
      <c r="Q61">
        <f t="shared" si="3"/>
        <v>0.33333333333333331</v>
      </c>
      <c r="R61" s="7">
        <f>RAW_GAMES!Q61</f>
        <v>3</v>
      </c>
      <c r="S61">
        <f>RAW_GAMES!P61</f>
        <v>0</v>
      </c>
      <c r="T61">
        <f t="shared" si="4"/>
        <v>1</v>
      </c>
      <c r="U61">
        <f>_xlfn.XLOOKUP(C61,
  CALC_TEAMS_SEASON!B:B,
  CALC_TEAMS_SEASON!F:F)</f>
        <v>0.14358974358974358</v>
      </c>
      <c r="V61">
        <f>_xlfn.XLOOKUP(D61,
  CALC_TEAMS_SEASON!B:B,
  CALC_TEAMS_SEASON!F:F)</f>
        <v>0.14377289377289379</v>
      </c>
      <c r="W61" t="str">
        <f>RAW_GAMES!R61</f>
        <v>Stezka</v>
      </c>
      <c r="X61" s="7">
        <f>RAW_GAMES!S61</f>
        <v>31</v>
      </c>
      <c r="Y61">
        <f t="shared" si="5"/>
        <v>0</v>
      </c>
      <c r="Z61" t="str">
        <f>RAW_GAMES!V61</f>
        <v>RS</v>
      </c>
    </row>
    <row r="62" spans="1:26" x14ac:dyDescent="0.25">
      <c r="A62" t="str">
        <f>RAW_GAMES!A62</f>
        <v>25/26</v>
      </c>
      <c r="B62" s="3">
        <f>RAW_GAMES!B62</f>
        <v>45919</v>
      </c>
      <c r="C62" s="3" t="str">
        <f>RAW_GAMES!E62</f>
        <v>CEB</v>
      </c>
      <c r="D62" s="3" t="str">
        <f>RAW_GAMES!F62</f>
        <v>KLA</v>
      </c>
      <c r="E62" s="7">
        <f>RAW_GAMES!G62</f>
        <v>0</v>
      </c>
      <c r="F62">
        <f>RAW_GAMES!H62</f>
        <v>4</v>
      </c>
      <c r="G62">
        <f>RAW_GAMES!I62</f>
        <v>1</v>
      </c>
      <c r="H62">
        <f t="shared" si="0"/>
        <v>3</v>
      </c>
      <c r="I62">
        <f>RAW_GAMES!J62</f>
        <v>20</v>
      </c>
      <c r="J62">
        <f>RAW_GAMES!K62</f>
        <v>34</v>
      </c>
      <c r="K62">
        <f t="shared" si="1"/>
        <v>-14</v>
      </c>
      <c r="L62" t="str">
        <f>IF(RAW_GAMES!L62="","",RAW_GAMES!L62)</f>
        <v/>
      </c>
      <c r="M62" t="str">
        <f>IF(RAW_GAMES!M62="","",RAW_GAMES!M62)</f>
        <v/>
      </c>
      <c r="N62" t="str">
        <f t="shared" si="2"/>
        <v/>
      </c>
      <c r="O62" s="7">
        <f>RAW_GAMES!O62</f>
        <v>8</v>
      </c>
      <c r="P62">
        <f>RAW_GAMES!N62</f>
        <v>1</v>
      </c>
      <c r="Q62">
        <f t="shared" si="3"/>
        <v>0.125</v>
      </c>
      <c r="R62" s="7">
        <f>RAW_GAMES!Q62</f>
        <v>8</v>
      </c>
      <c r="S62">
        <f>RAW_GAMES!P62</f>
        <v>1</v>
      </c>
      <c r="T62">
        <f t="shared" si="4"/>
        <v>0.875</v>
      </c>
      <c r="U62">
        <f>_xlfn.XLOOKUP(C62,
  CALC_TEAMS_SEASON!B:B,
  CALC_TEAMS_SEASON!F:F)</f>
        <v>0.13021353646353648</v>
      </c>
      <c r="V62">
        <f>_xlfn.XLOOKUP(D62,
  CALC_TEAMS_SEASON!B:B,
  CALC_TEAMS_SEASON!F:F)</f>
        <v>0.13120421245421243</v>
      </c>
      <c r="W62" t="str">
        <f>RAW_GAMES!R62</f>
        <v>Klouček</v>
      </c>
      <c r="X62" s="7">
        <f>RAW_GAMES!S62</f>
        <v>33</v>
      </c>
      <c r="Y62">
        <f t="shared" si="5"/>
        <v>1</v>
      </c>
      <c r="Z62" t="str">
        <f>RAW_GAMES!V62</f>
        <v>RS</v>
      </c>
    </row>
    <row r="63" spans="1:26" x14ac:dyDescent="0.25">
      <c r="A63" t="str">
        <f>RAW_GAMES!A63</f>
        <v>25/26</v>
      </c>
      <c r="B63" s="3">
        <f>RAW_GAMES!B63</f>
        <v>45919</v>
      </c>
      <c r="C63" s="3" t="str">
        <f>RAW_GAMES!E63</f>
        <v>KLA</v>
      </c>
      <c r="D63" s="3" t="str">
        <f>RAW_GAMES!F63</f>
        <v>CEB</v>
      </c>
      <c r="E63" s="7">
        <f>RAW_GAMES!G63</f>
        <v>1</v>
      </c>
      <c r="F63">
        <f>RAW_GAMES!H63</f>
        <v>1</v>
      </c>
      <c r="G63">
        <f>RAW_GAMES!I63</f>
        <v>4</v>
      </c>
      <c r="H63">
        <f t="shared" si="0"/>
        <v>-3</v>
      </c>
      <c r="I63">
        <f>RAW_GAMES!J63</f>
        <v>34</v>
      </c>
      <c r="J63">
        <f>RAW_GAMES!K63</f>
        <v>20</v>
      </c>
      <c r="K63">
        <f t="shared" si="1"/>
        <v>14</v>
      </c>
      <c r="L63" t="str">
        <f>IF(RAW_GAMES!L63="","",RAW_GAMES!L63)</f>
        <v/>
      </c>
      <c r="M63" t="str">
        <f>IF(RAW_GAMES!M63="","",RAW_GAMES!M63)</f>
        <v/>
      </c>
      <c r="N63" t="str">
        <f t="shared" si="2"/>
        <v/>
      </c>
      <c r="O63" s="7">
        <f>RAW_GAMES!O63</f>
        <v>8</v>
      </c>
      <c r="P63">
        <f>RAW_GAMES!N63</f>
        <v>1</v>
      </c>
      <c r="Q63">
        <f t="shared" si="3"/>
        <v>0.125</v>
      </c>
      <c r="R63" s="7">
        <f>RAW_GAMES!Q63</f>
        <v>8</v>
      </c>
      <c r="S63">
        <f>RAW_GAMES!P63</f>
        <v>1</v>
      </c>
      <c r="T63">
        <f t="shared" si="4"/>
        <v>0.875</v>
      </c>
      <c r="U63">
        <f>_xlfn.XLOOKUP(C63,
  CALC_TEAMS_SEASON!B:B,
  CALC_TEAMS_SEASON!F:F)</f>
        <v>0.13120421245421243</v>
      </c>
      <c r="V63">
        <f>_xlfn.XLOOKUP(D63,
  CALC_TEAMS_SEASON!B:B,
  CALC_TEAMS_SEASON!F:F)</f>
        <v>0.13021353646353648</v>
      </c>
      <c r="W63" t="str">
        <f>RAW_GAMES!R63</f>
        <v>Lukeš</v>
      </c>
      <c r="X63" s="7">
        <f>RAW_GAMES!S63</f>
        <v>16</v>
      </c>
      <c r="Y63">
        <f t="shared" si="5"/>
        <v>0</v>
      </c>
      <c r="Z63" t="str">
        <f>RAW_GAMES!V63</f>
        <v>RS</v>
      </c>
    </row>
    <row r="64" spans="1:26" x14ac:dyDescent="0.25">
      <c r="A64" t="str">
        <f>RAW_GAMES!A64</f>
        <v>25/26</v>
      </c>
      <c r="B64" s="3">
        <f>RAW_GAMES!B64</f>
        <v>45919</v>
      </c>
      <c r="C64" s="3" t="str">
        <f>RAW_GAMES!E64</f>
        <v>KVA</v>
      </c>
      <c r="D64" s="3" t="str">
        <f>RAW_GAMES!F64</f>
        <v>MHK</v>
      </c>
      <c r="E64" s="7">
        <f>RAW_GAMES!G64</f>
        <v>1</v>
      </c>
      <c r="F64">
        <f>RAW_GAMES!H64</f>
        <v>3</v>
      </c>
      <c r="G64">
        <f>RAW_GAMES!I64</f>
        <v>1</v>
      </c>
      <c r="H64">
        <f t="shared" si="0"/>
        <v>2</v>
      </c>
      <c r="I64">
        <f>RAW_GAMES!J64</f>
        <v>25</v>
      </c>
      <c r="J64">
        <f>RAW_GAMES!K64</f>
        <v>42</v>
      </c>
      <c r="K64">
        <f t="shared" si="1"/>
        <v>-17</v>
      </c>
      <c r="L64" t="str">
        <f>IF(RAW_GAMES!L64="","",RAW_GAMES!L64)</f>
        <v/>
      </c>
      <c r="M64" t="str">
        <f>IF(RAW_GAMES!M64="","",RAW_GAMES!M64)</f>
        <v/>
      </c>
      <c r="N64" t="str">
        <f t="shared" si="2"/>
        <v/>
      </c>
      <c r="O64" s="7">
        <f>RAW_GAMES!O64</f>
        <v>6</v>
      </c>
      <c r="P64">
        <f>RAW_GAMES!N64</f>
        <v>0</v>
      </c>
      <c r="Q64">
        <f t="shared" si="3"/>
        <v>0</v>
      </c>
      <c r="R64" s="7">
        <f>RAW_GAMES!Q64</f>
        <v>4</v>
      </c>
      <c r="S64">
        <f>RAW_GAMES!P64</f>
        <v>0</v>
      </c>
      <c r="T64">
        <f t="shared" si="4"/>
        <v>1</v>
      </c>
      <c r="U64">
        <f>_xlfn.XLOOKUP(C64,
  CALC_TEAMS_SEASON!B:B,
  CALC_TEAMS_SEASON!F:F)</f>
        <v>0.17387057387057389</v>
      </c>
      <c r="V64">
        <f>_xlfn.XLOOKUP(D64,
  CALC_TEAMS_SEASON!B:B,
  CALC_TEAMS_SEASON!F:F)</f>
        <v>0.14184981684981687</v>
      </c>
      <c r="W64" t="str">
        <f>RAW_GAMES!R64</f>
        <v>Frodl</v>
      </c>
      <c r="X64" s="7">
        <f>RAW_GAMES!S64</f>
        <v>41</v>
      </c>
      <c r="Y64">
        <f t="shared" si="5"/>
        <v>1</v>
      </c>
      <c r="Z64" t="str">
        <f>RAW_GAMES!V64</f>
        <v>RS</v>
      </c>
    </row>
    <row r="65" spans="1:26" x14ac:dyDescent="0.25">
      <c r="A65" t="str">
        <f>RAW_GAMES!A65</f>
        <v>25/26</v>
      </c>
      <c r="B65" s="3">
        <f>RAW_GAMES!B65</f>
        <v>45919</v>
      </c>
      <c r="C65" s="3" t="str">
        <f>RAW_GAMES!E65</f>
        <v>LIB</v>
      </c>
      <c r="D65" s="3" t="str">
        <f>RAW_GAMES!F65</f>
        <v>KOM</v>
      </c>
      <c r="E65" s="7">
        <f>RAW_GAMES!G65</f>
        <v>0</v>
      </c>
      <c r="F65">
        <f>RAW_GAMES!H65</f>
        <v>5</v>
      </c>
      <c r="G65">
        <f>RAW_GAMES!I65</f>
        <v>4</v>
      </c>
      <c r="H65">
        <f t="shared" si="0"/>
        <v>1</v>
      </c>
      <c r="I65">
        <f>RAW_GAMES!J65</f>
        <v>36</v>
      </c>
      <c r="J65">
        <f>RAW_GAMES!K65</f>
        <v>21</v>
      </c>
      <c r="K65">
        <f t="shared" si="1"/>
        <v>15</v>
      </c>
      <c r="L65">
        <f>IF(RAW_GAMES!L65="","",RAW_GAMES!L65)</f>
        <v>4.1399999999999997</v>
      </c>
      <c r="M65">
        <f>IF(RAW_GAMES!M65="","",RAW_GAMES!M65)</f>
        <v>1.93</v>
      </c>
      <c r="N65">
        <f t="shared" si="2"/>
        <v>2.21</v>
      </c>
      <c r="O65" s="7">
        <f>RAW_GAMES!O65</f>
        <v>3</v>
      </c>
      <c r="P65">
        <f>RAW_GAMES!N65</f>
        <v>0</v>
      </c>
      <c r="Q65">
        <f t="shared" si="3"/>
        <v>0</v>
      </c>
      <c r="R65" s="7">
        <f>RAW_GAMES!Q65</f>
        <v>6</v>
      </c>
      <c r="S65">
        <f>RAW_GAMES!P65</f>
        <v>2</v>
      </c>
      <c r="T65">
        <f t="shared" si="4"/>
        <v>0.66666666666666674</v>
      </c>
      <c r="U65">
        <f>_xlfn.XLOOKUP(C65,
  CALC_TEAMS_SEASON!B:B,
  CALC_TEAMS_SEASON!F:F)</f>
        <v>0.14377289377289379</v>
      </c>
      <c r="V65">
        <f>_xlfn.XLOOKUP(D65,
  CALC_TEAMS_SEASON!B:B,
  CALC_TEAMS_SEASON!F:F)</f>
        <v>0.14358974358974358</v>
      </c>
      <c r="W65" t="str">
        <f>RAW_GAMES!R65</f>
        <v>Kváča</v>
      </c>
      <c r="X65" s="7">
        <f>RAW_GAMES!S65</f>
        <v>17</v>
      </c>
      <c r="Y65">
        <f t="shared" si="5"/>
        <v>1</v>
      </c>
      <c r="Z65" t="str">
        <f>RAW_GAMES!V65</f>
        <v>RS</v>
      </c>
    </row>
    <row r="66" spans="1:26" x14ac:dyDescent="0.25">
      <c r="A66" t="str">
        <f>RAW_GAMES!A66</f>
        <v>25/26</v>
      </c>
      <c r="B66" s="3">
        <f>RAW_GAMES!B66</f>
        <v>45919</v>
      </c>
      <c r="C66" s="3" t="str">
        <f>RAW_GAMES!E66</f>
        <v>LIT</v>
      </c>
      <c r="D66" s="3" t="str">
        <f>RAW_GAMES!F66</f>
        <v>SPA</v>
      </c>
      <c r="E66" s="7">
        <f>RAW_GAMES!G66</f>
        <v>1</v>
      </c>
      <c r="F66">
        <f>RAW_GAMES!H66</f>
        <v>1</v>
      </c>
      <c r="G66">
        <f>RAW_GAMES!I66</f>
        <v>5</v>
      </c>
      <c r="H66">
        <f t="shared" si="0"/>
        <v>-4</v>
      </c>
      <c r="I66">
        <f>RAW_GAMES!J66</f>
        <v>20</v>
      </c>
      <c r="J66">
        <f>RAW_GAMES!K66</f>
        <v>34</v>
      </c>
      <c r="K66">
        <f t="shared" si="1"/>
        <v>-14</v>
      </c>
      <c r="L66">
        <f>IF(RAW_GAMES!L66="","",RAW_GAMES!L66)</f>
        <v>2.0499999999999998</v>
      </c>
      <c r="M66">
        <f>IF(RAW_GAMES!M66="","",RAW_GAMES!M66)</f>
        <v>4.3</v>
      </c>
      <c r="N66">
        <f t="shared" si="2"/>
        <v>-2.25</v>
      </c>
      <c r="O66" s="7">
        <f>RAW_GAMES!O66</f>
        <v>2</v>
      </c>
      <c r="P66">
        <f>RAW_GAMES!N66</f>
        <v>1</v>
      </c>
      <c r="Q66">
        <f t="shared" si="3"/>
        <v>0.5</v>
      </c>
      <c r="R66" s="7">
        <f>RAW_GAMES!Q66</f>
        <v>2</v>
      </c>
      <c r="S66">
        <f>RAW_GAMES!P66</f>
        <v>1</v>
      </c>
      <c r="T66">
        <f t="shared" si="4"/>
        <v>0.5</v>
      </c>
      <c r="U66">
        <f>_xlfn.XLOOKUP(C66,
  CALC_TEAMS_SEASON!B:B,
  CALC_TEAMS_SEASON!F:F)</f>
        <v>0.10089285714285713</v>
      </c>
      <c r="V66">
        <f>_xlfn.XLOOKUP(D66,
  CALC_TEAMS_SEASON!B:B,
  CALC_TEAMS_SEASON!F:F)</f>
        <v>0.22060439560439565</v>
      </c>
      <c r="W66" t="str">
        <f>RAW_GAMES!R66</f>
        <v>Tomek</v>
      </c>
      <c r="X66" s="7">
        <f>RAW_GAMES!S66</f>
        <v>29</v>
      </c>
      <c r="Y66">
        <f t="shared" si="5"/>
        <v>0</v>
      </c>
      <c r="Z66" t="str">
        <f>RAW_GAMES!V66</f>
        <v>RS</v>
      </c>
    </row>
    <row r="67" spans="1:26" x14ac:dyDescent="0.25">
      <c r="A67" t="str">
        <f>RAW_GAMES!A67</f>
        <v>25/26</v>
      </c>
      <c r="B67" s="3">
        <f>RAW_GAMES!B67</f>
        <v>45919</v>
      </c>
      <c r="C67" s="3" t="str">
        <f>RAW_GAMES!E67</f>
        <v>MBL</v>
      </c>
      <c r="D67" s="3" t="str">
        <f>RAW_GAMES!F67</f>
        <v>VIT</v>
      </c>
      <c r="E67" s="7">
        <f>RAW_GAMES!G67</f>
        <v>0</v>
      </c>
      <c r="F67">
        <f>RAW_GAMES!H67</f>
        <v>4</v>
      </c>
      <c r="G67">
        <f>RAW_GAMES!I67</f>
        <v>2</v>
      </c>
      <c r="H67">
        <f t="shared" ref="H67:H130" si="6">F67-G67</f>
        <v>2</v>
      </c>
      <c r="I67">
        <f>RAW_GAMES!J67</f>
        <v>23</v>
      </c>
      <c r="J67">
        <f>RAW_GAMES!K67</f>
        <v>27</v>
      </c>
      <c r="K67">
        <f t="shared" ref="K67:K130" si="7">I67-J67</f>
        <v>-4</v>
      </c>
      <c r="L67" t="str">
        <f>IF(RAW_GAMES!L67="","",RAW_GAMES!L67)</f>
        <v/>
      </c>
      <c r="M67" t="str">
        <f>IF(RAW_GAMES!M67="","",RAW_GAMES!M67)</f>
        <v/>
      </c>
      <c r="N67" t="str">
        <f t="shared" ref="N67:N130" si="8">IF(L67="","",L67-M67)</f>
        <v/>
      </c>
      <c r="O67" s="7">
        <f>RAW_GAMES!O67</f>
        <v>1</v>
      </c>
      <c r="P67">
        <f>RAW_GAMES!N67</f>
        <v>0</v>
      </c>
      <c r="Q67">
        <f t="shared" ref="Q67:Q130" si="9">IF(O67&gt;0,P67/O67,0)</f>
        <v>0</v>
      </c>
      <c r="R67" s="7">
        <f>RAW_GAMES!Q67</f>
        <v>2</v>
      </c>
      <c r="S67">
        <f>RAW_GAMES!P67</f>
        <v>0</v>
      </c>
      <c r="T67">
        <f t="shared" ref="T67:T130" si="10">IF(R67&gt;0, 1-(S67/R67),1)</f>
        <v>1</v>
      </c>
      <c r="U67">
        <f>_xlfn.XLOOKUP(C67,
  CALC_TEAMS_SEASON!B:B,
  CALC_TEAMS_SEASON!F:F)</f>
        <v>0.11826923076923078</v>
      </c>
      <c r="V67">
        <f>_xlfn.XLOOKUP(D67,
  CALC_TEAMS_SEASON!B:B,
  CALC_TEAMS_SEASON!F:F)</f>
        <v>0.16984890109890113</v>
      </c>
      <c r="W67" t="str">
        <f>RAW_GAMES!R67</f>
        <v>Furch</v>
      </c>
      <c r="X67" s="7">
        <f>RAW_GAMES!S67</f>
        <v>25</v>
      </c>
      <c r="Y67">
        <f t="shared" ref="Y67:Y130" si="11">IF(F67&gt;G67,1,0)</f>
        <v>1</v>
      </c>
      <c r="Z67" t="str">
        <f>RAW_GAMES!V67</f>
        <v>RS</v>
      </c>
    </row>
    <row r="68" spans="1:26" x14ac:dyDescent="0.25">
      <c r="A68" t="str">
        <f>RAW_GAMES!A68</f>
        <v>25/26</v>
      </c>
      <c r="B68" s="3">
        <f>RAW_GAMES!B68</f>
        <v>45919</v>
      </c>
      <c r="C68" s="3" t="str">
        <f>RAW_GAMES!E68</f>
        <v>MHK</v>
      </c>
      <c r="D68" s="3" t="str">
        <f>RAW_GAMES!F68</f>
        <v>KVA</v>
      </c>
      <c r="E68" s="7">
        <f>RAW_GAMES!G68</f>
        <v>0</v>
      </c>
      <c r="F68">
        <f>RAW_GAMES!H68</f>
        <v>1</v>
      </c>
      <c r="G68">
        <f>RAW_GAMES!I68</f>
        <v>3</v>
      </c>
      <c r="H68">
        <f t="shared" si="6"/>
        <v>-2</v>
      </c>
      <c r="I68">
        <f>RAW_GAMES!J68</f>
        <v>25</v>
      </c>
      <c r="J68">
        <f>RAW_GAMES!K68</f>
        <v>42</v>
      </c>
      <c r="K68">
        <f t="shared" si="7"/>
        <v>-17</v>
      </c>
      <c r="L68" t="str">
        <f>IF(RAW_GAMES!L68="","",RAW_GAMES!L68)</f>
        <v/>
      </c>
      <c r="M68" t="str">
        <f>IF(RAW_GAMES!M68="","",RAW_GAMES!M68)</f>
        <v/>
      </c>
      <c r="N68" t="str">
        <f t="shared" si="8"/>
        <v/>
      </c>
      <c r="O68" s="7">
        <f>RAW_GAMES!O68</f>
        <v>4</v>
      </c>
      <c r="P68">
        <f>RAW_GAMES!N68</f>
        <v>0</v>
      </c>
      <c r="Q68">
        <f t="shared" si="9"/>
        <v>0</v>
      </c>
      <c r="R68" s="7">
        <f>RAW_GAMES!Q68</f>
        <v>6</v>
      </c>
      <c r="S68">
        <f>RAW_GAMES!P68</f>
        <v>0</v>
      </c>
      <c r="T68">
        <f t="shared" si="10"/>
        <v>1</v>
      </c>
      <c r="U68">
        <f>_xlfn.XLOOKUP(C68,
  CALC_TEAMS_SEASON!B:B,
  CALC_TEAMS_SEASON!F:F)</f>
        <v>0.14184981684981687</v>
      </c>
      <c r="V68">
        <f>_xlfn.XLOOKUP(D68,
  CALC_TEAMS_SEASON!B:B,
  CALC_TEAMS_SEASON!F:F)</f>
        <v>0.17387057387057389</v>
      </c>
      <c r="W68" t="str">
        <f>RAW_GAMES!R68</f>
        <v>Škorvánek</v>
      </c>
      <c r="X68" s="7">
        <f>RAW_GAMES!S68</f>
        <v>22</v>
      </c>
      <c r="Y68">
        <f t="shared" si="11"/>
        <v>0</v>
      </c>
      <c r="Z68" t="str">
        <f>RAW_GAMES!V68</f>
        <v>RS</v>
      </c>
    </row>
    <row r="69" spans="1:26" x14ac:dyDescent="0.25">
      <c r="A69" t="str">
        <f>RAW_GAMES!A69</f>
        <v>25/26</v>
      </c>
      <c r="B69" s="3">
        <f>RAW_GAMES!B69</f>
        <v>45919</v>
      </c>
      <c r="C69" s="3" t="str">
        <f>RAW_GAMES!E69</f>
        <v>OLO</v>
      </c>
      <c r="D69" s="3" t="str">
        <f>RAW_GAMES!F69</f>
        <v>PCE</v>
      </c>
      <c r="E69" s="7">
        <f>RAW_GAMES!G69</f>
        <v>0</v>
      </c>
      <c r="F69">
        <f>RAW_GAMES!H69</f>
        <v>1</v>
      </c>
      <c r="G69">
        <f>RAW_GAMES!I69</f>
        <v>3</v>
      </c>
      <c r="H69">
        <f t="shared" si="6"/>
        <v>-2</v>
      </c>
      <c r="I69">
        <f>RAW_GAMES!J69</f>
        <v>30</v>
      </c>
      <c r="J69">
        <f>RAW_GAMES!K69</f>
        <v>41</v>
      </c>
      <c r="K69">
        <f t="shared" si="7"/>
        <v>-11</v>
      </c>
      <c r="L69">
        <f>IF(RAW_GAMES!L69="","",RAW_GAMES!L69)</f>
        <v>1.56</v>
      </c>
      <c r="M69">
        <f>IF(RAW_GAMES!M69="","",RAW_GAMES!M69)</f>
        <v>4.2</v>
      </c>
      <c r="N69">
        <f t="shared" si="8"/>
        <v>-2.64</v>
      </c>
      <c r="O69" s="7">
        <f>RAW_GAMES!O69</f>
        <v>3</v>
      </c>
      <c r="P69">
        <f>RAW_GAMES!N69</f>
        <v>0</v>
      </c>
      <c r="Q69">
        <f t="shared" si="9"/>
        <v>0</v>
      </c>
      <c r="R69" s="7">
        <f>RAW_GAMES!Q69</f>
        <v>3</v>
      </c>
      <c r="S69">
        <f>RAW_GAMES!P69</f>
        <v>1</v>
      </c>
      <c r="T69">
        <f t="shared" si="10"/>
        <v>0.66666666666666674</v>
      </c>
      <c r="U69">
        <f>_xlfn.XLOOKUP(C69,
  CALC_TEAMS_SEASON!B:B,
  CALC_TEAMS_SEASON!F:F)</f>
        <v>0.14989316239316242</v>
      </c>
      <c r="V69">
        <f>_xlfn.XLOOKUP(D69,
  CALC_TEAMS_SEASON!B:B,
  CALC_TEAMS_SEASON!F:F)</f>
        <v>0.20297619047619053</v>
      </c>
      <c r="W69" t="str">
        <f>RAW_GAMES!R69</f>
        <v>Machovský</v>
      </c>
      <c r="X69" s="7">
        <f>RAW_GAMES!S69</f>
        <v>38</v>
      </c>
      <c r="Y69">
        <f t="shared" si="11"/>
        <v>0</v>
      </c>
      <c r="Z69" t="str">
        <f>RAW_GAMES!V69</f>
        <v>RS</v>
      </c>
    </row>
    <row r="70" spans="1:26" x14ac:dyDescent="0.25">
      <c r="A70" t="str">
        <f>RAW_GAMES!A70</f>
        <v>25/26</v>
      </c>
      <c r="B70" s="3">
        <f>RAW_GAMES!B70</f>
        <v>45919</v>
      </c>
      <c r="C70" s="3" t="str">
        <f>RAW_GAMES!E70</f>
        <v>PLZ</v>
      </c>
      <c r="D70" s="3" t="str">
        <f>RAW_GAMES!F70</f>
        <v>TRI</v>
      </c>
      <c r="E70" s="7">
        <f>RAW_GAMES!G70</f>
        <v>0</v>
      </c>
      <c r="F70">
        <f>RAW_GAMES!H70</f>
        <v>1</v>
      </c>
      <c r="G70">
        <f>RAW_GAMES!I70</f>
        <v>2</v>
      </c>
      <c r="H70">
        <f t="shared" si="6"/>
        <v>-1</v>
      </c>
      <c r="I70">
        <f>RAW_GAMES!J70</f>
        <v>31</v>
      </c>
      <c r="J70">
        <f>RAW_GAMES!K70</f>
        <v>31</v>
      </c>
      <c r="K70">
        <f t="shared" si="7"/>
        <v>0</v>
      </c>
      <c r="L70">
        <f>IF(RAW_GAMES!L70="","",RAW_GAMES!L70)</f>
        <v>3.09</v>
      </c>
      <c r="M70">
        <f>IF(RAW_GAMES!M70="","",RAW_GAMES!M70)</f>
        <v>2.0699999999999998</v>
      </c>
      <c r="N70">
        <f t="shared" si="8"/>
        <v>1.02</v>
      </c>
      <c r="O70" s="7">
        <f>RAW_GAMES!O70</f>
        <v>2</v>
      </c>
      <c r="P70">
        <f>RAW_GAMES!N70</f>
        <v>1</v>
      </c>
      <c r="Q70">
        <f t="shared" si="9"/>
        <v>0.5</v>
      </c>
      <c r="R70" s="7">
        <f>RAW_GAMES!Q70</f>
        <v>1</v>
      </c>
      <c r="S70">
        <f>RAW_GAMES!P70</f>
        <v>0</v>
      </c>
      <c r="T70">
        <f t="shared" si="10"/>
        <v>1</v>
      </c>
      <c r="U70">
        <f>_xlfn.XLOOKUP(C70,
  CALC_TEAMS_SEASON!B:B,
  CALC_TEAMS_SEASON!F:F)</f>
        <v>0.17641178266178262</v>
      </c>
      <c r="V70">
        <f>_xlfn.XLOOKUP(D70,
  CALC_TEAMS_SEASON!B:B,
  CALC_TEAMS_SEASON!F:F)</f>
        <v>0.17437423687423692</v>
      </c>
      <c r="W70" t="str">
        <f>RAW_GAMES!R70</f>
        <v>Růžička</v>
      </c>
      <c r="X70" s="7">
        <f>RAW_GAMES!S70</f>
        <v>29</v>
      </c>
      <c r="Y70">
        <f t="shared" si="11"/>
        <v>0</v>
      </c>
      <c r="Z70" t="str">
        <f>RAW_GAMES!V70</f>
        <v>RS</v>
      </c>
    </row>
    <row r="71" spans="1:26" x14ac:dyDescent="0.25">
      <c r="A71" t="str">
        <f>RAW_GAMES!A71</f>
        <v>25/26</v>
      </c>
      <c r="B71" s="3">
        <f>RAW_GAMES!B71</f>
        <v>45919</v>
      </c>
      <c r="C71" s="3" t="str">
        <f>RAW_GAMES!E71</f>
        <v>VIT</v>
      </c>
      <c r="D71" s="3" t="str">
        <f>RAW_GAMES!F71</f>
        <v>MBL</v>
      </c>
      <c r="E71" s="7">
        <f>RAW_GAMES!G71</f>
        <v>1</v>
      </c>
      <c r="F71">
        <f>RAW_GAMES!H71</f>
        <v>2</v>
      </c>
      <c r="G71">
        <f>RAW_GAMES!I71</f>
        <v>4</v>
      </c>
      <c r="H71">
        <f t="shared" si="6"/>
        <v>-2</v>
      </c>
      <c r="I71">
        <f>RAW_GAMES!J71</f>
        <v>27</v>
      </c>
      <c r="J71">
        <f>RAW_GAMES!K71</f>
        <v>23</v>
      </c>
      <c r="K71">
        <f t="shared" si="7"/>
        <v>4</v>
      </c>
      <c r="L71" t="str">
        <f>IF(RAW_GAMES!L71="","",RAW_GAMES!L71)</f>
        <v/>
      </c>
      <c r="M71" t="str">
        <f>IF(RAW_GAMES!M71="","",RAW_GAMES!M71)</f>
        <v/>
      </c>
      <c r="N71" t="str">
        <f t="shared" si="8"/>
        <v/>
      </c>
      <c r="O71" s="7">
        <f>RAW_GAMES!O71</f>
        <v>2</v>
      </c>
      <c r="P71">
        <f>RAW_GAMES!N71</f>
        <v>0</v>
      </c>
      <c r="Q71">
        <f t="shared" si="9"/>
        <v>0</v>
      </c>
      <c r="R71" s="7">
        <f>RAW_GAMES!Q71</f>
        <v>1</v>
      </c>
      <c r="S71">
        <f>RAW_GAMES!P71</f>
        <v>0</v>
      </c>
      <c r="T71">
        <f t="shared" si="10"/>
        <v>1</v>
      </c>
      <c r="U71">
        <f>_xlfn.XLOOKUP(C71,
  CALC_TEAMS_SEASON!B:B,
  CALC_TEAMS_SEASON!F:F)</f>
        <v>0.16984890109890113</v>
      </c>
      <c r="V71">
        <f>_xlfn.XLOOKUP(D71,
  CALC_TEAMS_SEASON!B:B,
  CALC_TEAMS_SEASON!F:F)</f>
        <v>0.11826923076923078</v>
      </c>
      <c r="W71" t="str">
        <f>RAW_GAMES!R71</f>
        <v>Klimeš</v>
      </c>
      <c r="X71" s="7">
        <f>RAW_GAMES!S71</f>
        <v>19</v>
      </c>
      <c r="Y71">
        <f t="shared" si="11"/>
        <v>0</v>
      </c>
      <c r="Z71" t="str">
        <f>RAW_GAMES!V71</f>
        <v>RS</v>
      </c>
    </row>
    <row r="72" spans="1:26" x14ac:dyDescent="0.25">
      <c r="A72" t="str">
        <f>RAW_GAMES!A72</f>
        <v>25/26</v>
      </c>
      <c r="B72" s="3">
        <f>RAW_GAMES!B72</f>
        <v>45921</v>
      </c>
      <c r="C72" s="3" t="str">
        <f>RAW_GAMES!E72</f>
        <v>PCE</v>
      </c>
      <c r="D72" s="3" t="str">
        <f>RAW_GAMES!F72</f>
        <v>PLZ</v>
      </c>
      <c r="E72" s="7">
        <f>RAW_GAMES!G72</f>
        <v>0</v>
      </c>
      <c r="F72">
        <f>RAW_GAMES!H72</f>
        <v>1</v>
      </c>
      <c r="G72">
        <f>RAW_GAMES!I72</f>
        <v>2</v>
      </c>
      <c r="H72">
        <f t="shared" si="6"/>
        <v>-1</v>
      </c>
      <c r="I72">
        <f>RAW_GAMES!J72</f>
        <v>27</v>
      </c>
      <c r="J72">
        <f>RAW_GAMES!K72</f>
        <v>13</v>
      </c>
      <c r="K72">
        <f t="shared" si="7"/>
        <v>14</v>
      </c>
      <c r="L72">
        <f>IF(RAW_GAMES!L72="","",RAW_GAMES!L72)</f>
        <v>1.6</v>
      </c>
      <c r="M72">
        <f>IF(RAW_GAMES!M72="","",RAW_GAMES!M72)</f>
        <v>2.7</v>
      </c>
      <c r="N72">
        <f t="shared" si="8"/>
        <v>-1.1000000000000001</v>
      </c>
      <c r="O72" s="7">
        <f>RAW_GAMES!O72</f>
        <v>5</v>
      </c>
      <c r="P72">
        <f>RAW_GAMES!N72</f>
        <v>0</v>
      </c>
      <c r="Q72">
        <f t="shared" si="9"/>
        <v>0</v>
      </c>
      <c r="R72" s="7">
        <f>RAW_GAMES!Q72</f>
        <v>5</v>
      </c>
      <c r="S72">
        <f>RAW_GAMES!P72</f>
        <v>2</v>
      </c>
      <c r="T72">
        <f t="shared" si="10"/>
        <v>0.6</v>
      </c>
      <c r="U72">
        <f>_xlfn.XLOOKUP(C72,
  CALC_TEAMS_SEASON!B:B,
  CALC_TEAMS_SEASON!F:F)</f>
        <v>0.20297619047619053</v>
      </c>
      <c r="V72">
        <f>_xlfn.XLOOKUP(D72,
  CALC_TEAMS_SEASON!B:B,
  CALC_TEAMS_SEASON!F:F)</f>
        <v>0.17641178266178262</v>
      </c>
      <c r="W72" t="str">
        <f>RAW_GAMES!R72</f>
        <v>Will</v>
      </c>
      <c r="X72" s="7">
        <f>RAW_GAMES!S72</f>
        <v>11</v>
      </c>
      <c r="Y72">
        <f t="shared" si="11"/>
        <v>0</v>
      </c>
      <c r="Z72" t="str">
        <f>RAW_GAMES!V72</f>
        <v>RS</v>
      </c>
    </row>
    <row r="73" spans="1:26" x14ac:dyDescent="0.25">
      <c r="A73" t="str">
        <f>RAW_GAMES!A73</f>
        <v>25/26</v>
      </c>
      <c r="B73" s="3">
        <f>RAW_GAMES!B73</f>
        <v>45921</v>
      </c>
      <c r="C73" s="3" t="str">
        <f>RAW_GAMES!E73</f>
        <v>TRI</v>
      </c>
      <c r="D73" s="3" t="str">
        <f>RAW_GAMES!F73</f>
        <v>CEB</v>
      </c>
      <c r="E73" s="7">
        <f>RAW_GAMES!G73</f>
        <v>0</v>
      </c>
      <c r="F73">
        <f>RAW_GAMES!H73</f>
        <v>3</v>
      </c>
      <c r="G73">
        <f>RAW_GAMES!I73</f>
        <v>2</v>
      </c>
      <c r="H73">
        <f t="shared" si="6"/>
        <v>1</v>
      </c>
      <c r="I73">
        <f>RAW_GAMES!J73</f>
        <v>12</v>
      </c>
      <c r="J73">
        <f>RAW_GAMES!K73</f>
        <v>43</v>
      </c>
      <c r="K73">
        <f t="shared" si="7"/>
        <v>-31</v>
      </c>
      <c r="L73">
        <f>IF(RAW_GAMES!L73="","",RAW_GAMES!L73)</f>
        <v>1.19</v>
      </c>
      <c r="M73">
        <f>IF(RAW_GAMES!M73="","",RAW_GAMES!M73)</f>
        <v>4.2</v>
      </c>
      <c r="N73">
        <f t="shared" si="8"/>
        <v>-3.0100000000000002</v>
      </c>
      <c r="O73" s="7">
        <f>RAW_GAMES!O73</f>
        <v>3</v>
      </c>
      <c r="P73">
        <f>RAW_GAMES!N73</f>
        <v>0</v>
      </c>
      <c r="Q73">
        <f t="shared" si="9"/>
        <v>0</v>
      </c>
      <c r="R73" s="7">
        <f>RAW_GAMES!Q73</f>
        <v>6</v>
      </c>
      <c r="S73">
        <f>RAW_GAMES!P73</f>
        <v>0</v>
      </c>
      <c r="T73">
        <f t="shared" si="10"/>
        <v>1</v>
      </c>
      <c r="U73">
        <f>_xlfn.XLOOKUP(C73,
  CALC_TEAMS_SEASON!B:B,
  CALC_TEAMS_SEASON!F:F)</f>
        <v>0.17437423687423692</v>
      </c>
      <c r="V73">
        <f>_xlfn.XLOOKUP(D73,
  CALC_TEAMS_SEASON!B:B,
  CALC_TEAMS_SEASON!F:F)</f>
        <v>0.13021353646353648</v>
      </c>
      <c r="W73" t="str">
        <f>RAW_GAMES!R73</f>
        <v>Mazanec</v>
      </c>
      <c r="X73" s="7">
        <f>RAW_GAMES!S73</f>
        <v>41</v>
      </c>
      <c r="Y73">
        <f t="shared" si="11"/>
        <v>1</v>
      </c>
      <c r="Z73" t="str">
        <f>RAW_GAMES!V73</f>
        <v>RS</v>
      </c>
    </row>
    <row r="74" spans="1:26" x14ac:dyDescent="0.25">
      <c r="A74" t="str">
        <f>RAW_GAMES!A74</f>
        <v>25/26</v>
      </c>
      <c r="B74" s="3">
        <f>RAW_GAMES!B74</f>
        <v>45921</v>
      </c>
      <c r="C74" s="3" t="str">
        <f>RAW_GAMES!E74</f>
        <v>SPA</v>
      </c>
      <c r="D74" s="3" t="str">
        <f>RAW_GAMES!F74</f>
        <v>VIT</v>
      </c>
      <c r="E74" s="7">
        <f>RAW_GAMES!G74</f>
        <v>0</v>
      </c>
      <c r="F74">
        <f>RAW_GAMES!H74</f>
        <v>3</v>
      </c>
      <c r="G74">
        <f>RAW_GAMES!I74</f>
        <v>2</v>
      </c>
      <c r="H74">
        <f t="shared" si="6"/>
        <v>1</v>
      </c>
      <c r="I74">
        <f>RAW_GAMES!J74</f>
        <v>34</v>
      </c>
      <c r="J74">
        <f>RAW_GAMES!K74</f>
        <v>32</v>
      </c>
      <c r="K74">
        <f t="shared" si="7"/>
        <v>2</v>
      </c>
      <c r="L74">
        <f>IF(RAW_GAMES!L74="","",RAW_GAMES!L74)</f>
        <v>3.28</v>
      </c>
      <c r="M74">
        <f>IF(RAW_GAMES!M74="","",RAW_GAMES!M74)</f>
        <v>2.98</v>
      </c>
      <c r="N74">
        <f t="shared" si="8"/>
        <v>0.29999999999999982</v>
      </c>
      <c r="O74" s="7">
        <f>RAW_GAMES!O74</f>
        <v>3</v>
      </c>
      <c r="P74">
        <f>RAW_GAMES!N74</f>
        <v>1</v>
      </c>
      <c r="Q74">
        <f t="shared" si="9"/>
        <v>0.33333333333333331</v>
      </c>
      <c r="R74" s="7">
        <f>RAW_GAMES!Q74</f>
        <v>6</v>
      </c>
      <c r="S74">
        <f>RAW_GAMES!P74</f>
        <v>1</v>
      </c>
      <c r="T74">
        <f t="shared" si="10"/>
        <v>0.83333333333333337</v>
      </c>
      <c r="U74">
        <f>_xlfn.XLOOKUP(C74,
  CALC_TEAMS_SEASON!B:B,
  CALC_TEAMS_SEASON!F:F)</f>
        <v>0.22060439560439565</v>
      </c>
      <c r="V74">
        <f>_xlfn.XLOOKUP(D74,
  CALC_TEAMS_SEASON!B:B,
  CALC_TEAMS_SEASON!F:F)</f>
        <v>0.16984890109890113</v>
      </c>
      <c r="W74" t="str">
        <f>RAW_GAMES!R74</f>
        <v>Kořenář</v>
      </c>
      <c r="X74" s="7">
        <f>RAW_GAMES!S74</f>
        <v>30</v>
      </c>
      <c r="Y74">
        <f t="shared" si="11"/>
        <v>1</v>
      </c>
      <c r="Z74" t="str">
        <f>RAW_GAMES!V74</f>
        <v>RS</v>
      </c>
    </row>
    <row r="75" spans="1:26" x14ac:dyDescent="0.25">
      <c r="A75" t="str">
        <f>RAW_GAMES!A75</f>
        <v>25/26</v>
      </c>
      <c r="B75" s="3">
        <f>RAW_GAMES!B75</f>
        <v>45921</v>
      </c>
      <c r="C75" s="3" t="str">
        <f>RAW_GAMES!E75</f>
        <v>KOM</v>
      </c>
      <c r="D75" s="3" t="str">
        <f>RAW_GAMES!F75</f>
        <v>MHK</v>
      </c>
      <c r="E75" s="7">
        <f>RAW_GAMES!G75</f>
        <v>0</v>
      </c>
      <c r="F75">
        <f>RAW_GAMES!H75</f>
        <v>5</v>
      </c>
      <c r="G75">
        <f>RAW_GAMES!I75</f>
        <v>3</v>
      </c>
      <c r="H75">
        <f t="shared" si="6"/>
        <v>2</v>
      </c>
      <c r="I75">
        <f>RAW_GAMES!J75</f>
        <v>30</v>
      </c>
      <c r="J75">
        <f>RAW_GAMES!K75</f>
        <v>36</v>
      </c>
      <c r="K75">
        <f t="shared" si="7"/>
        <v>-6</v>
      </c>
      <c r="L75">
        <f>IF(RAW_GAMES!L75="","",RAW_GAMES!L75)</f>
        <v>3.14</v>
      </c>
      <c r="M75">
        <f>IF(RAW_GAMES!M75="","",RAW_GAMES!M75)</f>
        <v>2.74</v>
      </c>
      <c r="N75">
        <f t="shared" si="8"/>
        <v>0.39999999999999991</v>
      </c>
      <c r="O75" s="7">
        <f>RAW_GAMES!O75</f>
        <v>5</v>
      </c>
      <c r="P75">
        <f>RAW_GAMES!N75</f>
        <v>1</v>
      </c>
      <c r="Q75">
        <f t="shared" si="9"/>
        <v>0.2</v>
      </c>
      <c r="R75" s="7">
        <f>RAW_GAMES!Q75</f>
        <v>5</v>
      </c>
      <c r="S75">
        <f>RAW_GAMES!P75</f>
        <v>0</v>
      </c>
      <c r="T75">
        <f t="shared" si="10"/>
        <v>1</v>
      </c>
      <c r="U75">
        <f>_xlfn.XLOOKUP(C75,
  CALC_TEAMS_SEASON!B:B,
  CALC_TEAMS_SEASON!F:F)</f>
        <v>0.14358974358974358</v>
      </c>
      <c r="V75">
        <f>_xlfn.XLOOKUP(D75,
  CALC_TEAMS_SEASON!B:B,
  CALC_TEAMS_SEASON!F:F)</f>
        <v>0.14184981684981687</v>
      </c>
      <c r="W75" t="str">
        <f>RAW_GAMES!R75</f>
        <v>Kavan</v>
      </c>
      <c r="X75" s="7">
        <f>RAW_GAMES!S75</f>
        <v>33</v>
      </c>
      <c r="Y75">
        <f t="shared" si="11"/>
        <v>1</v>
      </c>
      <c r="Z75" t="str">
        <f>RAW_GAMES!V75</f>
        <v>RS</v>
      </c>
    </row>
    <row r="76" spans="1:26" x14ac:dyDescent="0.25">
      <c r="A76" t="str">
        <f>RAW_GAMES!A76</f>
        <v>25/26</v>
      </c>
      <c r="B76" s="3">
        <f>RAW_GAMES!B76</f>
        <v>45921</v>
      </c>
      <c r="C76" s="3" t="str">
        <f>RAW_GAMES!E76</f>
        <v>CEB</v>
      </c>
      <c r="D76" s="3" t="str">
        <f>RAW_GAMES!F76</f>
        <v>TRI</v>
      </c>
      <c r="E76" s="7">
        <f>RAW_GAMES!G76</f>
        <v>1</v>
      </c>
      <c r="F76">
        <f>RAW_GAMES!H76</f>
        <v>2</v>
      </c>
      <c r="G76">
        <f>RAW_GAMES!I76</f>
        <v>3</v>
      </c>
      <c r="H76">
        <f t="shared" si="6"/>
        <v>-1</v>
      </c>
      <c r="I76">
        <f>RAW_GAMES!J76</f>
        <v>43</v>
      </c>
      <c r="J76">
        <f>RAW_GAMES!K76</f>
        <v>12</v>
      </c>
      <c r="K76">
        <f t="shared" si="7"/>
        <v>31</v>
      </c>
      <c r="L76">
        <f>IF(RAW_GAMES!L76="","",RAW_GAMES!L76)</f>
        <v>4.2</v>
      </c>
      <c r="M76">
        <f>IF(RAW_GAMES!M76="","",RAW_GAMES!M76)</f>
        <v>1.19</v>
      </c>
      <c r="N76">
        <f t="shared" si="8"/>
        <v>3.0100000000000002</v>
      </c>
      <c r="O76" s="7">
        <f>RAW_GAMES!O76</f>
        <v>6</v>
      </c>
      <c r="P76">
        <f>RAW_GAMES!N76</f>
        <v>0</v>
      </c>
      <c r="Q76">
        <f t="shared" si="9"/>
        <v>0</v>
      </c>
      <c r="R76" s="7">
        <f>RAW_GAMES!Q76</f>
        <v>3</v>
      </c>
      <c r="S76">
        <f>RAW_GAMES!P76</f>
        <v>0</v>
      </c>
      <c r="T76">
        <f t="shared" si="10"/>
        <v>1</v>
      </c>
      <c r="U76">
        <f>_xlfn.XLOOKUP(C76,
  CALC_TEAMS_SEASON!B:B,
  CALC_TEAMS_SEASON!F:F)</f>
        <v>0.13021353646353648</v>
      </c>
      <c r="V76">
        <f>_xlfn.XLOOKUP(D76,
  CALC_TEAMS_SEASON!B:B,
  CALC_TEAMS_SEASON!F:F)</f>
        <v>0.17437423687423692</v>
      </c>
      <c r="W76" t="str">
        <f>RAW_GAMES!R76</f>
        <v>Klouček</v>
      </c>
      <c r="X76" s="7">
        <f>RAW_GAMES!S76</f>
        <v>9</v>
      </c>
      <c r="Y76">
        <f t="shared" si="11"/>
        <v>0</v>
      </c>
      <c r="Z76" t="str">
        <f>RAW_GAMES!V76</f>
        <v>RS</v>
      </c>
    </row>
    <row r="77" spans="1:26" x14ac:dyDescent="0.25">
      <c r="A77" t="str">
        <f>RAW_GAMES!A77</f>
        <v>25/26</v>
      </c>
      <c r="B77" s="3">
        <f>RAW_GAMES!B77</f>
        <v>45921</v>
      </c>
      <c r="C77" s="3" t="str">
        <f>RAW_GAMES!E77</f>
        <v>KLA</v>
      </c>
      <c r="D77" s="3" t="str">
        <f>RAW_GAMES!F77</f>
        <v>LIB</v>
      </c>
      <c r="E77" s="7">
        <f>RAW_GAMES!G77</f>
        <v>0</v>
      </c>
      <c r="F77">
        <f>RAW_GAMES!H77</f>
        <v>1</v>
      </c>
      <c r="G77">
        <f>RAW_GAMES!I77</f>
        <v>4</v>
      </c>
      <c r="H77">
        <f t="shared" si="6"/>
        <v>-3</v>
      </c>
      <c r="I77">
        <f>RAW_GAMES!J77</f>
        <v>31</v>
      </c>
      <c r="J77">
        <f>RAW_GAMES!K77</f>
        <v>31</v>
      </c>
      <c r="K77">
        <f t="shared" si="7"/>
        <v>0</v>
      </c>
      <c r="L77" t="str">
        <f>IF(RAW_GAMES!L77="","",RAW_GAMES!L77)</f>
        <v/>
      </c>
      <c r="M77" t="str">
        <f>IF(RAW_GAMES!M77="","",RAW_GAMES!M77)</f>
        <v/>
      </c>
      <c r="N77" t="str">
        <f t="shared" si="8"/>
        <v/>
      </c>
      <c r="O77" s="7">
        <f>RAW_GAMES!O77</f>
        <v>5</v>
      </c>
      <c r="P77">
        <f>RAW_GAMES!N77</f>
        <v>0</v>
      </c>
      <c r="Q77">
        <f t="shared" si="9"/>
        <v>0</v>
      </c>
      <c r="R77" s="7">
        <f>RAW_GAMES!Q77</f>
        <v>6</v>
      </c>
      <c r="S77">
        <f>RAW_GAMES!P77</f>
        <v>1</v>
      </c>
      <c r="T77">
        <f t="shared" si="10"/>
        <v>0.83333333333333337</v>
      </c>
      <c r="U77">
        <f>_xlfn.XLOOKUP(C77,
  CALC_TEAMS_SEASON!B:B,
  CALC_TEAMS_SEASON!F:F)</f>
        <v>0.13120421245421243</v>
      </c>
      <c r="V77">
        <f>_xlfn.XLOOKUP(D77,
  CALC_TEAMS_SEASON!B:B,
  CALC_TEAMS_SEASON!F:F)</f>
        <v>0.14377289377289379</v>
      </c>
      <c r="W77" t="str">
        <f>RAW_GAMES!R77</f>
        <v>Brízgala</v>
      </c>
      <c r="X77" s="7">
        <f>RAW_GAMES!S77</f>
        <v>27</v>
      </c>
      <c r="Y77">
        <f t="shared" si="11"/>
        <v>0</v>
      </c>
      <c r="Z77" t="str">
        <f>RAW_GAMES!V77</f>
        <v>RS</v>
      </c>
    </row>
    <row r="78" spans="1:26" x14ac:dyDescent="0.25">
      <c r="A78" t="str">
        <f>RAW_GAMES!A78</f>
        <v>25/26</v>
      </c>
      <c r="B78" s="3">
        <f>RAW_GAMES!B78</f>
        <v>45921</v>
      </c>
      <c r="C78" s="3" t="str">
        <f>RAW_GAMES!E78</f>
        <v>KVA</v>
      </c>
      <c r="D78" s="3" t="str">
        <f>RAW_GAMES!F78</f>
        <v>MBL</v>
      </c>
      <c r="E78" s="7">
        <f>RAW_GAMES!G78</f>
        <v>0</v>
      </c>
      <c r="F78">
        <f>RAW_GAMES!H78</f>
        <v>3</v>
      </c>
      <c r="G78">
        <f>RAW_GAMES!I78</f>
        <v>2</v>
      </c>
      <c r="H78">
        <f t="shared" si="6"/>
        <v>1</v>
      </c>
      <c r="I78">
        <f>RAW_GAMES!J78</f>
        <v>25</v>
      </c>
      <c r="J78">
        <f>RAW_GAMES!K78</f>
        <v>33</v>
      </c>
      <c r="K78">
        <f t="shared" si="7"/>
        <v>-8</v>
      </c>
      <c r="L78" t="str">
        <f>IF(RAW_GAMES!L78="","",RAW_GAMES!L78)</f>
        <v/>
      </c>
      <c r="M78" t="str">
        <f>IF(RAW_GAMES!M78="","",RAW_GAMES!M78)</f>
        <v/>
      </c>
      <c r="N78" t="str">
        <f t="shared" si="8"/>
        <v/>
      </c>
      <c r="O78" s="7">
        <f>RAW_GAMES!O78</f>
        <v>3</v>
      </c>
      <c r="P78">
        <f>RAW_GAMES!N78</f>
        <v>1</v>
      </c>
      <c r="Q78">
        <f t="shared" si="9"/>
        <v>0.33333333333333331</v>
      </c>
      <c r="R78" s="7">
        <f>RAW_GAMES!Q78</f>
        <v>3</v>
      </c>
      <c r="S78">
        <f>RAW_GAMES!P78</f>
        <v>0</v>
      </c>
      <c r="T78">
        <f t="shared" si="10"/>
        <v>1</v>
      </c>
      <c r="U78">
        <f>_xlfn.XLOOKUP(C78,
  CALC_TEAMS_SEASON!B:B,
  CALC_TEAMS_SEASON!F:F)</f>
        <v>0.17387057387057389</v>
      </c>
      <c r="V78">
        <f>_xlfn.XLOOKUP(D78,
  CALC_TEAMS_SEASON!B:B,
  CALC_TEAMS_SEASON!F:F)</f>
        <v>0.11826923076923078</v>
      </c>
      <c r="W78" t="str">
        <f>RAW_GAMES!R78</f>
        <v>Král</v>
      </c>
      <c r="X78" s="7">
        <f>RAW_GAMES!S78</f>
        <v>31</v>
      </c>
      <c r="Y78">
        <f t="shared" si="11"/>
        <v>1</v>
      </c>
      <c r="Z78" t="str">
        <f>RAW_GAMES!V78</f>
        <v>RS</v>
      </c>
    </row>
    <row r="79" spans="1:26" x14ac:dyDescent="0.25">
      <c r="A79" t="str">
        <f>RAW_GAMES!A79</f>
        <v>25/26</v>
      </c>
      <c r="B79" s="3">
        <f>RAW_GAMES!B79</f>
        <v>45921</v>
      </c>
      <c r="C79" s="3" t="str">
        <f>RAW_GAMES!E79</f>
        <v>LIB</v>
      </c>
      <c r="D79" s="3" t="str">
        <f>RAW_GAMES!F79</f>
        <v>KLA</v>
      </c>
      <c r="E79" s="7">
        <f>RAW_GAMES!G79</f>
        <v>1</v>
      </c>
      <c r="F79">
        <f>RAW_GAMES!H79</f>
        <v>4</v>
      </c>
      <c r="G79">
        <f>RAW_GAMES!I79</f>
        <v>1</v>
      </c>
      <c r="H79">
        <f t="shared" si="6"/>
        <v>3</v>
      </c>
      <c r="I79">
        <f>RAW_GAMES!J79</f>
        <v>31</v>
      </c>
      <c r="J79">
        <f>RAW_GAMES!K79</f>
        <v>31</v>
      </c>
      <c r="K79">
        <f t="shared" si="7"/>
        <v>0</v>
      </c>
      <c r="L79" t="str">
        <f>IF(RAW_GAMES!L79="","",RAW_GAMES!L79)</f>
        <v/>
      </c>
      <c r="M79" t="str">
        <f>IF(RAW_GAMES!M79="","",RAW_GAMES!M79)</f>
        <v/>
      </c>
      <c r="N79" t="str">
        <f t="shared" si="8"/>
        <v/>
      </c>
      <c r="O79" s="7">
        <f>RAW_GAMES!O79</f>
        <v>6</v>
      </c>
      <c r="P79">
        <f>RAW_GAMES!N79</f>
        <v>1</v>
      </c>
      <c r="Q79">
        <f t="shared" si="9"/>
        <v>0.16666666666666666</v>
      </c>
      <c r="R79" s="7">
        <f>RAW_GAMES!Q79</f>
        <v>5</v>
      </c>
      <c r="S79">
        <f>RAW_GAMES!P79</f>
        <v>0</v>
      </c>
      <c r="T79">
        <f t="shared" si="10"/>
        <v>1</v>
      </c>
      <c r="U79">
        <f>_xlfn.XLOOKUP(C79,
  CALC_TEAMS_SEASON!B:B,
  CALC_TEAMS_SEASON!F:F)</f>
        <v>0.14377289377289379</v>
      </c>
      <c r="V79">
        <f>_xlfn.XLOOKUP(D79,
  CALC_TEAMS_SEASON!B:B,
  CALC_TEAMS_SEASON!F:F)</f>
        <v>0.13120421245421243</v>
      </c>
      <c r="W79" t="str">
        <f>RAW_GAMES!R79</f>
        <v>Kváča</v>
      </c>
      <c r="X79" s="7">
        <f>RAW_GAMES!S79</f>
        <v>27</v>
      </c>
      <c r="Y79">
        <f t="shared" si="11"/>
        <v>1</v>
      </c>
      <c r="Z79" t="str">
        <f>RAW_GAMES!V79</f>
        <v>RS</v>
      </c>
    </row>
    <row r="80" spans="1:26" x14ac:dyDescent="0.25">
      <c r="A80" t="str">
        <f>RAW_GAMES!A80</f>
        <v>25/26</v>
      </c>
      <c r="B80" s="3">
        <f>RAW_GAMES!B80</f>
        <v>45921</v>
      </c>
      <c r="C80" s="3" t="str">
        <f>RAW_GAMES!E80</f>
        <v>MBL</v>
      </c>
      <c r="D80" s="3" t="str">
        <f>RAW_GAMES!F80</f>
        <v>KVA</v>
      </c>
      <c r="E80" s="7">
        <f>RAW_GAMES!G80</f>
        <v>1</v>
      </c>
      <c r="F80">
        <f>RAW_GAMES!H80</f>
        <v>2</v>
      </c>
      <c r="G80">
        <f>RAW_GAMES!I80</f>
        <v>3</v>
      </c>
      <c r="H80">
        <f t="shared" si="6"/>
        <v>-1</v>
      </c>
      <c r="I80">
        <f>RAW_GAMES!J80</f>
        <v>33</v>
      </c>
      <c r="J80">
        <f>RAW_GAMES!K80</f>
        <v>25</v>
      </c>
      <c r="K80">
        <f t="shared" si="7"/>
        <v>8</v>
      </c>
      <c r="L80" t="str">
        <f>IF(RAW_GAMES!L80="","",RAW_GAMES!L80)</f>
        <v/>
      </c>
      <c r="M80" t="str">
        <f>IF(RAW_GAMES!M80="","",RAW_GAMES!M80)</f>
        <v/>
      </c>
      <c r="N80" t="str">
        <f t="shared" si="8"/>
        <v/>
      </c>
      <c r="O80" s="7">
        <f>RAW_GAMES!O80</f>
        <v>3</v>
      </c>
      <c r="P80">
        <f>RAW_GAMES!N80</f>
        <v>0</v>
      </c>
      <c r="Q80">
        <f t="shared" si="9"/>
        <v>0</v>
      </c>
      <c r="R80" s="7">
        <f>RAW_GAMES!Q80</f>
        <v>3</v>
      </c>
      <c r="S80">
        <f>RAW_GAMES!P80</f>
        <v>1</v>
      </c>
      <c r="T80">
        <f t="shared" si="10"/>
        <v>0.66666666666666674</v>
      </c>
      <c r="U80">
        <f>_xlfn.XLOOKUP(C80,
  CALC_TEAMS_SEASON!B:B,
  CALC_TEAMS_SEASON!F:F)</f>
        <v>0.11826923076923078</v>
      </c>
      <c r="V80">
        <f>_xlfn.XLOOKUP(D80,
  CALC_TEAMS_SEASON!B:B,
  CALC_TEAMS_SEASON!F:F)</f>
        <v>0.17387057387057389</v>
      </c>
      <c r="W80" t="str">
        <f>RAW_GAMES!R80</f>
        <v>Furch</v>
      </c>
      <c r="X80" s="7">
        <f>RAW_GAMES!S80</f>
        <v>22</v>
      </c>
      <c r="Y80">
        <f t="shared" si="11"/>
        <v>0</v>
      </c>
      <c r="Z80" t="str">
        <f>RAW_GAMES!V80</f>
        <v>RS</v>
      </c>
    </row>
    <row r="81" spans="1:26" x14ac:dyDescent="0.25">
      <c r="A81" t="str">
        <f>RAW_GAMES!A81</f>
        <v>25/26</v>
      </c>
      <c r="B81" s="3">
        <f>RAW_GAMES!B81</f>
        <v>45921</v>
      </c>
      <c r="C81" s="3" t="str">
        <f>RAW_GAMES!E81</f>
        <v>MHK</v>
      </c>
      <c r="D81" s="3" t="str">
        <f>RAW_GAMES!F81</f>
        <v>KOM</v>
      </c>
      <c r="E81" s="7">
        <f>RAW_GAMES!G81</f>
        <v>1</v>
      </c>
      <c r="F81">
        <f>RAW_GAMES!H81</f>
        <v>3</v>
      </c>
      <c r="G81">
        <f>RAW_GAMES!I81</f>
        <v>5</v>
      </c>
      <c r="H81">
        <f t="shared" si="6"/>
        <v>-2</v>
      </c>
      <c r="I81">
        <f>RAW_GAMES!J81</f>
        <v>36</v>
      </c>
      <c r="J81">
        <f>RAW_GAMES!K81</f>
        <v>30</v>
      </c>
      <c r="K81">
        <f t="shared" si="7"/>
        <v>6</v>
      </c>
      <c r="L81">
        <f>IF(RAW_GAMES!L81="","",RAW_GAMES!L81)</f>
        <v>2.74</v>
      </c>
      <c r="M81">
        <f>IF(RAW_GAMES!M81="","",RAW_GAMES!M81)</f>
        <v>3.14</v>
      </c>
      <c r="N81">
        <f t="shared" si="8"/>
        <v>-0.39999999999999991</v>
      </c>
      <c r="O81" s="7">
        <f>RAW_GAMES!O81</f>
        <v>5</v>
      </c>
      <c r="P81">
        <f>RAW_GAMES!N81</f>
        <v>0</v>
      </c>
      <c r="Q81">
        <f t="shared" si="9"/>
        <v>0</v>
      </c>
      <c r="R81" s="7">
        <f>RAW_GAMES!Q81</f>
        <v>5</v>
      </c>
      <c r="S81">
        <f>RAW_GAMES!P81</f>
        <v>1</v>
      </c>
      <c r="T81">
        <f t="shared" si="10"/>
        <v>0.8</v>
      </c>
      <c r="U81">
        <f>_xlfn.XLOOKUP(C81,
  CALC_TEAMS_SEASON!B:B,
  CALC_TEAMS_SEASON!F:F)</f>
        <v>0.14184981684981687</v>
      </c>
      <c r="V81">
        <f>_xlfn.XLOOKUP(D81,
  CALC_TEAMS_SEASON!B:B,
  CALC_TEAMS_SEASON!F:F)</f>
        <v>0.14358974358974358</v>
      </c>
      <c r="W81" t="str">
        <f>RAW_GAMES!R81</f>
        <v>Novotný</v>
      </c>
      <c r="X81" s="7">
        <f>RAW_GAMES!S81</f>
        <v>25</v>
      </c>
      <c r="Y81">
        <f t="shared" si="11"/>
        <v>0</v>
      </c>
      <c r="Z81" t="str">
        <f>RAW_GAMES!V81</f>
        <v>RS</v>
      </c>
    </row>
    <row r="82" spans="1:26" x14ac:dyDescent="0.25">
      <c r="A82" t="str">
        <f>RAW_GAMES!A82</f>
        <v>25/26</v>
      </c>
      <c r="B82" s="3">
        <f>RAW_GAMES!B82</f>
        <v>45921</v>
      </c>
      <c r="C82" s="3" t="str">
        <f>RAW_GAMES!E82</f>
        <v>PLZ</v>
      </c>
      <c r="D82" s="3" t="str">
        <f>RAW_GAMES!F82</f>
        <v>PCE</v>
      </c>
      <c r="E82" s="7">
        <f>RAW_GAMES!G82</f>
        <v>1</v>
      </c>
      <c r="F82">
        <f>RAW_GAMES!H82</f>
        <v>2</v>
      </c>
      <c r="G82">
        <f>RAW_GAMES!I82</f>
        <v>1</v>
      </c>
      <c r="H82">
        <f t="shared" si="6"/>
        <v>1</v>
      </c>
      <c r="I82">
        <f>RAW_GAMES!J82</f>
        <v>13</v>
      </c>
      <c r="J82">
        <f>RAW_GAMES!K82</f>
        <v>27</v>
      </c>
      <c r="K82">
        <f t="shared" si="7"/>
        <v>-14</v>
      </c>
      <c r="L82">
        <f>IF(RAW_GAMES!L82="","",RAW_GAMES!L82)</f>
        <v>2.7</v>
      </c>
      <c r="M82">
        <f>IF(RAW_GAMES!M82="","",RAW_GAMES!M82)</f>
        <v>1.6</v>
      </c>
      <c r="N82">
        <f t="shared" si="8"/>
        <v>1.1000000000000001</v>
      </c>
      <c r="O82" s="7">
        <f>RAW_GAMES!O82</f>
        <v>5</v>
      </c>
      <c r="P82">
        <f>RAW_GAMES!N82</f>
        <v>2</v>
      </c>
      <c r="Q82">
        <f t="shared" si="9"/>
        <v>0.4</v>
      </c>
      <c r="R82" s="7">
        <f>RAW_GAMES!Q82</f>
        <v>5</v>
      </c>
      <c r="S82">
        <f>RAW_GAMES!P82</f>
        <v>0</v>
      </c>
      <c r="T82">
        <f t="shared" si="10"/>
        <v>1</v>
      </c>
      <c r="U82">
        <f>_xlfn.XLOOKUP(C82,
  CALC_TEAMS_SEASON!B:B,
  CALC_TEAMS_SEASON!F:F)</f>
        <v>0.17641178266178262</v>
      </c>
      <c r="V82">
        <f>_xlfn.XLOOKUP(D82,
  CALC_TEAMS_SEASON!B:B,
  CALC_TEAMS_SEASON!F:F)</f>
        <v>0.20297619047619053</v>
      </c>
      <c r="W82" t="str">
        <f>RAW_GAMES!R82</f>
        <v>Růžička</v>
      </c>
      <c r="X82" s="7">
        <f>RAW_GAMES!S82</f>
        <v>26</v>
      </c>
      <c r="Y82">
        <f t="shared" si="11"/>
        <v>1</v>
      </c>
      <c r="Z82" t="str">
        <f>RAW_GAMES!V82</f>
        <v>RS</v>
      </c>
    </row>
    <row r="83" spans="1:26" x14ac:dyDescent="0.25">
      <c r="A83" t="str">
        <f>RAW_GAMES!A83</f>
        <v>25/26</v>
      </c>
      <c r="B83" s="3">
        <f>RAW_GAMES!B83</f>
        <v>45921</v>
      </c>
      <c r="C83" s="3" t="str">
        <f>RAW_GAMES!E83</f>
        <v>VIT</v>
      </c>
      <c r="D83" s="3" t="str">
        <f>RAW_GAMES!F83</f>
        <v>SPA</v>
      </c>
      <c r="E83" s="7">
        <f>RAW_GAMES!G83</f>
        <v>1</v>
      </c>
      <c r="F83">
        <f>RAW_GAMES!H83</f>
        <v>2</v>
      </c>
      <c r="G83">
        <f>RAW_GAMES!I83</f>
        <v>3</v>
      </c>
      <c r="H83">
        <f t="shared" si="6"/>
        <v>-1</v>
      </c>
      <c r="I83">
        <f>RAW_GAMES!J83</f>
        <v>32</v>
      </c>
      <c r="J83">
        <f>RAW_GAMES!K83</f>
        <v>34</v>
      </c>
      <c r="K83">
        <f t="shared" si="7"/>
        <v>-2</v>
      </c>
      <c r="L83">
        <f>IF(RAW_GAMES!L83="","",RAW_GAMES!L83)</f>
        <v>2.98</v>
      </c>
      <c r="M83">
        <f>IF(RAW_GAMES!M83="","",RAW_GAMES!M83)</f>
        <v>3.27</v>
      </c>
      <c r="N83">
        <f t="shared" si="8"/>
        <v>-0.29000000000000004</v>
      </c>
      <c r="O83" s="7">
        <f>RAW_GAMES!O83</f>
        <v>6</v>
      </c>
      <c r="P83">
        <f>RAW_GAMES!N83</f>
        <v>1</v>
      </c>
      <c r="Q83">
        <f t="shared" si="9"/>
        <v>0.16666666666666666</v>
      </c>
      <c r="R83" s="7">
        <f>RAW_GAMES!Q83</f>
        <v>3</v>
      </c>
      <c r="S83">
        <f>RAW_GAMES!P83</f>
        <v>1</v>
      </c>
      <c r="T83">
        <f t="shared" si="10"/>
        <v>0.66666666666666674</v>
      </c>
      <c r="U83">
        <f>_xlfn.XLOOKUP(C83,
  CALC_TEAMS_SEASON!B:B,
  CALC_TEAMS_SEASON!F:F)</f>
        <v>0.16984890109890113</v>
      </c>
      <c r="V83">
        <f>_xlfn.XLOOKUP(D83,
  CALC_TEAMS_SEASON!B:B,
  CALC_TEAMS_SEASON!F:F)</f>
        <v>0.22060439560439565</v>
      </c>
      <c r="W83" t="str">
        <f>RAW_GAMES!R83</f>
        <v>Hrachovina</v>
      </c>
      <c r="X83" s="7">
        <f>RAW_GAMES!S83</f>
        <v>32</v>
      </c>
      <c r="Y83">
        <f t="shared" si="11"/>
        <v>0</v>
      </c>
      <c r="Z83" t="str">
        <f>RAW_GAMES!V83</f>
        <v>RS</v>
      </c>
    </row>
    <row r="84" spans="1:26" x14ac:dyDescent="0.25">
      <c r="A84" t="str">
        <f>RAW_GAMES!A84</f>
        <v>25/26</v>
      </c>
      <c r="B84" s="3">
        <f>RAW_GAMES!B84</f>
        <v>45923</v>
      </c>
      <c r="C84" s="3" t="str">
        <f>RAW_GAMES!E84</f>
        <v>PCE</v>
      </c>
      <c r="D84" s="3" t="str">
        <f>RAW_GAMES!F84</f>
        <v>KLA</v>
      </c>
      <c r="E84" s="7">
        <f>RAW_GAMES!G84</f>
        <v>0</v>
      </c>
      <c r="F84">
        <f>RAW_GAMES!H84</f>
        <v>5</v>
      </c>
      <c r="G84">
        <f>RAW_GAMES!I84</f>
        <v>4</v>
      </c>
      <c r="H84">
        <f t="shared" si="6"/>
        <v>1</v>
      </c>
      <c r="I84">
        <f>RAW_GAMES!J84</f>
        <v>22</v>
      </c>
      <c r="J84">
        <f>RAW_GAMES!K84</f>
        <v>39</v>
      </c>
      <c r="K84">
        <f t="shared" si="7"/>
        <v>-17</v>
      </c>
      <c r="L84">
        <f>IF(RAW_GAMES!L84="","",RAW_GAMES!L84)</f>
        <v>1.23</v>
      </c>
      <c r="M84">
        <f>IF(RAW_GAMES!M84="","",RAW_GAMES!M84)</f>
        <v>3.71</v>
      </c>
      <c r="N84">
        <f t="shared" si="8"/>
        <v>-2.48</v>
      </c>
      <c r="O84" s="7">
        <f>RAW_GAMES!O84</f>
        <v>2</v>
      </c>
      <c r="P84">
        <f>RAW_GAMES!N84</f>
        <v>1</v>
      </c>
      <c r="Q84">
        <f t="shared" si="9"/>
        <v>0.5</v>
      </c>
      <c r="R84" s="7">
        <f>RAW_GAMES!Q84</f>
        <v>3</v>
      </c>
      <c r="S84">
        <f>RAW_GAMES!P84</f>
        <v>0</v>
      </c>
      <c r="T84">
        <f t="shared" si="10"/>
        <v>1</v>
      </c>
      <c r="U84">
        <f>_xlfn.XLOOKUP(C84,
  CALC_TEAMS_SEASON!B:B,
  CALC_TEAMS_SEASON!F:F)</f>
        <v>0.20297619047619053</v>
      </c>
      <c r="V84">
        <f>_xlfn.XLOOKUP(D84,
  CALC_TEAMS_SEASON!B:B,
  CALC_TEAMS_SEASON!F:F)</f>
        <v>0.13120421245421243</v>
      </c>
      <c r="W84" t="str">
        <f>RAW_GAMES!R84</f>
        <v>Vomáčka</v>
      </c>
      <c r="X84" s="7">
        <f>RAW_GAMES!S84</f>
        <v>35</v>
      </c>
      <c r="Y84">
        <f t="shared" si="11"/>
        <v>1</v>
      </c>
      <c r="Z84" t="str">
        <f>RAW_GAMES!V84</f>
        <v>RS</v>
      </c>
    </row>
    <row r="85" spans="1:26" x14ac:dyDescent="0.25">
      <c r="A85" t="str">
        <f>RAW_GAMES!A85</f>
        <v>25/26</v>
      </c>
      <c r="B85" s="3">
        <f>RAW_GAMES!B85</f>
        <v>45923</v>
      </c>
      <c r="C85" s="3" t="str">
        <f>RAW_GAMES!E85</f>
        <v>SPA</v>
      </c>
      <c r="D85" s="3" t="str">
        <f>RAW_GAMES!F85</f>
        <v>OLO</v>
      </c>
      <c r="E85" s="7">
        <f>RAW_GAMES!G85</f>
        <v>0</v>
      </c>
      <c r="F85">
        <f>RAW_GAMES!H85</f>
        <v>2</v>
      </c>
      <c r="G85">
        <f>RAW_GAMES!I85</f>
        <v>4</v>
      </c>
      <c r="H85">
        <f t="shared" si="6"/>
        <v>-2</v>
      </c>
      <c r="I85">
        <f>RAW_GAMES!J85</f>
        <v>33</v>
      </c>
      <c r="J85">
        <f>RAW_GAMES!K85</f>
        <v>23</v>
      </c>
      <c r="K85">
        <f t="shared" si="7"/>
        <v>10</v>
      </c>
      <c r="L85">
        <f>IF(RAW_GAMES!L85="","",RAW_GAMES!L85)</f>
        <v>3.45</v>
      </c>
      <c r="M85">
        <f>IF(RAW_GAMES!M85="","",RAW_GAMES!M85)</f>
        <v>3.18</v>
      </c>
      <c r="N85">
        <f t="shared" si="8"/>
        <v>0.27</v>
      </c>
      <c r="O85" s="7">
        <f>RAW_GAMES!O85</f>
        <v>5</v>
      </c>
      <c r="P85">
        <f>RAW_GAMES!N85</f>
        <v>1</v>
      </c>
      <c r="Q85">
        <f t="shared" si="9"/>
        <v>0.2</v>
      </c>
      <c r="R85" s="7">
        <f>RAW_GAMES!Q85</f>
        <v>7</v>
      </c>
      <c r="S85">
        <f>RAW_GAMES!P85</f>
        <v>3</v>
      </c>
      <c r="T85">
        <f t="shared" si="10"/>
        <v>0.5714285714285714</v>
      </c>
      <c r="U85">
        <f>_xlfn.XLOOKUP(C85,
  CALC_TEAMS_SEASON!B:B,
  CALC_TEAMS_SEASON!F:F)</f>
        <v>0.22060439560439565</v>
      </c>
      <c r="V85">
        <f>_xlfn.XLOOKUP(D85,
  CALC_TEAMS_SEASON!B:B,
  CALC_TEAMS_SEASON!F:F)</f>
        <v>0.14989316239316242</v>
      </c>
      <c r="W85" t="str">
        <f>RAW_GAMES!R85</f>
        <v>Kovář</v>
      </c>
      <c r="X85" s="7">
        <f>RAW_GAMES!S85</f>
        <v>19</v>
      </c>
      <c r="Y85">
        <f t="shared" si="11"/>
        <v>0</v>
      </c>
      <c r="Z85" t="str">
        <f>RAW_GAMES!V85</f>
        <v>RS</v>
      </c>
    </row>
    <row r="86" spans="1:26" x14ac:dyDescent="0.25">
      <c r="A86" t="str">
        <f>RAW_GAMES!A86</f>
        <v>25/26</v>
      </c>
      <c r="B86" s="3">
        <f>RAW_GAMES!B86</f>
        <v>45923</v>
      </c>
      <c r="C86" s="3" t="str">
        <f>RAW_GAMES!E86</f>
        <v>KOM</v>
      </c>
      <c r="D86" s="3" t="str">
        <f>RAW_GAMES!F86</f>
        <v>PLZ</v>
      </c>
      <c r="E86" s="7">
        <f>RAW_GAMES!G86</f>
        <v>1</v>
      </c>
      <c r="F86">
        <f>RAW_GAMES!H86</f>
        <v>4</v>
      </c>
      <c r="G86">
        <f>RAW_GAMES!I86</f>
        <v>2</v>
      </c>
      <c r="H86">
        <f t="shared" si="6"/>
        <v>2</v>
      </c>
      <c r="I86">
        <f>RAW_GAMES!J86</f>
        <v>29</v>
      </c>
      <c r="J86">
        <f>RAW_GAMES!K86</f>
        <v>18</v>
      </c>
      <c r="K86">
        <f t="shared" si="7"/>
        <v>11</v>
      </c>
      <c r="L86">
        <f>IF(RAW_GAMES!L86="","",RAW_GAMES!L86)</f>
        <v>2.61</v>
      </c>
      <c r="M86">
        <f>IF(RAW_GAMES!M86="","",RAW_GAMES!M86)</f>
        <v>1.41</v>
      </c>
      <c r="N86">
        <f t="shared" si="8"/>
        <v>1.2</v>
      </c>
      <c r="O86" s="7">
        <f>RAW_GAMES!O86</f>
        <v>8</v>
      </c>
      <c r="P86">
        <f>RAW_GAMES!N86</f>
        <v>1</v>
      </c>
      <c r="Q86">
        <f t="shared" si="9"/>
        <v>0.125</v>
      </c>
      <c r="R86" s="7">
        <f>RAW_GAMES!Q86</f>
        <v>3</v>
      </c>
      <c r="S86">
        <f>RAW_GAMES!P86</f>
        <v>0</v>
      </c>
      <c r="T86">
        <f t="shared" si="10"/>
        <v>1</v>
      </c>
      <c r="U86">
        <f>_xlfn.XLOOKUP(C86,
  CALC_TEAMS_SEASON!B:B,
  CALC_TEAMS_SEASON!F:F)</f>
        <v>0.14358974358974358</v>
      </c>
      <c r="V86">
        <f>_xlfn.XLOOKUP(D86,
  CALC_TEAMS_SEASON!B:B,
  CALC_TEAMS_SEASON!F:F)</f>
        <v>0.17641178266178262</v>
      </c>
      <c r="W86" t="str">
        <f>RAW_GAMES!R86</f>
        <v>Stezka</v>
      </c>
      <c r="X86" s="7">
        <f>RAW_GAMES!S86</f>
        <v>16</v>
      </c>
      <c r="Y86">
        <f t="shared" si="11"/>
        <v>1</v>
      </c>
      <c r="Z86" t="str">
        <f>RAW_GAMES!V86</f>
        <v>RS</v>
      </c>
    </row>
    <row r="87" spans="1:26" x14ac:dyDescent="0.25">
      <c r="A87" t="str">
        <f>RAW_GAMES!A87</f>
        <v>25/26</v>
      </c>
      <c r="B87" s="3">
        <f>RAW_GAMES!B87</f>
        <v>45923</v>
      </c>
      <c r="C87" s="3" t="str">
        <f>RAW_GAMES!E87</f>
        <v>CEB</v>
      </c>
      <c r="D87" s="3" t="str">
        <f>RAW_GAMES!F87</f>
        <v>KVA</v>
      </c>
      <c r="E87" s="7">
        <f>RAW_GAMES!G87</f>
        <v>0</v>
      </c>
      <c r="F87">
        <f>RAW_GAMES!H87</f>
        <v>1</v>
      </c>
      <c r="G87">
        <f>RAW_GAMES!I87</f>
        <v>3</v>
      </c>
      <c r="H87">
        <f t="shared" si="6"/>
        <v>-2</v>
      </c>
      <c r="I87">
        <f>RAW_GAMES!J87</f>
        <v>22</v>
      </c>
      <c r="J87">
        <f>RAW_GAMES!K87</f>
        <v>39</v>
      </c>
      <c r="K87">
        <f t="shared" si="7"/>
        <v>-17</v>
      </c>
      <c r="L87" t="str">
        <f>IF(RAW_GAMES!L87="","",RAW_GAMES!L87)</f>
        <v/>
      </c>
      <c r="M87" t="str">
        <f>IF(RAW_GAMES!M87="","",RAW_GAMES!M87)</f>
        <v/>
      </c>
      <c r="N87" t="str">
        <f t="shared" si="8"/>
        <v/>
      </c>
      <c r="O87" s="7">
        <f>RAW_GAMES!O87</f>
        <v>4</v>
      </c>
      <c r="P87">
        <f>RAW_GAMES!N87</f>
        <v>1</v>
      </c>
      <c r="Q87">
        <f t="shared" si="9"/>
        <v>0.25</v>
      </c>
      <c r="R87" s="7">
        <f>RAW_GAMES!Q87</f>
        <v>3</v>
      </c>
      <c r="S87">
        <f>RAW_GAMES!P87</f>
        <v>0</v>
      </c>
      <c r="T87">
        <f t="shared" si="10"/>
        <v>1</v>
      </c>
      <c r="U87">
        <f>_xlfn.XLOOKUP(C87,
  CALC_TEAMS_SEASON!B:B,
  CALC_TEAMS_SEASON!F:F)</f>
        <v>0.13021353646353648</v>
      </c>
      <c r="V87">
        <f>_xlfn.XLOOKUP(D87,
  CALC_TEAMS_SEASON!B:B,
  CALC_TEAMS_SEASON!F:F)</f>
        <v>0.17387057387057389</v>
      </c>
      <c r="W87" t="str">
        <f>RAW_GAMES!R87</f>
        <v>Strmeň</v>
      </c>
      <c r="X87" s="7">
        <f>RAW_GAMES!S87</f>
        <v>36</v>
      </c>
      <c r="Y87">
        <f t="shared" si="11"/>
        <v>0</v>
      </c>
      <c r="Z87" t="str">
        <f>RAW_GAMES!V87</f>
        <v>RS</v>
      </c>
    </row>
    <row r="88" spans="1:26" x14ac:dyDescent="0.25">
      <c r="A88" t="str">
        <f>RAW_GAMES!A88</f>
        <v>25/26</v>
      </c>
      <c r="B88" s="3">
        <f>RAW_GAMES!B88</f>
        <v>45923</v>
      </c>
      <c r="C88" s="3" t="str">
        <f>RAW_GAMES!E88</f>
        <v>KLA</v>
      </c>
      <c r="D88" s="3" t="str">
        <f>RAW_GAMES!F88</f>
        <v>PCE</v>
      </c>
      <c r="E88" s="7">
        <f>RAW_GAMES!G88</f>
        <v>1</v>
      </c>
      <c r="F88">
        <f>RAW_GAMES!H88</f>
        <v>4</v>
      </c>
      <c r="G88">
        <f>RAW_GAMES!I88</f>
        <v>5</v>
      </c>
      <c r="H88">
        <f t="shared" si="6"/>
        <v>-1</v>
      </c>
      <c r="I88">
        <f>RAW_GAMES!J88</f>
        <v>39</v>
      </c>
      <c r="J88">
        <f>RAW_GAMES!K88</f>
        <v>22</v>
      </c>
      <c r="K88">
        <f t="shared" si="7"/>
        <v>17</v>
      </c>
      <c r="L88">
        <f>IF(RAW_GAMES!L88="","",RAW_GAMES!L88)</f>
        <v>3.71</v>
      </c>
      <c r="M88">
        <f>IF(RAW_GAMES!M88="","",RAW_GAMES!M88)</f>
        <v>1.23</v>
      </c>
      <c r="N88">
        <f t="shared" si="8"/>
        <v>2.48</v>
      </c>
      <c r="O88" s="7">
        <f>RAW_GAMES!O88</f>
        <v>3</v>
      </c>
      <c r="P88">
        <f>RAW_GAMES!N88</f>
        <v>0</v>
      </c>
      <c r="Q88">
        <f t="shared" si="9"/>
        <v>0</v>
      </c>
      <c r="R88" s="7">
        <f>RAW_GAMES!Q88</f>
        <v>2</v>
      </c>
      <c r="S88">
        <f>RAW_GAMES!P88</f>
        <v>1</v>
      </c>
      <c r="T88">
        <f t="shared" si="10"/>
        <v>0.5</v>
      </c>
      <c r="U88">
        <f>_xlfn.XLOOKUP(C88,
  CALC_TEAMS_SEASON!B:B,
  CALC_TEAMS_SEASON!F:F)</f>
        <v>0.13120421245421243</v>
      </c>
      <c r="V88">
        <f>_xlfn.XLOOKUP(D88,
  CALC_TEAMS_SEASON!B:B,
  CALC_TEAMS_SEASON!F:F)</f>
        <v>0.20297619047619053</v>
      </c>
      <c r="W88" t="str">
        <f>RAW_GAMES!R88</f>
        <v>Brízgala</v>
      </c>
      <c r="X88" s="7">
        <f>RAW_GAMES!S88</f>
        <v>17</v>
      </c>
      <c r="Y88">
        <f t="shared" si="11"/>
        <v>0</v>
      </c>
      <c r="Z88" t="str">
        <f>RAW_GAMES!V88</f>
        <v>RS</v>
      </c>
    </row>
    <row r="89" spans="1:26" x14ac:dyDescent="0.25">
      <c r="A89" t="str">
        <f>RAW_GAMES!A89</f>
        <v>25/26</v>
      </c>
      <c r="B89" s="3">
        <f>RAW_GAMES!B89</f>
        <v>45923</v>
      </c>
      <c r="C89" s="3" t="str">
        <f>RAW_GAMES!E89</f>
        <v>KVA</v>
      </c>
      <c r="D89" s="3" t="str">
        <f>RAW_GAMES!F89</f>
        <v>CEB</v>
      </c>
      <c r="E89" s="7">
        <f>RAW_GAMES!G89</f>
        <v>1</v>
      </c>
      <c r="F89">
        <f>RAW_GAMES!H89</f>
        <v>3</v>
      </c>
      <c r="G89">
        <f>RAW_GAMES!I89</f>
        <v>1</v>
      </c>
      <c r="H89">
        <f t="shared" si="6"/>
        <v>2</v>
      </c>
      <c r="I89">
        <f>RAW_GAMES!J89</f>
        <v>39</v>
      </c>
      <c r="J89">
        <f>RAW_GAMES!K89</f>
        <v>22</v>
      </c>
      <c r="K89">
        <f t="shared" si="7"/>
        <v>17</v>
      </c>
      <c r="L89" t="str">
        <f>IF(RAW_GAMES!L89="","",RAW_GAMES!L89)</f>
        <v/>
      </c>
      <c r="M89" t="str">
        <f>IF(RAW_GAMES!M89="","",RAW_GAMES!M89)</f>
        <v/>
      </c>
      <c r="N89" t="str">
        <f t="shared" si="8"/>
        <v/>
      </c>
      <c r="O89" s="7">
        <f>RAW_GAMES!O89</f>
        <v>3</v>
      </c>
      <c r="P89">
        <f>RAW_GAMES!N89</f>
        <v>0</v>
      </c>
      <c r="Q89">
        <f t="shared" si="9"/>
        <v>0</v>
      </c>
      <c r="R89" s="7">
        <f>RAW_GAMES!Q89</f>
        <v>4</v>
      </c>
      <c r="S89">
        <f>RAW_GAMES!P89</f>
        <v>1</v>
      </c>
      <c r="T89">
        <f t="shared" si="10"/>
        <v>0.75</v>
      </c>
      <c r="U89">
        <f>_xlfn.XLOOKUP(C89,
  CALC_TEAMS_SEASON!B:B,
  CALC_TEAMS_SEASON!F:F)</f>
        <v>0.17387057387057389</v>
      </c>
      <c r="V89">
        <f>_xlfn.XLOOKUP(D89,
  CALC_TEAMS_SEASON!B:B,
  CALC_TEAMS_SEASON!F:F)</f>
        <v>0.13021353646353648</v>
      </c>
      <c r="W89" t="str">
        <f>RAW_GAMES!R89</f>
        <v>Frodl</v>
      </c>
      <c r="X89" s="7">
        <f>RAW_GAMES!S89</f>
        <v>21</v>
      </c>
      <c r="Y89">
        <f t="shared" si="11"/>
        <v>1</v>
      </c>
      <c r="Z89" t="str">
        <f>RAW_GAMES!V89</f>
        <v>RS</v>
      </c>
    </row>
    <row r="90" spans="1:26" x14ac:dyDescent="0.25">
      <c r="A90" t="str">
        <f>RAW_GAMES!A90</f>
        <v>25/26</v>
      </c>
      <c r="B90" s="3">
        <f>RAW_GAMES!B90</f>
        <v>45923</v>
      </c>
      <c r="C90" s="3" t="str">
        <f>RAW_GAMES!E90</f>
        <v>LIB</v>
      </c>
      <c r="D90" s="3" t="str">
        <f>RAW_GAMES!F90</f>
        <v>VIT</v>
      </c>
      <c r="E90" s="7">
        <f>RAW_GAMES!G90</f>
        <v>0</v>
      </c>
      <c r="F90">
        <f>RAW_GAMES!H90</f>
        <v>2</v>
      </c>
      <c r="G90">
        <f>RAW_GAMES!I90</f>
        <v>4</v>
      </c>
      <c r="H90">
        <f t="shared" si="6"/>
        <v>-2</v>
      </c>
      <c r="I90">
        <f>RAW_GAMES!J90</f>
        <v>30</v>
      </c>
      <c r="J90">
        <f>RAW_GAMES!K90</f>
        <v>23</v>
      </c>
      <c r="K90">
        <f t="shared" si="7"/>
        <v>7</v>
      </c>
      <c r="L90" t="str">
        <f>IF(RAW_GAMES!L90="","",RAW_GAMES!L90)</f>
        <v/>
      </c>
      <c r="M90" t="str">
        <f>IF(RAW_GAMES!M90="","",RAW_GAMES!M90)</f>
        <v/>
      </c>
      <c r="N90" t="str">
        <f t="shared" si="8"/>
        <v/>
      </c>
      <c r="O90" s="7">
        <f>RAW_GAMES!O90</f>
        <v>4</v>
      </c>
      <c r="P90">
        <f>RAW_GAMES!N90</f>
        <v>0</v>
      </c>
      <c r="Q90">
        <f t="shared" si="9"/>
        <v>0</v>
      </c>
      <c r="R90" s="7">
        <f>RAW_GAMES!Q90</f>
        <v>3</v>
      </c>
      <c r="S90">
        <f>RAW_GAMES!P90</f>
        <v>0</v>
      </c>
      <c r="T90">
        <f t="shared" si="10"/>
        <v>1</v>
      </c>
      <c r="U90">
        <f>_xlfn.XLOOKUP(C90,
  CALC_TEAMS_SEASON!B:B,
  CALC_TEAMS_SEASON!F:F)</f>
        <v>0.14377289377289379</v>
      </c>
      <c r="V90">
        <f>_xlfn.XLOOKUP(D90,
  CALC_TEAMS_SEASON!B:B,
  CALC_TEAMS_SEASON!F:F)</f>
        <v>0.16984890109890113</v>
      </c>
      <c r="W90" t="str">
        <f>RAW_GAMES!R90</f>
        <v>Hamalčík</v>
      </c>
      <c r="X90" s="7">
        <f>RAW_GAMES!S90</f>
        <v>19</v>
      </c>
      <c r="Y90">
        <f t="shared" si="11"/>
        <v>0</v>
      </c>
      <c r="Z90" t="str">
        <f>RAW_GAMES!V90</f>
        <v>RS</v>
      </c>
    </row>
    <row r="91" spans="1:26" x14ac:dyDescent="0.25">
      <c r="A91" t="str">
        <f>RAW_GAMES!A91</f>
        <v>25/26</v>
      </c>
      <c r="B91" s="3">
        <f>RAW_GAMES!B91</f>
        <v>45923</v>
      </c>
      <c r="C91" s="3" t="str">
        <f>RAW_GAMES!E91</f>
        <v>LIT</v>
      </c>
      <c r="D91" s="3" t="str">
        <f>RAW_GAMES!F91</f>
        <v>MBL</v>
      </c>
      <c r="E91" s="7">
        <f>RAW_GAMES!G91</f>
        <v>1</v>
      </c>
      <c r="F91">
        <f>RAW_GAMES!H91</f>
        <v>4</v>
      </c>
      <c r="G91">
        <f>RAW_GAMES!I91</f>
        <v>2</v>
      </c>
      <c r="H91">
        <f t="shared" si="6"/>
        <v>2</v>
      </c>
      <c r="I91">
        <f>RAW_GAMES!J91</f>
        <v>29</v>
      </c>
      <c r="J91">
        <f>RAW_GAMES!K91</f>
        <v>40</v>
      </c>
      <c r="K91">
        <f t="shared" si="7"/>
        <v>-11</v>
      </c>
      <c r="L91" t="str">
        <f>IF(RAW_GAMES!L91="","",RAW_GAMES!L91)</f>
        <v/>
      </c>
      <c r="M91" t="str">
        <f>IF(RAW_GAMES!M91="","",RAW_GAMES!M91)</f>
        <v/>
      </c>
      <c r="N91" t="str">
        <f t="shared" si="8"/>
        <v/>
      </c>
      <c r="O91" s="7">
        <f>RAW_GAMES!O91</f>
        <v>4</v>
      </c>
      <c r="P91">
        <f>RAW_GAMES!N91</f>
        <v>0</v>
      </c>
      <c r="Q91">
        <f t="shared" si="9"/>
        <v>0</v>
      </c>
      <c r="R91" s="7">
        <f>RAW_GAMES!Q91</f>
        <v>4</v>
      </c>
      <c r="S91">
        <f>RAW_GAMES!P91</f>
        <v>0</v>
      </c>
      <c r="T91">
        <f t="shared" si="10"/>
        <v>1</v>
      </c>
      <c r="U91">
        <f>_xlfn.XLOOKUP(C91,
  CALC_TEAMS_SEASON!B:B,
  CALC_TEAMS_SEASON!F:F)</f>
        <v>0.10089285714285713</v>
      </c>
      <c r="V91">
        <f>_xlfn.XLOOKUP(D91,
  CALC_TEAMS_SEASON!B:B,
  CALC_TEAMS_SEASON!F:F)</f>
        <v>0.11826923076923078</v>
      </c>
      <c r="W91" t="str">
        <f>RAW_GAMES!R91</f>
        <v>Čajan</v>
      </c>
      <c r="X91" s="7">
        <f>RAW_GAMES!S91</f>
        <v>38</v>
      </c>
      <c r="Y91">
        <f t="shared" si="11"/>
        <v>1</v>
      </c>
      <c r="Z91" t="str">
        <f>RAW_GAMES!V91</f>
        <v>RS</v>
      </c>
    </row>
    <row r="92" spans="1:26" x14ac:dyDescent="0.25">
      <c r="A92" t="str">
        <f>RAW_GAMES!A92</f>
        <v>25/26</v>
      </c>
      <c r="B92" s="3">
        <f>RAW_GAMES!B92</f>
        <v>45923</v>
      </c>
      <c r="C92" s="3" t="str">
        <f>RAW_GAMES!E92</f>
        <v>MBL</v>
      </c>
      <c r="D92" s="3" t="str">
        <f>RAW_GAMES!F92</f>
        <v>LIT</v>
      </c>
      <c r="E92" s="7">
        <f>RAW_GAMES!G92</f>
        <v>0</v>
      </c>
      <c r="F92">
        <f>RAW_GAMES!H92</f>
        <v>2</v>
      </c>
      <c r="G92">
        <f>RAW_GAMES!I92</f>
        <v>4</v>
      </c>
      <c r="H92">
        <f t="shared" si="6"/>
        <v>-2</v>
      </c>
      <c r="I92">
        <f>RAW_GAMES!J92</f>
        <v>40</v>
      </c>
      <c r="J92">
        <f>RAW_GAMES!K92</f>
        <v>29</v>
      </c>
      <c r="K92">
        <f t="shared" si="7"/>
        <v>11</v>
      </c>
      <c r="L92" t="str">
        <f>IF(RAW_GAMES!L92="","",RAW_GAMES!L92)</f>
        <v/>
      </c>
      <c r="M92" t="str">
        <f>IF(RAW_GAMES!M92="","",RAW_GAMES!M92)</f>
        <v/>
      </c>
      <c r="N92" t="str">
        <f t="shared" si="8"/>
        <v/>
      </c>
      <c r="O92" s="7">
        <f>RAW_GAMES!O92</f>
        <v>4</v>
      </c>
      <c r="P92">
        <f>RAW_GAMES!N92</f>
        <v>0</v>
      </c>
      <c r="Q92">
        <f t="shared" si="9"/>
        <v>0</v>
      </c>
      <c r="R92" s="7">
        <f>RAW_GAMES!Q92</f>
        <v>4</v>
      </c>
      <c r="S92">
        <f>RAW_GAMES!P92</f>
        <v>0</v>
      </c>
      <c r="T92">
        <f t="shared" si="10"/>
        <v>1</v>
      </c>
      <c r="U92">
        <f>_xlfn.XLOOKUP(C92,
  CALC_TEAMS_SEASON!B:B,
  CALC_TEAMS_SEASON!F:F)</f>
        <v>0.11826923076923078</v>
      </c>
      <c r="V92">
        <f>_xlfn.XLOOKUP(D92,
  CALC_TEAMS_SEASON!B:B,
  CALC_TEAMS_SEASON!F:F)</f>
        <v>0.10089285714285713</v>
      </c>
      <c r="W92" t="str">
        <f>RAW_GAMES!R92</f>
        <v>Westerholm</v>
      </c>
      <c r="X92" s="7">
        <f>RAW_GAMES!S92</f>
        <v>25</v>
      </c>
      <c r="Y92">
        <f t="shared" si="11"/>
        <v>0</v>
      </c>
      <c r="Z92" t="str">
        <f>RAW_GAMES!V92</f>
        <v>RS</v>
      </c>
    </row>
    <row r="93" spans="1:26" x14ac:dyDescent="0.25">
      <c r="A93" t="str">
        <f>RAW_GAMES!A93</f>
        <v>25/26</v>
      </c>
      <c r="B93" s="3">
        <f>RAW_GAMES!B93</f>
        <v>45923</v>
      </c>
      <c r="C93" s="3" t="str">
        <f>RAW_GAMES!E93</f>
        <v>OLO</v>
      </c>
      <c r="D93" s="3" t="str">
        <f>RAW_GAMES!F93</f>
        <v>SPA</v>
      </c>
      <c r="E93" s="7">
        <f>RAW_GAMES!G93</f>
        <v>1</v>
      </c>
      <c r="F93">
        <f>RAW_GAMES!H93</f>
        <v>4</v>
      </c>
      <c r="G93">
        <f>RAW_GAMES!I93</f>
        <v>2</v>
      </c>
      <c r="H93">
        <f t="shared" si="6"/>
        <v>2</v>
      </c>
      <c r="I93">
        <f>RAW_GAMES!J93</f>
        <v>23</v>
      </c>
      <c r="J93">
        <f>RAW_GAMES!K93</f>
        <v>33</v>
      </c>
      <c r="K93">
        <f t="shared" si="7"/>
        <v>-10</v>
      </c>
      <c r="L93">
        <f>IF(RAW_GAMES!L93="","",RAW_GAMES!L93)</f>
        <v>3.18</v>
      </c>
      <c r="M93">
        <f>IF(RAW_GAMES!M93="","",RAW_GAMES!M93)</f>
        <v>3.45</v>
      </c>
      <c r="N93">
        <f t="shared" si="8"/>
        <v>-0.27</v>
      </c>
      <c r="O93" s="7">
        <f>RAW_GAMES!O93</f>
        <v>7</v>
      </c>
      <c r="P93">
        <f>RAW_GAMES!N93</f>
        <v>3</v>
      </c>
      <c r="Q93">
        <f t="shared" si="9"/>
        <v>0.42857142857142855</v>
      </c>
      <c r="R93" s="7">
        <f>RAW_GAMES!Q93</f>
        <v>5</v>
      </c>
      <c r="S93">
        <f>RAW_GAMES!P93</f>
        <v>1</v>
      </c>
      <c r="T93">
        <f t="shared" si="10"/>
        <v>0.8</v>
      </c>
      <c r="U93">
        <f>_xlfn.XLOOKUP(C93,
  CALC_TEAMS_SEASON!B:B,
  CALC_TEAMS_SEASON!F:F)</f>
        <v>0.14989316239316242</v>
      </c>
      <c r="V93">
        <f>_xlfn.XLOOKUP(D93,
  CALC_TEAMS_SEASON!B:B,
  CALC_TEAMS_SEASON!F:F)</f>
        <v>0.22060439560439565</v>
      </c>
      <c r="W93" t="str">
        <f>RAW_GAMES!R93</f>
        <v>Machovský</v>
      </c>
      <c r="X93" s="7">
        <f>RAW_GAMES!S93</f>
        <v>31</v>
      </c>
      <c r="Y93">
        <f t="shared" si="11"/>
        <v>1</v>
      </c>
      <c r="Z93" t="str">
        <f>RAW_GAMES!V93</f>
        <v>RS</v>
      </c>
    </row>
    <row r="94" spans="1:26" x14ac:dyDescent="0.25">
      <c r="A94" t="str">
        <f>RAW_GAMES!A94</f>
        <v>25/26</v>
      </c>
      <c r="B94" s="3">
        <f>RAW_GAMES!B94</f>
        <v>45923</v>
      </c>
      <c r="C94" s="3" t="str">
        <f>RAW_GAMES!E94</f>
        <v>PLZ</v>
      </c>
      <c r="D94" s="3" t="str">
        <f>RAW_GAMES!F94</f>
        <v>KOM</v>
      </c>
      <c r="E94" s="7">
        <f>RAW_GAMES!G94</f>
        <v>0</v>
      </c>
      <c r="F94">
        <f>RAW_GAMES!H94</f>
        <v>2</v>
      </c>
      <c r="G94">
        <f>RAW_GAMES!I94</f>
        <v>4</v>
      </c>
      <c r="H94">
        <f t="shared" si="6"/>
        <v>-2</v>
      </c>
      <c r="I94">
        <f>RAW_GAMES!J94</f>
        <v>18</v>
      </c>
      <c r="J94">
        <f>RAW_GAMES!K94</f>
        <v>29</v>
      </c>
      <c r="K94">
        <f t="shared" si="7"/>
        <v>-11</v>
      </c>
      <c r="L94">
        <f>IF(RAW_GAMES!L94="","",RAW_GAMES!L94)</f>
        <v>1.41</v>
      </c>
      <c r="M94">
        <f>IF(RAW_GAMES!M94="","",RAW_GAMES!M94)</f>
        <v>2.61</v>
      </c>
      <c r="N94">
        <f t="shared" si="8"/>
        <v>-1.2</v>
      </c>
      <c r="O94" s="7">
        <f>RAW_GAMES!O94</f>
        <v>3</v>
      </c>
      <c r="P94">
        <f>RAW_GAMES!N94</f>
        <v>0</v>
      </c>
      <c r="Q94">
        <f t="shared" si="9"/>
        <v>0</v>
      </c>
      <c r="R94" s="7">
        <f>RAW_GAMES!Q94</f>
        <v>8</v>
      </c>
      <c r="S94">
        <f>RAW_GAMES!P94</f>
        <v>1</v>
      </c>
      <c r="T94">
        <f t="shared" si="10"/>
        <v>0.875</v>
      </c>
      <c r="U94">
        <f>_xlfn.XLOOKUP(C94,
  CALC_TEAMS_SEASON!B:B,
  CALC_TEAMS_SEASON!F:F)</f>
        <v>0.17641178266178262</v>
      </c>
      <c r="V94">
        <f>_xlfn.XLOOKUP(D94,
  CALC_TEAMS_SEASON!B:B,
  CALC_TEAMS_SEASON!F:F)</f>
        <v>0.14358974358974358</v>
      </c>
      <c r="W94" t="str">
        <f>RAW_GAMES!R94</f>
        <v>Růžička</v>
      </c>
      <c r="X94" s="7">
        <f>RAW_GAMES!S94</f>
        <v>25</v>
      </c>
      <c r="Y94">
        <f t="shared" si="11"/>
        <v>0</v>
      </c>
      <c r="Z94" t="str">
        <f>RAW_GAMES!V94</f>
        <v>RS</v>
      </c>
    </row>
    <row r="95" spans="1:26" x14ac:dyDescent="0.25">
      <c r="A95" t="str">
        <f>RAW_GAMES!A95</f>
        <v>25/26</v>
      </c>
      <c r="B95" s="3">
        <f>RAW_GAMES!B95</f>
        <v>45923</v>
      </c>
      <c r="C95" s="3" t="str">
        <f>RAW_GAMES!E95</f>
        <v>VIT</v>
      </c>
      <c r="D95" s="3" t="str">
        <f>RAW_GAMES!F95</f>
        <v>LIB</v>
      </c>
      <c r="E95" s="7">
        <f>RAW_GAMES!G95</f>
        <v>1</v>
      </c>
      <c r="F95">
        <f>RAW_GAMES!H95</f>
        <v>4</v>
      </c>
      <c r="G95">
        <f>RAW_GAMES!I95</f>
        <v>2</v>
      </c>
      <c r="H95">
        <f t="shared" si="6"/>
        <v>2</v>
      </c>
      <c r="I95">
        <f>RAW_GAMES!J95</f>
        <v>23</v>
      </c>
      <c r="J95">
        <f>RAW_GAMES!K95</f>
        <v>30</v>
      </c>
      <c r="K95">
        <f t="shared" si="7"/>
        <v>-7</v>
      </c>
      <c r="L95" t="str">
        <f>IF(RAW_GAMES!L95="","",RAW_GAMES!L95)</f>
        <v/>
      </c>
      <c r="M95" t="str">
        <f>IF(RAW_GAMES!M95="","",RAW_GAMES!M95)</f>
        <v/>
      </c>
      <c r="N95" t="str">
        <f t="shared" si="8"/>
        <v/>
      </c>
      <c r="O95" s="7">
        <f>RAW_GAMES!O95</f>
        <v>3</v>
      </c>
      <c r="P95">
        <f>RAW_GAMES!N95</f>
        <v>0</v>
      </c>
      <c r="Q95">
        <f t="shared" si="9"/>
        <v>0</v>
      </c>
      <c r="R95" s="7">
        <f>RAW_GAMES!Q95</f>
        <v>4</v>
      </c>
      <c r="S95">
        <f>RAW_GAMES!P95</f>
        <v>0</v>
      </c>
      <c r="T95">
        <f t="shared" si="10"/>
        <v>1</v>
      </c>
      <c r="U95">
        <f>_xlfn.XLOOKUP(C95,
  CALC_TEAMS_SEASON!B:B,
  CALC_TEAMS_SEASON!F:F)</f>
        <v>0.16984890109890113</v>
      </c>
      <c r="V95">
        <f>_xlfn.XLOOKUP(D95,
  CALC_TEAMS_SEASON!B:B,
  CALC_TEAMS_SEASON!F:F)</f>
        <v>0.14377289377289379</v>
      </c>
      <c r="W95" t="str">
        <f>RAW_GAMES!R95</f>
        <v>Hrachovina</v>
      </c>
      <c r="X95" s="7">
        <f>RAW_GAMES!S95</f>
        <v>28</v>
      </c>
      <c r="Y95">
        <f t="shared" si="11"/>
        <v>1</v>
      </c>
      <c r="Z95" t="str">
        <f>RAW_GAMES!V95</f>
        <v>RS</v>
      </c>
    </row>
    <row r="96" spans="1:26" x14ac:dyDescent="0.25">
      <c r="A96" t="str">
        <f>RAW_GAMES!A96</f>
        <v>25/26</v>
      </c>
      <c r="B96" s="3">
        <f>RAW_GAMES!B96</f>
        <v>45925</v>
      </c>
      <c r="C96" s="3" t="str">
        <f>RAW_GAMES!E96</f>
        <v>PCE</v>
      </c>
      <c r="D96" s="3" t="str">
        <f>RAW_GAMES!F96</f>
        <v>TRI</v>
      </c>
      <c r="E96" s="7">
        <f>RAW_GAMES!G96</f>
        <v>1</v>
      </c>
      <c r="F96">
        <f>RAW_GAMES!H96</f>
        <v>4</v>
      </c>
      <c r="G96">
        <f>RAW_GAMES!I96</f>
        <v>5</v>
      </c>
      <c r="H96">
        <f t="shared" si="6"/>
        <v>-1</v>
      </c>
      <c r="I96">
        <f>RAW_GAMES!J96</f>
        <v>27</v>
      </c>
      <c r="J96">
        <f>RAW_GAMES!K96</f>
        <v>18</v>
      </c>
      <c r="K96">
        <f t="shared" si="7"/>
        <v>9</v>
      </c>
      <c r="L96">
        <f>IF(RAW_GAMES!L96="","",RAW_GAMES!L96)</f>
        <v>3.02</v>
      </c>
      <c r="M96">
        <f>IF(RAW_GAMES!M96="","",RAW_GAMES!M96)</f>
        <v>1.68</v>
      </c>
      <c r="N96">
        <f t="shared" si="8"/>
        <v>1.34</v>
      </c>
      <c r="O96" s="7">
        <f>RAW_GAMES!O96</f>
        <v>3</v>
      </c>
      <c r="P96">
        <f>RAW_GAMES!N96</f>
        <v>0</v>
      </c>
      <c r="Q96">
        <f t="shared" si="9"/>
        <v>0</v>
      </c>
      <c r="R96" s="7">
        <f>RAW_GAMES!Q96</f>
        <v>3</v>
      </c>
      <c r="S96">
        <f>RAW_GAMES!P96</f>
        <v>2</v>
      </c>
      <c r="T96">
        <f t="shared" si="10"/>
        <v>0.33333333333333337</v>
      </c>
      <c r="U96">
        <f>_xlfn.XLOOKUP(C96,
  CALC_TEAMS_SEASON!B:B,
  CALC_TEAMS_SEASON!F:F)</f>
        <v>0.20297619047619053</v>
      </c>
      <c r="V96">
        <f>_xlfn.XLOOKUP(D96,
  CALC_TEAMS_SEASON!B:B,
  CALC_TEAMS_SEASON!F:F)</f>
        <v>0.17437423687423692</v>
      </c>
      <c r="W96" t="str">
        <f>RAW_GAMES!R96</f>
        <v>Will</v>
      </c>
      <c r="X96" s="7">
        <f>RAW_GAMES!S96</f>
        <v>13</v>
      </c>
      <c r="Y96">
        <f t="shared" si="11"/>
        <v>0</v>
      </c>
      <c r="Z96" t="str">
        <f>RAW_GAMES!V96</f>
        <v>RS</v>
      </c>
    </row>
    <row r="97" spans="1:26" x14ac:dyDescent="0.25">
      <c r="A97" t="str">
        <f>RAW_GAMES!A97</f>
        <v>25/26</v>
      </c>
      <c r="B97" s="3">
        <f>RAW_GAMES!B97</f>
        <v>45925</v>
      </c>
      <c r="C97" s="3" t="str">
        <f>RAW_GAMES!E97</f>
        <v>TRI</v>
      </c>
      <c r="D97" s="3" t="str">
        <f>RAW_GAMES!F97</f>
        <v>PCE</v>
      </c>
      <c r="E97" s="7">
        <f>RAW_GAMES!G97</f>
        <v>0</v>
      </c>
      <c r="F97">
        <f>RAW_GAMES!H97</f>
        <v>5</v>
      </c>
      <c r="G97">
        <f>RAW_GAMES!I97</f>
        <v>4</v>
      </c>
      <c r="H97">
        <f t="shared" si="6"/>
        <v>1</v>
      </c>
      <c r="I97">
        <f>RAW_GAMES!J97</f>
        <v>18</v>
      </c>
      <c r="J97">
        <f>RAW_GAMES!K97</f>
        <v>27</v>
      </c>
      <c r="K97">
        <f t="shared" si="7"/>
        <v>-9</v>
      </c>
      <c r="L97">
        <f>IF(RAW_GAMES!L97="","",RAW_GAMES!L97)</f>
        <v>1.68</v>
      </c>
      <c r="M97">
        <f>IF(RAW_GAMES!M97="","",RAW_GAMES!M97)</f>
        <v>3.02</v>
      </c>
      <c r="N97">
        <f t="shared" si="8"/>
        <v>-1.34</v>
      </c>
      <c r="O97" s="7">
        <f>RAW_GAMES!O97</f>
        <v>3</v>
      </c>
      <c r="P97">
        <f>RAW_GAMES!N97</f>
        <v>2</v>
      </c>
      <c r="Q97">
        <f t="shared" si="9"/>
        <v>0.66666666666666663</v>
      </c>
      <c r="R97" s="7">
        <f>RAW_GAMES!Q97</f>
        <v>3</v>
      </c>
      <c r="S97">
        <f>RAW_GAMES!P97</f>
        <v>0</v>
      </c>
      <c r="T97">
        <f t="shared" si="10"/>
        <v>1</v>
      </c>
      <c r="U97">
        <f>_xlfn.XLOOKUP(C97,
  CALC_TEAMS_SEASON!B:B,
  CALC_TEAMS_SEASON!F:F)</f>
        <v>0.17437423687423692</v>
      </c>
      <c r="V97">
        <f>_xlfn.XLOOKUP(D97,
  CALC_TEAMS_SEASON!B:B,
  CALC_TEAMS_SEASON!F:F)</f>
        <v>0.20297619047619053</v>
      </c>
      <c r="W97" t="str">
        <f>RAW_GAMES!R97</f>
        <v>Kacetl</v>
      </c>
      <c r="X97" s="7">
        <f>RAW_GAMES!S97</f>
        <v>23</v>
      </c>
      <c r="Y97">
        <f t="shared" si="11"/>
        <v>1</v>
      </c>
      <c r="Z97" t="str">
        <f>RAW_GAMES!V97</f>
        <v>RS</v>
      </c>
    </row>
    <row r="98" spans="1:26" x14ac:dyDescent="0.25">
      <c r="A98" t="str">
        <f>RAW_GAMES!A98</f>
        <v>25/26</v>
      </c>
      <c r="B98" s="3">
        <f>RAW_GAMES!B98</f>
        <v>45926</v>
      </c>
      <c r="C98" s="3" t="str">
        <f>RAW_GAMES!E98</f>
        <v>SPA</v>
      </c>
      <c r="D98" s="3" t="str">
        <f>RAW_GAMES!F98</f>
        <v>MBL</v>
      </c>
      <c r="E98" s="7">
        <f>RAW_GAMES!G98</f>
        <v>0</v>
      </c>
      <c r="F98">
        <f>RAW_GAMES!H98</f>
        <v>7</v>
      </c>
      <c r="G98">
        <f>RAW_GAMES!I98</f>
        <v>2</v>
      </c>
      <c r="H98">
        <f t="shared" si="6"/>
        <v>5</v>
      </c>
      <c r="I98">
        <f>RAW_GAMES!J98</f>
        <v>33</v>
      </c>
      <c r="J98">
        <f>RAW_GAMES!K98</f>
        <v>21</v>
      </c>
      <c r="K98">
        <f t="shared" si="7"/>
        <v>12</v>
      </c>
      <c r="L98">
        <f>IF(RAW_GAMES!L98="","",RAW_GAMES!L98)</f>
        <v>2.57</v>
      </c>
      <c r="M98">
        <f>IF(RAW_GAMES!M98="","",RAW_GAMES!M98)</f>
        <v>2.74</v>
      </c>
      <c r="N98">
        <f t="shared" si="8"/>
        <v>-0.17000000000000037</v>
      </c>
      <c r="O98" s="7">
        <f>RAW_GAMES!O98</f>
        <v>5</v>
      </c>
      <c r="P98">
        <f>RAW_GAMES!N98</f>
        <v>0</v>
      </c>
      <c r="Q98">
        <f t="shared" si="9"/>
        <v>0</v>
      </c>
      <c r="R98" s="7">
        <f>RAW_GAMES!Q98</f>
        <v>4</v>
      </c>
      <c r="S98">
        <f>RAW_GAMES!P98</f>
        <v>1</v>
      </c>
      <c r="T98">
        <f t="shared" si="10"/>
        <v>0.75</v>
      </c>
      <c r="U98">
        <f>_xlfn.XLOOKUP(C98,
  CALC_TEAMS_SEASON!B:B,
  CALC_TEAMS_SEASON!F:F)</f>
        <v>0.22060439560439565</v>
      </c>
      <c r="V98">
        <f>_xlfn.XLOOKUP(D98,
  CALC_TEAMS_SEASON!B:B,
  CALC_TEAMS_SEASON!F:F)</f>
        <v>0.11826923076923078</v>
      </c>
      <c r="W98" t="str">
        <f>RAW_GAMES!R98</f>
        <v>Michajlov</v>
      </c>
      <c r="X98" s="7">
        <f>RAW_GAMES!S98</f>
        <v>19</v>
      </c>
      <c r="Y98">
        <f t="shared" si="11"/>
        <v>1</v>
      </c>
      <c r="Z98" t="str">
        <f>RAW_GAMES!V98</f>
        <v>RS</v>
      </c>
    </row>
    <row r="99" spans="1:26" x14ac:dyDescent="0.25">
      <c r="A99" t="str">
        <f>RAW_GAMES!A99</f>
        <v>25/26</v>
      </c>
      <c r="B99" s="3">
        <f>RAW_GAMES!B99</f>
        <v>45926</v>
      </c>
      <c r="C99" s="3" t="str">
        <f>RAW_GAMES!E99</f>
        <v>KOM</v>
      </c>
      <c r="D99" s="3" t="str">
        <f>RAW_GAMES!F99</f>
        <v>CEB</v>
      </c>
      <c r="E99" s="7">
        <f>RAW_GAMES!G99</f>
        <v>0</v>
      </c>
      <c r="F99">
        <f>RAW_GAMES!H99</f>
        <v>0</v>
      </c>
      <c r="G99">
        <f>RAW_GAMES!I99</f>
        <v>8</v>
      </c>
      <c r="H99">
        <f t="shared" si="6"/>
        <v>-8</v>
      </c>
      <c r="I99">
        <f>RAW_GAMES!J99</f>
        <v>21</v>
      </c>
      <c r="J99">
        <f>RAW_GAMES!K99</f>
        <v>35</v>
      </c>
      <c r="K99">
        <f t="shared" si="7"/>
        <v>-14</v>
      </c>
      <c r="L99">
        <f>IF(RAW_GAMES!L99="","",RAW_GAMES!L99)</f>
        <v>1.34</v>
      </c>
      <c r="M99">
        <f>IF(RAW_GAMES!M99="","",RAW_GAMES!M99)</f>
        <v>2.66</v>
      </c>
      <c r="N99">
        <f t="shared" si="8"/>
        <v>-1.32</v>
      </c>
      <c r="O99" s="7">
        <f>RAW_GAMES!O99</f>
        <v>3</v>
      </c>
      <c r="P99">
        <f>RAW_GAMES!N99</f>
        <v>0</v>
      </c>
      <c r="Q99">
        <f t="shared" si="9"/>
        <v>0</v>
      </c>
      <c r="R99" s="7">
        <f>RAW_GAMES!Q99</f>
        <v>6</v>
      </c>
      <c r="S99">
        <f>RAW_GAMES!P99</f>
        <v>1</v>
      </c>
      <c r="T99">
        <f t="shared" si="10"/>
        <v>0.83333333333333337</v>
      </c>
      <c r="U99">
        <f>_xlfn.XLOOKUP(C99,
  CALC_TEAMS_SEASON!B:B,
  CALC_TEAMS_SEASON!F:F)</f>
        <v>0.14358974358974358</v>
      </c>
      <c r="V99">
        <f>_xlfn.XLOOKUP(D99,
  CALC_TEAMS_SEASON!B:B,
  CALC_TEAMS_SEASON!F:F)</f>
        <v>0.13021353646353648</v>
      </c>
      <c r="W99" t="str">
        <f>RAW_GAMES!R99</f>
        <v>Kavan</v>
      </c>
      <c r="X99" s="7">
        <f>RAW_GAMES!S99</f>
        <v>27</v>
      </c>
      <c r="Y99">
        <f t="shared" si="11"/>
        <v>0</v>
      </c>
      <c r="Z99" t="str">
        <f>RAW_GAMES!V99</f>
        <v>RS</v>
      </c>
    </row>
    <row r="100" spans="1:26" x14ac:dyDescent="0.25">
      <c r="A100" t="str">
        <f>RAW_GAMES!A100</f>
        <v>25/26</v>
      </c>
      <c r="B100" s="3">
        <f>RAW_GAMES!B100</f>
        <v>45926</v>
      </c>
      <c r="C100" s="3" t="str">
        <f>RAW_GAMES!E100</f>
        <v>CEB</v>
      </c>
      <c r="D100" s="3" t="str">
        <f>RAW_GAMES!F100</f>
        <v>KOM</v>
      </c>
      <c r="E100" s="7">
        <f>RAW_GAMES!G100</f>
        <v>1</v>
      </c>
      <c r="F100">
        <f>RAW_GAMES!H100</f>
        <v>8</v>
      </c>
      <c r="G100">
        <f>RAW_GAMES!I100</f>
        <v>0</v>
      </c>
      <c r="H100">
        <f t="shared" si="6"/>
        <v>8</v>
      </c>
      <c r="I100">
        <f>RAW_GAMES!J100</f>
        <v>35</v>
      </c>
      <c r="J100">
        <f>RAW_GAMES!K100</f>
        <v>21</v>
      </c>
      <c r="K100">
        <f t="shared" si="7"/>
        <v>14</v>
      </c>
      <c r="L100">
        <f>IF(RAW_GAMES!L100="","",RAW_GAMES!L100)</f>
        <v>2.66</v>
      </c>
      <c r="M100">
        <f>IF(RAW_GAMES!M100="","",RAW_GAMES!M100)</f>
        <v>1.34</v>
      </c>
      <c r="N100">
        <f t="shared" si="8"/>
        <v>1.32</v>
      </c>
      <c r="O100" s="7">
        <f>RAW_GAMES!O100</f>
        <v>6</v>
      </c>
      <c r="P100">
        <f>RAW_GAMES!N100</f>
        <v>1</v>
      </c>
      <c r="Q100">
        <f t="shared" si="9"/>
        <v>0.16666666666666666</v>
      </c>
      <c r="R100" s="7">
        <f>RAW_GAMES!Q100</f>
        <v>3</v>
      </c>
      <c r="S100">
        <f>RAW_GAMES!P100</f>
        <v>0</v>
      </c>
      <c r="T100">
        <f t="shared" si="10"/>
        <v>1</v>
      </c>
      <c r="U100">
        <f>_xlfn.XLOOKUP(C100,
  CALC_TEAMS_SEASON!B:B,
  CALC_TEAMS_SEASON!F:F)</f>
        <v>0.13021353646353648</v>
      </c>
      <c r="V100">
        <f>_xlfn.XLOOKUP(D100,
  CALC_TEAMS_SEASON!B:B,
  CALC_TEAMS_SEASON!F:F)</f>
        <v>0.14358974358974358</v>
      </c>
      <c r="W100" t="str">
        <f>RAW_GAMES!R100</f>
        <v>Klouček</v>
      </c>
      <c r="X100" s="7">
        <f>RAW_GAMES!S100</f>
        <v>21</v>
      </c>
      <c r="Y100">
        <f t="shared" si="11"/>
        <v>1</v>
      </c>
      <c r="Z100" t="str">
        <f>RAW_GAMES!V100</f>
        <v>RS</v>
      </c>
    </row>
    <row r="101" spans="1:26" x14ac:dyDescent="0.25">
      <c r="A101" t="str">
        <f>RAW_GAMES!A101</f>
        <v>25/26</v>
      </c>
      <c r="B101" s="3">
        <f>RAW_GAMES!B101</f>
        <v>45926</v>
      </c>
      <c r="C101" s="3" t="str">
        <f>RAW_GAMES!E101</f>
        <v>KLA</v>
      </c>
      <c r="D101" s="3" t="str">
        <f>RAW_GAMES!F101</f>
        <v>PLZ</v>
      </c>
      <c r="E101" s="7">
        <f>RAW_GAMES!G101</f>
        <v>0</v>
      </c>
      <c r="F101">
        <f>RAW_GAMES!H101</f>
        <v>1</v>
      </c>
      <c r="G101">
        <f>RAW_GAMES!I101</f>
        <v>3</v>
      </c>
      <c r="H101">
        <f t="shared" si="6"/>
        <v>-2</v>
      </c>
      <c r="I101">
        <f>RAW_GAMES!J101</f>
        <v>28</v>
      </c>
      <c r="J101">
        <f>RAW_GAMES!K101</f>
        <v>18</v>
      </c>
      <c r="K101">
        <f t="shared" si="7"/>
        <v>10</v>
      </c>
      <c r="L101" t="str">
        <f>IF(RAW_GAMES!L101="","",RAW_GAMES!L101)</f>
        <v/>
      </c>
      <c r="M101" t="str">
        <f>IF(RAW_GAMES!M101="","",RAW_GAMES!M101)</f>
        <v/>
      </c>
      <c r="N101" t="str">
        <f t="shared" si="8"/>
        <v/>
      </c>
      <c r="O101" s="7">
        <f>RAW_GAMES!O101</f>
        <v>7</v>
      </c>
      <c r="P101">
        <f>RAW_GAMES!N101</f>
        <v>1</v>
      </c>
      <c r="Q101">
        <f t="shared" si="9"/>
        <v>0.14285714285714285</v>
      </c>
      <c r="R101" s="7">
        <f>RAW_GAMES!Q101</f>
        <v>4</v>
      </c>
      <c r="S101">
        <f>RAW_GAMES!P101</f>
        <v>2</v>
      </c>
      <c r="T101">
        <f t="shared" si="10"/>
        <v>0.5</v>
      </c>
      <c r="U101">
        <f>_xlfn.XLOOKUP(C101,
  CALC_TEAMS_SEASON!B:B,
  CALC_TEAMS_SEASON!F:F)</f>
        <v>0.13120421245421243</v>
      </c>
      <c r="V101">
        <f>_xlfn.XLOOKUP(D101,
  CALC_TEAMS_SEASON!B:B,
  CALC_TEAMS_SEASON!F:F)</f>
        <v>0.17641178266178262</v>
      </c>
      <c r="W101" t="str">
        <f>RAW_GAMES!R101</f>
        <v>Brízgala</v>
      </c>
      <c r="X101" s="7">
        <f>RAW_GAMES!S101</f>
        <v>15</v>
      </c>
      <c r="Y101">
        <f t="shared" si="11"/>
        <v>0</v>
      </c>
      <c r="Z101" t="str">
        <f>RAW_GAMES!V101</f>
        <v>RS</v>
      </c>
    </row>
    <row r="102" spans="1:26" x14ac:dyDescent="0.25">
      <c r="A102" t="str">
        <f>RAW_GAMES!A102</f>
        <v>25/26</v>
      </c>
      <c r="B102" s="3">
        <f>RAW_GAMES!B102</f>
        <v>45926</v>
      </c>
      <c r="C102" s="3" t="str">
        <f>RAW_GAMES!E102</f>
        <v>KVA</v>
      </c>
      <c r="D102" s="3" t="str">
        <f>RAW_GAMES!F102</f>
        <v>LIB</v>
      </c>
      <c r="E102" s="7">
        <f>RAW_GAMES!G102</f>
        <v>0</v>
      </c>
      <c r="F102">
        <f>RAW_GAMES!H102</f>
        <v>1</v>
      </c>
      <c r="G102">
        <f>RAW_GAMES!I102</f>
        <v>2</v>
      </c>
      <c r="H102">
        <f t="shared" si="6"/>
        <v>-1</v>
      </c>
      <c r="I102">
        <f>RAW_GAMES!J102</f>
        <v>23</v>
      </c>
      <c r="J102">
        <f>RAW_GAMES!K102</f>
        <v>23</v>
      </c>
      <c r="K102">
        <f t="shared" si="7"/>
        <v>0</v>
      </c>
      <c r="L102" t="str">
        <f>IF(RAW_GAMES!L102="","",RAW_GAMES!L102)</f>
        <v/>
      </c>
      <c r="M102" t="str">
        <f>IF(RAW_GAMES!M102="","",RAW_GAMES!M102)</f>
        <v/>
      </c>
      <c r="N102" t="str">
        <f t="shared" si="8"/>
        <v/>
      </c>
      <c r="O102" s="7">
        <f>RAW_GAMES!O102</f>
        <v>2</v>
      </c>
      <c r="P102">
        <f>RAW_GAMES!N102</f>
        <v>0</v>
      </c>
      <c r="Q102">
        <f t="shared" si="9"/>
        <v>0</v>
      </c>
      <c r="R102" s="7">
        <f>RAW_GAMES!Q102</f>
        <v>2</v>
      </c>
      <c r="S102">
        <f>RAW_GAMES!P102</f>
        <v>1</v>
      </c>
      <c r="T102">
        <f t="shared" si="10"/>
        <v>0.5</v>
      </c>
      <c r="U102">
        <f>_xlfn.XLOOKUP(C102,
  CALC_TEAMS_SEASON!B:B,
  CALC_TEAMS_SEASON!F:F)</f>
        <v>0.17387057387057389</v>
      </c>
      <c r="V102">
        <f>_xlfn.XLOOKUP(D102,
  CALC_TEAMS_SEASON!B:B,
  CALC_TEAMS_SEASON!F:F)</f>
        <v>0.14377289377289379</v>
      </c>
      <c r="W102" t="str">
        <f>RAW_GAMES!R102</f>
        <v>Frodl</v>
      </c>
      <c r="X102" s="7">
        <f>RAW_GAMES!S102</f>
        <v>21</v>
      </c>
      <c r="Y102">
        <f t="shared" si="11"/>
        <v>0</v>
      </c>
      <c r="Z102" t="str">
        <f>RAW_GAMES!V102</f>
        <v>RS</v>
      </c>
    </row>
    <row r="103" spans="1:26" x14ac:dyDescent="0.25">
      <c r="A103" t="str">
        <f>RAW_GAMES!A103</f>
        <v>25/26</v>
      </c>
      <c r="B103" s="3">
        <f>RAW_GAMES!B103</f>
        <v>45926</v>
      </c>
      <c r="C103" s="3" t="str">
        <f>RAW_GAMES!E103</f>
        <v>LIB</v>
      </c>
      <c r="D103" s="3" t="str">
        <f>RAW_GAMES!F103</f>
        <v>KVA</v>
      </c>
      <c r="E103" s="7">
        <f>RAW_GAMES!G103</f>
        <v>1</v>
      </c>
      <c r="F103">
        <f>RAW_GAMES!H103</f>
        <v>2</v>
      </c>
      <c r="G103">
        <f>RAW_GAMES!I103</f>
        <v>1</v>
      </c>
      <c r="H103">
        <f t="shared" si="6"/>
        <v>1</v>
      </c>
      <c r="I103">
        <f>RAW_GAMES!J103</f>
        <v>23</v>
      </c>
      <c r="J103">
        <f>RAW_GAMES!K103</f>
        <v>23</v>
      </c>
      <c r="K103">
        <f t="shared" si="7"/>
        <v>0</v>
      </c>
      <c r="L103" t="str">
        <f>IF(RAW_GAMES!L103="","",RAW_GAMES!L103)</f>
        <v/>
      </c>
      <c r="M103" t="str">
        <f>IF(RAW_GAMES!M103="","",RAW_GAMES!M103)</f>
        <v/>
      </c>
      <c r="N103" t="str">
        <f t="shared" si="8"/>
        <v/>
      </c>
      <c r="O103" s="7">
        <f>RAW_GAMES!O103</f>
        <v>2</v>
      </c>
      <c r="P103">
        <f>RAW_GAMES!N103</f>
        <v>1</v>
      </c>
      <c r="Q103">
        <f t="shared" si="9"/>
        <v>0.5</v>
      </c>
      <c r="R103" s="7">
        <f>RAW_GAMES!Q103</f>
        <v>2</v>
      </c>
      <c r="S103">
        <f>RAW_GAMES!P103</f>
        <v>0</v>
      </c>
      <c r="T103">
        <f t="shared" si="10"/>
        <v>1</v>
      </c>
      <c r="U103">
        <f>_xlfn.XLOOKUP(C103,
  CALC_TEAMS_SEASON!B:B,
  CALC_TEAMS_SEASON!F:F)</f>
        <v>0.14377289377289379</v>
      </c>
      <c r="V103">
        <f>_xlfn.XLOOKUP(D103,
  CALC_TEAMS_SEASON!B:B,
  CALC_TEAMS_SEASON!F:F)</f>
        <v>0.17387057387057389</v>
      </c>
      <c r="W103" t="str">
        <f>RAW_GAMES!R103</f>
        <v>Kváča</v>
      </c>
      <c r="X103" s="7">
        <f>RAW_GAMES!S103</f>
        <v>22</v>
      </c>
      <c r="Y103">
        <f t="shared" si="11"/>
        <v>1</v>
      </c>
      <c r="Z103" t="str">
        <f>RAW_GAMES!V103</f>
        <v>RS</v>
      </c>
    </row>
    <row r="104" spans="1:26" x14ac:dyDescent="0.25">
      <c r="A104" t="str">
        <f>RAW_GAMES!A104</f>
        <v>25/26</v>
      </c>
      <c r="B104" s="3">
        <f>RAW_GAMES!B104</f>
        <v>45926</v>
      </c>
      <c r="C104" s="3" t="str">
        <f>RAW_GAMES!E104</f>
        <v>LIT</v>
      </c>
      <c r="D104" s="3" t="str">
        <f>RAW_GAMES!F104</f>
        <v>MHK</v>
      </c>
      <c r="E104" s="7">
        <f>RAW_GAMES!G104</f>
        <v>0</v>
      </c>
      <c r="F104">
        <f>RAW_GAMES!H104</f>
        <v>0</v>
      </c>
      <c r="G104">
        <f>RAW_GAMES!I104</f>
        <v>2</v>
      </c>
      <c r="H104">
        <f t="shared" si="6"/>
        <v>-2</v>
      </c>
      <c r="I104">
        <f>RAW_GAMES!J104</f>
        <v>14</v>
      </c>
      <c r="J104">
        <f>RAW_GAMES!K104</f>
        <v>41</v>
      </c>
      <c r="K104">
        <f t="shared" si="7"/>
        <v>-27</v>
      </c>
      <c r="L104" t="str">
        <f>IF(RAW_GAMES!L104="","",RAW_GAMES!L104)</f>
        <v/>
      </c>
      <c r="M104" t="str">
        <f>IF(RAW_GAMES!M104="","",RAW_GAMES!M104)</f>
        <v/>
      </c>
      <c r="N104" t="str">
        <f t="shared" si="8"/>
        <v/>
      </c>
      <c r="O104" s="7">
        <f>RAW_GAMES!O104</f>
        <v>3</v>
      </c>
      <c r="P104">
        <f>RAW_GAMES!N104</f>
        <v>0</v>
      </c>
      <c r="Q104">
        <f t="shared" si="9"/>
        <v>0</v>
      </c>
      <c r="R104" s="7">
        <f>RAW_GAMES!Q104</f>
        <v>5</v>
      </c>
      <c r="S104">
        <f>RAW_GAMES!P104</f>
        <v>1</v>
      </c>
      <c r="T104">
        <f t="shared" si="10"/>
        <v>0.8</v>
      </c>
      <c r="U104">
        <f>_xlfn.XLOOKUP(C104,
  CALC_TEAMS_SEASON!B:B,
  CALC_TEAMS_SEASON!F:F)</f>
        <v>0.10089285714285713</v>
      </c>
      <c r="V104">
        <f>_xlfn.XLOOKUP(D104,
  CALC_TEAMS_SEASON!B:B,
  CALC_TEAMS_SEASON!F:F)</f>
        <v>0.14184981684981687</v>
      </c>
      <c r="W104" t="str">
        <f>RAW_GAMES!R104</f>
        <v>Čajan</v>
      </c>
      <c r="X104" s="7">
        <f>RAW_GAMES!S104</f>
        <v>39</v>
      </c>
      <c r="Y104">
        <f t="shared" si="11"/>
        <v>0</v>
      </c>
      <c r="Z104" t="str">
        <f>RAW_GAMES!V104</f>
        <v>RS</v>
      </c>
    </row>
    <row r="105" spans="1:26" x14ac:dyDescent="0.25">
      <c r="A105" t="str">
        <f>RAW_GAMES!A105</f>
        <v>25/26</v>
      </c>
      <c r="B105" s="3">
        <f>RAW_GAMES!B105</f>
        <v>45926</v>
      </c>
      <c r="C105" s="3" t="str">
        <f>RAW_GAMES!E105</f>
        <v>MBL</v>
      </c>
      <c r="D105" s="3" t="str">
        <f>RAW_GAMES!F105</f>
        <v>SPA</v>
      </c>
      <c r="E105" s="7">
        <f>RAW_GAMES!G105</f>
        <v>1</v>
      </c>
      <c r="F105">
        <f>RAW_GAMES!H105</f>
        <v>2</v>
      </c>
      <c r="G105">
        <f>RAW_GAMES!I105</f>
        <v>7</v>
      </c>
      <c r="H105">
        <f t="shared" si="6"/>
        <v>-5</v>
      </c>
      <c r="I105">
        <f>RAW_GAMES!J105</f>
        <v>21</v>
      </c>
      <c r="J105">
        <f>RAW_GAMES!K105</f>
        <v>33</v>
      </c>
      <c r="K105">
        <f t="shared" si="7"/>
        <v>-12</v>
      </c>
      <c r="L105">
        <f>IF(RAW_GAMES!L105="","",RAW_GAMES!L105)</f>
        <v>2.74</v>
      </c>
      <c r="M105">
        <f>IF(RAW_GAMES!M105="","",RAW_GAMES!M105)</f>
        <v>2.57</v>
      </c>
      <c r="N105">
        <f t="shared" si="8"/>
        <v>0.17000000000000037</v>
      </c>
      <c r="O105" s="7">
        <f>RAW_GAMES!O105</f>
        <v>4</v>
      </c>
      <c r="P105">
        <f>RAW_GAMES!N105</f>
        <v>1</v>
      </c>
      <c r="Q105">
        <f t="shared" si="9"/>
        <v>0.25</v>
      </c>
      <c r="R105" s="7">
        <f>RAW_GAMES!Q105</f>
        <v>5</v>
      </c>
      <c r="S105">
        <f>RAW_GAMES!P105</f>
        <v>0</v>
      </c>
      <c r="T105">
        <f t="shared" si="10"/>
        <v>1</v>
      </c>
      <c r="U105">
        <f>_xlfn.XLOOKUP(C105,
  CALC_TEAMS_SEASON!B:B,
  CALC_TEAMS_SEASON!F:F)</f>
        <v>0.11826923076923078</v>
      </c>
      <c r="V105">
        <f>_xlfn.XLOOKUP(D105,
  CALC_TEAMS_SEASON!B:B,
  CALC_TEAMS_SEASON!F:F)</f>
        <v>0.22060439560439565</v>
      </c>
      <c r="W105" t="str">
        <f>RAW_GAMES!R105</f>
        <v>Westerholm</v>
      </c>
      <c r="X105" s="7">
        <f>RAW_GAMES!S105</f>
        <v>26</v>
      </c>
      <c r="Y105">
        <f t="shared" si="11"/>
        <v>0</v>
      </c>
      <c r="Z105" t="str">
        <f>RAW_GAMES!V105</f>
        <v>RS</v>
      </c>
    </row>
    <row r="106" spans="1:26" x14ac:dyDescent="0.25">
      <c r="A106" t="str">
        <f>RAW_GAMES!A106</f>
        <v>25/26</v>
      </c>
      <c r="B106" s="3">
        <f>RAW_GAMES!B106</f>
        <v>45926</v>
      </c>
      <c r="C106" s="3" t="str">
        <f>RAW_GAMES!E106</f>
        <v>MHK</v>
      </c>
      <c r="D106" s="3" t="str">
        <f>RAW_GAMES!F106</f>
        <v>LIT</v>
      </c>
      <c r="E106" s="7">
        <f>RAW_GAMES!G106</f>
        <v>1</v>
      </c>
      <c r="F106">
        <f>RAW_GAMES!H106</f>
        <v>2</v>
      </c>
      <c r="G106">
        <f>RAW_GAMES!I106</f>
        <v>0</v>
      </c>
      <c r="H106">
        <f t="shared" si="6"/>
        <v>2</v>
      </c>
      <c r="I106">
        <f>RAW_GAMES!J106</f>
        <v>41</v>
      </c>
      <c r="J106">
        <f>RAW_GAMES!K106</f>
        <v>14</v>
      </c>
      <c r="K106">
        <f t="shared" si="7"/>
        <v>27</v>
      </c>
      <c r="L106" t="str">
        <f>IF(RAW_GAMES!L106="","",RAW_GAMES!L106)</f>
        <v/>
      </c>
      <c r="M106" t="str">
        <f>IF(RAW_GAMES!M106="","",RAW_GAMES!M106)</f>
        <v/>
      </c>
      <c r="N106" t="str">
        <f t="shared" si="8"/>
        <v/>
      </c>
      <c r="O106" s="7">
        <f>RAW_GAMES!O106</f>
        <v>5</v>
      </c>
      <c r="P106">
        <f>RAW_GAMES!N106</f>
        <v>1</v>
      </c>
      <c r="Q106">
        <f t="shared" si="9"/>
        <v>0.2</v>
      </c>
      <c r="R106" s="7">
        <f>RAW_GAMES!Q106</f>
        <v>3</v>
      </c>
      <c r="S106">
        <f>RAW_GAMES!P106</f>
        <v>0</v>
      </c>
      <c r="T106">
        <f t="shared" si="10"/>
        <v>1</v>
      </c>
      <c r="U106">
        <f>_xlfn.XLOOKUP(C106,
  CALC_TEAMS_SEASON!B:B,
  CALC_TEAMS_SEASON!F:F)</f>
        <v>0.14184981684981687</v>
      </c>
      <c r="V106">
        <f>_xlfn.XLOOKUP(D106,
  CALC_TEAMS_SEASON!B:B,
  CALC_TEAMS_SEASON!F:F)</f>
        <v>0.10089285714285713</v>
      </c>
      <c r="W106" t="str">
        <f>RAW_GAMES!R106</f>
        <v>Škorvánek</v>
      </c>
      <c r="X106" s="7">
        <f>RAW_GAMES!S106</f>
        <v>14</v>
      </c>
      <c r="Y106">
        <f t="shared" si="11"/>
        <v>1</v>
      </c>
      <c r="Z106" t="str">
        <f>RAW_GAMES!V106</f>
        <v>RS</v>
      </c>
    </row>
    <row r="107" spans="1:26" x14ac:dyDescent="0.25">
      <c r="A107" t="str">
        <f>RAW_GAMES!A107</f>
        <v>25/26</v>
      </c>
      <c r="B107" s="3">
        <f>RAW_GAMES!B107</f>
        <v>45926</v>
      </c>
      <c r="C107" s="3" t="str">
        <f>RAW_GAMES!E107</f>
        <v>OLO</v>
      </c>
      <c r="D107" s="3" t="str">
        <f>RAW_GAMES!F107</f>
        <v>VIT</v>
      </c>
      <c r="E107" s="7">
        <f>RAW_GAMES!G107</f>
        <v>1</v>
      </c>
      <c r="F107">
        <f>RAW_GAMES!H107</f>
        <v>2</v>
      </c>
      <c r="G107">
        <f>RAW_GAMES!I107</f>
        <v>3</v>
      </c>
      <c r="H107">
        <f t="shared" si="6"/>
        <v>-1</v>
      </c>
      <c r="I107">
        <f>RAW_GAMES!J107</f>
        <v>29</v>
      </c>
      <c r="J107">
        <f>RAW_GAMES!K107</f>
        <v>25</v>
      </c>
      <c r="K107">
        <f t="shared" si="7"/>
        <v>4</v>
      </c>
      <c r="L107" t="str">
        <f>IF(RAW_GAMES!L107="","",RAW_GAMES!L107)</f>
        <v/>
      </c>
      <c r="M107" t="str">
        <f>IF(RAW_GAMES!M107="","",RAW_GAMES!M107)</f>
        <v/>
      </c>
      <c r="N107" t="str">
        <f t="shared" si="8"/>
        <v/>
      </c>
      <c r="O107" s="7">
        <f>RAW_GAMES!O107</f>
        <v>3</v>
      </c>
      <c r="P107">
        <f>RAW_GAMES!N107</f>
        <v>1</v>
      </c>
      <c r="Q107">
        <f t="shared" si="9"/>
        <v>0.33333333333333331</v>
      </c>
      <c r="R107" s="7">
        <f>RAW_GAMES!Q107</f>
        <v>3</v>
      </c>
      <c r="S107">
        <f>RAW_GAMES!P107</f>
        <v>1</v>
      </c>
      <c r="T107">
        <f t="shared" si="10"/>
        <v>0.66666666666666674</v>
      </c>
      <c r="U107">
        <f>_xlfn.XLOOKUP(C107,
  CALC_TEAMS_SEASON!B:B,
  CALC_TEAMS_SEASON!F:F)</f>
        <v>0.14989316239316242</v>
      </c>
      <c r="V107">
        <f>_xlfn.XLOOKUP(D107,
  CALC_TEAMS_SEASON!B:B,
  CALC_TEAMS_SEASON!F:F)</f>
        <v>0.16984890109890113</v>
      </c>
      <c r="W107" t="str">
        <f>RAW_GAMES!R107</f>
        <v>Machovský</v>
      </c>
      <c r="X107" s="7">
        <f>RAW_GAMES!S107</f>
        <v>23</v>
      </c>
      <c r="Y107">
        <f t="shared" si="11"/>
        <v>0</v>
      </c>
      <c r="Z107" t="str">
        <f>RAW_GAMES!V107</f>
        <v>RS</v>
      </c>
    </row>
    <row r="108" spans="1:26" x14ac:dyDescent="0.25">
      <c r="A108" t="str">
        <f>RAW_GAMES!A108</f>
        <v>25/26</v>
      </c>
      <c r="B108" s="3">
        <f>RAW_GAMES!B108</f>
        <v>45926</v>
      </c>
      <c r="C108" s="3" t="str">
        <f>RAW_GAMES!E108</f>
        <v>PLZ</v>
      </c>
      <c r="D108" s="3" t="str">
        <f>RAW_GAMES!F108</f>
        <v>KLA</v>
      </c>
      <c r="E108" s="7">
        <f>RAW_GAMES!G108</f>
        <v>1</v>
      </c>
      <c r="F108">
        <f>RAW_GAMES!H108</f>
        <v>3</v>
      </c>
      <c r="G108">
        <f>RAW_GAMES!I108</f>
        <v>1</v>
      </c>
      <c r="H108">
        <f t="shared" si="6"/>
        <v>2</v>
      </c>
      <c r="I108">
        <f>RAW_GAMES!J108</f>
        <v>18</v>
      </c>
      <c r="J108">
        <f>RAW_GAMES!K108</f>
        <v>28</v>
      </c>
      <c r="K108">
        <f t="shared" si="7"/>
        <v>-10</v>
      </c>
      <c r="L108" t="str">
        <f>IF(RAW_GAMES!L108="","",RAW_GAMES!L108)</f>
        <v/>
      </c>
      <c r="M108" t="str">
        <f>IF(RAW_GAMES!M108="","",RAW_GAMES!M108)</f>
        <v/>
      </c>
      <c r="N108" t="str">
        <f t="shared" si="8"/>
        <v/>
      </c>
      <c r="O108" s="7">
        <f>RAW_GAMES!O108</f>
        <v>4</v>
      </c>
      <c r="P108">
        <f>RAW_GAMES!N108</f>
        <v>2</v>
      </c>
      <c r="Q108">
        <f t="shared" si="9"/>
        <v>0.5</v>
      </c>
      <c r="R108" s="7">
        <f>RAW_GAMES!Q108</f>
        <v>7</v>
      </c>
      <c r="S108">
        <f>RAW_GAMES!P108</f>
        <v>1</v>
      </c>
      <c r="T108">
        <f t="shared" si="10"/>
        <v>0.85714285714285721</v>
      </c>
      <c r="U108">
        <f>_xlfn.XLOOKUP(C108,
  CALC_TEAMS_SEASON!B:B,
  CALC_TEAMS_SEASON!F:F)</f>
        <v>0.17641178266178262</v>
      </c>
      <c r="V108">
        <f>_xlfn.XLOOKUP(D108,
  CALC_TEAMS_SEASON!B:B,
  CALC_TEAMS_SEASON!F:F)</f>
        <v>0.13120421245421243</v>
      </c>
      <c r="W108" t="str">
        <f>RAW_GAMES!R108</f>
        <v>Malík</v>
      </c>
      <c r="X108" s="7">
        <f>RAW_GAMES!S108</f>
        <v>27</v>
      </c>
      <c r="Y108">
        <f t="shared" si="11"/>
        <v>1</v>
      </c>
      <c r="Z108" t="str">
        <f>RAW_GAMES!V108</f>
        <v>RS</v>
      </c>
    </row>
    <row r="109" spans="1:26" x14ac:dyDescent="0.25">
      <c r="A109" t="str">
        <f>RAW_GAMES!A109</f>
        <v>25/26</v>
      </c>
      <c r="B109" s="3">
        <f>RAW_GAMES!B109</f>
        <v>45926</v>
      </c>
      <c r="C109" s="3" t="str">
        <f>RAW_GAMES!E109</f>
        <v>VIT</v>
      </c>
      <c r="D109" s="3" t="str">
        <f>RAW_GAMES!F109</f>
        <v>OLO</v>
      </c>
      <c r="E109" s="7">
        <f>RAW_GAMES!G109</f>
        <v>0</v>
      </c>
      <c r="F109">
        <f>RAW_GAMES!H109</f>
        <v>3</v>
      </c>
      <c r="G109">
        <f>RAW_GAMES!I109</f>
        <v>2</v>
      </c>
      <c r="H109">
        <f t="shared" si="6"/>
        <v>1</v>
      </c>
      <c r="I109">
        <f>RAW_GAMES!J109</f>
        <v>25</v>
      </c>
      <c r="J109">
        <f>RAW_GAMES!K109</f>
        <v>29</v>
      </c>
      <c r="K109">
        <f t="shared" si="7"/>
        <v>-4</v>
      </c>
      <c r="L109" t="str">
        <f>IF(RAW_GAMES!L109="","",RAW_GAMES!L109)</f>
        <v/>
      </c>
      <c r="M109" t="str">
        <f>IF(RAW_GAMES!M109="","",RAW_GAMES!M109)</f>
        <v/>
      </c>
      <c r="N109" t="str">
        <f t="shared" si="8"/>
        <v/>
      </c>
      <c r="O109" s="7">
        <f>RAW_GAMES!O109</f>
        <v>3</v>
      </c>
      <c r="P109">
        <f>RAW_GAMES!N109</f>
        <v>1</v>
      </c>
      <c r="Q109">
        <f t="shared" si="9"/>
        <v>0.33333333333333331</v>
      </c>
      <c r="R109" s="7">
        <f>RAW_GAMES!Q109</f>
        <v>3</v>
      </c>
      <c r="S109">
        <f>RAW_GAMES!P109</f>
        <v>1</v>
      </c>
      <c r="T109">
        <f t="shared" si="10"/>
        <v>0.66666666666666674</v>
      </c>
      <c r="U109">
        <f>_xlfn.XLOOKUP(C109,
  CALC_TEAMS_SEASON!B:B,
  CALC_TEAMS_SEASON!F:F)</f>
        <v>0.16984890109890113</v>
      </c>
      <c r="V109">
        <f>_xlfn.XLOOKUP(D109,
  CALC_TEAMS_SEASON!B:B,
  CALC_TEAMS_SEASON!F:F)</f>
        <v>0.14989316239316242</v>
      </c>
      <c r="W109" t="str">
        <f>RAW_GAMES!R109</f>
        <v>Hrachovina</v>
      </c>
      <c r="X109" s="7">
        <f>RAW_GAMES!S109</f>
        <v>27</v>
      </c>
      <c r="Y109">
        <f t="shared" si="11"/>
        <v>1</v>
      </c>
      <c r="Z109" t="str">
        <f>RAW_GAMES!V109</f>
        <v>RS</v>
      </c>
    </row>
    <row r="110" spans="1:26" x14ac:dyDescent="0.25">
      <c r="A110" t="str">
        <f>RAW_GAMES!A110</f>
        <v>25/26</v>
      </c>
      <c r="B110" s="3">
        <f>RAW_GAMES!B110</f>
        <v>45928</v>
      </c>
      <c r="C110" s="3" t="str">
        <f>RAW_GAMES!E110</f>
        <v>PCE</v>
      </c>
      <c r="D110" s="3" t="str">
        <f>RAW_GAMES!F110</f>
        <v>KOM</v>
      </c>
      <c r="E110" s="7">
        <f>RAW_GAMES!G110</f>
        <v>0</v>
      </c>
      <c r="F110">
        <f>RAW_GAMES!H110</f>
        <v>2</v>
      </c>
      <c r="G110">
        <f>RAW_GAMES!I110</f>
        <v>1</v>
      </c>
      <c r="H110">
        <f t="shared" si="6"/>
        <v>1</v>
      </c>
      <c r="I110">
        <f>RAW_GAMES!J110</f>
        <v>20</v>
      </c>
      <c r="J110">
        <f>RAW_GAMES!K110</f>
        <v>24</v>
      </c>
      <c r="K110">
        <f t="shared" si="7"/>
        <v>-4</v>
      </c>
      <c r="L110">
        <f>IF(RAW_GAMES!L110="","",RAW_GAMES!L110)</f>
        <v>2.33</v>
      </c>
      <c r="M110">
        <f>IF(RAW_GAMES!M110="","",RAW_GAMES!M110)</f>
        <v>1.53</v>
      </c>
      <c r="N110">
        <f t="shared" si="8"/>
        <v>0.8</v>
      </c>
      <c r="O110" s="7">
        <f>RAW_GAMES!O110</f>
        <v>2</v>
      </c>
      <c r="P110">
        <f>RAW_GAMES!N110</f>
        <v>0</v>
      </c>
      <c r="Q110">
        <f t="shared" si="9"/>
        <v>0</v>
      </c>
      <c r="R110" s="7">
        <f>RAW_GAMES!Q110</f>
        <v>4</v>
      </c>
      <c r="S110">
        <f>RAW_GAMES!P110</f>
        <v>0</v>
      </c>
      <c r="T110">
        <f t="shared" si="10"/>
        <v>1</v>
      </c>
      <c r="U110">
        <f>_xlfn.XLOOKUP(C110,
  CALC_TEAMS_SEASON!B:B,
  CALC_TEAMS_SEASON!F:F)</f>
        <v>0.20297619047619053</v>
      </c>
      <c r="V110">
        <f>_xlfn.XLOOKUP(D110,
  CALC_TEAMS_SEASON!B:B,
  CALC_TEAMS_SEASON!F:F)</f>
        <v>0.14358974358974358</v>
      </c>
      <c r="W110" t="str">
        <f>RAW_GAMES!R110</f>
        <v>Will</v>
      </c>
      <c r="X110" s="7">
        <f>RAW_GAMES!S110</f>
        <v>23</v>
      </c>
      <c r="Y110">
        <f t="shared" si="11"/>
        <v>1</v>
      </c>
      <c r="Z110" t="str">
        <f>RAW_GAMES!V110</f>
        <v>RS</v>
      </c>
    </row>
    <row r="111" spans="1:26" x14ac:dyDescent="0.25">
      <c r="A111" t="str">
        <f>RAW_GAMES!A111</f>
        <v>25/26</v>
      </c>
      <c r="B111" s="3">
        <f>RAW_GAMES!B111</f>
        <v>45928</v>
      </c>
      <c r="C111" s="3" t="str">
        <f>RAW_GAMES!E111</f>
        <v>TRI</v>
      </c>
      <c r="D111" s="3" t="str">
        <f>RAW_GAMES!F111</f>
        <v>KLA</v>
      </c>
      <c r="E111" s="7">
        <f>RAW_GAMES!G111</f>
        <v>1</v>
      </c>
      <c r="F111">
        <f>RAW_GAMES!H111</f>
        <v>3</v>
      </c>
      <c r="G111">
        <f>RAW_GAMES!I111</f>
        <v>2</v>
      </c>
      <c r="H111">
        <f t="shared" si="6"/>
        <v>1</v>
      </c>
      <c r="I111">
        <f>RAW_GAMES!J111</f>
        <v>27</v>
      </c>
      <c r="J111">
        <f>RAW_GAMES!K111</f>
        <v>41</v>
      </c>
      <c r="K111">
        <f t="shared" si="7"/>
        <v>-14</v>
      </c>
      <c r="L111">
        <f>IF(RAW_GAMES!L111="","",RAW_GAMES!L111)</f>
        <v>1.91</v>
      </c>
      <c r="M111">
        <f>IF(RAW_GAMES!M111="","",RAW_GAMES!M111)</f>
        <v>3.11</v>
      </c>
      <c r="N111">
        <f t="shared" si="8"/>
        <v>-1.2</v>
      </c>
      <c r="O111" s="7">
        <f>RAW_GAMES!O111</f>
        <v>3</v>
      </c>
      <c r="P111">
        <f>RAW_GAMES!N111</f>
        <v>1</v>
      </c>
      <c r="Q111">
        <f t="shared" si="9"/>
        <v>0.33333333333333331</v>
      </c>
      <c r="R111" s="7">
        <f>RAW_GAMES!Q111</f>
        <v>3</v>
      </c>
      <c r="S111">
        <f>RAW_GAMES!P111</f>
        <v>1</v>
      </c>
      <c r="T111">
        <f t="shared" si="10"/>
        <v>0.66666666666666674</v>
      </c>
      <c r="U111">
        <f>_xlfn.XLOOKUP(C111,
  CALC_TEAMS_SEASON!B:B,
  CALC_TEAMS_SEASON!F:F)</f>
        <v>0.17437423687423692</v>
      </c>
      <c r="V111">
        <f>_xlfn.XLOOKUP(D111,
  CALC_TEAMS_SEASON!B:B,
  CALC_TEAMS_SEASON!F:F)</f>
        <v>0.13120421245421243</v>
      </c>
      <c r="W111" t="str">
        <f>RAW_GAMES!R111</f>
        <v>Mazanec</v>
      </c>
      <c r="X111" s="7">
        <f>RAW_GAMES!S111</f>
        <v>39</v>
      </c>
      <c r="Y111">
        <f t="shared" si="11"/>
        <v>1</v>
      </c>
      <c r="Z111" t="str">
        <f>RAW_GAMES!V111</f>
        <v>RS</v>
      </c>
    </row>
    <row r="112" spans="1:26" x14ac:dyDescent="0.25">
      <c r="A112" t="str">
        <f>RAW_GAMES!A112</f>
        <v>25/26</v>
      </c>
      <c r="B112" s="3">
        <f>RAW_GAMES!B112</f>
        <v>45928</v>
      </c>
      <c r="C112" s="3" t="str">
        <f>RAW_GAMES!E112</f>
        <v>SPA</v>
      </c>
      <c r="D112" s="3" t="str">
        <f>RAW_GAMES!F112</f>
        <v>LIB</v>
      </c>
      <c r="E112" s="7">
        <f>RAW_GAMES!G112</f>
        <v>1</v>
      </c>
      <c r="F112">
        <f>RAW_GAMES!H112</f>
        <v>1</v>
      </c>
      <c r="G112">
        <f>RAW_GAMES!I112</f>
        <v>3</v>
      </c>
      <c r="H112">
        <f t="shared" si="6"/>
        <v>-2</v>
      </c>
      <c r="I112">
        <f>RAW_GAMES!J112</f>
        <v>45</v>
      </c>
      <c r="J112">
        <f>RAW_GAMES!K112</f>
        <v>17</v>
      </c>
      <c r="K112">
        <f t="shared" si="7"/>
        <v>28</v>
      </c>
      <c r="L112">
        <f>IF(RAW_GAMES!L112="","",RAW_GAMES!L112)</f>
        <v>4.59</v>
      </c>
      <c r="M112">
        <f>IF(RAW_GAMES!M112="","",RAW_GAMES!M112)</f>
        <v>2.48</v>
      </c>
      <c r="N112">
        <f t="shared" si="8"/>
        <v>2.11</v>
      </c>
      <c r="O112" s="7">
        <f>RAW_GAMES!O112</f>
        <v>6</v>
      </c>
      <c r="P112">
        <f>RAW_GAMES!N112</f>
        <v>1</v>
      </c>
      <c r="Q112">
        <f t="shared" si="9"/>
        <v>0.16666666666666666</v>
      </c>
      <c r="R112" s="7">
        <f>RAW_GAMES!Q112</f>
        <v>5</v>
      </c>
      <c r="S112">
        <f>RAW_GAMES!P112</f>
        <v>0</v>
      </c>
      <c r="T112">
        <f t="shared" si="10"/>
        <v>1</v>
      </c>
      <c r="U112">
        <f>_xlfn.XLOOKUP(C112,
  CALC_TEAMS_SEASON!B:B,
  CALC_TEAMS_SEASON!F:F)</f>
        <v>0.22060439560439565</v>
      </c>
      <c r="V112">
        <f>_xlfn.XLOOKUP(D112,
  CALC_TEAMS_SEASON!B:B,
  CALC_TEAMS_SEASON!F:F)</f>
        <v>0.14377289377289379</v>
      </c>
      <c r="W112" t="str">
        <f>RAW_GAMES!R112</f>
        <v>Michajlov</v>
      </c>
      <c r="X112" s="7">
        <f>RAW_GAMES!S112</f>
        <v>14</v>
      </c>
      <c r="Y112">
        <f t="shared" si="11"/>
        <v>0</v>
      </c>
      <c r="Z112" t="str">
        <f>RAW_GAMES!V112</f>
        <v>RS</v>
      </c>
    </row>
    <row r="113" spans="1:26" x14ac:dyDescent="0.25">
      <c r="A113" t="str">
        <f>RAW_GAMES!A113</f>
        <v>25/26</v>
      </c>
      <c r="B113" s="3">
        <f>RAW_GAMES!B113</f>
        <v>45928</v>
      </c>
      <c r="C113" s="3" t="str">
        <f>RAW_GAMES!E113</f>
        <v>KOM</v>
      </c>
      <c r="D113" s="3" t="str">
        <f>RAW_GAMES!F113</f>
        <v>PCE</v>
      </c>
      <c r="E113" s="7">
        <f>RAW_GAMES!G113</f>
        <v>1</v>
      </c>
      <c r="F113">
        <f>RAW_GAMES!H113</f>
        <v>1</v>
      </c>
      <c r="G113">
        <f>RAW_GAMES!I113</f>
        <v>2</v>
      </c>
      <c r="H113">
        <f t="shared" si="6"/>
        <v>-1</v>
      </c>
      <c r="I113">
        <f>RAW_GAMES!J113</f>
        <v>24</v>
      </c>
      <c r="J113">
        <f>RAW_GAMES!K113</f>
        <v>21</v>
      </c>
      <c r="K113">
        <f t="shared" si="7"/>
        <v>3</v>
      </c>
      <c r="L113">
        <f>IF(RAW_GAMES!L113="","",RAW_GAMES!L113)</f>
        <v>1.53</v>
      </c>
      <c r="M113">
        <f>IF(RAW_GAMES!M113="","",RAW_GAMES!M113)</f>
        <v>2.33</v>
      </c>
      <c r="N113">
        <f t="shared" si="8"/>
        <v>-0.8</v>
      </c>
      <c r="O113" s="7">
        <f>RAW_GAMES!O113</f>
        <v>4</v>
      </c>
      <c r="P113">
        <f>RAW_GAMES!N113</f>
        <v>0</v>
      </c>
      <c r="Q113">
        <f t="shared" si="9"/>
        <v>0</v>
      </c>
      <c r="R113" s="7">
        <f>RAW_GAMES!Q113</f>
        <v>2</v>
      </c>
      <c r="S113">
        <f>RAW_GAMES!P113</f>
        <v>0</v>
      </c>
      <c r="T113">
        <f t="shared" si="10"/>
        <v>1</v>
      </c>
      <c r="U113">
        <f>_xlfn.XLOOKUP(C113,
  CALC_TEAMS_SEASON!B:B,
  CALC_TEAMS_SEASON!F:F)</f>
        <v>0.14358974358974358</v>
      </c>
      <c r="V113">
        <f>_xlfn.XLOOKUP(D113,
  CALC_TEAMS_SEASON!B:B,
  CALC_TEAMS_SEASON!F:F)</f>
        <v>0.20297619047619053</v>
      </c>
      <c r="W113" t="str">
        <f>RAW_GAMES!R113</f>
        <v>Stezka</v>
      </c>
      <c r="X113" s="7">
        <f>RAW_GAMES!S113</f>
        <v>19</v>
      </c>
      <c r="Y113">
        <f t="shared" si="11"/>
        <v>0</v>
      </c>
      <c r="Z113" t="str">
        <f>RAW_GAMES!V113</f>
        <v>RS</v>
      </c>
    </row>
    <row r="114" spans="1:26" x14ac:dyDescent="0.25">
      <c r="A114" t="str">
        <f>RAW_GAMES!A114</f>
        <v>25/26</v>
      </c>
      <c r="B114" s="3">
        <f>RAW_GAMES!B114</f>
        <v>45928</v>
      </c>
      <c r="C114" s="3" t="str">
        <f>RAW_GAMES!E114</f>
        <v>CEB</v>
      </c>
      <c r="D114" s="3" t="str">
        <f>RAW_GAMES!F114</f>
        <v>LIT</v>
      </c>
      <c r="E114" s="7">
        <f>RAW_GAMES!G114</f>
        <v>0</v>
      </c>
      <c r="F114">
        <f>RAW_GAMES!H114</f>
        <v>6</v>
      </c>
      <c r="G114">
        <f>RAW_GAMES!I114</f>
        <v>3</v>
      </c>
      <c r="H114">
        <f t="shared" si="6"/>
        <v>3</v>
      </c>
      <c r="I114">
        <f>RAW_GAMES!J114</f>
        <v>34</v>
      </c>
      <c r="J114">
        <f>RAW_GAMES!K114</f>
        <v>26</v>
      </c>
      <c r="K114">
        <f t="shared" si="7"/>
        <v>8</v>
      </c>
      <c r="L114" t="str">
        <f>IF(RAW_GAMES!L114="","",RAW_GAMES!L114)</f>
        <v/>
      </c>
      <c r="M114" t="str">
        <f>IF(RAW_GAMES!M114="","",RAW_GAMES!M114)</f>
        <v/>
      </c>
      <c r="N114" t="str">
        <f t="shared" si="8"/>
        <v/>
      </c>
      <c r="O114" s="7">
        <f>RAW_GAMES!O114</f>
        <v>4</v>
      </c>
      <c r="P114">
        <f>RAW_GAMES!N114</f>
        <v>1</v>
      </c>
      <c r="Q114">
        <f t="shared" si="9"/>
        <v>0.25</v>
      </c>
      <c r="R114" s="7">
        <f>RAW_GAMES!Q114</f>
        <v>4</v>
      </c>
      <c r="S114">
        <f>RAW_GAMES!P114</f>
        <v>0</v>
      </c>
      <c r="T114">
        <f t="shared" si="10"/>
        <v>1</v>
      </c>
      <c r="U114">
        <f>_xlfn.XLOOKUP(C114,
  CALC_TEAMS_SEASON!B:B,
  CALC_TEAMS_SEASON!F:F)</f>
        <v>0.13021353646353648</v>
      </c>
      <c r="V114">
        <f>_xlfn.XLOOKUP(D114,
  CALC_TEAMS_SEASON!B:B,
  CALC_TEAMS_SEASON!F:F)</f>
        <v>0.10089285714285713</v>
      </c>
      <c r="W114" t="str">
        <f>RAW_GAMES!R114</f>
        <v>Klouček</v>
      </c>
      <c r="X114" s="7">
        <f>RAW_GAMES!S114</f>
        <v>23</v>
      </c>
      <c r="Y114">
        <f t="shared" si="11"/>
        <v>1</v>
      </c>
      <c r="Z114" t="str">
        <f>RAW_GAMES!V114</f>
        <v>RS</v>
      </c>
    </row>
    <row r="115" spans="1:26" x14ac:dyDescent="0.25">
      <c r="A115" t="str">
        <f>RAW_GAMES!A115</f>
        <v>25/26</v>
      </c>
      <c r="B115" s="3">
        <f>RAW_GAMES!B115</f>
        <v>45928</v>
      </c>
      <c r="C115" s="3" t="str">
        <f>RAW_GAMES!E115</f>
        <v>KLA</v>
      </c>
      <c r="D115" s="3" t="str">
        <f>RAW_GAMES!F115</f>
        <v>TRI</v>
      </c>
      <c r="E115" s="7">
        <f>RAW_GAMES!G115</f>
        <v>0</v>
      </c>
      <c r="F115">
        <f>RAW_GAMES!H115</f>
        <v>2</v>
      </c>
      <c r="G115">
        <f>RAW_GAMES!I115</f>
        <v>3</v>
      </c>
      <c r="H115">
        <f t="shared" si="6"/>
        <v>-1</v>
      </c>
      <c r="I115">
        <f>RAW_GAMES!J115</f>
        <v>41</v>
      </c>
      <c r="J115">
        <f>RAW_GAMES!K115</f>
        <v>27</v>
      </c>
      <c r="K115">
        <f t="shared" si="7"/>
        <v>14</v>
      </c>
      <c r="L115">
        <f>IF(RAW_GAMES!L115="","",RAW_GAMES!L115)</f>
        <v>3.11</v>
      </c>
      <c r="M115">
        <f>IF(RAW_GAMES!M115="","",RAW_GAMES!M115)</f>
        <v>1.91</v>
      </c>
      <c r="N115">
        <f t="shared" si="8"/>
        <v>1.2</v>
      </c>
      <c r="O115" s="7">
        <f>RAW_GAMES!O115</f>
        <v>3</v>
      </c>
      <c r="P115">
        <f>RAW_GAMES!N115</f>
        <v>1</v>
      </c>
      <c r="Q115">
        <f t="shared" si="9"/>
        <v>0.33333333333333331</v>
      </c>
      <c r="R115" s="7">
        <f>RAW_GAMES!Q115</f>
        <v>3</v>
      </c>
      <c r="S115">
        <f>RAW_GAMES!P115</f>
        <v>1</v>
      </c>
      <c r="T115">
        <f t="shared" si="10"/>
        <v>0.66666666666666674</v>
      </c>
      <c r="U115">
        <f>_xlfn.XLOOKUP(C115,
  CALC_TEAMS_SEASON!B:B,
  CALC_TEAMS_SEASON!F:F)</f>
        <v>0.13120421245421243</v>
      </c>
      <c r="V115">
        <f>_xlfn.XLOOKUP(D115,
  CALC_TEAMS_SEASON!B:B,
  CALC_TEAMS_SEASON!F:F)</f>
        <v>0.17437423687423692</v>
      </c>
      <c r="W115" t="str">
        <f>RAW_GAMES!R115</f>
        <v>Brízgala</v>
      </c>
      <c r="X115" s="7">
        <f>RAW_GAMES!S115</f>
        <v>24</v>
      </c>
      <c r="Y115">
        <f t="shared" si="11"/>
        <v>0</v>
      </c>
      <c r="Z115" t="str">
        <f>RAW_GAMES!V115</f>
        <v>RS</v>
      </c>
    </row>
    <row r="116" spans="1:26" x14ac:dyDescent="0.25">
      <c r="A116" t="str">
        <f>RAW_GAMES!A116</f>
        <v>25/26</v>
      </c>
      <c r="B116" s="3">
        <f>RAW_GAMES!B116</f>
        <v>45928</v>
      </c>
      <c r="C116" s="3" t="str">
        <f>RAW_GAMES!E116</f>
        <v>KVA</v>
      </c>
      <c r="D116" s="3" t="str">
        <f>RAW_GAMES!F116</f>
        <v>PLZ</v>
      </c>
      <c r="E116" s="7">
        <f>RAW_GAMES!G116</f>
        <v>0</v>
      </c>
      <c r="F116">
        <f>RAW_GAMES!H116</f>
        <v>2</v>
      </c>
      <c r="G116">
        <f>RAW_GAMES!I116</f>
        <v>3</v>
      </c>
      <c r="H116">
        <f t="shared" si="6"/>
        <v>-1</v>
      </c>
      <c r="I116">
        <f>RAW_GAMES!J116</f>
        <v>27</v>
      </c>
      <c r="J116">
        <f>RAW_GAMES!K116</f>
        <v>31</v>
      </c>
      <c r="K116">
        <f t="shared" si="7"/>
        <v>-4</v>
      </c>
      <c r="L116" t="str">
        <f>IF(RAW_GAMES!L116="","",RAW_GAMES!L116)</f>
        <v/>
      </c>
      <c r="M116" t="str">
        <f>IF(RAW_GAMES!M116="","",RAW_GAMES!M116)</f>
        <v/>
      </c>
      <c r="N116" t="str">
        <f t="shared" si="8"/>
        <v/>
      </c>
      <c r="O116" s="7">
        <f>RAW_GAMES!O116</f>
        <v>7</v>
      </c>
      <c r="P116">
        <f>RAW_GAMES!N116</f>
        <v>1</v>
      </c>
      <c r="Q116">
        <f t="shared" si="9"/>
        <v>0.14285714285714285</v>
      </c>
      <c r="R116" s="7">
        <f>RAW_GAMES!Q116</f>
        <v>7</v>
      </c>
      <c r="S116">
        <f>RAW_GAMES!P116</f>
        <v>1</v>
      </c>
      <c r="T116">
        <f t="shared" si="10"/>
        <v>0.85714285714285721</v>
      </c>
      <c r="U116">
        <f>_xlfn.XLOOKUP(C116,
  CALC_TEAMS_SEASON!B:B,
  CALC_TEAMS_SEASON!F:F)</f>
        <v>0.17387057387057389</v>
      </c>
      <c r="V116">
        <f>_xlfn.XLOOKUP(D116,
  CALC_TEAMS_SEASON!B:B,
  CALC_TEAMS_SEASON!F:F)</f>
        <v>0.17641178266178262</v>
      </c>
      <c r="W116" t="str">
        <f>RAW_GAMES!R116</f>
        <v>Frodl</v>
      </c>
      <c r="X116" s="7">
        <f>RAW_GAMES!S116</f>
        <v>29</v>
      </c>
      <c r="Y116">
        <f t="shared" si="11"/>
        <v>0</v>
      </c>
      <c r="Z116" t="str">
        <f>RAW_GAMES!V116</f>
        <v>RS</v>
      </c>
    </row>
    <row r="117" spans="1:26" x14ac:dyDescent="0.25">
      <c r="A117" t="str">
        <f>RAW_GAMES!A117</f>
        <v>25/26</v>
      </c>
      <c r="B117" s="3">
        <f>RAW_GAMES!B117</f>
        <v>45928</v>
      </c>
      <c r="C117" s="3" t="str">
        <f>RAW_GAMES!E117</f>
        <v>LIB</v>
      </c>
      <c r="D117" s="3" t="str">
        <f>RAW_GAMES!F117</f>
        <v>SPA</v>
      </c>
      <c r="E117" s="7">
        <f>RAW_GAMES!G117</f>
        <v>0</v>
      </c>
      <c r="F117">
        <f>RAW_GAMES!H117</f>
        <v>3</v>
      </c>
      <c r="G117">
        <f>RAW_GAMES!I117</f>
        <v>1</v>
      </c>
      <c r="H117">
        <f t="shared" si="6"/>
        <v>2</v>
      </c>
      <c r="I117">
        <f>RAW_GAMES!J117</f>
        <v>17</v>
      </c>
      <c r="J117">
        <f>RAW_GAMES!K117</f>
        <v>45</v>
      </c>
      <c r="K117">
        <f t="shared" si="7"/>
        <v>-28</v>
      </c>
      <c r="L117">
        <f>IF(RAW_GAMES!L117="","",RAW_GAMES!L117)</f>
        <v>2.48</v>
      </c>
      <c r="M117">
        <f>IF(RAW_GAMES!M117="","",RAW_GAMES!M117)</f>
        <v>4.59</v>
      </c>
      <c r="N117">
        <f t="shared" si="8"/>
        <v>-2.11</v>
      </c>
      <c r="O117" s="7">
        <f>RAW_GAMES!O117</f>
        <v>5</v>
      </c>
      <c r="P117">
        <f>RAW_GAMES!N117</f>
        <v>0</v>
      </c>
      <c r="Q117">
        <f t="shared" si="9"/>
        <v>0</v>
      </c>
      <c r="R117" s="7">
        <f>RAW_GAMES!Q117</f>
        <v>6</v>
      </c>
      <c r="S117">
        <f>RAW_GAMES!P117</f>
        <v>1</v>
      </c>
      <c r="T117">
        <f t="shared" si="10"/>
        <v>0.83333333333333337</v>
      </c>
      <c r="U117">
        <f>_xlfn.XLOOKUP(C117,
  CALC_TEAMS_SEASON!B:B,
  CALC_TEAMS_SEASON!F:F)</f>
        <v>0.14377289377289379</v>
      </c>
      <c r="V117">
        <f>_xlfn.XLOOKUP(D117,
  CALC_TEAMS_SEASON!B:B,
  CALC_TEAMS_SEASON!F:F)</f>
        <v>0.22060439560439565</v>
      </c>
      <c r="W117" t="str">
        <f>RAW_GAMES!R117</f>
        <v>Kváča</v>
      </c>
      <c r="X117" s="7">
        <f>RAW_GAMES!S117</f>
        <v>44</v>
      </c>
      <c r="Y117">
        <f t="shared" si="11"/>
        <v>1</v>
      </c>
      <c r="Z117" t="str">
        <f>RAW_GAMES!V117</f>
        <v>RS</v>
      </c>
    </row>
    <row r="118" spans="1:26" x14ac:dyDescent="0.25">
      <c r="A118" t="str">
        <f>RAW_GAMES!A118</f>
        <v>25/26</v>
      </c>
      <c r="B118" s="3">
        <f>RAW_GAMES!B118</f>
        <v>45928</v>
      </c>
      <c r="C118" s="3" t="str">
        <f>RAW_GAMES!E118</f>
        <v>LIT</v>
      </c>
      <c r="D118" s="3" t="str">
        <f>RAW_GAMES!F118</f>
        <v>CEB</v>
      </c>
      <c r="E118" s="7">
        <f>RAW_GAMES!G118</f>
        <v>1</v>
      </c>
      <c r="F118">
        <f>RAW_GAMES!H118</f>
        <v>3</v>
      </c>
      <c r="G118">
        <f>RAW_GAMES!I118</f>
        <v>6</v>
      </c>
      <c r="H118">
        <f t="shared" si="6"/>
        <v>-3</v>
      </c>
      <c r="I118">
        <f>RAW_GAMES!J118</f>
        <v>26</v>
      </c>
      <c r="J118">
        <f>RAW_GAMES!K118</f>
        <v>34</v>
      </c>
      <c r="K118">
        <f t="shared" si="7"/>
        <v>-8</v>
      </c>
      <c r="L118" t="str">
        <f>IF(RAW_GAMES!L118="","",RAW_GAMES!L118)</f>
        <v/>
      </c>
      <c r="M118" t="str">
        <f>IF(RAW_GAMES!M118="","",RAW_GAMES!M118)</f>
        <v/>
      </c>
      <c r="N118" t="str">
        <f t="shared" si="8"/>
        <v/>
      </c>
      <c r="O118" s="7">
        <f>RAW_GAMES!O118</f>
        <v>4</v>
      </c>
      <c r="P118">
        <f>RAW_GAMES!N118</f>
        <v>0</v>
      </c>
      <c r="Q118">
        <f t="shared" si="9"/>
        <v>0</v>
      </c>
      <c r="R118" s="7">
        <f>RAW_GAMES!Q118</f>
        <v>4</v>
      </c>
      <c r="S118">
        <f>RAW_GAMES!P118</f>
        <v>1</v>
      </c>
      <c r="T118">
        <f t="shared" si="10"/>
        <v>0.75</v>
      </c>
      <c r="U118">
        <f>_xlfn.XLOOKUP(C118,
  CALC_TEAMS_SEASON!B:B,
  CALC_TEAMS_SEASON!F:F)</f>
        <v>0.10089285714285713</v>
      </c>
      <c r="V118">
        <f>_xlfn.XLOOKUP(D118,
  CALC_TEAMS_SEASON!B:B,
  CALC_TEAMS_SEASON!F:F)</f>
        <v>0.13021353646353648</v>
      </c>
      <c r="W118" t="str">
        <f>RAW_GAMES!R118</f>
        <v>Čajan</v>
      </c>
      <c r="X118" s="7">
        <f>RAW_GAMES!S118</f>
        <v>28</v>
      </c>
      <c r="Y118">
        <f t="shared" si="11"/>
        <v>0</v>
      </c>
      <c r="Z118" t="str">
        <f>RAW_GAMES!V118</f>
        <v>RS</v>
      </c>
    </row>
    <row r="119" spans="1:26" x14ac:dyDescent="0.25">
      <c r="A119" t="str">
        <f>RAW_GAMES!A119</f>
        <v>25/26</v>
      </c>
      <c r="B119" s="3">
        <f>RAW_GAMES!B119</f>
        <v>45928</v>
      </c>
      <c r="C119" s="3" t="str">
        <f>RAW_GAMES!E119</f>
        <v>MBL</v>
      </c>
      <c r="D119" s="3" t="str">
        <f>RAW_GAMES!F119</f>
        <v>OLO</v>
      </c>
      <c r="E119" s="7">
        <f>RAW_GAMES!G119</f>
        <v>0</v>
      </c>
      <c r="F119">
        <f>RAW_GAMES!H119</f>
        <v>1</v>
      </c>
      <c r="G119">
        <f>RAW_GAMES!I119</f>
        <v>3</v>
      </c>
      <c r="H119">
        <f t="shared" si="6"/>
        <v>-2</v>
      </c>
      <c r="I119">
        <f>RAW_GAMES!J119</f>
        <v>32</v>
      </c>
      <c r="J119">
        <f>RAW_GAMES!K119</f>
        <v>25</v>
      </c>
      <c r="K119">
        <f t="shared" si="7"/>
        <v>7</v>
      </c>
      <c r="L119" t="str">
        <f>IF(RAW_GAMES!L119="","",RAW_GAMES!L119)</f>
        <v/>
      </c>
      <c r="M119" t="str">
        <f>IF(RAW_GAMES!M119="","",RAW_GAMES!M119)</f>
        <v/>
      </c>
      <c r="N119" t="str">
        <f t="shared" si="8"/>
        <v/>
      </c>
      <c r="O119" s="7">
        <f>RAW_GAMES!O119</f>
        <v>8</v>
      </c>
      <c r="P119">
        <f>RAW_GAMES!N119</f>
        <v>0</v>
      </c>
      <c r="Q119">
        <f t="shared" si="9"/>
        <v>0</v>
      </c>
      <c r="R119" s="7">
        <f>RAW_GAMES!Q119</f>
        <v>4</v>
      </c>
      <c r="S119">
        <f>RAW_GAMES!P119</f>
        <v>0</v>
      </c>
      <c r="T119">
        <f t="shared" si="10"/>
        <v>1</v>
      </c>
      <c r="U119">
        <f>_xlfn.XLOOKUP(C119,
  CALC_TEAMS_SEASON!B:B,
  CALC_TEAMS_SEASON!F:F)</f>
        <v>0.11826923076923078</v>
      </c>
      <c r="V119">
        <f>_xlfn.XLOOKUP(D119,
  CALC_TEAMS_SEASON!B:B,
  CALC_TEAMS_SEASON!F:F)</f>
        <v>0.14989316239316242</v>
      </c>
      <c r="W119" t="str">
        <f>RAW_GAMES!R119</f>
        <v>Furch</v>
      </c>
      <c r="X119" s="7">
        <f>RAW_GAMES!S119</f>
        <v>22</v>
      </c>
      <c r="Y119">
        <f t="shared" si="11"/>
        <v>0</v>
      </c>
      <c r="Z119" t="str">
        <f>RAW_GAMES!V119</f>
        <v>RS</v>
      </c>
    </row>
    <row r="120" spans="1:26" x14ac:dyDescent="0.25">
      <c r="A120" t="str">
        <f>RAW_GAMES!A120</f>
        <v>25/26</v>
      </c>
      <c r="B120" s="3">
        <f>RAW_GAMES!B120</f>
        <v>45928</v>
      </c>
      <c r="C120" s="3" t="str">
        <f>RAW_GAMES!E120</f>
        <v>MHK</v>
      </c>
      <c r="D120" s="3" t="str">
        <f>RAW_GAMES!F120</f>
        <v>VIT</v>
      </c>
      <c r="E120" s="7">
        <f>RAW_GAMES!G120</f>
        <v>0</v>
      </c>
      <c r="F120">
        <f>RAW_GAMES!H120</f>
        <v>4</v>
      </c>
      <c r="G120">
        <f>RAW_GAMES!I120</f>
        <v>0</v>
      </c>
      <c r="H120">
        <f t="shared" si="6"/>
        <v>4</v>
      </c>
      <c r="I120">
        <f>RAW_GAMES!J120</f>
        <v>37</v>
      </c>
      <c r="J120">
        <f>RAW_GAMES!K120</f>
        <v>16</v>
      </c>
      <c r="K120">
        <f t="shared" si="7"/>
        <v>21</v>
      </c>
      <c r="L120" t="str">
        <f>IF(RAW_GAMES!L120="","",RAW_GAMES!L120)</f>
        <v/>
      </c>
      <c r="M120" t="str">
        <f>IF(RAW_GAMES!M120="","",RAW_GAMES!M120)</f>
        <v/>
      </c>
      <c r="N120" t="str">
        <f t="shared" si="8"/>
        <v/>
      </c>
      <c r="O120" s="7">
        <f>RAW_GAMES!O120</f>
        <v>6</v>
      </c>
      <c r="P120">
        <f>RAW_GAMES!N120</f>
        <v>2</v>
      </c>
      <c r="Q120">
        <f t="shared" si="9"/>
        <v>0.33333333333333331</v>
      </c>
      <c r="R120" s="7">
        <f>RAW_GAMES!Q120</f>
        <v>1</v>
      </c>
      <c r="S120">
        <f>RAW_GAMES!P120</f>
        <v>0</v>
      </c>
      <c r="T120">
        <f t="shared" si="10"/>
        <v>1</v>
      </c>
      <c r="U120">
        <f>_xlfn.XLOOKUP(C120,
  CALC_TEAMS_SEASON!B:B,
  CALC_TEAMS_SEASON!F:F)</f>
        <v>0.14184981684981687</v>
      </c>
      <c r="V120">
        <f>_xlfn.XLOOKUP(D120,
  CALC_TEAMS_SEASON!B:B,
  CALC_TEAMS_SEASON!F:F)</f>
        <v>0.16984890109890113</v>
      </c>
      <c r="W120" t="str">
        <f>RAW_GAMES!R120</f>
        <v>Škorvánek</v>
      </c>
      <c r="X120" s="7">
        <f>RAW_GAMES!S120</f>
        <v>16</v>
      </c>
      <c r="Y120">
        <f t="shared" si="11"/>
        <v>1</v>
      </c>
      <c r="Z120" t="str">
        <f>RAW_GAMES!V120</f>
        <v>RS</v>
      </c>
    </row>
    <row r="121" spans="1:26" x14ac:dyDescent="0.25">
      <c r="A121" t="str">
        <f>RAW_GAMES!A121</f>
        <v>25/26</v>
      </c>
      <c r="B121" s="3">
        <f>RAW_GAMES!B121</f>
        <v>45928</v>
      </c>
      <c r="C121" s="3" t="str">
        <f>RAW_GAMES!E121</f>
        <v>OLO</v>
      </c>
      <c r="D121" s="3" t="str">
        <f>RAW_GAMES!F121</f>
        <v>MBL</v>
      </c>
      <c r="E121" s="7">
        <f>RAW_GAMES!G121</f>
        <v>1</v>
      </c>
      <c r="F121">
        <f>RAW_GAMES!H121</f>
        <v>3</v>
      </c>
      <c r="G121">
        <f>RAW_GAMES!I121</f>
        <v>1</v>
      </c>
      <c r="H121">
        <f t="shared" si="6"/>
        <v>2</v>
      </c>
      <c r="I121">
        <f>RAW_GAMES!J121</f>
        <v>25</v>
      </c>
      <c r="J121">
        <f>RAW_GAMES!K121</f>
        <v>32</v>
      </c>
      <c r="K121">
        <f t="shared" si="7"/>
        <v>-7</v>
      </c>
      <c r="L121" t="str">
        <f>IF(RAW_GAMES!L121="","",RAW_GAMES!L121)</f>
        <v/>
      </c>
      <c r="M121" t="str">
        <f>IF(RAW_GAMES!M121="","",RAW_GAMES!M121)</f>
        <v/>
      </c>
      <c r="N121" t="str">
        <f t="shared" si="8"/>
        <v/>
      </c>
      <c r="O121" s="7">
        <f>RAW_GAMES!O121</f>
        <v>4</v>
      </c>
      <c r="P121">
        <f>RAW_GAMES!N121</f>
        <v>0</v>
      </c>
      <c r="Q121">
        <f t="shared" si="9"/>
        <v>0</v>
      </c>
      <c r="R121" s="7">
        <f>RAW_GAMES!Q121</f>
        <v>8</v>
      </c>
      <c r="S121">
        <f>RAW_GAMES!P121</f>
        <v>0</v>
      </c>
      <c r="T121">
        <f t="shared" si="10"/>
        <v>1</v>
      </c>
      <c r="U121">
        <f>_xlfn.XLOOKUP(C121,
  CALC_TEAMS_SEASON!B:B,
  CALC_TEAMS_SEASON!F:F)</f>
        <v>0.14989316239316242</v>
      </c>
      <c r="V121">
        <f>_xlfn.XLOOKUP(D121,
  CALC_TEAMS_SEASON!B:B,
  CALC_TEAMS_SEASON!F:F)</f>
        <v>0.11826923076923078</v>
      </c>
      <c r="W121" t="str">
        <f>RAW_GAMES!R121</f>
        <v>Machovský</v>
      </c>
      <c r="X121" s="7">
        <f>RAW_GAMES!S121</f>
        <v>31</v>
      </c>
      <c r="Y121">
        <f t="shared" si="11"/>
        <v>1</v>
      </c>
      <c r="Z121" t="str">
        <f>RAW_GAMES!V121</f>
        <v>RS</v>
      </c>
    </row>
    <row r="122" spans="1:26" x14ac:dyDescent="0.25">
      <c r="A122" t="str">
        <f>RAW_GAMES!A122</f>
        <v>25/26</v>
      </c>
      <c r="B122" s="3">
        <f>RAW_GAMES!B122</f>
        <v>45928</v>
      </c>
      <c r="C122" s="3" t="str">
        <f>RAW_GAMES!E122</f>
        <v>PLZ</v>
      </c>
      <c r="D122" s="3" t="str">
        <f>RAW_GAMES!F122</f>
        <v>KVA</v>
      </c>
      <c r="E122" s="7">
        <f>RAW_GAMES!G122</f>
        <v>1</v>
      </c>
      <c r="F122">
        <f>RAW_GAMES!H122</f>
        <v>3</v>
      </c>
      <c r="G122">
        <f>RAW_GAMES!I122</f>
        <v>2</v>
      </c>
      <c r="H122">
        <f t="shared" si="6"/>
        <v>1</v>
      </c>
      <c r="I122">
        <f>RAW_GAMES!J122</f>
        <v>31</v>
      </c>
      <c r="J122">
        <f>RAW_GAMES!K122</f>
        <v>27</v>
      </c>
      <c r="K122">
        <f t="shared" si="7"/>
        <v>4</v>
      </c>
      <c r="L122" t="str">
        <f>IF(RAW_GAMES!L122="","",RAW_GAMES!L122)</f>
        <v/>
      </c>
      <c r="M122" t="str">
        <f>IF(RAW_GAMES!M122="","",RAW_GAMES!M122)</f>
        <v/>
      </c>
      <c r="N122" t="str">
        <f t="shared" si="8"/>
        <v/>
      </c>
      <c r="O122" s="7">
        <f>RAW_GAMES!O122</f>
        <v>7</v>
      </c>
      <c r="P122">
        <f>RAW_GAMES!N122</f>
        <v>1</v>
      </c>
      <c r="Q122">
        <f t="shared" si="9"/>
        <v>0.14285714285714285</v>
      </c>
      <c r="R122" s="7">
        <f>RAW_GAMES!Q122</f>
        <v>7</v>
      </c>
      <c r="S122">
        <f>RAW_GAMES!P122</f>
        <v>1</v>
      </c>
      <c r="T122">
        <f t="shared" si="10"/>
        <v>0.85714285714285721</v>
      </c>
      <c r="U122">
        <f>_xlfn.XLOOKUP(C122,
  CALC_TEAMS_SEASON!B:B,
  CALC_TEAMS_SEASON!F:F)</f>
        <v>0.17641178266178262</v>
      </c>
      <c r="V122">
        <f>_xlfn.XLOOKUP(D122,
  CALC_TEAMS_SEASON!B:B,
  CALC_TEAMS_SEASON!F:F)</f>
        <v>0.17387057387057389</v>
      </c>
      <c r="W122" t="str">
        <f>RAW_GAMES!R122</f>
        <v>Malík</v>
      </c>
      <c r="X122" s="7">
        <f>RAW_GAMES!S122</f>
        <v>25</v>
      </c>
      <c r="Y122">
        <f t="shared" si="11"/>
        <v>1</v>
      </c>
      <c r="Z122" t="str">
        <f>RAW_GAMES!V122</f>
        <v>RS</v>
      </c>
    </row>
    <row r="123" spans="1:26" x14ac:dyDescent="0.25">
      <c r="A123" t="str">
        <f>RAW_GAMES!A123</f>
        <v>25/26</v>
      </c>
      <c r="B123" s="3">
        <f>RAW_GAMES!B123</f>
        <v>45928</v>
      </c>
      <c r="C123" s="3" t="str">
        <f>RAW_GAMES!E123</f>
        <v>VIT</v>
      </c>
      <c r="D123" s="3" t="str">
        <f>RAW_GAMES!F123</f>
        <v>MHK</v>
      </c>
      <c r="E123" s="7">
        <f>RAW_GAMES!G123</f>
        <v>1</v>
      </c>
      <c r="F123">
        <f>RAW_GAMES!H123</f>
        <v>0</v>
      </c>
      <c r="G123">
        <f>RAW_GAMES!I123</f>
        <v>4</v>
      </c>
      <c r="H123">
        <f t="shared" si="6"/>
        <v>-4</v>
      </c>
      <c r="I123">
        <f>RAW_GAMES!J123</f>
        <v>16</v>
      </c>
      <c r="J123">
        <f>RAW_GAMES!K123</f>
        <v>37</v>
      </c>
      <c r="K123">
        <f t="shared" si="7"/>
        <v>-21</v>
      </c>
      <c r="L123" t="str">
        <f>IF(RAW_GAMES!L123="","",RAW_GAMES!L123)</f>
        <v/>
      </c>
      <c r="M123" t="str">
        <f>IF(RAW_GAMES!M123="","",RAW_GAMES!M123)</f>
        <v/>
      </c>
      <c r="N123" t="str">
        <f t="shared" si="8"/>
        <v/>
      </c>
      <c r="O123" s="7">
        <f>RAW_GAMES!O123</f>
        <v>1</v>
      </c>
      <c r="P123">
        <f>RAW_GAMES!N123</f>
        <v>0</v>
      </c>
      <c r="Q123">
        <f t="shared" si="9"/>
        <v>0</v>
      </c>
      <c r="R123" s="7">
        <f>RAW_GAMES!Q123</f>
        <v>6</v>
      </c>
      <c r="S123">
        <f>RAW_GAMES!P123</f>
        <v>2</v>
      </c>
      <c r="T123">
        <f t="shared" si="10"/>
        <v>0.66666666666666674</v>
      </c>
      <c r="U123">
        <f>_xlfn.XLOOKUP(C123,
  CALC_TEAMS_SEASON!B:B,
  CALC_TEAMS_SEASON!F:F)</f>
        <v>0.16984890109890113</v>
      </c>
      <c r="V123">
        <f>_xlfn.XLOOKUP(D123,
  CALC_TEAMS_SEASON!B:B,
  CALC_TEAMS_SEASON!F:F)</f>
        <v>0.14184981684981687</v>
      </c>
      <c r="W123" t="str">
        <f>RAW_GAMES!R123</f>
        <v>Klimeš</v>
      </c>
      <c r="X123" s="7">
        <f>RAW_GAMES!S123</f>
        <v>33</v>
      </c>
      <c r="Y123">
        <f t="shared" si="11"/>
        <v>0</v>
      </c>
      <c r="Z123" t="str">
        <f>RAW_GAMES!V123</f>
        <v>RS</v>
      </c>
    </row>
    <row r="124" spans="1:26" x14ac:dyDescent="0.25">
      <c r="A124" t="str">
        <f>RAW_GAMES!A124</f>
        <v>25/26</v>
      </c>
      <c r="B124" s="3">
        <f>RAW_GAMES!B124</f>
        <v>45930</v>
      </c>
      <c r="C124" s="3" t="str">
        <f>RAW_GAMES!E124</f>
        <v>PCE</v>
      </c>
      <c r="D124" s="3" t="str">
        <f>RAW_GAMES!F124</f>
        <v>LIT</v>
      </c>
      <c r="E124" s="7">
        <f>RAW_GAMES!G124</f>
        <v>1</v>
      </c>
      <c r="F124">
        <f>RAW_GAMES!H124</f>
        <v>2</v>
      </c>
      <c r="G124">
        <f>RAW_GAMES!I124</f>
        <v>1</v>
      </c>
      <c r="H124">
        <f t="shared" si="6"/>
        <v>1</v>
      </c>
      <c r="I124">
        <f>RAW_GAMES!J124</f>
        <v>43</v>
      </c>
      <c r="J124">
        <f>RAW_GAMES!K124</f>
        <v>20</v>
      </c>
      <c r="K124">
        <f t="shared" si="7"/>
        <v>23</v>
      </c>
      <c r="L124">
        <f>IF(RAW_GAMES!L124="","",RAW_GAMES!L124)</f>
        <v>3.62</v>
      </c>
      <c r="M124">
        <f>IF(RAW_GAMES!M124="","",RAW_GAMES!M124)</f>
        <v>1.44</v>
      </c>
      <c r="N124">
        <f t="shared" si="8"/>
        <v>2.1800000000000002</v>
      </c>
      <c r="O124" s="7">
        <f>RAW_GAMES!O124</f>
        <v>4</v>
      </c>
      <c r="P124">
        <f>RAW_GAMES!N124</f>
        <v>1</v>
      </c>
      <c r="Q124">
        <f t="shared" si="9"/>
        <v>0.25</v>
      </c>
      <c r="R124" s="7">
        <f>RAW_GAMES!Q124</f>
        <v>3</v>
      </c>
      <c r="S124">
        <f>RAW_GAMES!P124</f>
        <v>0</v>
      </c>
      <c r="T124">
        <f t="shared" si="10"/>
        <v>1</v>
      </c>
      <c r="U124">
        <f>_xlfn.XLOOKUP(C124,
  CALC_TEAMS_SEASON!B:B,
  CALC_TEAMS_SEASON!F:F)</f>
        <v>0.20297619047619053</v>
      </c>
      <c r="V124">
        <f>_xlfn.XLOOKUP(D124,
  CALC_TEAMS_SEASON!B:B,
  CALC_TEAMS_SEASON!F:F)</f>
        <v>0.10089285714285713</v>
      </c>
      <c r="W124" t="str">
        <f>RAW_GAMES!R124</f>
        <v>Vomáčka</v>
      </c>
      <c r="X124" s="7">
        <f>RAW_GAMES!S124</f>
        <v>19</v>
      </c>
      <c r="Y124">
        <f t="shared" si="11"/>
        <v>1</v>
      </c>
      <c r="Z124" t="str">
        <f>RAW_GAMES!V124</f>
        <v>RS</v>
      </c>
    </row>
    <row r="125" spans="1:26" x14ac:dyDescent="0.25">
      <c r="A125" t="str">
        <f>RAW_GAMES!A125</f>
        <v>25/26</v>
      </c>
      <c r="B125" s="3">
        <f>RAW_GAMES!B125</f>
        <v>45930</v>
      </c>
      <c r="C125" s="3" t="str">
        <f>RAW_GAMES!E125</f>
        <v>TRI</v>
      </c>
      <c r="D125" s="3" t="str">
        <f>RAW_GAMES!F125</f>
        <v>KOM</v>
      </c>
      <c r="E125" s="7">
        <f>RAW_GAMES!G125</f>
        <v>1</v>
      </c>
      <c r="F125">
        <f>RAW_GAMES!H125</f>
        <v>1</v>
      </c>
      <c r="G125">
        <f>RAW_GAMES!I125</f>
        <v>0</v>
      </c>
      <c r="H125">
        <f t="shared" si="6"/>
        <v>1</v>
      </c>
      <c r="I125">
        <f>RAW_GAMES!J125</f>
        <v>20</v>
      </c>
      <c r="J125">
        <f>RAW_GAMES!K125</f>
        <v>23</v>
      </c>
      <c r="K125">
        <f t="shared" si="7"/>
        <v>-3</v>
      </c>
      <c r="L125">
        <f>IF(RAW_GAMES!L125="","",RAW_GAMES!L125)</f>
        <v>2.13</v>
      </c>
      <c r="M125">
        <f>IF(RAW_GAMES!M125="","",RAW_GAMES!M125)</f>
        <v>1.47</v>
      </c>
      <c r="N125">
        <f t="shared" si="8"/>
        <v>0.65999999999999992</v>
      </c>
      <c r="O125" s="7">
        <f>RAW_GAMES!O125</f>
        <v>4</v>
      </c>
      <c r="P125">
        <f>RAW_GAMES!N125</f>
        <v>0</v>
      </c>
      <c r="Q125">
        <f t="shared" si="9"/>
        <v>0</v>
      </c>
      <c r="R125" s="7">
        <f>RAW_GAMES!Q125</f>
        <v>2</v>
      </c>
      <c r="S125">
        <f>RAW_GAMES!P125</f>
        <v>0</v>
      </c>
      <c r="T125">
        <f t="shared" si="10"/>
        <v>1</v>
      </c>
      <c r="U125">
        <f>_xlfn.XLOOKUP(C125,
  CALC_TEAMS_SEASON!B:B,
  CALC_TEAMS_SEASON!F:F)</f>
        <v>0.17437423687423692</v>
      </c>
      <c r="V125">
        <f>_xlfn.XLOOKUP(D125,
  CALC_TEAMS_SEASON!B:B,
  CALC_TEAMS_SEASON!F:F)</f>
        <v>0.14358974358974358</v>
      </c>
      <c r="W125" t="str">
        <f>RAW_GAMES!R125</f>
        <v>Mazanec</v>
      </c>
      <c r="X125" s="7">
        <f>RAW_GAMES!S125</f>
        <v>23</v>
      </c>
      <c r="Y125">
        <f t="shared" si="11"/>
        <v>1</v>
      </c>
      <c r="Z125" t="str">
        <f>RAW_GAMES!V125</f>
        <v>RS</v>
      </c>
    </row>
    <row r="126" spans="1:26" x14ac:dyDescent="0.25">
      <c r="A126" t="str">
        <f>RAW_GAMES!A126</f>
        <v>25/26</v>
      </c>
      <c r="B126" s="3">
        <f>RAW_GAMES!B126</f>
        <v>45930</v>
      </c>
      <c r="C126" s="3" t="str">
        <f>RAW_GAMES!E126</f>
        <v>SPA</v>
      </c>
      <c r="D126" s="3" t="str">
        <f>RAW_GAMES!F126</f>
        <v>PLZ</v>
      </c>
      <c r="E126" s="7">
        <f>RAW_GAMES!G126</f>
        <v>1</v>
      </c>
      <c r="F126">
        <f>RAW_GAMES!H126</f>
        <v>0</v>
      </c>
      <c r="G126">
        <f>RAW_GAMES!I126</f>
        <v>2</v>
      </c>
      <c r="H126">
        <f t="shared" si="6"/>
        <v>-2</v>
      </c>
      <c r="I126">
        <f>RAW_GAMES!J126</f>
        <v>41</v>
      </c>
      <c r="J126">
        <f>RAW_GAMES!K126</f>
        <v>34</v>
      </c>
      <c r="K126">
        <f t="shared" si="7"/>
        <v>7</v>
      </c>
      <c r="L126">
        <f>IF(RAW_GAMES!L126="","",RAW_GAMES!L126)</f>
        <v>3.25</v>
      </c>
      <c r="M126">
        <f>IF(RAW_GAMES!M126="","",RAW_GAMES!M126)</f>
        <v>3.53</v>
      </c>
      <c r="N126">
        <f t="shared" si="8"/>
        <v>-0.2799999999999998</v>
      </c>
      <c r="O126" s="7">
        <f>RAW_GAMES!O126</f>
        <v>6</v>
      </c>
      <c r="P126">
        <f>RAW_GAMES!N126</f>
        <v>0</v>
      </c>
      <c r="Q126">
        <f t="shared" si="9"/>
        <v>0</v>
      </c>
      <c r="R126" s="7">
        <f>RAW_GAMES!Q126</f>
        <v>6</v>
      </c>
      <c r="S126">
        <f>RAW_GAMES!P126</f>
        <v>0</v>
      </c>
      <c r="T126">
        <f t="shared" si="10"/>
        <v>1</v>
      </c>
      <c r="U126">
        <f>_xlfn.XLOOKUP(C126,
  CALC_TEAMS_SEASON!B:B,
  CALC_TEAMS_SEASON!F:F)</f>
        <v>0.22060439560439565</v>
      </c>
      <c r="V126">
        <f>_xlfn.XLOOKUP(D126,
  CALC_TEAMS_SEASON!B:B,
  CALC_TEAMS_SEASON!F:F)</f>
        <v>0.17641178266178262</v>
      </c>
      <c r="W126" t="str">
        <f>RAW_GAMES!R126</f>
        <v>Michajlov</v>
      </c>
      <c r="X126" s="7">
        <f>RAW_GAMES!S126</f>
        <v>32</v>
      </c>
      <c r="Y126">
        <f t="shared" si="11"/>
        <v>0</v>
      </c>
      <c r="Z126" t="str">
        <f>RAW_GAMES!V126</f>
        <v>RS</v>
      </c>
    </row>
    <row r="127" spans="1:26" x14ac:dyDescent="0.25">
      <c r="A127" t="str">
        <f>RAW_GAMES!A127</f>
        <v>25/26</v>
      </c>
      <c r="B127" s="3">
        <f>RAW_GAMES!B127</f>
        <v>45930</v>
      </c>
      <c r="C127" s="3" t="str">
        <f>RAW_GAMES!E127</f>
        <v>KOM</v>
      </c>
      <c r="D127" s="3" t="str">
        <f>RAW_GAMES!F127</f>
        <v>TRI</v>
      </c>
      <c r="E127" s="7">
        <f>RAW_GAMES!G127</f>
        <v>0</v>
      </c>
      <c r="F127">
        <f>RAW_GAMES!H127</f>
        <v>0</v>
      </c>
      <c r="G127">
        <f>RAW_GAMES!I127</f>
        <v>1</v>
      </c>
      <c r="H127">
        <f t="shared" si="6"/>
        <v>-1</v>
      </c>
      <c r="I127">
        <f>RAW_GAMES!J127</f>
        <v>23</v>
      </c>
      <c r="J127">
        <f>RAW_GAMES!K127</f>
        <v>20</v>
      </c>
      <c r="K127">
        <f t="shared" si="7"/>
        <v>3</v>
      </c>
      <c r="L127">
        <f>IF(RAW_GAMES!L127="","",RAW_GAMES!L127)</f>
        <v>1.47</v>
      </c>
      <c r="M127">
        <f>IF(RAW_GAMES!M127="","",RAW_GAMES!M127)</f>
        <v>2.13</v>
      </c>
      <c r="N127">
        <f t="shared" si="8"/>
        <v>-0.65999999999999992</v>
      </c>
      <c r="O127" s="7">
        <f>RAW_GAMES!O127</f>
        <v>2</v>
      </c>
      <c r="P127">
        <f>RAW_GAMES!N127</f>
        <v>0</v>
      </c>
      <c r="Q127">
        <f t="shared" si="9"/>
        <v>0</v>
      </c>
      <c r="R127" s="7">
        <f>RAW_GAMES!Q127</f>
        <v>4</v>
      </c>
      <c r="S127">
        <f>RAW_GAMES!P127</f>
        <v>0</v>
      </c>
      <c r="T127">
        <f t="shared" si="10"/>
        <v>1</v>
      </c>
      <c r="U127">
        <f>_xlfn.XLOOKUP(C127,
  CALC_TEAMS_SEASON!B:B,
  CALC_TEAMS_SEASON!F:F)</f>
        <v>0.14358974358974358</v>
      </c>
      <c r="V127">
        <f>_xlfn.XLOOKUP(D127,
  CALC_TEAMS_SEASON!B:B,
  CALC_TEAMS_SEASON!F:F)</f>
        <v>0.17437423687423692</v>
      </c>
      <c r="W127" t="str">
        <f>RAW_GAMES!R127</f>
        <v>Stezka</v>
      </c>
      <c r="X127" s="7">
        <f>RAW_GAMES!S127</f>
        <v>19</v>
      </c>
      <c r="Y127">
        <f t="shared" si="11"/>
        <v>0</v>
      </c>
      <c r="Z127" t="str">
        <f>RAW_GAMES!V127</f>
        <v>RS</v>
      </c>
    </row>
    <row r="128" spans="1:26" x14ac:dyDescent="0.25">
      <c r="A128" t="str">
        <f>RAW_GAMES!A128</f>
        <v>25/26</v>
      </c>
      <c r="B128" s="3">
        <f>RAW_GAMES!B128</f>
        <v>45930</v>
      </c>
      <c r="C128" s="3" t="str">
        <f>RAW_GAMES!E128</f>
        <v>CEB</v>
      </c>
      <c r="D128" s="3" t="str">
        <f>RAW_GAMES!F128</f>
        <v>VIT</v>
      </c>
      <c r="E128" s="7">
        <f>RAW_GAMES!G128</f>
        <v>1</v>
      </c>
      <c r="F128">
        <f>RAW_GAMES!H128</f>
        <v>2</v>
      </c>
      <c r="G128">
        <f>RAW_GAMES!I128</f>
        <v>1</v>
      </c>
      <c r="H128">
        <f t="shared" si="6"/>
        <v>1</v>
      </c>
      <c r="I128">
        <f>RAW_GAMES!J128</f>
        <v>29</v>
      </c>
      <c r="J128">
        <f>RAW_GAMES!K128</f>
        <v>28</v>
      </c>
      <c r="K128">
        <f t="shared" si="7"/>
        <v>1</v>
      </c>
      <c r="L128" t="str">
        <f>IF(RAW_GAMES!L128="","",RAW_GAMES!L128)</f>
        <v/>
      </c>
      <c r="M128" t="str">
        <f>IF(RAW_GAMES!M128="","",RAW_GAMES!M128)</f>
        <v/>
      </c>
      <c r="N128" t="str">
        <f t="shared" si="8"/>
        <v/>
      </c>
      <c r="O128" s="7">
        <f>RAW_GAMES!O128</f>
        <v>3</v>
      </c>
      <c r="P128">
        <f>RAW_GAMES!N128</f>
        <v>0</v>
      </c>
      <c r="Q128">
        <f t="shared" si="9"/>
        <v>0</v>
      </c>
      <c r="R128" s="7">
        <f>RAW_GAMES!Q128</f>
        <v>4</v>
      </c>
      <c r="S128">
        <f>RAW_GAMES!P128</f>
        <v>1</v>
      </c>
      <c r="T128">
        <f t="shared" si="10"/>
        <v>0.75</v>
      </c>
      <c r="U128">
        <f>_xlfn.XLOOKUP(C128,
  CALC_TEAMS_SEASON!B:B,
  CALC_TEAMS_SEASON!F:F)</f>
        <v>0.13021353646353648</v>
      </c>
      <c r="V128">
        <f>_xlfn.XLOOKUP(D128,
  CALC_TEAMS_SEASON!B:B,
  CALC_TEAMS_SEASON!F:F)</f>
        <v>0.16984890109890113</v>
      </c>
      <c r="W128" t="str">
        <f>RAW_GAMES!R128</f>
        <v>Klouček</v>
      </c>
      <c r="X128" s="7">
        <f>RAW_GAMES!S128</f>
        <v>27</v>
      </c>
      <c r="Y128">
        <f t="shared" si="11"/>
        <v>1</v>
      </c>
      <c r="Z128" t="str">
        <f>RAW_GAMES!V128</f>
        <v>RS</v>
      </c>
    </row>
    <row r="129" spans="1:26" x14ac:dyDescent="0.25">
      <c r="A129" t="str">
        <f>RAW_GAMES!A129</f>
        <v>25/26</v>
      </c>
      <c r="B129" s="3">
        <f>RAW_GAMES!B129</f>
        <v>45930</v>
      </c>
      <c r="C129" s="3" t="str">
        <f>RAW_GAMES!E129</f>
        <v>KLA</v>
      </c>
      <c r="D129" s="3" t="str">
        <f>RAW_GAMES!F129</f>
        <v>KVA</v>
      </c>
      <c r="E129" s="7">
        <f>RAW_GAMES!G129</f>
        <v>1</v>
      </c>
      <c r="F129">
        <f>RAW_GAMES!H129</f>
        <v>1</v>
      </c>
      <c r="G129">
        <f>RAW_GAMES!I129</f>
        <v>3</v>
      </c>
      <c r="H129">
        <f t="shared" si="6"/>
        <v>-2</v>
      </c>
      <c r="I129">
        <f>RAW_GAMES!J129</f>
        <v>33</v>
      </c>
      <c r="J129">
        <f>RAW_GAMES!K129</f>
        <v>29</v>
      </c>
      <c r="K129">
        <f t="shared" si="7"/>
        <v>4</v>
      </c>
      <c r="L129" t="str">
        <f>IF(RAW_GAMES!L129="","",RAW_GAMES!L129)</f>
        <v/>
      </c>
      <c r="M129" t="str">
        <f>IF(RAW_GAMES!M129="","",RAW_GAMES!M129)</f>
        <v/>
      </c>
      <c r="N129" t="str">
        <f t="shared" si="8"/>
        <v/>
      </c>
      <c r="O129" s="7">
        <f>RAW_GAMES!O129</f>
        <v>4</v>
      </c>
      <c r="P129">
        <f>RAW_GAMES!N129</f>
        <v>0</v>
      </c>
      <c r="Q129">
        <f t="shared" si="9"/>
        <v>0</v>
      </c>
      <c r="R129" s="7">
        <f>RAW_GAMES!Q129</f>
        <v>3</v>
      </c>
      <c r="S129">
        <f>RAW_GAMES!P129</f>
        <v>0</v>
      </c>
      <c r="T129">
        <f t="shared" si="10"/>
        <v>1</v>
      </c>
      <c r="U129">
        <f>_xlfn.XLOOKUP(C129,
  CALC_TEAMS_SEASON!B:B,
  CALC_TEAMS_SEASON!F:F)</f>
        <v>0.13120421245421243</v>
      </c>
      <c r="V129">
        <f>_xlfn.XLOOKUP(D129,
  CALC_TEAMS_SEASON!B:B,
  CALC_TEAMS_SEASON!F:F)</f>
        <v>0.17387057387057389</v>
      </c>
      <c r="W129" t="str">
        <f>RAW_GAMES!R129</f>
        <v>Brízgala</v>
      </c>
      <c r="X129" s="7">
        <f>RAW_GAMES!S129</f>
        <v>26</v>
      </c>
      <c r="Y129">
        <f t="shared" si="11"/>
        <v>0</v>
      </c>
      <c r="Z129" t="str">
        <f>RAW_GAMES!V129</f>
        <v>RS</v>
      </c>
    </row>
    <row r="130" spans="1:26" x14ac:dyDescent="0.25">
      <c r="A130" t="str">
        <f>RAW_GAMES!A130</f>
        <v>25/26</v>
      </c>
      <c r="B130" s="3">
        <f>RAW_GAMES!B130</f>
        <v>45930</v>
      </c>
      <c r="C130" s="3" t="str">
        <f>RAW_GAMES!E130</f>
        <v>KVA</v>
      </c>
      <c r="D130" s="3" t="str">
        <f>RAW_GAMES!F130</f>
        <v>KLA</v>
      </c>
      <c r="E130" s="7">
        <f>RAW_GAMES!G130</f>
        <v>0</v>
      </c>
      <c r="F130">
        <f>RAW_GAMES!H130</f>
        <v>3</v>
      </c>
      <c r="G130">
        <f>RAW_GAMES!I130</f>
        <v>1</v>
      </c>
      <c r="H130">
        <f t="shared" si="6"/>
        <v>2</v>
      </c>
      <c r="I130">
        <f>RAW_GAMES!J130</f>
        <v>29</v>
      </c>
      <c r="J130">
        <f>RAW_GAMES!K130</f>
        <v>33</v>
      </c>
      <c r="K130">
        <f t="shared" si="7"/>
        <v>-4</v>
      </c>
      <c r="L130" t="str">
        <f>IF(RAW_GAMES!L130="","",RAW_GAMES!L130)</f>
        <v/>
      </c>
      <c r="M130" t="str">
        <f>IF(RAW_GAMES!M130="","",RAW_GAMES!M130)</f>
        <v/>
      </c>
      <c r="N130" t="str">
        <f t="shared" si="8"/>
        <v/>
      </c>
      <c r="O130" s="7">
        <f>RAW_GAMES!O130</f>
        <v>3</v>
      </c>
      <c r="P130">
        <f>RAW_GAMES!N130</f>
        <v>0</v>
      </c>
      <c r="Q130">
        <f t="shared" si="9"/>
        <v>0</v>
      </c>
      <c r="R130" s="7">
        <f>RAW_GAMES!Q130</f>
        <v>4</v>
      </c>
      <c r="S130">
        <f>RAW_GAMES!P130</f>
        <v>0</v>
      </c>
      <c r="T130">
        <f t="shared" si="10"/>
        <v>1</v>
      </c>
      <c r="U130">
        <f>_xlfn.XLOOKUP(C130,
  CALC_TEAMS_SEASON!B:B,
  CALC_TEAMS_SEASON!F:F)</f>
        <v>0.17387057387057389</v>
      </c>
      <c r="V130">
        <f>_xlfn.XLOOKUP(D130,
  CALC_TEAMS_SEASON!B:B,
  CALC_TEAMS_SEASON!F:F)</f>
        <v>0.13120421245421243</v>
      </c>
      <c r="W130" t="str">
        <f>RAW_GAMES!R130</f>
        <v>Frodl</v>
      </c>
      <c r="X130" s="7">
        <f>RAW_GAMES!S130</f>
        <v>32</v>
      </c>
      <c r="Y130">
        <f t="shared" si="11"/>
        <v>1</v>
      </c>
      <c r="Z130" t="str">
        <f>RAW_GAMES!V130</f>
        <v>RS</v>
      </c>
    </row>
    <row r="131" spans="1:26" x14ac:dyDescent="0.25">
      <c r="A131" t="str">
        <f>RAW_GAMES!A131</f>
        <v>25/26</v>
      </c>
      <c r="B131" s="3">
        <f>RAW_GAMES!B131</f>
        <v>45930</v>
      </c>
      <c r="C131" s="3" t="str">
        <f>RAW_GAMES!E131</f>
        <v>LIB</v>
      </c>
      <c r="D131" s="3" t="str">
        <f>RAW_GAMES!F131</f>
        <v>MBL</v>
      </c>
      <c r="E131" s="7">
        <f>RAW_GAMES!G131</f>
        <v>1</v>
      </c>
      <c r="F131">
        <f>RAW_GAMES!H131</f>
        <v>0</v>
      </c>
      <c r="G131">
        <f>RAW_GAMES!I131</f>
        <v>3</v>
      </c>
      <c r="H131">
        <f t="shared" ref="H131:H194" si="12">F131-G131</f>
        <v>-3</v>
      </c>
      <c r="I131">
        <f>RAW_GAMES!J131</f>
        <v>33</v>
      </c>
      <c r="J131">
        <f>RAW_GAMES!K131</f>
        <v>23</v>
      </c>
      <c r="K131">
        <f t="shared" ref="K131:K194" si="13">I131-J131</f>
        <v>10</v>
      </c>
      <c r="L131" t="str">
        <f>IF(RAW_GAMES!L131="","",RAW_GAMES!L131)</f>
        <v/>
      </c>
      <c r="M131" t="str">
        <f>IF(RAW_GAMES!M131="","",RAW_GAMES!M131)</f>
        <v/>
      </c>
      <c r="N131" t="str">
        <f t="shared" ref="N131:N194" si="14">IF(L131="","",L131-M131)</f>
        <v/>
      </c>
      <c r="O131" s="7">
        <f>RAW_GAMES!O131</f>
        <v>2</v>
      </c>
      <c r="P131">
        <f>RAW_GAMES!N131</f>
        <v>0</v>
      </c>
      <c r="Q131">
        <f t="shared" ref="Q131:Q194" si="15">IF(O131&gt;0,P131/O131,0)</f>
        <v>0</v>
      </c>
      <c r="R131" s="7">
        <f>RAW_GAMES!Q131</f>
        <v>3</v>
      </c>
      <c r="S131">
        <f>RAW_GAMES!P131</f>
        <v>0</v>
      </c>
      <c r="T131">
        <f t="shared" ref="T131:T194" si="16">IF(R131&gt;0, 1-(S131/R131),1)</f>
        <v>1</v>
      </c>
      <c r="U131">
        <f>_xlfn.XLOOKUP(C131,
  CALC_TEAMS_SEASON!B:B,
  CALC_TEAMS_SEASON!F:F)</f>
        <v>0.14377289377289379</v>
      </c>
      <c r="V131">
        <f>_xlfn.XLOOKUP(D131,
  CALC_TEAMS_SEASON!B:B,
  CALC_TEAMS_SEASON!F:F)</f>
        <v>0.11826923076923078</v>
      </c>
      <c r="W131" t="str">
        <f>RAW_GAMES!R131</f>
        <v>Kváča</v>
      </c>
      <c r="X131" s="7">
        <f>RAW_GAMES!S131</f>
        <v>20</v>
      </c>
      <c r="Y131">
        <f t="shared" ref="Y131:Y194" si="17">IF(F131&gt;G131,1,0)</f>
        <v>0</v>
      </c>
      <c r="Z131" t="str">
        <f>RAW_GAMES!V131</f>
        <v>RS</v>
      </c>
    </row>
    <row r="132" spans="1:26" x14ac:dyDescent="0.25">
      <c r="A132" t="str">
        <f>RAW_GAMES!A132</f>
        <v>25/26</v>
      </c>
      <c r="B132" s="3">
        <f>RAW_GAMES!B132</f>
        <v>45930</v>
      </c>
      <c r="C132" s="3" t="str">
        <f>RAW_GAMES!E132</f>
        <v>LIT</v>
      </c>
      <c r="D132" s="3" t="str">
        <f>RAW_GAMES!F132</f>
        <v>PCE</v>
      </c>
      <c r="E132" s="7">
        <f>RAW_GAMES!G132</f>
        <v>0</v>
      </c>
      <c r="F132">
        <f>RAW_GAMES!H132</f>
        <v>1</v>
      </c>
      <c r="G132">
        <f>RAW_GAMES!I132</f>
        <v>2</v>
      </c>
      <c r="H132">
        <f t="shared" si="12"/>
        <v>-1</v>
      </c>
      <c r="I132">
        <f>RAW_GAMES!J132</f>
        <v>20</v>
      </c>
      <c r="J132">
        <f>RAW_GAMES!K132</f>
        <v>43</v>
      </c>
      <c r="K132">
        <f t="shared" si="13"/>
        <v>-23</v>
      </c>
      <c r="L132">
        <f>IF(RAW_GAMES!L132="","",RAW_GAMES!L132)</f>
        <v>1.44</v>
      </c>
      <c r="M132">
        <f>IF(RAW_GAMES!M132="","",RAW_GAMES!M132)</f>
        <v>3.62</v>
      </c>
      <c r="N132">
        <f t="shared" si="14"/>
        <v>-2.1800000000000002</v>
      </c>
      <c r="O132" s="7">
        <f>RAW_GAMES!O132</f>
        <v>3</v>
      </c>
      <c r="P132">
        <f>RAW_GAMES!N132</f>
        <v>0</v>
      </c>
      <c r="Q132">
        <f t="shared" si="15"/>
        <v>0</v>
      </c>
      <c r="R132" s="7">
        <f>RAW_GAMES!Q132</f>
        <v>4</v>
      </c>
      <c r="S132">
        <f>RAW_GAMES!P132</f>
        <v>1</v>
      </c>
      <c r="T132">
        <f t="shared" si="16"/>
        <v>0.75</v>
      </c>
      <c r="U132">
        <f>_xlfn.XLOOKUP(C132,
  CALC_TEAMS_SEASON!B:B,
  CALC_TEAMS_SEASON!F:F)</f>
        <v>0.10089285714285713</v>
      </c>
      <c r="V132">
        <f>_xlfn.XLOOKUP(D132,
  CALC_TEAMS_SEASON!B:B,
  CALC_TEAMS_SEASON!F:F)</f>
        <v>0.20297619047619053</v>
      </c>
      <c r="W132" t="str">
        <f>RAW_GAMES!R132</f>
        <v>Tomek</v>
      </c>
      <c r="X132" s="7">
        <f>RAW_GAMES!S132</f>
        <v>41</v>
      </c>
      <c r="Y132">
        <f t="shared" si="17"/>
        <v>0</v>
      </c>
      <c r="Z132" t="str">
        <f>RAW_GAMES!V132</f>
        <v>RS</v>
      </c>
    </row>
    <row r="133" spans="1:26" x14ac:dyDescent="0.25">
      <c r="A133" t="str">
        <f>RAW_GAMES!A133</f>
        <v>25/26</v>
      </c>
      <c r="B133" s="3">
        <f>RAW_GAMES!B133</f>
        <v>45930</v>
      </c>
      <c r="C133" s="3" t="str">
        <f>RAW_GAMES!E133</f>
        <v>MBL</v>
      </c>
      <c r="D133" s="3" t="str">
        <f>RAW_GAMES!F133</f>
        <v>LIB</v>
      </c>
      <c r="E133" s="7">
        <f>RAW_GAMES!G133</f>
        <v>0</v>
      </c>
      <c r="F133">
        <f>RAW_GAMES!H133</f>
        <v>3</v>
      </c>
      <c r="G133">
        <f>RAW_GAMES!I133</f>
        <v>0</v>
      </c>
      <c r="H133">
        <f t="shared" si="12"/>
        <v>3</v>
      </c>
      <c r="I133">
        <f>RAW_GAMES!J133</f>
        <v>23</v>
      </c>
      <c r="J133">
        <f>RAW_GAMES!K133</f>
        <v>33</v>
      </c>
      <c r="K133">
        <f t="shared" si="13"/>
        <v>-10</v>
      </c>
      <c r="L133" t="str">
        <f>IF(RAW_GAMES!L133="","",RAW_GAMES!L133)</f>
        <v/>
      </c>
      <c r="M133" t="str">
        <f>IF(RAW_GAMES!M133="","",RAW_GAMES!M133)</f>
        <v/>
      </c>
      <c r="N133" t="str">
        <f t="shared" si="14"/>
        <v/>
      </c>
      <c r="O133" s="7">
        <f>RAW_GAMES!O133</f>
        <v>3</v>
      </c>
      <c r="P133">
        <f>RAW_GAMES!N133</f>
        <v>0</v>
      </c>
      <c r="Q133">
        <f t="shared" si="15"/>
        <v>0</v>
      </c>
      <c r="R133" s="7">
        <f>RAW_GAMES!Q133</f>
        <v>2</v>
      </c>
      <c r="S133">
        <f>RAW_GAMES!P133</f>
        <v>0</v>
      </c>
      <c r="T133">
        <f t="shared" si="16"/>
        <v>1</v>
      </c>
      <c r="U133">
        <f>_xlfn.XLOOKUP(C133,
  CALC_TEAMS_SEASON!B:B,
  CALC_TEAMS_SEASON!F:F)</f>
        <v>0.11826923076923078</v>
      </c>
      <c r="V133">
        <f>_xlfn.XLOOKUP(D133,
  CALC_TEAMS_SEASON!B:B,
  CALC_TEAMS_SEASON!F:F)</f>
        <v>0.14377289377289379</v>
      </c>
      <c r="W133" t="str">
        <f>RAW_GAMES!R133</f>
        <v>Furch</v>
      </c>
      <c r="X133" s="7">
        <f>RAW_GAMES!S133</f>
        <v>33</v>
      </c>
      <c r="Y133">
        <f t="shared" si="17"/>
        <v>1</v>
      </c>
      <c r="Z133" t="str">
        <f>RAW_GAMES!V133</f>
        <v>RS</v>
      </c>
    </row>
    <row r="134" spans="1:26" x14ac:dyDescent="0.25">
      <c r="A134" t="str">
        <f>RAW_GAMES!A134</f>
        <v>25/26</v>
      </c>
      <c r="B134" s="3">
        <f>RAW_GAMES!B134</f>
        <v>45930</v>
      </c>
      <c r="C134" s="3" t="str">
        <f>RAW_GAMES!E134</f>
        <v>MHK</v>
      </c>
      <c r="D134" s="3" t="str">
        <f>RAW_GAMES!F134</f>
        <v>OLO</v>
      </c>
      <c r="E134" s="7">
        <f>RAW_GAMES!G134</f>
        <v>1</v>
      </c>
      <c r="F134">
        <f>RAW_GAMES!H134</f>
        <v>0</v>
      </c>
      <c r="G134">
        <f>RAW_GAMES!I134</f>
        <v>1</v>
      </c>
      <c r="H134">
        <f t="shared" si="12"/>
        <v>-1</v>
      </c>
      <c r="I134">
        <f>RAW_GAMES!J134</f>
        <v>31</v>
      </c>
      <c r="J134">
        <f>RAW_GAMES!K134</f>
        <v>20</v>
      </c>
      <c r="K134">
        <f t="shared" si="13"/>
        <v>11</v>
      </c>
      <c r="L134" t="str">
        <f>IF(RAW_GAMES!L134="","",RAW_GAMES!L134)</f>
        <v/>
      </c>
      <c r="M134" t="str">
        <f>IF(RAW_GAMES!M134="","",RAW_GAMES!M134)</f>
        <v/>
      </c>
      <c r="N134" t="str">
        <f t="shared" si="14"/>
        <v/>
      </c>
      <c r="O134" s="7">
        <f>RAW_GAMES!O134</f>
        <v>5</v>
      </c>
      <c r="P134">
        <f>RAW_GAMES!N134</f>
        <v>0</v>
      </c>
      <c r="Q134">
        <f t="shared" si="15"/>
        <v>0</v>
      </c>
      <c r="R134" s="7">
        <f>RAW_GAMES!Q134</f>
        <v>3</v>
      </c>
      <c r="S134">
        <f>RAW_GAMES!P134</f>
        <v>0</v>
      </c>
      <c r="T134">
        <f t="shared" si="16"/>
        <v>1</v>
      </c>
      <c r="U134">
        <f>_xlfn.XLOOKUP(C134,
  CALC_TEAMS_SEASON!B:B,
  CALC_TEAMS_SEASON!F:F)</f>
        <v>0.14184981684981687</v>
      </c>
      <c r="V134">
        <f>_xlfn.XLOOKUP(D134,
  CALC_TEAMS_SEASON!B:B,
  CALC_TEAMS_SEASON!F:F)</f>
        <v>0.14989316239316242</v>
      </c>
      <c r="W134" t="str">
        <f>RAW_GAMES!R134</f>
        <v>Škorvánek</v>
      </c>
      <c r="X134" s="7">
        <f>RAW_GAMES!S134</f>
        <v>19</v>
      </c>
      <c r="Y134">
        <f t="shared" si="17"/>
        <v>0</v>
      </c>
      <c r="Z134" t="str">
        <f>RAW_GAMES!V134</f>
        <v>RS</v>
      </c>
    </row>
    <row r="135" spans="1:26" x14ac:dyDescent="0.25">
      <c r="A135" t="str">
        <f>RAW_GAMES!A135</f>
        <v>25/26</v>
      </c>
      <c r="B135" s="3">
        <f>RAW_GAMES!B135</f>
        <v>45930</v>
      </c>
      <c r="C135" s="3" t="str">
        <f>RAW_GAMES!E135</f>
        <v>OLO</v>
      </c>
      <c r="D135" s="3" t="str">
        <f>RAW_GAMES!F135</f>
        <v>MHK</v>
      </c>
      <c r="E135" s="7">
        <f>RAW_GAMES!G135</f>
        <v>0</v>
      </c>
      <c r="F135">
        <f>RAW_GAMES!H135</f>
        <v>1</v>
      </c>
      <c r="G135">
        <f>RAW_GAMES!I135</f>
        <v>0</v>
      </c>
      <c r="H135">
        <f t="shared" si="12"/>
        <v>1</v>
      </c>
      <c r="I135">
        <f>RAW_GAMES!J135</f>
        <v>20</v>
      </c>
      <c r="J135">
        <f>RAW_GAMES!K135</f>
        <v>31</v>
      </c>
      <c r="K135">
        <f t="shared" si="13"/>
        <v>-11</v>
      </c>
      <c r="L135" t="str">
        <f>IF(RAW_GAMES!L135="","",RAW_GAMES!L135)</f>
        <v/>
      </c>
      <c r="M135" t="str">
        <f>IF(RAW_GAMES!M135="","",RAW_GAMES!M135)</f>
        <v/>
      </c>
      <c r="N135" t="str">
        <f t="shared" si="14"/>
        <v/>
      </c>
      <c r="O135" s="7">
        <f>RAW_GAMES!O135</f>
        <v>3</v>
      </c>
      <c r="P135">
        <f>RAW_GAMES!N135</f>
        <v>0</v>
      </c>
      <c r="Q135">
        <f t="shared" si="15"/>
        <v>0</v>
      </c>
      <c r="R135" s="7">
        <f>RAW_GAMES!Q135</f>
        <v>5</v>
      </c>
      <c r="S135">
        <f>RAW_GAMES!P135</f>
        <v>0</v>
      </c>
      <c r="T135">
        <f t="shared" si="16"/>
        <v>1</v>
      </c>
      <c r="U135">
        <f>_xlfn.XLOOKUP(C135,
  CALC_TEAMS_SEASON!B:B,
  CALC_TEAMS_SEASON!F:F)</f>
        <v>0.14989316239316242</v>
      </c>
      <c r="V135">
        <f>_xlfn.XLOOKUP(D135,
  CALC_TEAMS_SEASON!B:B,
  CALC_TEAMS_SEASON!F:F)</f>
        <v>0.14184981684981687</v>
      </c>
      <c r="W135" t="str">
        <f>RAW_GAMES!R135</f>
        <v>Machovský</v>
      </c>
      <c r="X135" s="7">
        <f>RAW_GAMES!S135</f>
        <v>31</v>
      </c>
      <c r="Y135">
        <f t="shared" si="17"/>
        <v>1</v>
      </c>
      <c r="Z135" t="str">
        <f>RAW_GAMES!V135</f>
        <v>RS</v>
      </c>
    </row>
    <row r="136" spans="1:26" x14ac:dyDescent="0.25">
      <c r="A136" t="str">
        <f>RAW_GAMES!A136</f>
        <v>25/26</v>
      </c>
      <c r="B136" s="3">
        <f>RAW_GAMES!B136</f>
        <v>45930</v>
      </c>
      <c r="C136" s="3" t="str">
        <f>RAW_GAMES!E136</f>
        <v>PLZ</v>
      </c>
      <c r="D136" s="3" t="str">
        <f>RAW_GAMES!F136</f>
        <v>SPA</v>
      </c>
      <c r="E136" s="7">
        <f>RAW_GAMES!G136</f>
        <v>0</v>
      </c>
      <c r="F136">
        <f>RAW_GAMES!H136</f>
        <v>2</v>
      </c>
      <c r="G136">
        <f>RAW_GAMES!I136</f>
        <v>0</v>
      </c>
      <c r="H136">
        <f t="shared" si="12"/>
        <v>2</v>
      </c>
      <c r="I136">
        <f>RAW_GAMES!J136</f>
        <v>34</v>
      </c>
      <c r="J136">
        <f>RAW_GAMES!K136</f>
        <v>41</v>
      </c>
      <c r="K136">
        <f t="shared" si="13"/>
        <v>-7</v>
      </c>
      <c r="L136">
        <f>IF(RAW_GAMES!L136="","",RAW_GAMES!L136)</f>
        <v>3.53</v>
      </c>
      <c r="M136">
        <f>IF(RAW_GAMES!M136="","",RAW_GAMES!M136)</f>
        <v>3.25</v>
      </c>
      <c r="N136">
        <f t="shared" si="14"/>
        <v>0.2799999999999998</v>
      </c>
      <c r="O136" s="7">
        <f>RAW_GAMES!O136</f>
        <v>6</v>
      </c>
      <c r="P136">
        <f>RAW_GAMES!N136</f>
        <v>0</v>
      </c>
      <c r="Q136">
        <f t="shared" si="15"/>
        <v>0</v>
      </c>
      <c r="R136" s="7">
        <f>RAW_GAMES!Q136</f>
        <v>6</v>
      </c>
      <c r="S136">
        <f>RAW_GAMES!P136</f>
        <v>0</v>
      </c>
      <c r="T136">
        <f t="shared" si="16"/>
        <v>1</v>
      </c>
      <c r="U136">
        <f>_xlfn.XLOOKUP(C136,
  CALC_TEAMS_SEASON!B:B,
  CALC_TEAMS_SEASON!F:F)</f>
        <v>0.17641178266178262</v>
      </c>
      <c r="V136">
        <f>_xlfn.XLOOKUP(D136,
  CALC_TEAMS_SEASON!B:B,
  CALC_TEAMS_SEASON!F:F)</f>
        <v>0.22060439560439565</v>
      </c>
      <c r="W136" t="str">
        <f>RAW_GAMES!R136</f>
        <v>Růžička</v>
      </c>
      <c r="X136" s="7">
        <f>RAW_GAMES!S136</f>
        <v>41</v>
      </c>
      <c r="Y136">
        <f t="shared" si="17"/>
        <v>1</v>
      </c>
      <c r="Z136" t="str">
        <f>RAW_GAMES!V136</f>
        <v>RS</v>
      </c>
    </row>
    <row r="137" spans="1:26" x14ac:dyDescent="0.25">
      <c r="A137" t="str">
        <f>RAW_GAMES!A137</f>
        <v>25/26</v>
      </c>
      <c r="B137" s="3">
        <f>RAW_GAMES!B137</f>
        <v>45930</v>
      </c>
      <c r="C137" s="3" t="str">
        <f>RAW_GAMES!E137</f>
        <v>VIT</v>
      </c>
      <c r="D137" s="3" t="str">
        <f>RAW_GAMES!F137</f>
        <v>CEB</v>
      </c>
      <c r="E137" s="7">
        <f>RAW_GAMES!G137</f>
        <v>0</v>
      </c>
      <c r="F137">
        <f>RAW_GAMES!H137</f>
        <v>1</v>
      </c>
      <c r="G137">
        <f>RAW_GAMES!I137</f>
        <v>2</v>
      </c>
      <c r="H137">
        <f t="shared" si="12"/>
        <v>-1</v>
      </c>
      <c r="I137">
        <f>RAW_GAMES!J137</f>
        <v>28</v>
      </c>
      <c r="J137">
        <f>RAW_GAMES!K137</f>
        <v>29</v>
      </c>
      <c r="K137">
        <f t="shared" si="13"/>
        <v>-1</v>
      </c>
      <c r="L137" t="str">
        <f>IF(RAW_GAMES!L137="","",RAW_GAMES!L137)</f>
        <v/>
      </c>
      <c r="M137" t="str">
        <f>IF(RAW_GAMES!M137="","",RAW_GAMES!M137)</f>
        <v/>
      </c>
      <c r="N137" t="str">
        <f t="shared" si="14"/>
        <v/>
      </c>
      <c r="O137" s="7">
        <f>RAW_GAMES!O137</f>
        <v>4</v>
      </c>
      <c r="P137">
        <f>RAW_GAMES!N137</f>
        <v>1</v>
      </c>
      <c r="Q137">
        <f t="shared" si="15"/>
        <v>0.25</v>
      </c>
      <c r="R137" s="7">
        <f>RAW_GAMES!Q137</f>
        <v>3</v>
      </c>
      <c r="S137">
        <f>RAW_GAMES!P137</f>
        <v>0</v>
      </c>
      <c r="T137">
        <f t="shared" si="16"/>
        <v>1</v>
      </c>
      <c r="U137">
        <f>_xlfn.XLOOKUP(C137,
  CALC_TEAMS_SEASON!B:B,
  CALC_TEAMS_SEASON!F:F)</f>
        <v>0.16984890109890113</v>
      </c>
      <c r="V137">
        <f>_xlfn.XLOOKUP(D137,
  CALC_TEAMS_SEASON!B:B,
  CALC_TEAMS_SEASON!F:F)</f>
        <v>0.13021353646353648</v>
      </c>
      <c r="W137" t="str">
        <f>RAW_GAMES!R137</f>
        <v>Hrachovina</v>
      </c>
      <c r="X137" s="7">
        <f>RAW_GAMES!S137</f>
        <v>27</v>
      </c>
      <c r="Y137">
        <f t="shared" si="17"/>
        <v>0</v>
      </c>
      <c r="Z137" t="str">
        <f>RAW_GAMES!V137</f>
        <v>RS</v>
      </c>
    </row>
    <row r="138" spans="1:26" x14ac:dyDescent="0.25">
      <c r="A138" t="str">
        <f>RAW_GAMES!A138</f>
        <v>25/26</v>
      </c>
      <c r="B138" s="3">
        <f>RAW_GAMES!B138</f>
        <v>45933</v>
      </c>
      <c r="C138" s="3" t="str">
        <f>RAW_GAMES!E138</f>
        <v>PCE</v>
      </c>
      <c r="D138" s="3" t="str">
        <f>RAW_GAMES!F138</f>
        <v>KVA</v>
      </c>
      <c r="E138" s="7">
        <f>RAW_GAMES!G138</f>
        <v>0</v>
      </c>
      <c r="F138">
        <f>RAW_GAMES!H138</f>
        <v>3</v>
      </c>
      <c r="G138">
        <f>RAW_GAMES!I138</f>
        <v>0</v>
      </c>
      <c r="H138">
        <f t="shared" si="12"/>
        <v>3</v>
      </c>
      <c r="I138">
        <f>RAW_GAMES!J138</f>
        <v>23</v>
      </c>
      <c r="J138">
        <f>RAW_GAMES!K138</f>
        <v>26</v>
      </c>
      <c r="K138">
        <f t="shared" si="13"/>
        <v>-3</v>
      </c>
      <c r="L138">
        <f>IF(RAW_GAMES!L138="","",RAW_GAMES!L138)</f>
        <v>1.89</v>
      </c>
      <c r="M138">
        <f>IF(RAW_GAMES!M138="","",RAW_GAMES!M138)</f>
        <v>2.3199999999999998</v>
      </c>
      <c r="N138">
        <f t="shared" si="14"/>
        <v>-0.42999999999999994</v>
      </c>
      <c r="O138" s="7">
        <f>RAW_GAMES!O138</f>
        <v>3</v>
      </c>
      <c r="P138">
        <f>RAW_GAMES!N138</f>
        <v>0</v>
      </c>
      <c r="Q138">
        <f t="shared" si="15"/>
        <v>0</v>
      </c>
      <c r="R138" s="7">
        <f>RAW_GAMES!Q138</f>
        <v>4</v>
      </c>
      <c r="S138">
        <f>RAW_GAMES!P138</f>
        <v>0</v>
      </c>
      <c r="T138">
        <f t="shared" si="16"/>
        <v>1</v>
      </c>
      <c r="U138">
        <f>_xlfn.XLOOKUP(C138,
  CALC_TEAMS_SEASON!B:B,
  CALC_TEAMS_SEASON!F:F)</f>
        <v>0.20297619047619053</v>
      </c>
      <c r="V138">
        <f>_xlfn.XLOOKUP(D138,
  CALC_TEAMS_SEASON!B:B,
  CALC_TEAMS_SEASON!F:F)</f>
        <v>0.17387057387057389</v>
      </c>
      <c r="W138" t="str">
        <f>RAW_GAMES!R138</f>
        <v>Will</v>
      </c>
      <c r="X138" s="7">
        <f>RAW_GAMES!S138</f>
        <v>26</v>
      </c>
      <c r="Y138">
        <f t="shared" si="17"/>
        <v>1</v>
      </c>
      <c r="Z138" t="str">
        <f>RAW_GAMES!V138</f>
        <v>RS</v>
      </c>
    </row>
    <row r="139" spans="1:26" x14ac:dyDescent="0.25">
      <c r="A139" t="str">
        <f>RAW_GAMES!A139</f>
        <v>25/26</v>
      </c>
      <c r="B139" s="3">
        <f>RAW_GAMES!B139</f>
        <v>45933</v>
      </c>
      <c r="C139" s="3" t="str">
        <f>RAW_GAMES!E139</f>
        <v>TRI</v>
      </c>
      <c r="D139" s="3" t="str">
        <f>RAW_GAMES!F139</f>
        <v>VIT</v>
      </c>
      <c r="E139" s="7">
        <f>RAW_GAMES!G139</f>
        <v>1</v>
      </c>
      <c r="F139">
        <f>RAW_GAMES!H139</f>
        <v>4</v>
      </c>
      <c r="G139">
        <f>RAW_GAMES!I139</f>
        <v>5</v>
      </c>
      <c r="H139">
        <f t="shared" si="12"/>
        <v>-1</v>
      </c>
      <c r="I139">
        <f>RAW_GAMES!J139</f>
        <v>44</v>
      </c>
      <c r="J139">
        <f>RAW_GAMES!K139</f>
        <v>34</v>
      </c>
      <c r="K139">
        <f t="shared" si="13"/>
        <v>10</v>
      </c>
      <c r="L139">
        <f>IF(RAW_GAMES!L139="","",RAW_GAMES!L139)</f>
        <v>3.75</v>
      </c>
      <c r="M139">
        <f>IF(RAW_GAMES!M139="","",RAW_GAMES!M139)</f>
        <v>1.52</v>
      </c>
      <c r="N139">
        <f t="shared" si="14"/>
        <v>2.23</v>
      </c>
      <c r="O139" s="7">
        <f>RAW_GAMES!O139</f>
        <v>5</v>
      </c>
      <c r="P139">
        <f>RAW_GAMES!N139</f>
        <v>0</v>
      </c>
      <c r="Q139">
        <f t="shared" si="15"/>
        <v>0</v>
      </c>
      <c r="R139" s="7">
        <f>RAW_GAMES!Q139</f>
        <v>2</v>
      </c>
      <c r="S139">
        <f>RAW_GAMES!P139</f>
        <v>1</v>
      </c>
      <c r="T139">
        <f t="shared" si="16"/>
        <v>0.5</v>
      </c>
      <c r="U139">
        <f>_xlfn.XLOOKUP(C139,
  CALC_TEAMS_SEASON!B:B,
  CALC_TEAMS_SEASON!F:F)</f>
        <v>0.17437423687423692</v>
      </c>
      <c r="V139">
        <f>_xlfn.XLOOKUP(D139,
  CALC_TEAMS_SEASON!B:B,
  CALC_TEAMS_SEASON!F:F)</f>
        <v>0.16984890109890113</v>
      </c>
      <c r="W139" t="str">
        <f>RAW_GAMES!R139</f>
        <v>Kacetl</v>
      </c>
      <c r="X139" s="7">
        <f>RAW_GAMES!S139</f>
        <v>30</v>
      </c>
      <c r="Y139">
        <f t="shared" si="17"/>
        <v>0</v>
      </c>
      <c r="Z139" t="str">
        <f>RAW_GAMES!V139</f>
        <v>RS</v>
      </c>
    </row>
    <row r="140" spans="1:26" x14ac:dyDescent="0.25">
      <c r="A140" t="str">
        <f>RAW_GAMES!A140</f>
        <v>25/26</v>
      </c>
      <c r="B140" s="3">
        <f>RAW_GAMES!B140</f>
        <v>45933</v>
      </c>
      <c r="C140" s="3" t="str">
        <f>RAW_GAMES!E140</f>
        <v>SPA</v>
      </c>
      <c r="D140" s="3" t="str">
        <f>RAW_GAMES!F140</f>
        <v>MHK</v>
      </c>
      <c r="E140" s="7">
        <f>RAW_GAMES!G140</f>
        <v>1</v>
      </c>
      <c r="F140">
        <f>RAW_GAMES!H140</f>
        <v>0</v>
      </c>
      <c r="G140">
        <f>RAW_GAMES!I140</f>
        <v>2</v>
      </c>
      <c r="H140">
        <f t="shared" si="12"/>
        <v>-2</v>
      </c>
      <c r="I140">
        <f>RAW_GAMES!J140</f>
        <v>36</v>
      </c>
      <c r="J140">
        <f>RAW_GAMES!K140</f>
        <v>29</v>
      </c>
      <c r="K140">
        <f t="shared" si="13"/>
        <v>7</v>
      </c>
      <c r="L140">
        <f>IF(RAW_GAMES!L140="","",RAW_GAMES!L140)</f>
        <v>2.88</v>
      </c>
      <c r="M140">
        <f>IF(RAW_GAMES!M140="","",RAW_GAMES!M140)</f>
        <v>2.74</v>
      </c>
      <c r="N140">
        <f t="shared" si="14"/>
        <v>0.13999999999999968</v>
      </c>
      <c r="O140" s="7">
        <f>RAW_GAMES!O140</f>
        <v>4</v>
      </c>
      <c r="P140">
        <f>RAW_GAMES!N140</f>
        <v>0</v>
      </c>
      <c r="Q140">
        <f t="shared" si="15"/>
        <v>0</v>
      </c>
      <c r="R140" s="7">
        <f>RAW_GAMES!Q140</f>
        <v>5</v>
      </c>
      <c r="S140">
        <f>RAW_GAMES!P140</f>
        <v>0</v>
      </c>
      <c r="T140">
        <f t="shared" si="16"/>
        <v>1</v>
      </c>
      <c r="U140">
        <f>_xlfn.XLOOKUP(C140,
  CALC_TEAMS_SEASON!B:B,
  CALC_TEAMS_SEASON!F:F)</f>
        <v>0.22060439560439565</v>
      </c>
      <c r="V140">
        <f>_xlfn.XLOOKUP(D140,
  CALC_TEAMS_SEASON!B:B,
  CALC_TEAMS_SEASON!F:F)</f>
        <v>0.14184981684981687</v>
      </c>
      <c r="W140" t="str">
        <f>RAW_GAMES!R140</f>
        <v>Michajlov</v>
      </c>
      <c r="X140" s="7">
        <f>RAW_GAMES!S140</f>
        <v>27</v>
      </c>
      <c r="Y140">
        <f t="shared" si="17"/>
        <v>0</v>
      </c>
      <c r="Z140" t="str">
        <f>RAW_GAMES!V140</f>
        <v>RS</v>
      </c>
    </row>
    <row r="141" spans="1:26" x14ac:dyDescent="0.25">
      <c r="A141" t="str">
        <f>RAW_GAMES!A141</f>
        <v>25/26</v>
      </c>
      <c r="B141" s="3">
        <f>RAW_GAMES!B141</f>
        <v>45933</v>
      </c>
      <c r="C141" s="3" t="str">
        <f>RAW_GAMES!E141</f>
        <v>KOM</v>
      </c>
      <c r="D141" s="3" t="str">
        <f>RAW_GAMES!F141</f>
        <v>KLA</v>
      </c>
      <c r="E141" s="7">
        <f>RAW_GAMES!G141</f>
        <v>1</v>
      </c>
      <c r="F141">
        <f>RAW_GAMES!H141</f>
        <v>3</v>
      </c>
      <c r="G141">
        <f>RAW_GAMES!I141</f>
        <v>4</v>
      </c>
      <c r="H141">
        <f t="shared" si="12"/>
        <v>-1</v>
      </c>
      <c r="I141">
        <f>RAW_GAMES!J141</f>
        <v>35</v>
      </c>
      <c r="J141">
        <f>RAW_GAMES!K141</f>
        <v>37</v>
      </c>
      <c r="K141">
        <f t="shared" si="13"/>
        <v>-2</v>
      </c>
      <c r="L141">
        <f>IF(RAW_GAMES!L141="","",RAW_GAMES!L141)</f>
        <v>2.21</v>
      </c>
      <c r="M141">
        <f>IF(RAW_GAMES!M141="","",RAW_GAMES!M141)</f>
        <v>2.25</v>
      </c>
      <c r="N141">
        <f t="shared" si="14"/>
        <v>-4.0000000000000036E-2</v>
      </c>
      <c r="O141" s="7">
        <f>RAW_GAMES!O141</f>
        <v>6</v>
      </c>
      <c r="P141">
        <f>RAW_GAMES!N141</f>
        <v>0</v>
      </c>
      <c r="Q141">
        <f t="shared" si="15"/>
        <v>0</v>
      </c>
      <c r="R141" s="7">
        <f>RAW_GAMES!Q141</f>
        <v>3</v>
      </c>
      <c r="S141">
        <f>RAW_GAMES!P141</f>
        <v>0</v>
      </c>
      <c r="T141">
        <f t="shared" si="16"/>
        <v>1</v>
      </c>
      <c r="U141">
        <f>_xlfn.XLOOKUP(C141,
  CALC_TEAMS_SEASON!B:B,
  CALC_TEAMS_SEASON!F:F)</f>
        <v>0.14358974358974358</v>
      </c>
      <c r="V141">
        <f>_xlfn.XLOOKUP(D141,
  CALC_TEAMS_SEASON!B:B,
  CALC_TEAMS_SEASON!F:F)</f>
        <v>0.13120421245421243</v>
      </c>
      <c r="W141" t="str">
        <f>RAW_GAMES!R141</f>
        <v>Stezka</v>
      </c>
      <c r="X141" s="7">
        <f>RAW_GAMES!S141</f>
        <v>34</v>
      </c>
      <c r="Y141">
        <f t="shared" si="17"/>
        <v>0</v>
      </c>
      <c r="Z141" t="str">
        <f>RAW_GAMES!V141</f>
        <v>RS</v>
      </c>
    </row>
    <row r="142" spans="1:26" x14ac:dyDescent="0.25">
      <c r="A142" t="str">
        <f>RAW_GAMES!A142</f>
        <v>25/26</v>
      </c>
      <c r="B142" s="3">
        <f>RAW_GAMES!B142</f>
        <v>45933</v>
      </c>
      <c r="C142" s="3" t="str">
        <f>RAW_GAMES!E142</f>
        <v>CEB</v>
      </c>
      <c r="D142" s="3" t="str">
        <f>RAW_GAMES!F142</f>
        <v>MBL</v>
      </c>
      <c r="E142" s="7">
        <f>RAW_GAMES!G142</f>
        <v>0</v>
      </c>
      <c r="F142">
        <f>RAW_GAMES!H142</f>
        <v>4</v>
      </c>
      <c r="G142">
        <f>RAW_GAMES!I142</f>
        <v>3</v>
      </c>
      <c r="H142">
        <f t="shared" si="12"/>
        <v>1</v>
      </c>
      <c r="I142">
        <f>RAW_GAMES!J142</f>
        <v>18</v>
      </c>
      <c r="J142">
        <f>RAW_GAMES!K142</f>
        <v>27</v>
      </c>
      <c r="K142">
        <f t="shared" si="13"/>
        <v>-9</v>
      </c>
      <c r="L142" t="str">
        <f>IF(RAW_GAMES!L142="","",RAW_GAMES!L142)</f>
        <v/>
      </c>
      <c r="M142" t="str">
        <f>IF(RAW_GAMES!M142="","",RAW_GAMES!M142)</f>
        <v/>
      </c>
      <c r="N142" t="str">
        <f t="shared" si="14"/>
        <v/>
      </c>
      <c r="O142" s="7">
        <f>RAW_GAMES!O142</f>
        <v>3</v>
      </c>
      <c r="P142">
        <f>RAW_GAMES!N142</f>
        <v>2</v>
      </c>
      <c r="Q142">
        <f t="shared" si="15"/>
        <v>0.66666666666666663</v>
      </c>
      <c r="R142" s="7">
        <f>RAW_GAMES!Q142</f>
        <v>3</v>
      </c>
      <c r="S142">
        <f>RAW_GAMES!P142</f>
        <v>1</v>
      </c>
      <c r="T142">
        <f t="shared" si="16"/>
        <v>0.66666666666666674</v>
      </c>
      <c r="U142">
        <f>_xlfn.XLOOKUP(C142,
  CALC_TEAMS_SEASON!B:B,
  CALC_TEAMS_SEASON!F:F)</f>
        <v>0.13021353646353648</v>
      </c>
      <c r="V142">
        <f>_xlfn.XLOOKUP(D142,
  CALC_TEAMS_SEASON!B:B,
  CALC_TEAMS_SEASON!F:F)</f>
        <v>0.11826923076923078</v>
      </c>
      <c r="W142" t="str">
        <f>RAW_GAMES!R142</f>
        <v>Klouček</v>
      </c>
      <c r="X142" s="7">
        <f>RAW_GAMES!S142</f>
        <v>24</v>
      </c>
      <c r="Y142">
        <f t="shared" si="17"/>
        <v>1</v>
      </c>
      <c r="Z142" t="str">
        <f>RAW_GAMES!V142</f>
        <v>RS</v>
      </c>
    </row>
    <row r="143" spans="1:26" x14ac:dyDescent="0.25">
      <c r="A143" t="str">
        <f>RAW_GAMES!A143</f>
        <v>25/26</v>
      </c>
      <c r="B143" s="3">
        <f>RAW_GAMES!B143</f>
        <v>45933</v>
      </c>
      <c r="C143" s="3" t="str">
        <f>RAW_GAMES!E143</f>
        <v>KLA</v>
      </c>
      <c r="D143" s="3" t="str">
        <f>RAW_GAMES!F143</f>
        <v>KOM</v>
      </c>
      <c r="E143" s="7">
        <f>RAW_GAMES!G143</f>
        <v>0</v>
      </c>
      <c r="F143">
        <f>RAW_GAMES!H143</f>
        <v>4</v>
      </c>
      <c r="G143">
        <f>RAW_GAMES!I143</f>
        <v>3</v>
      </c>
      <c r="H143">
        <f t="shared" si="12"/>
        <v>1</v>
      </c>
      <c r="I143">
        <f>RAW_GAMES!J143</f>
        <v>37</v>
      </c>
      <c r="J143">
        <f>RAW_GAMES!K143</f>
        <v>35</v>
      </c>
      <c r="K143">
        <f t="shared" si="13"/>
        <v>2</v>
      </c>
      <c r="L143">
        <f>IF(RAW_GAMES!L143="","",RAW_GAMES!L143)</f>
        <v>2.25</v>
      </c>
      <c r="M143">
        <f>IF(RAW_GAMES!M143="","",RAW_GAMES!M143)</f>
        <v>2.21</v>
      </c>
      <c r="N143">
        <f t="shared" si="14"/>
        <v>4.0000000000000036E-2</v>
      </c>
      <c r="O143" s="7">
        <f>RAW_GAMES!O143</f>
        <v>3</v>
      </c>
      <c r="P143">
        <f>RAW_GAMES!N143</f>
        <v>0</v>
      </c>
      <c r="Q143">
        <f t="shared" si="15"/>
        <v>0</v>
      </c>
      <c r="R143" s="7">
        <f>RAW_GAMES!Q143</f>
        <v>6</v>
      </c>
      <c r="S143">
        <f>RAW_GAMES!P143</f>
        <v>0</v>
      </c>
      <c r="T143">
        <f t="shared" si="16"/>
        <v>1</v>
      </c>
      <c r="U143">
        <f>_xlfn.XLOOKUP(C143,
  CALC_TEAMS_SEASON!B:B,
  CALC_TEAMS_SEASON!F:F)</f>
        <v>0.13120421245421243</v>
      </c>
      <c r="V143">
        <f>_xlfn.XLOOKUP(D143,
  CALC_TEAMS_SEASON!B:B,
  CALC_TEAMS_SEASON!F:F)</f>
        <v>0.14358974358974358</v>
      </c>
      <c r="W143" t="str">
        <f>RAW_GAMES!R143</f>
        <v>Brízgala</v>
      </c>
      <c r="X143" s="7">
        <f>RAW_GAMES!S143</f>
        <v>32</v>
      </c>
      <c r="Y143">
        <f t="shared" si="17"/>
        <v>1</v>
      </c>
      <c r="Z143" t="str">
        <f>RAW_GAMES!V143</f>
        <v>RS</v>
      </c>
    </row>
    <row r="144" spans="1:26" x14ac:dyDescent="0.25">
      <c r="A144" t="str">
        <f>RAW_GAMES!A144</f>
        <v>25/26</v>
      </c>
      <c r="B144" s="3">
        <f>RAW_GAMES!B144</f>
        <v>45933</v>
      </c>
      <c r="C144" s="3" t="str">
        <f>RAW_GAMES!E144</f>
        <v>KVA</v>
      </c>
      <c r="D144" s="3" t="str">
        <f>RAW_GAMES!F144</f>
        <v>PCE</v>
      </c>
      <c r="E144" s="7">
        <f>RAW_GAMES!G144</f>
        <v>1</v>
      </c>
      <c r="F144">
        <f>RAW_GAMES!H144</f>
        <v>0</v>
      </c>
      <c r="G144">
        <f>RAW_GAMES!I144</f>
        <v>3</v>
      </c>
      <c r="H144">
        <f t="shared" si="12"/>
        <v>-3</v>
      </c>
      <c r="I144">
        <f>RAW_GAMES!J144</f>
        <v>26</v>
      </c>
      <c r="J144">
        <f>RAW_GAMES!K144</f>
        <v>23</v>
      </c>
      <c r="K144">
        <f t="shared" si="13"/>
        <v>3</v>
      </c>
      <c r="L144">
        <f>IF(RAW_GAMES!L144="","",RAW_GAMES!L144)</f>
        <v>2.3199999999999998</v>
      </c>
      <c r="M144">
        <f>IF(RAW_GAMES!M144="","",RAW_GAMES!M144)</f>
        <v>1.89</v>
      </c>
      <c r="N144">
        <f t="shared" si="14"/>
        <v>0.42999999999999994</v>
      </c>
      <c r="O144" s="7">
        <f>RAW_GAMES!O144</f>
        <v>4</v>
      </c>
      <c r="P144">
        <f>RAW_GAMES!N144</f>
        <v>0</v>
      </c>
      <c r="Q144">
        <f t="shared" si="15"/>
        <v>0</v>
      </c>
      <c r="R144" s="7">
        <f>RAW_GAMES!Q144</f>
        <v>3</v>
      </c>
      <c r="S144">
        <f>RAW_GAMES!P144</f>
        <v>0</v>
      </c>
      <c r="T144">
        <f t="shared" si="16"/>
        <v>1</v>
      </c>
      <c r="U144">
        <f>_xlfn.XLOOKUP(C144,
  CALC_TEAMS_SEASON!B:B,
  CALC_TEAMS_SEASON!F:F)</f>
        <v>0.17387057387057389</v>
      </c>
      <c r="V144">
        <f>_xlfn.XLOOKUP(D144,
  CALC_TEAMS_SEASON!B:B,
  CALC_TEAMS_SEASON!F:F)</f>
        <v>0.20297619047619053</v>
      </c>
      <c r="W144" t="str">
        <f>RAW_GAMES!R144</f>
        <v>Frodl</v>
      </c>
      <c r="X144" s="7">
        <f>RAW_GAMES!S144</f>
        <v>20</v>
      </c>
      <c r="Y144">
        <f t="shared" si="17"/>
        <v>0</v>
      </c>
      <c r="Z144" t="str">
        <f>RAW_GAMES!V144</f>
        <v>RS</v>
      </c>
    </row>
    <row r="145" spans="1:26" x14ac:dyDescent="0.25">
      <c r="A145" t="str">
        <f>RAW_GAMES!A145</f>
        <v>25/26</v>
      </c>
      <c r="B145" s="3">
        <f>RAW_GAMES!B145</f>
        <v>45933</v>
      </c>
      <c r="C145" s="3" t="str">
        <f>RAW_GAMES!E145</f>
        <v>LIB</v>
      </c>
      <c r="D145" s="3" t="str">
        <f>RAW_GAMES!F145</f>
        <v>OLO</v>
      </c>
      <c r="E145" s="7">
        <f>RAW_GAMES!G145</f>
        <v>0</v>
      </c>
      <c r="F145">
        <f>RAW_GAMES!H145</f>
        <v>1</v>
      </c>
      <c r="G145">
        <f>RAW_GAMES!I145</f>
        <v>0</v>
      </c>
      <c r="H145">
        <f t="shared" si="12"/>
        <v>1</v>
      </c>
      <c r="I145">
        <f>RAW_GAMES!J145</f>
        <v>28</v>
      </c>
      <c r="J145">
        <f>RAW_GAMES!K145</f>
        <v>30</v>
      </c>
      <c r="K145">
        <f t="shared" si="13"/>
        <v>-2</v>
      </c>
      <c r="L145" t="str">
        <f>IF(RAW_GAMES!L145="","",RAW_GAMES!L145)</f>
        <v/>
      </c>
      <c r="M145" t="str">
        <f>IF(RAW_GAMES!M145="","",RAW_GAMES!M145)</f>
        <v/>
      </c>
      <c r="N145" t="str">
        <f t="shared" si="14"/>
        <v/>
      </c>
      <c r="O145" s="7">
        <f>RAW_GAMES!O145</f>
        <v>2</v>
      </c>
      <c r="P145">
        <f>RAW_GAMES!N145</f>
        <v>0</v>
      </c>
      <c r="Q145">
        <f t="shared" si="15"/>
        <v>0</v>
      </c>
      <c r="R145" s="7">
        <f>RAW_GAMES!Q145</f>
        <v>5</v>
      </c>
      <c r="S145">
        <f>RAW_GAMES!P145</f>
        <v>0</v>
      </c>
      <c r="T145">
        <f t="shared" si="16"/>
        <v>1</v>
      </c>
      <c r="U145">
        <f>_xlfn.XLOOKUP(C145,
  CALC_TEAMS_SEASON!B:B,
  CALC_TEAMS_SEASON!F:F)</f>
        <v>0.14377289377289379</v>
      </c>
      <c r="V145">
        <f>_xlfn.XLOOKUP(D145,
  CALC_TEAMS_SEASON!B:B,
  CALC_TEAMS_SEASON!F:F)</f>
        <v>0.14989316239316242</v>
      </c>
      <c r="W145" t="str">
        <f>RAW_GAMES!R145</f>
        <v>Hamalčík</v>
      </c>
      <c r="X145" s="7">
        <f>RAW_GAMES!S145</f>
        <v>30</v>
      </c>
      <c r="Y145">
        <f t="shared" si="17"/>
        <v>1</v>
      </c>
      <c r="Z145" t="str">
        <f>RAW_GAMES!V145</f>
        <v>RS</v>
      </c>
    </row>
    <row r="146" spans="1:26" x14ac:dyDescent="0.25">
      <c r="A146" t="str">
        <f>RAW_GAMES!A146</f>
        <v>25/26</v>
      </c>
      <c r="B146" s="3">
        <f>RAW_GAMES!B146</f>
        <v>45933</v>
      </c>
      <c r="C146" s="3" t="str">
        <f>RAW_GAMES!E146</f>
        <v>LIT</v>
      </c>
      <c r="D146" s="3" t="str">
        <f>RAW_GAMES!F146</f>
        <v>PLZ</v>
      </c>
      <c r="E146" s="7">
        <f>RAW_GAMES!G146</f>
        <v>1</v>
      </c>
      <c r="F146">
        <f>RAW_GAMES!H146</f>
        <v>1</v>
      </c>
      <c r="G146">
        <f>RAW_GAMES!I146</f>
        <v>2</v>
      </c>
      <c r="H146">
        <f t="shared" si="12"/>
        <v>-1</v>
      </c>
      <c r="I146">
        <f>RAW_GAMES!J146</f>
        <v>22</v>
      </c>
      <c r="J146">
        <f>RAW_GAMES!K146</f>
        <v>21</v>
      </c>
      <c r="K146">
        <f t="shared" si="13"/>
        <v>1</v>
      </c>
      <c r="L146" t="str">
        <f>IF(RAW_GAMES!L146="","",RAW_GAMES!L146)</f>
        <v/>
      </c>
      <c r="M146" t="str">
        <f>IF(RAW_GAMES!M146="","",RAW_GAMES!M146)</f>
        <v/>
      </c>
      <c r="N146" t="str">
        <f t="shared" si="14"/>
        <v/>
      </c>
      <c r="O146" s="7">
        <f>RAW_GAMES!O146</f>
        <v>4</v>
      </c>
      <c r="P146">
        <f>RAW_GAMES!N146</f>
        <v>0</v>
      </c>
      <c r="Q146">
        <f t="shared" si="15"/>
        <v>0</v>
      </c>
      <c r="R146" s="7">
        <f>RAW_GAMES!Q146</f>
        <v>3</v>
      </c>
      <c r="S146">
        <f>RAW_GAMES!P146</f>
        <v>0</v>
      </c>
      <c r="T146">
        <f t="shared" si="16"/>
        <v>1</v>
      </c>
      <c r="U146">
        <f>_xlfn.XLOOKUP(C146,
  CALC_TEAMS_SEASON!B:B,
  CALC_TEAMS_SEASON!F:F)</f>
        <v>0.10089285714285713</v>
      </c>
      <c r="V146">
        <f>_xlfn.XLOOKUP(D146,
  CALC_TEAMS_SEASON!B:B,
  CALC_TEAMS_SEASON!F:F)</f>
        <v>0.17641178266178262</v>
      </c>
      <c r="W146" t="str">
        <f>RAW_GAMES!R146</f>
        <v>Tomek</v>
      </c>
      <c r="X146" s="7">
        <f>RAW_GAMES!S146</f>
        <v>19</v>
      </c>
      <c r="Y146">
        <f t="shared" si="17"/>
        <v>0</v>
      </c>
      <c r="Z146" t="str">
        <f>RAW_GAMES!V146</f>
        <v>RS</v>
      </c>
    </row>
    <row r="147" spans="1:26" x14ac:dyDescent="0.25">
      <c r="A147" t="str">
        <f>RAW_GAMES!A147</f>
        <v>25/26</v>
      </c>
      <c r="B147" s="3">
        <f>RAW_GAMES!B147</f>
        <v>45933</v>
      </c>
      <c r="C147" s="3" t="str">
        <f>RAW_GAMES!E147</f>
        <v>MBL</v>
      </c>
      <c r="D147" s="3" t="str">
        <f>RAW_GAMES!F147</f>
        <v>CEB</v>
      </c>
      <c r="E147" s="7">
        <f>RAW_GAMES!G147</f>
        <v>1</v>
      </c>
      <c r="F147">
        <f>RAW_GAMES!H147</f>
        <v>3</v>
      </c>
      <c r="G147">
        <f>RAW_GAMES!I147</f>
        <v>4</v>
      </c>
      <c r="H147">
        <f t="shared" si="12"/>
        <v>-1</v>
      </c>
      <c r="I147">
        <f>RAW_GAMES!J147</f>
        <v>27</v>
      </c>
      <c r="J147">
        <f>RAW_GAMES!K147</f>
        <v>18</v>
      </c>
      <c r="K147">
        <f t="shared" si="13"/>
        <v>9</v>
      </c>
      <c r="L147" t="str">
        <f>IF(RAW_GAMES!L147="","",RAW_GAMES!L147)</f>
        <v/>
      </c>
      <c r="M147" t="str">
        <f>IF(RAW_GAMES!M147="","",RAW_GAMES!M147)</f>
        <v/>
      </c>
      <c r="N147" t="str">
        <f t="shared" si="14"/>
        <v/>
      </c>
      <c r="O147" s="7">
        <f>RAW_GAMES!O147</f>
        <v>3</v>
      </c>
      <c r="P147">
        <f>RAW_GAMES!N147</f>
        <v>1</v>
      </c>
      <c r="Q147">
        <f t="shared" si="15"/>
        <v>0.33333333333333331</v>
      </c>
      <c r="R147" s="7">
        <f>RAW_GAMES!Q147</f>
        <v>3</v>
      </c>
      <c r="S147">
        <f>RAW_GAMES!P147</f>
        <v>2</v>
      </c>
      <c r="T147">
        <f t="shared" si="16"/>
        <v>0.33333333333333337</v>
      </c>
      <c r="U147">
        <f>_xlfn.XLOOKUP(C147,
  CALC_TEAMS_SEASON!B:B,
  CALC_TEAMS_SEASON!F:F)</f>
        <v>0.11826923076923078</v>
      </c>
      <c r="V147">
        <f>_xlfn.XLOOKUP(D147,
  CALC_TEAMS_SEASON!B:B,
  CALC_TEAMS_SEASON!F:F)</f>
        <v>0.13021353646353648</v>
      </c>
      <c r="W147" t="str">
        <f>RAW_GAMES!R147</f>
        <v>Furch</v>
      </c>
      <c r="X147" s="7">
        <f>RAW_GAMES!S147</f>
        <v>14</v>
      </c>
      <c r="Y147">
        <f t="shared" si="17"/>
        <v>0</v>
      </c>
      <c r="Z147" t="str">
        <f>RAW_GAMES!V147</f>
        <v>RS</v>
      </c>
    </row>
    <row r="148" spans="1:26" x14ac:dyDescent="0.25">
      <c r="A148" t="str">
        <f>RAW_GAMES!A148</f>
        <v>25/26</v>
      </c>
      <c r="B148" s="3">
        <f>RAW_GAMES!B148</f>
        <v>45933</v>
      </c>
      <c r="C148" s="3" t="str">
        <f>RAW_GAMES!E148</f>
        <v>MHK</v>
      </c>
      <c r="D148" s="3" t="str">
        <f>RAW_GAMES!F148</f>
        <v>SPA</v>
      </c>
      <c r="E148" s="7">
        <f>RAW_GAMES!G148</f>
        <v>0</v>
      </c>
      <c r="F148">
        <f>RAW_GAMES!H148</f>
        <v>2</v>
      </c>
      <c r="G148">
        <f>RAW_GAMES!I148</f>
        <v>0</v>
      </c>
      <c r="H148">
        <f t="shared" si="12"/>
        <v>2</v>
      </c>
      <c r="I148">
        <f>RAW_GAMES!J148</f>
        <v>29</v>
      </c>
      <c r="J148">
        <f>RAW_GAMES!K148</f>
        <v>36</v>
      </c>
      <c r="K148">
        <f t="shared" si="13"/>
        <v>-7</v>
      </c>
      <c r="L148">
        <f>IF(RAW_GAMES!L148="","",RAW_GAMES!L148)</f>
        <v>2.74</v>
      </c>
      <c r="M148">
        <f>IF(RAW_GAMES!M148="","",RAW_GAMES!M148)</f>
        <v>2.88</v>
      </c>
      <c r="N148">
        <f t="shared" si="14"/>
        <v>-0.13999999999999968</v>
      </c>
      <c r="O148" s="7">
        <f>RAW_GAMES!O148</f>
        <v>5</v>
      </c>
      <c r="P148">
        <f>RAW_GAMES!N148</f>
        <v>0</v>
      </c>
      <c r="Q148">
        <f t="shared" si="15"/>
        <v>0</v>
      </c>
      <c r="R148" s="7">
        <f>RAW_GAMES!Q148</f>
        <v>4</v>
      </c>
      <c r="S148">
        <f>RAW_GAMES!P148</f>
        <v>0</v>
      </c>
      <c r="T148">
        <f t="shared" si="16"/>
        <v>1</v>
      </c>
      <c r="U148">
        <f>_xlfn.XLOOKUP(C148,
  CALC_TEAMS_SEASON!B:B,
  CALC_TEAMS_SEASON!F:F)</f>
        <v>0.14184981684981687</v>
      </c>
      <c r="V148">
        <f>_xlfn.XLOOKUP(D148,
  CALC_TEAMS_SEASON!B:B,
  CALC_TEAMS_SEASON!F:F)</f>
        <v>0.22060439560439565</v>
      </c>
      <c r="W148" t="str">
        <f>RAW_GAMES!R148</f>
        <v>Škorvánek</v>
      </c>
      <c r="X148" s="7">
        <f>RAW_GAMES!S148</f>
        <v>36</v>
      </c>
      <c r="Y148">
        <f t="shared" si="17"/>
        <v>1</v>
      </c>
      <c r="Z148" t="str">
        <f>RAW_GAMES!V148</f>
        <v>RS</v>
      </c>
    </row>
    <row r="149" spans="1:26" x14ac:dyDescent="0.25">
      <c r="A149" t="str">
        <f>RAW_GAMES!A149</f>
        <v>25/26</v>
      </c>
      <c r="B149" s="3">
        <f>RAW_GAMES!B149</f>
        <v>45933</v>
      </c>
      <c r="C149" s="3" t="str">
        <f>RAW_GAMES!E149</f>
        <v>OLO</v>
      </c>
      <c r="D149" s="3" t="str">
        <f>RAW_GAMES!F149</f>
        <v>LIB</v>
      </c>
      <c r="E149" s="7">
        <f>RAW_GAMES!G149</f>
        <v>1</v>
      </c>
      <c r="F149">
        <f>RAW_GAMES!H149</f>
        <v>0</v>
      </c>
      <c r="G149">
        <f>RAW_GAMES!I149</f>
        <v>1</v>
      </c>
      <c r="H149">
        <f t="shared" si="12"/>
        <v>-1</v>
      </c>
      <c r="I149">
        <f>RAW_GAMES!J149</f>
        <v>30</v>
      </c>
      <c r="J149">
        <f>RAW_GAMES!K149</f>
        <v>28</v>
      </c>
      <c r="K149">
        <f t="shared" si="13"/>
        <v>2</v>
      </c>
      <c r="L149" t="str">
        <f>IF(RAW_GAMES!L149="","",RAW_GAMES!L149)</f>
        <v/>
      </c>
      <c r="M149" t="str">
        <f>IF(RAW_GAMES!M149="","",RAW_GAMES!M149)</f>
        <v/>
      </c>
      <c r="N149" t="str">
        <f t="shared" si="14"/>
        <v/>
      </c>
      <c r="O149" s="7">
        <f>RAW_GAMES!O149</f>
        <v>5</v>
      </c>
      <c r="P149">
        <f>RAW_GAMES!N149</f>
        <v>0</v>
      </c>
      <c r="Q149">
        <f t="shared" si="15"/>
        <v>0</v>
      </c>
      <c r="R149" s="7">
        <f>RAW_GAMES!Q149</f>
        <v>2</v>
      </c>
      <c r="S149">
        <f>RAW_GAMES!P149</f>
        <v>0</v>
      </c>
      <c r="T149">
        <f t="shared" si="16"/>
        <v>1</v>
      </c>
      <c r="U149">
        <f>_xlfn.XLOOKUP(C149,
  CALC_TEAMS_SEASON!B:B,
  CALC_TEAMS_SEASON!F:F)</f>
        <v>0.14989316239316242</v>
      </c>
      <c r="V149">
        <f>_xlfn.XLOOKUP(D149,
  CALC_TEAMS_SEASON!B:B,
  CALC_TEAMS_SEASON!F:F)</f>
        <v>0.14377289377289379</v>
      </c>
      <c r="W149" t="str">
        <f>RAW_GAMES!R149</f>
        <v>Machovský</v>
      </c>
      <c r="X149" s="7">
        <f>RAW_GAMES!S149</f>
        <v>27</v>
      </c>
      <c r="Y149">
        <f t="shared" si="17"/>
        <v>0</v>
      </c>
      <c r="Z149" t="str">
        <f>RAW_GAMES!V149</f>
        <v>RS</v>
      </c>
    </row>
    <row r="150" spans="1:26" x14ac:dyDescent="0.25">
      <c r="A150" t="str">
        <f>RAW_GAMES!A150</f>
        <v>25/26</v>
      </c>
      <c r="B150" s="3">
        <f>RAW_GAMES!B150</f>
        <v>45933</v>
      </c>
      <c r="C150" s="3" t="str">
        <f>RAW_GAMES!E150</f>
        <v>PLZ</v>
      </c>
      <c r="D150" s="3" t="str">
        <f>RAW_GAMES!F150</f>
        <v>LIT</v>
      </c>
      <c r="E150" s="7">
        <f>RAW_GAMES!G150</f>
        <v>0</v>
      </c>
      <c r="F150">
        <f>RAW_GAMES!H150</f>
        <v>2</v>
      </c>
      <c r="G150">
        <f>RAW_GAMES!I150</f>
        <v>1</v>
      </c>
      <c r="H150">
        <f t="shared" si="12"/>
        <v>1</v>
      </c>
      <c r="I150">
        <f>RAW_GAMES!J150</f>
        <v>21</v>
      </c>
      <c r="J150">
        <f>RAW_GAMES!K150</f>
        <v>22</v>
      </c>
      <c r="K150">
        <f t="shared" si="13"/>
        <v>-1</v>
      </c>
      <c r="L150" t="str">
        <f>IF(RAW_GAMES!L150="","",RAW_GAMES!L150)</f>
        <v/>
      </c>
      <c r="M150" t="str">
        <f>IF(RAW_GAMES!M150="","",RAW_GAMES!M150)</f>
        <v/>
      </c>
      <c r="N150" t="str">
        <f t="shared" si="14"/>
        <v/>
      </c>
      <c r="O150" s="7">
        <f>RAW_GAMES!O150</f>
        <v>3</v>
      </c>
      <c r="P150">
        <f>RAW_GAMES!N150</f>
        <v>0</v>
      </c>
      <c r="Q150">
        <f t="shared" si="15"/>
        <v>0</v>
      </c>
      <c r="R150" s="7">
        <f>RAW_GAMES!Q150</f>
        <v>4</v>
      </c>
      <c r="S150">
        <f>RAW_GAMES!P150</f>
        <v>0</v>
      </c>
      <c r="T150">
        <f t="shared" si="16"/>
        <v>1</v>
      </c>
      <c r="U150">
        <f>_xlfn.XLOOKUP(C150,
  CALC_TEAMS_SEASON!B:B,
  CALC_TEAMS_SEASON!F:F)</f>
        <v>0.17641178266178262</v>
      </c>
      <c r="V150">
        <f>_xlfn.XLOOKUP(D150,
  CALC_TEAMS_SEASON!B:B,
  CALC_TEAMS_SEASON!F:F)</f>
        <v>0.10089285714285713</v>
      </c>
      <c r="W150" t="str">
        <f>RAW_GAMES!R150</f>
        <v>Malík</v>
      </c>
      <c r="X150" s="7">
        <f>RAW_GAMES!S150</f>
        <v>21</v>
      </c>
      <c r="Y150">
        <f t="shared" si="17"/>
        <v>1</v>
      </c>
      <c r="Z150" t="str">
        <f>RAW_GAMES!V150</f>
        <v>RS</v>
      </c>
    </row>
    <row r="151" spans="1:26" x14ac:dyDescent="0.25">
      <c r="A151" t="str">
        <f>RAW_GAMES!A151</f>
        <v>25/26</v>
      </c>
      <c r="B151" s="3">
        <f>RAW_GAMES!B151</f>
        <v>45933</v>
      </c>
      <c r="C151" s="3" t="str">
        <f>RAW_GAMES!E151</f>
        <v>VIT</v>
      </c>
      <c r="D151" s="3" t="str">
        <f>RAW_GAMES!F151</f>
        <v>TRI</v>
      </c>
      <c r="E151" s="7">
        <f>RAW_GAMES!G151</f>
        <v>0</v>
      </c>
      <c r="F151">
        <f>RAW_GAMES!H151</f>
        <v>5</v>
      </c>
      <c r="G151">
        <f>RAW_GAMES!I151</f>
        <v>4</v>
      </c>
      <c r="H151">
        <f t="shared" si="12"/>
        <v>1</v>
      </c>
      <c r="I151">
        <f>RAW_GAMES!J151</f>
        <v>34</v>
      </c>
      <c r="J151">
        <f>RAW_GAMES!K151</f>
        <v>44</v>
      </c>
      <c r="K151">
        <f t="shared" si="13"/>
        <v>-10</v>
      </c>
      <c r="L151">
        <f>IF(RAW_GAMES!L151="","",RAW_GAMES!L151)</f>
        <v>1.52</v>
      </c>
      <c r="M151">
        <f>IF(RAW_GAMES!M151="","",RAW_GAMES!M151)</f>
        <v>3.75</v>
      </c>
      <c r="N151">
        <f t="shared" si="14"/>
        <v>-2.23</v>
      </c>
      <c r="O151" s="7">
        <f>RAW_GAMES!O151</f>
        <v>2</v>
      </c>
      <c r="P151">
        <f>RAW_GAMES!N151</f>
        <v>1</v>
      </c>
      <c r="Q151">
        <f t="shared" si="15"/>
        <v>0.5</v>
      </c>
      <c r="R151" s="7">
        <f>RAW_GAMES!Q151</f>
        <v>5</v>
      </c>
      <c r="S151">
        <f>RAW_GAMES!P151</f>
        <v>0</v>
      </c>
      <c r="T151">
        <f t="shared" si="16"/>
        <v>1</v>
      </c>
      <c r="U151">
        <f>_xlfn.XLOOKUP(C151,
  CALC_TEAMS_SEASON!B:B,
  CALC_TEAMS_SEASON!F:F)</f>
        <v>0.16984890109890113</v>
      </c>
      <c r="V151">
        <f>_xlfn.XLOOKUP(D151,
  CALC_TEAMS_SEASON!B:B,
  CALC_TEAMS_SEASON!F:F)</f>
        <v>0.17437423687423692</v>
      </c>
      <c r="W151" t="str">
        <f>RAW_GAMES!R151</f>
        <v>Hrachovina</v>
      </c>
      <c r="X151" s="7">
        <f>RAW_GAMES!S151</f>
        <v>40</v>
      </c>
      <c r="Y151">
        <f t="shared" si="17"/>
        <v>1</v>
      </c>
      <c r="Z151" t="str">
        <f>RAW_GAMES!V151</f>
        <v>RS</v>
      </c>
    </row>
    <row r="152" spans="1:26" x14ac:dyDescent="0.25">
      <c r="A152" t="str">
        <f>RAW_GAMES!A152</f>
        <v>25/26</v>
      </c>
      <c r="B152" s="3">
        <f>RAW_GAMES!B152</f>
        <v>45935</v>
      </c>
      <c r="C152" s="3" t="str">
        <f>RAW_GAMES!E152</f>
        <v>PCE</v>
      </c>
      <c r="D152" s="3" t="str">
        <f>RAW_GAMES!F152</f>
        <v>VIT</v>
      </c>
      <c r="E152" s="7">
        <f>RAW_GAMES!G152</f>
        <v>1</v>
      </c>
      <c r="F152">
        <f>RAW_GAMES!H152</f>
        <v>4</v>
      </c>
      <c r="G152">
        <f>RAW_GAMES!I152</f>
        <v>3</v>
      </c>
      <c r="H152">
        <f t="shared" si="12"/>
        <v>1</v>
      </c>
      <c r="I152">
        <f>RAW_GAMES!J152</f>
        <v>49</v>
      </c>
      <c r="J152">
        <f>RAW_GAMES!K152</f>
        <v>20</v>
      </c>
      <c r="K152">
        <f t="shared" si="13"/>
        <v>29</v>
      </c>
      <c r="L152">
        <f>IF(RAW_GAMES!L152="","",RAW_GAMES!L152)</f>
        <v>3.75</v>
      </c>
      <c r="M152">
        <f>IF(RAW_GAMES!M152="","",RAW_GAMES!M152)</f>
        <v>1.79</v>
      </c>
      <c r="N152">
        <f t="shared" si="14"/>
        <v>1.96</v>
      </c>
      <c r="O152" s="7">
        <f>RAW_GAMES!O152</f>
        <v>5</v>
      </c>
      <c r="P152">
        <f>RAW_GAMES!N152</f>
        <v>1</v>
      </c>
      <c r="Q152">
        <f t="shared" si="15"/>
        <v>0.2</v>
      </c>
      <c r="R152" s="7">
        <f>RAW_GAMES!Q152</f>
        <v>4</v>
      </c>
      <c r="S152">
        <f>RAW_GAMES!P152</f>
        <v>1</v>
      </c>
      <c r="T152">
        <f t="shared" si="16"/>
        <v>0.75</v>
      </c>
      <c r="U152">
        <f>_xlfn.XLOOKUP(C152,
  CALC_TEAMS_SEASON!B:B,
  CALC_TEAMS_SEASON!F:F)</f>
        <v>0.20297619047619053</v>
      </c>
      <c r="V152">
        <f>_xlfn.XLOOKUP(D152,
  CALC_TEAMS_SEASON!B:B,
  CALC_TEAMS_SEASON!F:F)</f>
        <v>0.16984890109890113</v>
      </c>
      <c r="W152" t="str">
        <f>RAW_GAMES!R152</f>
        <v>Will</v>
      </c>
      <c r="X152" s="7">
        <f>RAW_GAMES!S152</f>
        <v>16</v>
      </c>
      <c r="Y152">
        <f t="shared" si="17"/>
        <v>1</v>
      </c>
      <c r="Z152" t="str">
        <f>RAW_GAMES!V152</f>
        <v>RS</v>
      </c>
    </row>
    <row r="153" spans="1:26" x14ac:dyDescent="0.25">
      <c r="A153" t="str">
        <f>RAW_GAMES!A153</f>
        <v>25/26</v>
      </c>
      <c r="B153" s="3">
        <f>RAW_GAMES!B153</f>
        <v>45935</v>
      </c>
      <c r="C153" s="3" t="str">
        <f>RAW_GAMES!E153</f>
        <v>TRI</v>
      </c>
      <c r="D153" s="3" t="str">
        <f>RAW_GAMES!F153</f>
        <v>LIT</v>
      </c>
      <c r="E153" s="7">
        <f>RAW_GAMES!G153</f>
        <v>1</v>
      </c>
      <c r="F153">
        <f>RAW_GAMES!H153</f>
        <v>3</v>
      </c>
      <c r="G153">
        <f>RAW_GAMES!I153</f>
        <v>1</v>
      </c>
      <c r="H153">
        <f t="shared" si="12"/>
        <v>2</v>
      </c>
      <c r="I153">
        <f>RAW_GAMES!J153</f>
        <v>42</v>
      </c>
      <c r="J153">
        <f>RAW_GAMES!K153</f>
        <v>21</v>
      </c>
      <c r="K153">
        <f t="shared" si="13"/>
        <v>21</v>
      </c>
      <c r="L153">
        <f>IF(RAW_GAMES!L153="","",RAW_GAMES!L153)</f>
        <v>5.78</v>
      </c>
      <c r="M153">
        <f>IF(RAW_GAMES!M153="","",RAW_GAMES!M153)</f>
        <v>1.1100000000000001</v>
      </c>
      <c r="N153">
        <f t="shared" si="14"/>
        <v>4.67</v>
      </c>
      <c r="O153" s="7">
        <f>RAW_GAMES!O153</f>
        <v>5</v>
      </c>
      <c r="P153">
        <f>RAW_GAMES!N153</f>
        <v>1</v>
      </c>
      <c r="Q153">
        <f t="shared" si="15"/>
        <v>0.2</v>
      </c>
      <c r="R153" s="7">
        <f>RAW_GAMES!Q153</f>
        <v>3</v>
      </c>
      <c r="S153">
        <f>RAW_GAMES!P153</f>
        <v>0</v>
      </c>
      <c r="T153">
        <f t="shared" si="16"/>
        <v>1</v>
      </c>
      <c r="U153">
        <f>_xlfn.XLOOKUP(C153,
  CALC_TEAMS_SEASON!B:B,
  CALC_TEAMS_SEASON!F:F)</f>
        <v>0.17437423687423692</v>
      </c>
      <c r="V153">
        <f>_xlfn.XLOOKUP(D153,
  CALC_TEAMS_SEASON!B:B,
  CALC_TEAMS_SEASON!F:F)</f>
        <v>0.10089285714285713</v>
      </c>
      <c r="W153" t="str">
        <f>RAW_GAMES!R153</f>
        <v>Mazanec</v>
      </c>
      <c r="X153" s="7">
        <f>RAW_GAMES!S153</f>
        <v>20</v>
      </c>
      <c r="Y153">
        <f t="shared" si="17"/>
        <v>1</v>
      </c>
      <c r="Z153" t="str">
        <f>RAW_GAMES!V153</f>
        <v>RS</v>
      </c>
    </row>
    <row r="154" spans="1:26" x14ac:dyDescent="0.25">
      <c r="A154" t="str">
        <f>RAW_GAMES!A154</f>
        <v>25/26</v>
      </c>
      <c r="B154" s="3">
        <f>RAW_GAMES!B154</f>
        <v>45935</v>
      </c>
      <c r="C154" s="3" t="str">
        <f>RAW_GAMES!E154</f>
        <v>SPA</v>
      </c>
      <c r="D154" s="3" t="str">
        <f>RAW_GAMES!F154</f>
        <v>KLA</v>
      </c>
      <c r="E154" s="7">
        <f>RAW_GAMES!G154</f>
        <v>0</v>
      </c>
      <c r="F154">
        <f>RAW_GAMES!H154</f>
        <v>4</v>
      </c>
      <c r="G154">
        <f>RAW_GAMES!I154</f>
        <v>5</v>
      </c>
      <c r="H154">
        <f t="shared" si="12"/>
        <v>-1</v>
      </c>
      <c r="I154">
        <f>RAW_GAMES!J154</f>
        <v>27</v>
      </c>
      <c r="J154">
        <f>RAW_GAMES!K154</f>
        <v>26</v>
      </c>
      <c r="K154">
        <f t="shared" si="13"/>
        <v>1</v>
      </c>
      <c r="L154">
        <f>IF(RAW_GAMES!L154="","",RAW_GAMES!L154)</f>
        <v>2.41</v>
      </c>
      <c r="M154">
        <f>IF(RAW_GAMES!M154="","",RAW_GAMES!M154)</f>
        <v>2.23</v>
      </c>
      <c r="N154">
        <f t="shared" si="14"/>
        <v>0.18000000000000016</v>
      </c>
      <c r="O154" s="7">
        <f>RAW_GAMES!O154</f>
        <v>6</v>
      </c>
      <c r="P154">
        <f>RAW_GAMES!N154</f>
        <v>1</v>
      </c>
      <c r="Q154">
        <f t="shared" si="15"/>
        <v>0.16666666666666666</v>
      </c>
      <c r="R154" s="7">
        <f>RAW_GAMES!Q154</f>
        <v>5</v>
      </c>
      <c r="S154">
        <f>RAW_GAMES!P154</f>
        <v>1</v>
      </c>
      <c r="T154">
        <f t="shared" si="16"/>
        <v>0.8</v>
      </c>
      <c r="U154">
        <f>_xlfn.XLOOKUP(C154,
  CALC_TEAMS_SEASON!B:B,
  CALC_TEAMS_SEASON!F:F)</f>
        <v>0.22060439560439565</v>
      </c>
      <c r="V154">
        <f>_xlfn.XLOOKUP(D154,
  CALC_TEAMS_SEASON!B:B,
  CALC_TEAMS_SEASON!F:F)</f>
        <v>0.13120421245421243</v>
      </c>
      <c r="W154" t="str">
        <f>RAW_GAMES!R154</f>
        <v>Kořenář</v>
      </c>
      <c r="X154" s="7">
        <f>RAW_GAMES!S154</f>
        <v>21</v>
      </c>
      <c r="Y154">
        <f t="shared" si="17"/>
        <v>0</v>
      </c>
      <c r="Z154" t="str">
        <f>RAW_GAMES!V154</f>
        <v>RS</v>
      </c>
    </row>
    <row r="155" spans="1:26" x14ac:dyDescent="0.25">
      <c r="A155" t="str">
        <f>RAW_GAMES!A155</f>
        <v>25/26</v>
      </c>
      <c r="B155" s="3">
        <f>RAW_GAMES!B155</f>
        <v>45935</v>
      </c>
      <c r="C155" s="3" t="str">
        <f>RAW_GAMES!E155</f>
        <v>KOM</v>
      </c>
      <c r="D155" s="3" t="str">
        <f>RAW_GAMES!F155</f>
        <v>KVA</v>
      </c>
      <c r="E155" s="7">
        <f>RAW_GAMES!G155</f>
        <v>1</v>
      </c>
      <c r="F155">
        <f>RAW_GAMES!H155</f>
        <v>3</v>
      </c>
      <c r="G155">
        <f>RAW_GAMES!I155</f>
        <v>1</v>
      </c>
      <c r="H155">
        <f t="shared" si="12"/>
        <v>2</v>
      </c>
      <c r="I155">
        <f>RAW_GAMES!J155</f>
        <v>26</v>
      </c>
      <c r="J155">
        <f>RAW_GAMES!K155</f>
        <v>30</v>
      </c>
      <c r="K155">
        <f t="shared" si="13"/>
        <v>-4</v>
      </c>
      <c r="L155">
        <f>IF(RAW_GAMES!L155="","",RAW_GAMES!L155)</f>
        <v>3.19</v>
      </c>
      <c r="M155">
        <f>IF(RAW_GAMES!M155="","",RAW_GAMES!M155)</f>
        <v>1.62</v>
      </c>
      <c r="N155">
        <f t="shared" si="14"/>
        <v>1.5699999999999998</v>
      </c>
      <c r="O155" s="7">
        <f>RAW_GAMES!O155</f>
        <v>3</v>
      </c>
      <c r="P155">
        <f>RAW_GAMES!N155</f>
        <v>0</v>
      </c>
      <c r="Q155">
        <f t="shared" si="15"/>
        <v>0</v>
      </c>
      <c r="R155" s="7">
        <f>RAW_GAMES!Q155</f>
        <v>0</v>
      </c>
      <c r="S155">
        <f>RAW_GAMES!P155</f>
        <v>0</v>
      </c>
      <c r="T155">
        <f t="shared" si="16"/>
        <v>1</v>
      </c>
      <c r="U155">
        <f>_xlfn.XLOOKUP(C155,
  CALC_TEAMS_SEASON!B:B,
  CALC_TEAMS_SEASON!F:F)</f>
        <v>0.14358974358974358</v>
      </c>
      <c r="V155">
        <f>_xlfn.XLOOKUP(D155,
  CALC_TEAMS_SEASON!B:B,
  CALC_TEAMS_SEASON!F:F)</f>
        <v>0.17387057387057389</v>
      </c>
      <c r="W155" t="str">
        <f>RAW_GAMES!R155</f>
        <v>Kavan</v>
      </c>
      <c r="X155" s="7">
        <f>RAW_GAMES!S155</f>
        <v>29</v>
      </c>
      <c r="Y155">
        <f t="shared" si="17"/>
        <v>1</v>
      </c>
      <c r="Z155" t="str">
        <f>RAW_GAMES!V155</f>
        <v>RS</v>
      </c>
    </row>
    <row r="156" spans="1:26" x14ac:dyDescent="0.25">
      <c r="A156" t="str">
        <f>RAW_GAMES!A156</f>
        <v>25/26</v>
      </c>
      <c r="B156" s="3">
        <f>RAW_GAMES!B156</f>
        <v>45935</v>
      </c>
      <c r="C156" s="3" t="str">
        <f>RAW_GAMES!E156</f>
        <v>CEB</v>
      </c>
      <c r="D156" s="3" t="str">
        <f>RAW_GAMES!F156</f>
        <v>OLO</v>
      </c>
      <c r="E156" s="7">
        <f>RAW_GAMES!G156</f>
        <v>1</v>
      </c>
      <c r="F156">
        <f>RAW_GAMES!H156</f>
        <v>1</v>
      </c>
      <c r="G156">
        <f>RAW_GAMES!I156</f>
        <v>3</v>
      </c>
      <c r="H156">
        <f t="shared" si="12"/>
        <v>-2</v>
      </c>
      <c r="I156">
        <f>RAW_GAMES!J156</f>
        <v>31</v>
      </c>
      <c r="J156">
        <f>RAW_GAMES!K156</f>
        <v>14</v>
      </c>
      <c r="K156">
        <f t="shared" si="13"/>
        <v>17</v>
      </c>
      <c r="L156" t="str">
        <f>IF(RAW_GAMES!L156="","",RAW_GAMES!L156)</f>
        <v/>
      </c>
      <c r="M156" t="str">
        <f>IF(RAW_GAMES!M156="","",RAW_GAMES!M156)</f>
        <v/>
      </c>
      <c r="N156" t="str">
        <f t="shared" si="14"/>
        <v/>
      </c>
      <c r="O156" s="7">
        <f>RAW_GAMES!O156</f>
        <v>7</v>
      </c>
      <c r="P156">
        <f>RAW_GAMES!N156</f>
        <v>1</v>
      </c>
      <c r="Q156">
        <f t="shared" si="15"/>
        <v>0.14285714285714285</v>
      </c>
      <c r="R156" s="7">
        <f>RAW_GAMES!Q156</f>
        <v>1</v>
      </c>
      <c r="S156">
        <f>RAW_GAMES!P156</f>
        <v>0</v>
      </c>
      <c r="T156">
        <f t="shared" si="16"/>
        <v>1</v>
      </c>
      <c r="U156">
        <f>_xlfn.XLOOKUP(C156,
  CALC_TEAMS_SEASON!B:B,
  CALC_TEAMS_SEASON!F:F)</f>
        <v>0.13021353646353648</v>
      </c>
      <c r="V156">
        <f>_xlfn.XLOOKUP(D156,
  CALC_TEAMS_SEASON!B:B,
  CALC_TEAMS_SEASON!F:F)</f>
        <v>0.14989316239316242</v>
      </c>
      <c r="W156" t="str">
        <f>RAW_GAMES!R156</f>
        <v>Klouček</v>
      </c>
      <c r="X156" s="7">
        <f>RAW_GAMES!S156</f>
        <v>11</v>
      </c>
      <c r="Y156">
        <f t="shared" si="17"/>
        <v>0</v>
      </c>
      <c r="Z156" t="str">
        <f>RAW_GAMES!V156</f>
        <v>RS</v>
      </c>
    </row>
    <row r="157" spans="1:26" x14ac:dyDescent="0.25">
      <c r="A157" t="str">
        <f>RAW_GAMES!A157</f>
        <v>25/26</v>
      </c>
      <c r="B157" s="3">
        <f>RAW_GAMES!B157</f>
        <v>45935</v>
      </c>
      <c r="C157" s="3" t="str">
        <f>RAW_GAMES!E157</f>
        <v>KLA</v>
      </c>
      <c r="D157" s="3" t="str">
        <f>RAW_GAMES!F157</f>
        <v>SPA</v>
      </c>
      <c r="E157" s="7">
        <f>RAW_GAMES!G157</f>
        <v>1</v>
      </c>
      <c r="F157">
        <f>RAW_GAMES!H157</f>
        <v>5</v>
      </c>
      <c r="G157">
        <f>RAW_GAMES!I157</f>
        <v>4</v>
      </c>
      <c r="H157">
        <f t="shared" si="12"/>
        <v>1</v>
      </c>
      <c r="I157">
        <f>RAW_GAMES!J157</f>
        <v>26</v>
      </c>
      <c r="J157">
        <f>RAW_GAMES!K157</f>
        <v>27</v>
      </c>
      <c r="K157">
        <f t="shared" si="13"/>
        <v>-1</v>
      </c>
      <c r="L157">
        <f>IF(RAW_GAMES!L157="","",RAW_GAMES!L157)</f>
        <v>2.23</v>
      </c>
      <c r="M157">
        <f>IF(RAW_GAMES!M157="","",RAW_GAMES!M157)</f>
        <v>2.41</v>
      </c>
      <c r="N157">
        <f t="shared" si="14"/>
        <v>-0.18000000000000016</v>
      </c>
      <c r="O157" s="7">
        <f>RAW_GAMES!O157</f>
        <v>5</v>
      </c>
      <c r="P157">
        <f>RAW_GAMES!N157</f>
        <v>1</v>
      </c>
      <c r="Q157">
        <f t="shared" si="15"/>
        <v>0.2</v>
      </c>
      <c r="R157" s="7">
        <f>RAW_GAMES!Q157</f>
        <v>6</v>
      </c>
      <c r="S157">
        <f>RAW_GAMES!P157</f>
        <v>1</v>
      </c>
      <c r="T157">
        <f t="shared" si="16"/>
        <v>0.83333333333333337</v>
      </c>
      <c r="U157">
        <f>_xlfn.XLOOKUP(C157,
  CALC_TEAMS_SEASON!B:B,
  CALC_TEAMS_SEASON!F:F)</f>
        <v>0.13120421245421243</v>
      </c>
      <c r="V157">
        <f>_xlfn.XLOOKUP(D157,
  CALC_TEAMS_SEASON!B:B,
  CALC_TEAMS_SEASON!F:F)</f>
        <v>0.22060439560439565</v>
      </c>
      <c r="W157" t="str">
        <f>RAW_GAMES!R157</f>
        <v>Brízgala</v>
      </c>
      <c r="X157" s="7">
        <f>RAW_GAMES!S157</f>
        <v>23</v>
      </c>
      <c r="Y157">
        <f t="shared" si="17"/>
        <v>1</v>
      </c>
      <c r="Z157" t="str">
        <f>RAW_GAMES!V157</f>
        <v>RS</v>
      </c>
    </row>
    <row r="158" spans="1:26" x14ac:dyDescent="0.25">
      <c r="A158" t="str">
        <f>RAW_GAMES!A158</f>
        <v>25/26</v>
      </c>
      <c r="B158" s="3">
        <f>RAW_GAMES!B158</f>
        <v>45935</v>
      </c>
      <c r="C158" s="3" t="str">
        <f>RAW_GAMES!E158</f>
        <v>KVA</v>
      </c>
      <c r="D158" s="3" t="str">
        <f>RAW_GAMES!F158</f>
        <v>KOM</v>
      </c>
      <c r="E158" s="7">
        <f>RAW_GAMES!G158</f>
        <v>0</v>
      </c>
      <c r="F158">
        <f>RAW_GAMES!H158</f>
        <v>1</v>
      </c>
      <c r="G158">
        <f>RAW_GAMES!I158</f>
        <v>3</v>
      </c>
      <c r="H158">
        <f t="shared" si="12"/>
        <v>-2</v>
      </c>
      <c r="I158">
        <f>RAW_GAMES!J158</f>
        <v>30</v>
      </c>
      <c r="J158">
        <f>RAW_GAMES!K158</f>
        <v>26</v>
      </c>
      <c r="K158">
        <f t="shared" si="13"/>
        <v>4</v>
      </c>
      <c r="L158">
        <f>IF(RAW_GAMES!L158="","",RAW_GAMES!L158)</f>
        <v>1.62</v>
      </c>
      <c r="M158">
        <f>IF(RAW_GAMES!M158="","",RAW_GAMES!M158)</f>
        <v>3.19</v>
      </c>
      <c r="N158">
        <f t="shared" si="14"/>
        <v>-1.5699999999999998</v>
      </c>
      <c r="O158" s="7">
        <f>RAW_GAMES!O158</f>
        <v>0</v>
      </c>
      <c r="P158">
        <f>RAW_GAMES!N158</f>
        <v>0</v>
      </c>
      <c r="Q158">
        <f t="shared" si="15"/>
        <v>0</v>
      </c>
      <c r="R158" s="7">
        <f>RAW_GAMES!Q158</f>
        <v>3</v>
      </c>
      <c r="S158">
        <f>RAW_GAMES!P158</f>
        <v>0</v>
      </c>
      <c r="T158">
        <f t="shared" si="16"/>
        <v>1</v>
      </c>
      <c r="U158">
        <f>_xlfn.XLOOKUP(C158,
  CALC_TEAMS_SEASON!B:B,
  CALC_TEAMS_SEASON!F:F)</f>
        <v>0.17387057387057389</v>
      </c>
      <c r="V158">
        <f>_xlfn.XLOOKUP(D158,
  CALC_TEAMS_SEASON!B:B,
  CALC_TEAMS_SEASON!F:F)</f>
        <v>0.14358974358974358</v>
      </c>
      <c r="W158" t="str">
        <f>RAW_GAMES!R158</f>
        <v>Král</v>
      </c>
      <c r="X158" s="7">
        <f>RAW_GAMES!S158</f>
        <v>23</v>
      </c>
      <c r="Y158">
        <f t="shared" si="17"/>
        <v>0</v>
      </c>
      <c r="Z158" t="str">
        <f>RAW_GAMES!V158</f>
        <v>RS</v>
      </c>
    </row>
    <row r="159" spans="1:26" x14ac:dyDescent="0.25">
      <c r="A159" t="str">
        <f>RAW_GAMES!A159</f>
        <v>25/26</v>
      </c>
      <c r="B159" s="3">
        <f>RAW_GAMES!B159</f>
        <v>45935</v>
      </c>
      <c r="C159" s="3" t="str">
        <f>RAW_GAMES!E159</f>
        <v>LIB</v>
      </c>
      <c r="D159" s="3" t="str">
        <f>RAW_GAMES!F159</f>
        <v>MHK</v>
      </c>
      <c r="E159" s="7">
        <f>RAW_GAMES!G159</f>
        <v>0</v>
      </c>
      <c r="F159">
        <f>RAW_GAMES!H159</f>
        <v>3</v>
      </c>
      <c r="G159">
        <f>RAW_GAMES!I159</f>
        <v>4</v>
      </c>
      <c r="H159">
        <f t="shared" si="12"/>
        <v>-1</v>
      </c>
      <c r="I159">
        <f>RAW_GAMES!J159</f>
        <v>32</v>
      </c>
      <c r="J159">
        <f>RAW_GAMES!K159</f>
        <v>30</v>
      </c>
      <c r="K159">
        <f t="shared" si="13"/>
        <v>2</v>
      </c>
      <c r="L159" t="str">
        <f>IF(RAW_GAMES!L159="","",RAW_GAMES!L159)</f>
        <v/>
      </c>
      <c r="M159" t="str">
        <f>IF(RAW_GAMES!M159="","",RAW_GAMES!M159)</f>
        <v/>
      </c>
      <c r="N159" t="str">
        <f t="shared" si="14"/>
        <v/>
      </c>
      <c r="O159" s="7">
        <f>RAW_GAMES!O159</f>
        <v>5</v>
      </c>
      <c r="P159">
        <f>RAW_GAMES!N159</f>
        <v>1</v>
      </c>
      <c r="Q159">
        <f t="shared" si="15"/>
        <v>0.2</v>
      </c>
      <c r="R159" s="7">
        <f>RAW_GAMES!Q159</f>
        <v>2</v>
      </c>
      <c r="S159">
        <f>RAW_GAMES!P159</f>
        <v>1</v>
      </c>
      <c r="T159">
        <f t="shared" si="16"/>
        <v>0.5</v>
      </c>
      <c r="U159">
        <f>_xlfn.XLOOKUP(C159,
  CALC_TEAMS_SEASON!B:B,
  CALC_TEAMS_SEASON!F:F)</f>
        <v>0.14377289377289379</v>
      </c>
      <c r="V159">
        <f>_xlfn.XLOOKUP(D159,
  CALC_TEAMS_SEASON!B:B,
  CALC_TEAMS_SEASON!F:F)</f>
        <v>0.14184981684981687</v>
      </c>
      <c r="W159" t="str">
        <f>RAW_GAMES!R159</f>
        <v>Kváča</v>
      </c>
      <c r="X159" s="7">
        <f>RAW_GAMES!S159</f>
        <v>26</v>
      </c>
      <c r="Y159">
        <f t="shared" si="17"/>
        <v>0</v>
      </c>
      <c r="Z159" t="str">
        <f>RAW_GAMES!V159</f>
        <v>RS</v>
      </c>
    </row>
    <row r="160" spans="1:26" x14ac:dyDescent="0.25">
      <c r="A160" t="str">
        <f>RAW_GAMES!A160</f>
        <v>25/26</v>
      </c>
      <c r="B160" s="3">
        <f>RAW_GAMES!B160</f>
        <v>45935</v>
      </c>
      <c r="C160" s="3" t="str">
        <f>RAW_GAMES!E160</f>
        <v>LIT</v>
      </c>
      <c r="D160" s="3" t="str">
        <f>RAW_GAMES!F160</f>
        <v>TRI</v>
      </c>
      <c r="E160" s="7">
        <f>RAW_GAMES!G160</f>
        <v>0</v>
      </c>
      <c r="F160">
        <f>RAW_GAMES!H160</f>
        <v>1</v>
      </c>
      <c r="G160">
        <f>RAW_GAMES!I160</f>
        <v>3</v>
      </c>
      <c r="H160">
        <f t="shared" si="12"/>
        <v>-2</v>
      </c>
      <c r="I160">
        <f>RAW_GAMES!J160</f>
        <v>21</v>
      </c>
      <c r="J160">
        <f>RAW_GAMES!K160</f>
        <v>42</v>
      </c>
      <c r="K160">
        <f t="shared" si="13"/>
        <v>-21</v>
      </c>
      <c r="L160">
        <f>IF(RAW_GAMES!L160="","",RAW_GAMES!L160)</f>
        <v>1.1100000000000001</v>
      </c>
      <c r="M160">
        <f>IF(RAW_GAMES!M160="","",RAW_GAMES!M160)</f>
        <v>5.78</v>
      </c>
      <c r="N160">
        <f t="shared" si="14"/>
        <v>-4.67</v>
      </c>
      <c r="O160" s="7">
        <f>RAW_GAMES!O160</f>
        <v>3</v>
      </c>
      <c r="P160">
        <f>RAW_GAMES!N160</f>
        <v>0</v>
      </c>
      <c r="Q160">
        <f t="shared" si="15"/>
        <v>0</v>
      </c>
      <c r="R160" s="7">
        <f>RAW_GAMES!Q160</f>
        <v>5</v>
      </c>
      <c r="S160">
        <f>RAW_GAMES!P160</f>
        <v>1</v>
      </c>
      <c r="T160">
        <f t="shared" si="16"/>
        <v>0.8</v>
      </c>
      <c r="U160">
        <f>_xlfn.XLOOKUP(C160,
  CALC_TEAMS_SEASON!B:B,
  CALC_TEAMS_SEASON!F:F)</f>
        <v>0.10089285714285713</v>
      </c>
      <c r="V160">
        <f>_xlfn.XLOOKUP(D160,
  CALC_TEAMS_SEASON!B:B,
  CALC_TEAMS_SEASON!F:F)</f>
        <v>0.17437423687423692</v>
      </c>
      <c r="W160" t="str">
        <f>RAW_GAMES!R160</f>
        <v>Čajan</v>
      </c>
      <c r="X160" s="7">
        <f>RAW_GAMES!S160</f>
        <v>39</v>
      </c>
      <c r="Y160">
        <f t="shared" si="17"/>
        <v>0</v>
      </c>
      <c r="Z160" t="str">
        <f>RAW_GAMES!V160</f>
        <v>RS</v>
      </c>
    </row>
    <row r="161" spans="1:26" x14ac:dyDescent="0.25">
      <c r="A161" t="str">
        <f>RAW_GAMES!A161</f>
        <v>25/26</v>
      </c>
      <c r="B161" s="3">
        <f>RAW_GAMES!B161</f>
        <v>45935</v>
      </c>
      <c r="C161" s="3" t="str">
        <f>RAW_GAMES!E161</f>
        <v>MHK</v>
      </c>
      <c r="D161" s="3" t="str">
        <f>RAW_GAMES!F161</f>
        <v>LIB</v>
      </c>
      <c r="E161" s="7">
        <f>RAW_GAMES!G161</f>
        <v>1</v>
      </c>
      <c r="F161">
        <f>RAW_GAMES!H161</f>
        <v>4</v>
      </c>
      <c r="G161">
        <f>RAW_GAMES!I161</f>
        <v>3</v>
      </c>
      <c r="H161">
        <f t="shared" si="12"/>
        <v>1</v>
      </c>
      <c r="I161">
        <f>RAW_GAMES!J161</f>
        <v>30</v>
      </c>
      <c r="J161">
        <f>RAW_GAMES!K161</f>
        <v>32</v>
      </c>
      <c r="K161">
        <f t="shared" si="13"/>
        <v>-2</v>
      </c>
      <c r="L161" t="str">
        <f>IF(RAW_GAMES!L161="","",RAW_GAMES!L161)</f>
        <v/>
      </c>
      <c r="M161" t="str">
        <f>IF(RAW_GAMES!M161="","",RAW_GAMES!M161)</f>
        <v/>
      </c>
      <c r="N161" t="str">
        <f t="shared" si="14"/>
        <v/>
      </c>
      <c r="O161" s="7">
        <f>RAW_GAMES!O161</f>
        <v>2</v>
      </c>
      <c r="P161">
        <f>RAW_GAMES!N161</f>
        <v>1</v>
      </c>
      <c r="Q161">
        <f t="shared" si="15"/>
        <v>0.5</v>
      </c>
      <c r="R161" s="7">
        <f>RAW_GAMES!Q161</f>
        <v>5</v>
      </c>
      <c r="S161">
        <f>RAW_GAMES!P161</f>
        <v>1</v>
      </c>
      <c r="T161">
        <f t="shared" si="16"/>
        <v>0.8</v>
      </c>
      <c r="U161">
        <f>_xlfn.XLOOKUP(C161,
  CALC_TEAMS_SEASON!B:B,
  CALC_TEAMS_SEASON!F:F)</f>
        <v>0.14184981684981687</v>
      </c>
      <c r="V161">
        <f>_xlfn.XLOOKUP(D161,
  CALC_TEAMS_SEASON!B:B,
  CALC_TEAMS_SEASON!F:F)</f>
        <v>0.14377289377289379</v>
      </c>
      <c r="W161" t="str">
        <f>RAW_GAMES!R161</f>
        <v>Škorvánek</v>
      </c>
      <c r="X161" s="7">
        <f>RAW_GAMES!S161</f>
        <v>29</v>
      </c>
      <c r="Y161">
        <f t="shared" si="17"/>
        <v>1</v>
      </c>
      <c r="Z161" t="str">
        <f>RAW_GAMES!V161</f>
        <v>RS</v>
      </c>
    </row>
    <row r="162" spans="1:26" x14ac:dyDescent="0.25">
      <c r="A162" t="str">
        <f>RAW_GAMES!A162</f>
        <v>25/26</v>
      </c>
      <c r="B162" s="3">
        <f>RAW_GAMES!B162</f>
        <v>45935</v>
      </c>
      <c r="C162" s="3" t="str">
        <f>RAW_GAMES!E162</f>
        <v>OLO</v>
      </c>
      <c r="D162" s="3" t="str">
        <f>RAW_GAMES!F162</f>
        <v>CEB</v>
      </c>
      <c r="E162" s="7">
        <f>RAW_GAMES!G162</f>
        <v>0</v>
      </c>
      <c r="F162">
        <f>RAW_GAMES!H162</f>
        <v>3</v>
      </c>
      <c r="G162">
        <f>RAW_GAMES!I162</f>
        <v>1</v>
      </c>
      <c r="H162">
        <f t="shared" si="12"/>
        <v>2</v>
      </c>
      <c r="I162">
        <f>RAW_GAMES!J162</f>
        <v>14</v>
      </c>
      <c r="J162">
        <f>RAW_GAMES!K162</f>
        <v>31</v>
      </c>
      <c r="K162">
        <f t="shared" si="13"/>
        <v>-17</v>
      </c>
      <c r="L162" t="str">
        <f>IF(RAW_GAMES!L162="","",RAW_GAMES!L162)</f>
        <v/>
      </c>
      <c r="M162" t="str">
        <f>IF(RAW_GAMES!M162="","",RAW_GAMES!M162)</f>
        <v/>
      </c>
      <c r="N162" t="str">
        <f t="shared" si="14"/>
        <v/>
      </c>
      <c r="O162" s="7">
        <f>RAW_GAMES!O162</f>
        <v>1</v>
      </c>
      <c r="P162">
        <f>RAW_GAMES!N162</f>
        <v>0</v>
      </c>
      <c r="Q162">
        <f t="shared" si="15"/>
        <v>0</v>
      </c>
      <c r="R162" s="7">
        <f>RAW_GAMES!Q162</f>
        <v>7</v>
      </c>
      <c r="S162">
        <f>RAW_GAMES!P162</f>
        <v>1</v>
      </c>
      <c r="T162">
        <f t="shared" si="16"/>
        <v>0.85714285714285721</v>
      </c>
      <c r="U162">
        <f>_xlfn.XLOOKUP(C162,
  CALC_TEAMS_SEASON!B:B,
  CALC_TEAMS_SEASON!F:F)</f>
        <v>0.14989316239316242</v>
      </c>
      <c r="V162">
        <f>_xlfn.XLOOKUP(D162,
  CALC_TEAMS_SEASON!B:B,
  CALC_TEAMS_SEASON!F:F)</f>
        <v>0.13021353646353648</v>
      </c>
      <c r="W162" t="str">
        <f>RAW_GAMES!R162</f>
        <v>Machovský</v>
      </c>
      <c r="X162" s="7">
        <f>RAW_GAMES!S162</f>
        <v>30</v>
      </c>
      <c r="Y162">
        <f t="shared" si="17"/>
        <v>1</v>
      </c>
      <c r="Z162" t="str">
        <f>RAW_GAMES!V162</f>
        <v>RS</v>
      </c>
    </row>
    <row r="163" spans="1:26" x14ac:dyDescent="0.25">
      <c r="A163" t="str">
        <f>RAW_GAMES!A163</f>
        <v>25/26</v>
      </c>
      <c r="B163" s="3">
        <f>RAW_GAMES!B163</f>
        <v>45935</v>
      </c>
      <c r="C163" s="3" t="str">
        <f>RAW_GAMES!E163</f>
        <v>VIT</v>
      </c>
      <c r="D163" s="3" t="str">
        <f>RAW_GAMES!F163</f>
        <v>PCE</v>
      </c>
      <c r="E163" s="7">
        <f>RAW_GAMES!G163</f>
        <v>0</v>
      </c>
      <c r="F163">
        <f>RAW_GAMES!H163</f>
        <v>4</v>
      </c>
      <c r="G163">
        <f>RAW_GAMES!I163</f>
        <v>3</v>
      </c>
      <c r="H163">
        <f t="shared" si="12"/>
        <v>1</v>
      </c>
      <c r="I163">
        <f>RAW_GAMES!J163</f>
        <v>20</v>
      </c>
      <c r="J163">
        <f>RAW_GAMES!K163</f>
        <v>49</v>
      </c>
      <c r="K163">
        <f t="shared" si="13"/>
        <v>-29</v>
      </c>
      <c r="L163">
        <f>IF(RAW_GAMES!L163="","",RAW_GAMES!L163)</f>
        <v>1.79</v>
      </c>
      <c r="M163">
        <f>IF(RAW_GAMES!M163="","",RAW_GAMES!M163)</f>
        <v>3.75</v>
      </c>
      <c r="N163">
        <f t="shared" si="14"/>
        <v>-1.96</v>
      </c>
      <c r="O163" s="7">
        <f>RAW_GAMES!O163</f>
        <v>4</v>
      </c>
      <c r="P163">
        <f>RAW_GAMES!N163</f>
        <v>1</v>
      </c>
      <c r="Q163">
        <f t="shared" si="15"/>
        <v>0.25</v>
      </c>
      <c r="R163" s="7">
        <f>RAW_GAMES!Q163</f>
        <v>5</v>
      </c>
      <c r="S163">
        <f>RAW_GAMES!P163</f>
        <v>1</v>
      </c>
      <c r="T163">
        <f t="shared" si="16"/>
        <v>0.8</v>
      </c>
      <c r="U163">
        <f>_xlfn.XLOOKUP(C163,
  CALC_TEAMS_SEASON!B:B,
  CALC_TEAMS_SEASON!F:F)</f>
        <v>0.16984890109890113</v>
      </c>
      <c r="V163">
        <f>_xlfn.XLOOKUP(D163,
  CALC_TEAMS_SEASON!B:B,
  CALC_TEAMS_SEASON!F:F)</f>
        <v>0.20297619047619053</v>
      </c>
      <c r="W163" t="str">
        <f>RAW_GAMES!R163</f>
        <v>Hrachovina</v>
      </c>
      <c r="X163" s="7">
        <f>RAW_GAMES!S163</f>
        <v>46</v>
      </c>
      <c r="Y163">
        <f t="shared" si="17"/>
        <v>1</v>
      </c>
      <c r="Z163" t="str">
        <f>RAW_GAMES!V163</f>
        <v>RS</v>
      </c>
    </row>
    <row r="164" spans="1:26" x14ac:dyDescent="0.25">
      <c r="A164" t="str">
        <f>RAW_GAMES!A164</f>
        <v>25/26</v>
      </c>
      <c r="B164" s="3">
        <f>RAW_GAMES!B164</f>
        <v>45938</v>
      </c>
      <c r="C164" s="3" t="str">
        <f>RAW_GAMES!E164</f>
        <v>MBL</v>
      </c>
      <c r="D164" s="3" t="str">
        <f>RAW_GAMES!F164</f>
        <v>PLZ</v>
      </c>
      <c r="E164" s="7">
        <f>RAW_GAMES!G164</f>
        <v>0</v>
      </c>
      <c r="F164">
        <f>RAW_GAMES!H164</f>
        <v>0</v>
      </c>
      <c r="G164">
        <f>RAW_GAMES!I164</f>
        <v>2</v>
      </c>
      <c r="H164">
        <f t="shared" si="12"/>
        <v>-2</v>
      </c>
      <c r="I164">
        <f>RAW_GAMES!J164</f>
        <v>25</v>
      </c>
      <c r="J164">
        <f>RAW_GAMES!K164</f>
        <v>20</v>
      </c>
      <c r="K164">
        <f t="shared" si="13"/>
        <v>5</v>
      </c>
      <c r="L164" t="str">
        <f>IF(RAW_GAMES!L164="","",RAW_GAMES!L164)</f>
        <v/>
      </c>
      <c r="M164" t="str">
        <f>IF(RAW_GAMES!M164="","",RAW_GAMES!M164)</f>
        <v/>
      </c>
      <c r="N164" t="str">
        <f t="shared" si="14"/>
        <v/>
      </c>
      <c r="O164" s="7">
        <f>RAW_GAMES!O164</f>
        <v>3</v>
      </c>
      <c r="P164">
        <f>RAW_GAMES!N164</f>
        <v>0</v>
      </c>
      <c r="Q164">
        <f t="shared" si="15"/>
        <v>0</v>
      </c>
      <c r="R164" s="7">
        <f>RAW_GAMES!Q164</f>
        <v>3</v>
      </c>
      <c r="S164">
        <f>RAW_GAMES!P164</f>
        <v>0</v>
      </c>
      <c r="T164">
        <f t="shared" si="16"/>
        <v>1</v>
      </c>
      <c r="U164">
        <f>_xlfn.XLOOKUP(C164,
  CALC_TEAMS_SEASON!B:B,
  CALC_TEAMS_SEASON!F:F)</f>
        <v>0.11826923076923078</v>
      </c>
      <c r="V164">
        <f>_xlfn.XLOOKUP(D164,
  CALC_TEAMS_SEASON!B:B,
  CALC_TEAMS_SEASON!F:F)</f>
        <v>0.17641178266178262</v>
      </c>
      <c r="W164" t="str">
        <f>RAW_GAMES!R164</f>
        <v>Furch</v>
      </c>
      <c r="X164" s="7">
        <f>RAW_GAMES!S164</f>
        <v>18</v>
      </c>
      <c r="Y164">
        <f t="shared" si="17"/>
        <v>0</v>
      </c>
      <c r="Z164" t="str">
        <f>RAW_GAMES!V164</f>
        <v>RS</v>
      </c>
    </row>
    <row r="165" spans="1:26" x14ac:dyDescent="0.25">
      <c r="A165" t="str">
        <f>RAW_GAMES!A165</f>
        <v>25/26</v>
      </c>
      <c r="B165" s="3">
        <f>RAW_GAMES!B165</f>
        <v>45938</v>
      </c>
      <c r="C165" s="3" t="str">
        <f>RAW_GAMES!E165</f>
        <v>PLZ</v>
      </c>
      <c r="D165" s="3" t="str">
        <f>RAW_GAMES!F165</f>
        <v>MBL</v>
      </c>
      <c r="E165" s="7">
        <f>RAW_GAMES!G165</f>
        <v>1</v>
      </c>
      <c r="F165">
        <f>RAW_GAMES!H165</f>
        <v>2</v>
      </c>
      <c r="G165">
        <f>RAW_GAMES!I165</f>
        <v>0</v>
      </c>
      <c r="H165">
        <f t="shared" si="12"/>
        <v>2</v>
      </c>
      <c r="I165">
        <f>RAW_GAMES!J165</f>
        <v>20</v>
      </c>
      <c r="J165">
        <f>RAW_GAMES!K165</f>
        <v>25</v>
      </c>
      <c r="K165">
        <f t="shared" si="13"/>
        <v>-5</v>
      </c>
      <c r="L165" t="str">
        <f>IF(RAW_GAMES!L165="","",RAW_GAMES!L165)</f>
        <v/>
      </c>
      <c r="M165" t="str">
        <f>IF(RAW_GAMES!M165="","",RAW_GAMES!M165)</f>
        <v/>
      </c>
      <c r="N165" t="str">
        <f t="shared" si="14"/>
        <v/>
      </c>
      <c r="O165" s="7">
        <f>RAW_GAMES!O165</f>
        <v>3</v>
      </c>
      <c r="P165">
        <f>RAW_GAMES!N165</f>
        <v>0</v>
      </c>
      <c r="Q165">
        <f t="shared" si="15"/>
        <v>0</v>
      </c>
      <c r="R165" s="7">
        <f>RAW_GAMES!Q165</f>
        <v>3</v>
      </c>
      <c r="S165">
        <f>RAW_GAMES!P165</f>
        <v>0</v>
      </c>
      <c r="T165">
        <f t="shared" si="16"/>
        <v>1</v>
      </c>
      <c r="U165">
        <f>_xlfn.XLOOKUP(C165,
  CALC_TEAMS_SEASON!B:B,
  CALC_TEAMS_SEASON!F:F)</f>
        <v>0.17641178266178262</v>
      </c>
      <c r="V165">
        <f>_xlfn.XLOOKUP(D165,
  CALC_TEAMS_SEASON!B:B,
  CALC_TEAMS_SEASON!F:F)</f>
        <v>0.11826923076923078</v>
      </c>
      <c r="W165" t="str">
        <f>RAW_GAMES!R165</f>
        <v>Malík</v>
      </c>
      <c r="X165" s="7">
        <f>RAW_GAMES!S165</f>
        <v>25</v>
      </c>
      <c r="Y165">
        <f t="shared" si="17"/>
        <v>1</v>
      </c>
      <c r="Z165" t="str">
        <f>RAW_GAMES!V165</f>
        <v>RS</v>
      </c>
    </row>
    <row r="166" spans="1:26" x14ac:dyDescent="0.25">
      <c r="A166" t="str">
        <f>RAW_GAMES!A166</f>
        <v>25/26</v>
      </c>
      <c r="B166" s="3">
        <f>RAW_GAMES!B166</f>
        <v>45940</v>
      </c>
      <c r="C166" s="3" t="str">
        <f>RAW_GAMES!E166</f>
        <v>PCE</v>
      </c>
      <c r="D166" s="3" t="str">
        <f>RAW_GAMES!F166</f>
        <v>SPA</v>
      </c>
      <c r="E166" s="7">
        <f>RAW_GAMES!G166</f>
        <v>0</v>
      </c>
      <c r="F166">
        <f>RAW_GAMES!H166</f>
        <v>6</v>
      </c>
      <c r="G166">
        <f>RAW_GAMES!I166</f>
        <v>3</v>
      </c>
      <c r="H166">
        <f t="shared" si="12"/>
        <v>3</v>
      </c>
      <c r="I166">
        <f>RAW_GAMES!J166</f>
        <v>32</v>
      </c>
      <c r="J166">
        <f>RAW_GAMES!K166</f>
        <v>27</v>
      </c>
      <c r="K166">
        <f t="shared" si="13"/>
        <v>5</v>
      </c>
      <c r="L166">
        <f>IF(RAW_GAMES!L166="","",RAW_GAMES!L166)</f>
        <v>3.72</v>
      </c>
      <c r="M166">
        <f>IF(RAW_GAMES!M166="","",RAW_GAMES!M166)</f>
        <v>1.41</v>
      </c>
      <c r="N166">
        <f t="shared" si="14"/>
        <v>2.3100000000000005</v>
      </c>
      <c r="O166" s="7">
        <f>RAW_GAMES!O166</f>
        <v>7</v>
      </c>
      <c r="P166">
        <f>RAW_GAMES!N166</f>
        <v>3</v>
      </c>
      <c r="Q166">
        <f t="shared" si="15"/>
        <v>0.42857142857142855</v>
      </c>
      <c r="R166" s="7">
        <f>RAW_GAMES!Q166</f>
        <v>7</v>
      </c>
      <c r="S166">
        <f>RAW_GAMES!P166</f>
        <v>3</v>
      </c>
      <c r="T166">
        <f t="shared" si="16"/>
        <v>0.5714285714285714</v>
      </c>
      <c r="U166">
        <f>_xlfn.XLOOKUP(C166,
  CALC_TEAMS_SEASON!B:B,
  CALC_TEAMS_SEASON!F:F)</f>
        <v>0.20297619047619053</v>
      </c>
      <c r="V166">
        <f>_xlfn.XLOOKUP(D166,
  CALC_TEAMS_SEASON!B:B,
  CALC_TEAMS_SEASON!F:F)</f>
        <v>0.22060439560439565</v>
      </c>
      <c r="W166" t="str">
        <f>RAW_GAMES!R166</f>
        <v>Will</v>
      </c>
      <c r="X166" s="7">
        <f>RAW_GAMES!S166</f>
        <v>24</v>
      </c>
      <c r="Y166">
        <f t="shared" si="17"/>
        <v>1</v>
      </c>
      <c r="Z166" t="str">
        <f>RAW_GAMES!V166</f>
        <v>RS</v>
      </c>
    </row>
    <row r="167" spans="1:26" x14ac:dyDescent="0.25">
      <c r="A167" t="str">
        <f>RAW_GAMES!A167</f>
        <v>25/26</v>
      </c>
      <c r="B167" s="3">
        <f>RAW_GAMES!B167</f>
        <v>45940</v>
      </c>
      <c r="C167" s="3" t="str">
        <f>RAW_GAMES!E167</f>
        <v>TRI</v>
      </c>
      <c r="D167" s="3" t="str">
        <f>RAW_GAMES!F167</f>
        <v>KVA</v>
      </c>
      <c r="E167" s="7">
        <f>RAW_GAMES!G167</f>
        <v>0</v>
      </c>
      <c r="F167">
        <f>RAW_GAMES!H167</f>
        <v>3</v>
      </c>
      <c r="G167">
        <f>RAW_GAMES!I167</f>
        <v>1</v>
      </c>
      <c r="H167">
        <f t="shared" si="12"/>
        <v>2</v>
      </c>
      <c r="I167">
        <f>RAW_GAMES!J167</f>
        <v>25</v>
      </c>
      <c r="J167">
        <f>RAW_GAMES!K167</f>
        <v>31</v>
      </c>
      <c r="K167">
        <f t="shared" si="13"/>
        <v>-6</v>
      </c>
      <c r="L167">
        <f>IF(RAW_GAMES!L167="","",RAW_GAMES!L167)</f>
        <v>2.0099999999999998</v>
      </c>
      <c r="M167">
        <f>IF(RAW_GAMES!M167="","",RAW_GAMES!M167)</f>
        <v>2.46</v>
      </c>
      <c r="N167">
        <f t="shared" si="14"/>
        <v>-0.45000000000000018</v>
      </c>
      <c r="O167" s="7">
        <f>RAW_GAMES!O167</f>
        <v>2</v>
      </c>
      <c r="P167">
        <f>RAW_GAMES!N167</f>
        <v>0</v>
      </c>
      <c r="Q167">
        <f t="shared" si="15"/>
        <v>0</v>
      </c>
      <c r="R167" s="7">
        <f>RAW_GAMES!Q167</f>
        <v>3</v>
      </c>
      <c r="S167">
        <f>RAW_GAMES!P167</f>
        <v>0</v>
      </c>
      <c r="T167">
        <f t="shared" si="16"/>
        <v>1</v>
      </c>
      <c r="U167">
        <f>_xlfn.XLOOKUP(C167,
  CALC_TEAMS_SEASON!B:B,
  CALC_TEAMS_SEASON!F:F)</f>
        <v>0.17437423687423692</v>
      </c>
      <c r="V167">
        <f>_xlfn.XLOOKUP(D167,
  CALC_TEAMS_SEASON!B:B,
  CALC_TEAMS_SEASON!F:F)</f>
        <v>0.17387057387057389</v>
      </c>
      <c r="W167" t="str">
        <f>RAW_GAMES!R167</f>
        <v>Mazanec</v>
      </c>
      <c r="X167" s="7">
        <f>RAW_GAMES!S167</f>
        <v>30</v>
      </c>
      <c r="Y167">
        <f t="shared" si="17"/>
        <v>1</v>
      </c>
      <c r="Z167" t="str">
        <f>RAW_GAMES!V167</f>
        <v>RS</v>
      </c>
    </row>
    <row r="168" spans="1:26" x14ac:dyDescent="0.25">
      <c r="A168" t="str">
        <f>RAW_GAMES!A168</f>
        <v>25/26</v>
      </c>
      <c r="B168" s="3">
        <f>RAW_GAMES!B168</f>
        <v>45940</v>
      </c>
      <c r="C168" s="3" t="str">
        <f>RAW_GAMES!E168</f>
        <v>SPA</v>
      </c>
      <c r="D168" s="3" t="str">
        <f>RAW_GAMES!F168</f>
        <v>PCE</v>
      </c>
      <c r="E168" s="7">
        <f>RAW_GAMES!G168</f>
        <v>1</v>
      </c>
      <c r="F168">
        <f>RAW_GAMES!H168</f>
        <v>3</v>
      </c>
      <c r="G168">
        <f>RAW_GAMES!I168</f>
        <v>6</v>
      </c>
      <c r="H168">
        <f t="shared" si="12"/>
        <v>-3</v>
      </c>
      <c r="I168">
        <f>RAW_GAMES!J168</f>
        <v>32</v>
      </c>
      <c r="J168">
        <f>RAW_GAMES!K168</f>
        <v>27</v>
      </c>
      <c r="K168">
        <f t="shared" si="13"/>
        <v>5</v>
      </c>
      <c r="L168">
        <f>IF(RAW_GAMES!L168="","",RAW_GAMES!L168)</f>
        <v>1.41</v>
      </c>
      <c r="M168">
        <f>IF(RAW_GAMES!M168="","",RAW_GAMES!M168)</f>
        <v>3.72</v>
      </c>
      <c r="N168">
        <f t="shared" si="14"/>
        <v>-2.3100000000000005</v>
      </c>
      <c r="O168" s="7">
        <f>RAW_GAMES!O168</f>
        <v>7</v>
      </c>
      <c r="P168">
        <f>RAW_GAMES!N168</f>
        <v>3</v>
      </c>
      <c r="Q168">
        <f t="shared" si="15"/>
        <v>0.42857142857142855</v>
      </c>
      <c r="R168" s="7">
        <f>RAW_GAMES!Q168</f>
        <v>7</v>
      </c>
      <c r="S168">
        <f>RAW_GAMES!P168</f>
        <v>3</v>
      </c>
      <c r="T168">
        <f t="shared" si="16"/>
        <v>0.5714285714285714</v>
      </c>
      <c r="U168">
        <f>_xlfn.XLOOKUP(C168,
  CALC_TEAMS_SEASON!B:B,
  CALC_TEAMS_SEASON!F:F)</f>
        <v>0.22060439560439565</v>
      </c>
      <c r="V168">
        <f>_xlfn.XLOOKUP(D168,
  CALC_TEAMS_SEASON!B:B,
  CALC_TEAMS_SEASON!F:F)</f>
        <v>0.20297619047619053</v>
      </c>
      <c r="W168" t="str">
        <f>RAW_GAMES!R168</f>
        <v>Kořenář</v>
      </c>
      <c r="X168" s="7">
        <f>RAW_GAMES!S168</f>
        <v>26</v>
      </c>
      <c r="Y168">
        <f t="shared" si="17"/>
        <v>0</v>
      </c>
      <c r="Z168" t="str">
        <f>RAW_GAMES!V168</f>
        <v>RS</v>
      </c>
    </row>
    <row r="169" spans="1:26" x14ac:dyDescent="0.25">
      <c r="A169" t="str">
        <f>RAW_GAMES!A169</f>
        <v>25/26</v>
      </c>
      <c r="B169" s="3">
        <f>RAW_GAMES!B169</f>
        <v>45940</v>
      </c>
      <c r="C169" s="3" t="str">
        <f>RAW_GAMES!E169</f>
        <v>KOM</v>
      </c>
      <c r="D169" s="3" t="str">
        <f>RAW_GAMES!F169</f>
        <v>OLO</v>
      </c>
      <c r="E169" s="7">
        <f>RAW_GAMES!G169</f>
        <v>0</v>
      </c>
      <c r="F169">
        <f>RAW_GAMES!H169</f>
        <v>2</v>
      </c>
      <c r="G169">
        <f>RAW_GAMES!I169</f>
        <v>1</v>
      </c>
      <c r="H169">
        <f t="shared" si="12"/>
        <v>1</v>
      </c>
      <c r="I169">
        <f>RAW_GAMES!J169</f>
        <v>28</v>
      </c>
      <c r="J169">
        <f>RAW_GAMES!K169</f>
        <v>26</v>
      </c>
      <c r="K169">
        <f t="shared" si="13"/>
        <v>2</v>
      </c>
      <c r="L169">
        <f>IF(RAW_GAMES!L169="","",RAW_GAMES!L169)</f>
        <v>2.17</v>
      </c>
      <c r="M169">
        <f>IF(RAW_GAMES!M169="","",RAW_GAMES!M169)</f>
        <v>3.03</v>
      </c>
      <c r="N169">
        <f t="shared" si="14"/>
        <v>-0.85999999999999988</v>
      </c>
      <c r="O169" s="7">
        <f>RAW_GAMES!O169</f>
        <v>3</v>
      </c>
      <c r="P169">
        <f>RAW_GAMES!N169</f>
        <v>1</v>
      </c>
      <c r="Q169">
        <f t="shared" si="15"/>
        <v>0.33333333333333331</v>
      </c>
      <c r="R169" s="7">
        <f>RAW_GAMES!Q169</f>
        <v>6</v>
      </c>
      <c r="S169">
        <f>RAW_GAMES!P169</f>
        <v>1</v>
      </c>
      <c r="T169">
        <f t="shared" si="16"/>
        <v>0.83333333333333337</v>
      </c>
      <c r="U169">
        <f>_xlfn.XLOOKUP(C169,
  CALC_TEAMS_SEASON!B:B,
  CALC_TEAMS_SEASON!F:F)</f>
        <v>0.14358974358974358</v>
      </c>
      <c r="V169">
        <f>_xlfn.XLOOKUP(D169,
  CALC_TEAMS_SEASON!B:B,
  CALC_TEAMS_SEASON!F:F)</f>
        <v>0.14989316239316242</v>
      </c>
      <c r="W169" t="str">
        <f>RAW_GAMES!R169</f>
        <v>Kavan</v>
      </c>
      <c r="X169" s="7">
        <f>RAW_GAMES!S169</f>
        <v>25</v>
      </c>
      <c r="Y169">
        <f t="shared" si="17"/>
        <v>1</v>
      </c>
      <c r="Z169" t="str">
        <f>RAW_GAMES!V169</f>
        <v>RS</v>
      </c>
    </row>
    <row r="170" spans="1:26" x14ac:dyDescent="0.25">
      <c r="A170" t="str">
        <f>RAW_GAMES!A170</f>
        <v>25/26</v>
      </c>
      <c r="B170" s="3">
        <f>RAW_GAMES!B170</f>
        <v>45940</v>
      </c>
      <c r="C170" s="3" t="str">
        <f>RAW_GAMES!E170</f>
        <v>CEB</v>
      </c>
      <c r="D170" s="3" t="str">
        <f>RAW_GAMES!F170</f>
        <v>LIB</v>
      </c>
      <c r="E170" s="7">
        <f>RAW_GAMES!G170</f>
        <v>1</v>
      </c>
      <c r="F170">
        <f>RAW_GAMES!H170</f>
        <v>4</v>
      </c>
      <c r="G170">
        <f>RAW_GAMES!I170</f>
        <v>2</v>
      </c>
      <c r="H170">
        <f t="shared" si="12"/>
        <v>2</v>
      </c>
      <c r="I170">
        <f>RAW_GAMES!J170</f>
        <v>22</v>
      </c>
      <c r="J170">
        <f>RAW_GAMES!K170</f>
        <v>42</v>
      </c>
      <c r="K170">
        <f t="shared" si="13"/>
        <v>-20</v>
      </c>
      <c r="L170" t="str">
        <f>IF(RAW_GAMES!L170="","",RAW_GAMES!L170)</f>
        <v/>
      </c>
      <c r="M170" t="str">
        <f>IF(RAW_GAMES!M170="","",RAW_GAMES!M170)</f>
        <v/>
      </c>
      <c r="N170" t="str">
        <f t="shared" si="14"/>
        <v/>
      </c>
      <c r="O170" s="7">
        <f>RAW_GAMES!O170</f>
        <v>4</v>
      </c>
      <c r="P170">
        <f>RAW_GAMES!N170</f>
        <v>0</v>
      </c>
      <c r="Q170">
        <f t="shared" si="15"/>
        <v>0</v>
      </c>
      <c r="R170" s="7">
        <f>RAW_GAMES!Q170</f>
        <v>2</v>
      </c>
      <c r="S170">
        <f>RAW_GAMES!P170</f>
        <v>0</v>
      </c>
      <c r="T170">
        <f t="shared" si="16"/>
        <v>1</v>
      </c>
      <c r="U170">
        <f>_xlfn.XLOOKUP(C170,
  CALC_TEAMS_SEASON!B:B,
  CALC_TEAMS_SEASON!F:F)</f>
        <v>0.13021353646353648</v>
      </c>
      <c r="V170">
        <f>_xlfn.XLOOKUP(D170,
  CALC_TEAMS_SEASON!B:B,
  CALC_TEAMS_SEASON!F:F)</f>
        <v>0.14377289377289379</v>
      </c>
      <c r="W170" t="str">
        <f>RAW_GAMES!R170</f>
        <v>Strmeň</v>
      </c>
      <c r="X170" s="7">
        <f>RAW_GAMES!S170</f>
        <v>40</v>
      </c>
      <c r="Y170">
        <f t="shared" si="17"/>
        <v>1</v>
      </c>
      <c r="Z170" t="str">
        <f>RAW_GAMES!V170</f>
        <v>RS</v>
      </c>
    </row>
    <row r="171" spans="1:26" x14ac:dyDescent="0.25">
      <c r="A171" t="str">
        <f>RAW_GAMES!A171</f>
        <v>25/26</v>
      </c>
      <c r="B171" s="3">
        <f>RAW_GAMES!B171</f>
        <v>45940</v>
      </c>
      <c r="C171" s="3" t="str">
        <f>RAW_GAMES!E171</f>
        <v>KLA</v>
      </c>
      <c r="D171" s="3" t="str">
        <f>RAW_GAMES!F171</f>
        <v>LIT</v>
      </c>
      <c r="E171" s="7">
        <f>RAW_GAMES!G171</f>
        <v>0</v>
      </c>
      <c r="F171">
        <f>RAW_GAMES!H171</f>
        <v>3</v>
      </c>
      <c r="G171">
        <f>RAW_GAMES!I171</f>
        <v>1</v>
      </c>
      <c r="H171">
        <f t="shared" si="12"/>
        <v>2</v>
      </c>
      <c r="I171">
        <f>RAW_GAMES!J171</f>
        <v>24</v>
      </c>
      <c r="J171">
        <f>RAW_GAMES!K171</f>
        <v>24</v>
      </c>
      <c r="K171">
        <f t="shared" si="13"/>
        <v>0</v>
      </c>
      <c r="L171" t="str">
        <f>IF(RAW_GAMES!L171="","",RAW_GAMES!L171)</f>
        <v/>
      </c>
      <c r="M171" t="str">
        <f>IF(RAW_GAMES!M171="","",RAW_GAMES!M171)</f>
        <v/>
      </c>
      <c r="N171" t="str">
        <f t="shared" si="14"/>
        <v/>
      </c>
      <c r="O171" s="7">
        <f>RAW_GAMES!O171</f>
        <v>4</v>
      </c>
      <c r="P171">
        <f>RAW_GAMES!N171</f>
        <v>0</v>
      </c>
      <c r="Q171">
        <f t="shared" si="15"/>
        <v>0</v>
      </c>
      <c r="R171" s="7">
        <f>RAW_GAMES!Q171</f>
        <v>4</v>
      </c>
      <c r="S171">
        <f>RAW_GAMES!P171</f>
        <v>0</v>
      </c>
      <c r="T171">
        <f t="shared" si="16"/>
        <v>1</v>
      </c>
      <c r="U171">
        <f>_xlfn.XLOOKUP(C171,
  CALC_TEAMS_SEASON!B:B,
  CALC_TEAMS_SEASON!F:F)</f>
        <v>0.13120421245421243</v>
      </c>
      <c r="V171">
        <f>_xlfn.XLOOKUP(D171,
  CALC_TEAMS_SEASON!B:B,
  CALC_TEAMS_SEASON!F:F)</f>
        <v>0.10089285714285713</v>
      </c>
      <c r="W171" t="str">
        <f>RAW_GAMES!R171</f>
        <v>Brízgala</v>
      </c>
      <c r="X171" s="7">
        <f>RAW_GAMES!S171</f>
        <v>23</v>
      </c>
      <c r="Y171">
        <f t="shared" si="17"/>
        <v>1</v>
      </c>
      <c r="Z171" t="str">
        <f>RAW_GAMES!V171</f>
        <v>RS</v>
      </c>
    </row>
    <row r="172" spans="1:26" x14ac:dyDescent="0.25">
      <c r="A172" t="str">
        <f>RAW_GAMES!A172</f>
        <v>25/26</v>
      </c>
      <c r="B172" s="3">
        <f>RAW_GAMES!B172</f>
        <v>45940</v>
      </c>
      <c r="C172" s="3" t="str">
        <f>RAW_GAMES!E172</f>
        <v>KVA</v>
      </c>
      <c r="D172" s="3" t="str">
        <f>RAW_GAMES!F172</f>
        <v>TRI</v>
      </c>
      <c r="E172" s="7">
        <f>RAW_GAMES!G172</f>
        <v>1</v>
      </c>
      <c r="F172">
        <f>RAW_GAMES!H172</f>
        <v>1</v>
      </c>
      <c r="G172">
        <f>RAW_GAMES!I172</f>
        <v>3</v>
      </c>
      <c r="H172">
        <f t="shared" si="12"/>
        <v>-2</v>
      </c>
      <c r="I172">
        <f>RAW_GAMES!J172</f>
        <v>31</v>
      </c>
      <c r="J172">
        <f>RAW_GAMES!K172</f>
        <v>25</v>
      </c>
      <c r="K172">
        <f t="shared" si="13"/>
        <v>6</v>
      </c>
      <c r="L172">
        <f>IF(RAW_GAMES!L172="","",RAW_GAMES!L172)</f>
        <v>2.46</v>
      </c>
      <c r="M172">
        <f>IF(RAW_GAMES!M172="","",RAW_GAMES!M172)</f>
        <v>2.0099999999999998</v>
      </c>
      <c r="N172">
        <f t="shared" si="14"/>
        <v>0.45000000000000018</v>
      </c>
      <c r="O172" s="7">
        <f>RAW_GAMES!O172</f>
        <v>3</v>
      </c>
      <c r="P172">
        <f>RAW_GAMES!N172</f>
        <v>0</v>
      </c>
      <c r="Q172">
        <f t="shared" si="15"/>
        <v>0</v>
      </c>
      <c r="R172" s="7">
        <f>RAW_GAMES!Q172</f>
        <v>2</v>
      </c>
      <c r="S172">
        <f>RAW_GAMES!P172</f>
        <v>0</v>
      </c>
      <c r="T172">
        <f t="shared" si="16"/>
        <v>1</v>
      </c>
      <c r="U172">
        <f>_xlfn.XLOOKUP(C172,
  CALC_TEAMS_SEASON!B:B,
  CALC_TEAMS_SEASON!F:F)</f>
        <v>0.17387057387057389</v>
      </c>
      <c r="V172">
        <f>_xlfn.XLOOKUP(D172,
  CALC_TEAMS_SEASON!B:B,
  CALC_TEAMS_SEASON!F:F)</f>
        <v>0.17437423687423692</v>
      </c>
      <c r="W172" t="str">
        <f>RAW_GAMES!R172</f>
        <v>Frodl</v>
      </c>
      <c r="X172" s="7">
        <f>RAW_GAMES!S172</f>
        <v>22</v>
      </c>
      <c r="Y172">
        <f t="shared" si="17"/>
        <v>0</v>
      </c>
      <c r="Z172" t="str">
        <f>RAW_GAMES!V172</f>
        <v>RS</v>
      </c>
    </row>
    <row r="173" spans="1:26" x14ac:dyDescent="0.25">
      <c r="A173" t="str">
        <f>RAW_GAMES!A173</f>
        <v>25/26</v>
      </c>
      <c r="B173" s="3">
        <f>RAW_GAMES!B173</f>
        <v>45940</v>
      </c>
      <c r="C173" s="3" t="str">
        <f>RAW_GAMES!E173</f>
        <v>LIB</v>
      </c>
      <c r="D173" s="3" t="str">
        <f>RAW_GAMES!F173</f>
        <v>CEB</v>
      </c>
      <c r="E173" s="7">
        <f>RAW_GAMES!G173</f>
        <v>0</v>
      </c>
      <c r="F173">
        <f>RAW_GAMES!H173</f>
        <v>2</v>
      </c>
      <c r="G173">
        <f>RAW_GAMES!I173</f>
        <v>4</v>
      </c>
      <c r="H173">
        <f t="shared" si="12"/>
        <v>-2</v>
      </c>
      <c r="I173">
        <f>RAW_GAMES!J173</f>
        <v>42</v>
      </c>
      <c r="J173">
        <f>RAW_GAMES!K173</f>
        <v>22</v>
      </c>
      <c r="K173">
        <f t="shared" si="13"/>
        <v>20</v>
      </c>
      <c r="L173" t="str">
        <f>IF(RAW_GAMES!L173="","",RAW_GAMES!L173)</f>
        <v/>
      </c>
      <c r="M173" t="str">
        <f>IF(RAW_GAMES!M173="","",RAW_GAMES!M173)</f>
        <v/>
      </c>
      <c r="N173" t="str">
        <f t="shared" si="14"/>
        <v/>
      </c>
      <c r="O173" s="7">
        <f>RAW_GAMES!O173</f>
        <v>2</v>
      </c>
      <c r="P173">
        <f>RAW_GAMES!N173</f>
        <v>0</v>
      </c>
      <c r="Q173">
        <f t="shared" si="15"/>
        <v>0</v>
      </c>
      <c r="R173" s="7">
        <f>RAW_GAMES!Q173</f>
        <v>4</v>
      </c>
      <c r="S173">
        <f>RAW_GAMES!P173</f>
        <v>0</v>
      </c>
      <c r="T173">
        <f t="shared" si="16"/>
        <v>1</v>
      </c>
      <c r="U173">
        <f>_xlfn.XLOOKUP(C173,
  CALC_TEAMS_SEASON!B:B,
  CALC_TEAMS_SEASON!F:F)</f>
        <v>0.14377289377289379</v>
      </c>
      <c r="V173">
        <f>_xlfn.XLOOKUP(D173,
  CALC_TEAMS_SEASON!B:B,
  CALC_TEAMS_SEASON!F:F)</f>
        <v>0.13021353646353648</v>
      </c>
      <c r="W173" t="str">
        <f>RAW_GAMES!R173</f>
        <v>Kváča</v>
      </c>
      <c r="X173" s="7">
        <f>RAW_GAMES!S173</f>
        <v>18</v>
      </c>
      <c r="Y173">
        <f t="shared" si="17"/>
        <v>0</v>
      </c>
      <c r="Z173" t="str">
        <f>RAW_GAMES!V173</f>
        <v>RS</v>
      </c>
    </row>
    <row r="174" spans="1:26" x14ac:dyDescent="0.25">
      <c r="A174" t="str">
        <f>RAW_GAMES!A174</f>
        <v>25/26</v>
      </c>
      <c r="B174" s="3">
        <f>RAW_GAMES!B174</f>
        <v>45940</v>
      </c>
      <c r="C174" s="3" t="str">
        <f>RAW_GAMES!E174</f>
        <v>LIT</v>
      </c>
      <c r="D174" s="3" t="str">
        <f>RAW_GAMES!F174</f>
        <v>KLA</v>
      </c>
      <c r="E174" s="7">
        <f>RAW_GAMES!G174</f>
        <v>1</v>
      </c>
      <c r="F174">
        <f>RAW_GAMES!H174</f>
        <v>1</v>
      </c>
      <c r="G174">
        <f>RAW_GAMES!I174</f>
        <v>3</v>
      </c>
      <c r="H174">
        <f t="shared" si="12"/>
        <v>-2</v>
      </c>
      <c r="I174">
        <f>RAW_GAMES!J174</f>
        <v>24</v>
      </c>
      <c r="J174">
        <f>RAW_GAMES!K174</f>
        <v>24</v>
      </c>
      <c r="K174">
        <f t="shared" si="13"/>
        <v>0</v>
      </c>
      <c r="L174" t="str">
        <f>IF(RAW_GAMES!L174="","",RAW_GAMES!L174)</f>
        <v/>
      </c>
      <c r="M174" t="str">
        <f>IF(RAW_GAMES!M174="","",RAW_GAMES!M174)</f>
        <v/>
      </c>
      <c r="N174" t="str">
        <f t="shared" si="14"/>
        <v/>
      </c>
      <c r="O174" s="7">
        <f>RAW_GAMES!O174</f>
        <v>4</v>
      </c>
      <c r="P174">
        <f>RAW_GAMES!N174</f>
        <v>0</v>
      </c>
      <c r="Q174">
        <f t="shared" si="15"/>
        <v>0</v>
      </c>
      <c r="R174" s="7">
        <f>RAW_GAMES!Q174</f>
        <v>4</v>
      </c>
      <c r="S174">
        <f>RAW_GAMES!P174</f>
        <v>0</v>
      </c>
      <c r="T174">
        <f t="shared" si="16"/>
        <v>1</v>
      </c>
      <c r="U174">
        <f>_xlfn.XLOOKUP(C174,
  CALC_TEAMS_SEASON!B:B,
  CALC_TEAMS_SEASON!F:F)</f>
        <v>0.10089285714285713</v>
      </c>
      <c r="V174">
        <f>_xlfn.XLOOKUP(D174,
  CALC_TEAMS_SEASON!B:B,
  CALC_TEAMS_SEASON!F:F)</f>
        <v>0.13120421245421243</v>
      </c>
      <c r="W174" t="str">
        <f>RAW_GAMES!R174</f>
        <v>Čajan</v>
      </c>
      <c r="X174" s="7">
        <f>RAW_GAMES!S174</f>
        <v>21</v>
      </c>
      <c r="Y174">
        <f t="shared" si="17"/>
        <v>0</v>
      </c>
      <c r="Z174" t="str">
        <f>RAW_GAMES!V174</f>
        <v>RS</v>
      </c>
    </row>
    <row r="175" spans="1:26" x14ac:dyDescent="0.25">
      <c r="A175" t="str">
        <f>RAW_GAMES!A175</f>
        <v>25/26</v>
      </c>
      <c r="B175" s="3">
        <f>RAW_GAMES!B175</f>
        <v>45940</v>
      </c>
      <c r="C175" s="3" t="str">
        <f>RAW_GAMES!E175</f>
        <v>MBL</v>
      </c>
      <c r="D175" s="3" t="str">
        <f>RAW_GAMES!F175</f>
        <v>MHK</v>
      </c>
      <c r="E175" s="7">
        <f>RAW_GAMES!G175</f>
        <v>1</v>
      </c>
      <c r="F175">
        <f>RAW_GAMES!H175</f>
        <v>2</v>
      </c>
      <c r="G175">
        <f>RAW_GAMES!I175</f>
        <v>3</v>
      </c>
      <c r="H175">
        <f t="shared" si="12"/>
        <v>-1</v>
      </c>
      <c r="I175">
        <f>RAW_GAMES!J175</f>
        <v>14</v>
      </c>
      <c r="J175">
        <f>RAW_GAMES!K175</f>
        <v>32</v>
      </c>
      <c r="K175">
        <f t="shared" si="13"/>
        <v>-18</v>
      </c>
      <c r="L175" t="str">
        <f>IF(RAW_GAMES!L175="","",RAW_GAMES!L175)</f>
        <v/>
      </c>
      <c r="M175" t="str">
        <f>IF(RAW_GAMES!M175="","",RAW_GAMES!M175)</f>
        <v/>
      </c>
      <c r="N175" t="str">
        <f t="shared" si="14"/>
        <v/>
      </c>
      <c r="O175" s="7">
        <f>RAW_GAMES!O175</f>
        <v>4</v>
      </c>
      <c r="P175">
        <f>RAW_GAMES!N175</f>
        <v>1</v>
      </c>
      <c r="Q175">
        <f t="shared" si="15"/>
        <v>0.25</v>
      </c>
      <c r="R175" s="7">
        <f>RAW_GAMES!Q175</f>
        <v>3</v>
      </c>
      <c r="S175">
        <f>RAW_GAMES!P175</f>
        <v>1</v>
      </c>
      <c r="T175">
        <f t="shared" si="16"/>
        <v>0.66666666666666674</v>
      </c>
      <c r="U175">
        <f>_xlfn.XLOOKUP(C175,
  CALC_TEAMS_SEASON!B:B,
  CALC_TEAMS_SEASON!F:F)</f>
        <v>0.11826923076923078</v>
      </c>
      <c r="V175">
        <f>_xlfn.XLOOKUP(D175,
  CALC_TEAMS_SEASON!B:B,
  CALC_TEAMS_SEASON!F:F)</f>
        <v>0.14184981684981687</v>
      </c>
      <c r="W175" t="str">
        <f>RAW_GAMES!R175</f>
        <v>Furch</v>
      </c>
      <c r="X175" s="7">
        <f>RAW_GAMES!S175</f>
        <v>30</v>
      </c>
      <c r="Y175">
        <f t="shared" si="17"/>
        <v>0</v>
      </c>
      <c r="Z175" t="str">
        <f>RAW_GAMES!V175</f>
        <v>RS</v>
      </c>
    </row>
    <row r="176" spans="1:26" x14ac:dyDescent="0.25">
      <c r="A176" t="str">
        <f>RAW_GAMES!A176</f>
        <v>25/26</v>
      </c>
      <c r="B176" s="3">
        <f>RAW_GAMES!B176</f>
        <v>45940</v>
      </c>
      <c r="C176" s="3" t="str">
        <f>RAW_GAMES!E176</f>
        <v>MHK</v>
      </c>
      <c r="D176" s="3" t="str">
        <f>RAW_GAMES!F176</f>
        <v>MBL</v>
      </c>
      <c r="E176" s="7">
        <f>RAW_GAMES!G176</f>
        <v>0</v>
      </c>
      <c r="F176">
        <f>RAW_GAMES!H176</f>
        <v>3</v>
      </c>
      <c r="G176">
        <f>RAW_GAMES!I176</f>
        <v>2</v>
      </c>
      <c r="H176">
        <f t="shared" si="12"/>
        <v>1</v>
      </c>
      <c r="I176">
        <f>RAW_GAMES!J176</f>
        <v>32</v>
      </c>
      <c r="J176">
        <f>RAW_GAMES!K176</f>
        <v>14</v>
      </c>
      <c r="K176">
        <f t="shared" si="13"/>
        <v>18</v>
      </c>
      <c r="L176" t="str">
        <f>IF(RAW_GAMES!L176="","",RAW_GAMES!L176)</f>
        <v/>
      </c>
      <c r="M176" t="str">
        <f>IF(RAW_GAMES!M176="","",RAW_GAMES!M176)</f>
        <v/>
      </c>
      <c r="N176" t="str">
        <f t="shared" si="14"/>
        <v/>
      </c>
      <c r="O176" s="7">
        <f>RAW_GAMES!O176</f>
        <v>3</v>
      </c>
      <c r="P176">
        <f>RAW_GAMES!N176</f>
        <v>1</v>
      </c>
      <c r="Q176">
        <f t="shared" si="15"/>
        <v>0.33333333333333331</v>
      </c>
      <c r="R176" s="7">
        <f>RAW_GAMES!Q176</f>
        <v>4</v>
      </c>
      <c r="S176">
        <f>RAW_GAMES!P176</f>
        <v>1</v>
      </c>
      <c r="T176">
        <f t="shared" si="16"/>
        <v>0.75</v>
      </c>
      <c r="U176">
        <f>_xlfn.XLOOKUP(C176,
  CALC_TEAMS_SEASON!B:B,
  CALC_TEAMS_SEASON!F:F)</f>
        <v>0.14184981684981687</v>
      </c>
      <c r="V176">
        <f>_xlfn.XLOOKUP(D176,
  CALC_TEAMS_SEASON!B:B,
  CALC_TEAMS_SEASON!F:F)</f>
        <v>0.11826923076923078</v>
      </c>
      <c r="W176" t="str">
        <f>RAW_GAMES!R176</f>
        <v>Škorvánek</v>
      </c>
      <c r="X176" s="7">
        <f>RAW_GAMES!S176</f>
        <v>12</v>
      </c>
      <c r="Y176">
        <f t="shared" si="17"/>
        <v>1</v>
      </c>
      <c r="Z176" t="str">
        <f>RAW_GAMES!V176</f>
        <v>RS</v>
      </c>
    </row>
    <row r="177" spans="1:26" x14ac:dyDescent="0.25">
      <c r="A177" t="str">
        <f>RAW_GAMES!A177</f>
        <v>25/26</v>
      </c>
      <c r="B177" s="3">
        <f>RAW_GAMES!B177</f>
        <v>45940</v>
      </c>
      <c r="C177" s="3" t="str">
        <f>RAW_GAMES!E177</f>
        <v>OLO</v>
      </c>
      <c r="D177" s="3" t="str">
        <f>RAW_GAMES!F177</f>
        <v>KOM</v>
      </c>
      <c r="E177" s="7">
        <f>RAW_GAMES!G177</f>
        <v>1</v>
      </c>
      <c r="F177">
        <f>RAW_GAMES!H177</f>
        <v>1</v>
      </c>
      <c r="G177">
        <f>RAW_GAMES!I177</f>
        <v>2</v>
      </c>
      <c r="H177">
        <f t="shared" si="12"/>
        <v>-1</v>
      </c>
      <c r="I177">
        <f>RAW_GAMES!J177</f>
        <v>26</v>
      </c>
      <c r="J177">
        <f>RAW_GAMES!K177</f>
        <v>28</v>
      </c>
      <c r="K177">
        <f t="shared" si="13"/>
        <v>-2</v>
      </c>
      <c r="L177">
        <f>IF(RAW_GAMES!L177="","",RAW_GAMES!L177)</f>
        <v>3.03</v>
      </c>
      <c r="M177">
        <f>IF(RAW_GAMES!M177="","",RAW_GAMES!M177)</f>
        <v>2.17</v>
      </c>
      <c r="N177">
        <f t="shared" si="14"/>
        <v>0.85999999999999988</v>
      </c>
      <c r="O177" s="7">
        <f>RAW_GAMES!O177</f>
        <v>6</v>
      </c>
      <c r="P177">
        <f>RAW_GAMES!N177</f>
        <v>1</v>
      </c>
      <c r="Q177">
        <f t="shared" si="15"/>
        <v>0.16666666666666666</v>
      </c>
      <c r="R177" s="7">
        <f>RAW_GAMES!Q177</f>
        <v>3</v>
      </c>
      <c r="S177">
        <f>RAW_GAMES!P177</f>
        <v>1</v>
      </c>
      <c r="T177">
        <f t="shared" si="16"/>
        <v>0.66666666666666674</v>
      </c>
      <c r="U177">
        <f>_xlfn.XLOOKUP(C177,
  CALC_TEAMS_SEASON!B:B,
  CALC_TEAMS_SEASON!F:F)</f>
        <v>0.14989316239316242</v>
      </c>
      <c r="V177">
        <f>_xlfn.XLOOKUP(D177,
  CALC_TEAMS_SEASON!B:B,
  CALC_TEAMS_SEASON!F:F)</f>
        <v>0.14358974358974358</v>
      </c>
      <c r="W177" t="str">
        <f>RAW_GAMES!R177</f>
        <v>Machovský</v>
      </c>
      <c r="X177" s="7">
        <f>RAW_GAMES!S177</f>
        <v>26</v>
      </c>
      <c r="Y177">
        <f t="shared" si="17"/>
        <v>0</v>
      </c>
      <c r="Z177" t="str">
        <f>RAW_GAMES!V177</f>
        <v>RS</v>
      </c>
    </row>
    <row r="178" spans="1:26" x14ac:dyDescent="0.25">
      <c r="A178" t="str">
        <f>RAW_GAMES!A178</f>
        <v>25/26</v>
      </c>
      <c r="B178" s="3">
        <f>RAW_GAMES!B178</f>
        <v>45942</v>
      </c>
      <c r="C178" s="3" t="str">
        <f>RAW_GAMES!E178</f>
        <v>PCE</v>
      </c>
      <c r="D178" s="3" t="str">
        <f>RAW_GAMES!F178</f>
        <v>MHK</v>
      </c>
      <c r="E178" s="7">
        <f>RAW_GAMES!G178</f>
        <v>0</v>
      </c>
      <c r="F178">
        <f>RAW_GAMES!H178</f>
        <v>1</v>
      </c>
      <c r="G178">
        <f>RAW_GAMES!I178</f>
        <v>2</v>
      </c>
      <c r="H178">
        <f t="shared" si="12"/>
        <v>-1</v>
      </c>
      <c r="I178">
        <f>RAW_GAMES!J178</f>
        <v>18</v>
      </c>
      <c r="J178">
        <f>RAW_GAMES!K178</f>
        <v>26</v>
      </c>
      <c r="K178">
        <f t="shared" si="13"/>
        <v>-8</v>
      </c>
      <c r="L178">
        <f>IF(RAW_GAMES!L178="","",RAW_GAMES!L178)</f>
        <v>1.88</v>
      </c>
      <c r="M178">
        <f>IF(RAW_GAMES!M178="","",RAW_GAMES!M178)</f>
        <v>2.4500000000000002</v>
      </c>
      <c r="N178">
        <f t="shared" si="14"/>
        <v>-0.57000000000000028</v>
      </c>
      <c r="O178" s="7">
        <f>RAW_GAMES!O178</f>
        <v>5</v>
      </c>
      <c r="P178">
        <f>RAW_GAMES!N178</f>
        <v>1</v>
      </c>
      <c r="Q178">
        <f t="shared" si="15"/>
        <v>0.2</v>
      </c>
      <c r="R178" s="7">
        <f>RAW_GAMES!Q178</f>
        <v>6</v>
      </c>
      <c r="S178">
        <f>RAW_GAMES!P178</f>
        <v>0</v>
      </c>
      <c r="T178">
        <f t="shared" si="16"/>
        <v>1</v>
      </c>
      <c r="U178">
        <f>_xlfn.XLOOKUP(C178,
  CALC_TEAMS_SEASON!B:B,
  CALC_TEAMS_SEASON!F:F)</f>
        <v>0.20297619047619053</v>
      </c>
      <c r="V178">
        <f>_xlfn.XLOOKUP(D178,
  CALC_TEAMS_SEASON!B:B,
  CALC_TEAMS_SEASON!F:F)</f>
        <v>0.14184981684981687</v>
      </c>
      <c r="W178" t="str">
        <f>RAW_GAMES!R178</f>
        <v>Vomáčka</v>
      </c>
      <c r="X178" s="7">
        <f>RAW_GAMES!S178</f>
        <v>24</v>
      </c>
      <c r="Y178">
        <f t="shared" si="17"/>
        <v>0</v>
      </c>
      <c r="Z178" t="str">
        <f>RAW_GAMES!V178</f>
        <v>RS</v>
      </c>
    </row>
    <row r="179" spans="1:26" x14ac:dyDescent="0.25">
      <c r="A179" t="str">
        <f>RAW_GAMES!A179</f>
        <v>25/26</v>
      </c>
      <c r="B179" s="3">
        <f>RAW_GAMES!B179</f>
        <v>45942</v>
      </c>
      <c r="C179" s="3" t="str">
        <f>RAW_GAMES!E179</f>
        <v>TRI</v>
      </c>
      <c r="D179" s="3" t="str">
        <f>RAW_GAMES!F179</f>
        <v>OLO</v>
      </c>
      <c r="E179" s="7">
        <f>RAW_GAMES!G179</f>
        <v>0</v>
      </c>
      <c r="F179">
        <f>RAW_GAMES!H179</f>
        <v>5</v>
      </c>
      <c r="G179">
        <f>RAW_GAMES!I179</f>
        <v>3</v>
      </c>
      <c r="H179">
        <f t="shared" si="12"/>
        <v>2</v>
      </c>
      <c r="I179">
        <f>RAW_GAMES!J179</f>
        <v>26</v>
      </c>
      <c r="J179">
        <f>RAW_GAMES!K179</f>
        <v>31</v>
      </c>
      <c r="K179">
        <f t="shared" si="13"/>
        <v>-5</v>
      </c>
      <c r="L179">
        <f>IF(RAW_GAMES!L179="","",RAW_GAMES!L179)</f>
        <v>2.38</v>
      </c>
      <c r="M179">
        <f>IF(RAW_GAMES!M179="","",RAW_GAMES!M179)</f>
        <v>3.14</v>
      </c>
      <c r="N179">
        <f t="shared" si="14"/>
        <v>-0.76000000000000023</v>
      </c>
      <c r="O179" s="7">
        <f>RAW_GAMES!O179</f>
        <v>2</v>
      </c>
      <c r="P179">
        <f>RAW_GAMES!N179</f>
        <v>1</v>
      </c>
      <c r="Q179">
        <f t="shared" si="15"/>
        <v>0.5</v>
      </c>
      <c r="R179" s="7">
        <f>RAW_GAMES!Q179</f>
        <v>2</v>
      </c>
      <c r="S179">
        <f>RAW_GAMES!P179</f>
        <v>0</v>
      </c>
      <c r="T179">
        <f t="shared" si="16"/>
        <v>1</v>
      </c>
      <c r="U179">
        <f>_xlfn.XLOOKUP(C179,
  CALC_TEAMS_SEASON!B:B,
  CALC_TEAMS_SEASON!F:F)</f>
        <v>0.17437423687423692</v>
      </c>
      <c r="V179">
        <f>_xlfn.XLOOKUP(D179,
  CALC_TEAMS_SEASON!B:B,
  CALC_TEAMS_SEASON!F:F)</f>
        <v>0.14989316239316242</v>
      </c>
      <c r="W179" t="str">
        <f>RAW_GAMES!R179</f>
        <v>Mazanec</v>
      </c>
      <c r="X179" s="7">
        <f>RAW_GAMES!S179</f>
        <v>28</v>
      </c>
      <c r="Y179">
        <f t="shared" si="17"/>
        <v>1</v>
      </c>
      <c r="Z179" t="str">
        <f>RAW_GAMES!V179</f>
        <v>RS</v>
      </c>
    </row>
    <row r="180" spans="1:26" x14ac:dyDescent="0.25">
      <c r="A180" t="str">
        <f>RAW_GAMES!A180</f>
        <v>25/26</v>
      </c>
      <c r="B180" s="3">
        <f>RAW_GAMES!B180</f>
        <v>45942</v>
      </c>
      <c r="C180" s="3" t="str">
        <f>RAW_GAMES!E180</f>
        <v>SPA</v>
      </c>
      <c r="D180" s="3" t="str">
        <f>RAW_GAMES!F180</f>
        <v>CEB</v>
      </c>
      <c r="E180" s="7">
        <f>RAW_GAMES!G180</f>
        <v>1</v>
      </c>
      <c r="F180">
        <f>RAW_GAMES!H180</f>
        <v>4</v>
      </c>
      <c r="G180">
        <f>RAW_GAMES!I180</f>
        <v>2</v>
      </c>
      <c r="H180">
        <f t="shared" si="12"/>
        <v>2</v>
      </c>
      <c r="I180">
        <f>RAW_GAMES!J180</f>
        <v>40</v>
      </c>
      <c r="J180">
        <f>RAW_GAMES!K180</f>
        <v>27</v>
      </c>
      <c r="K180">
        <f t="shared" si="13"/>
        <v>13</v>
      </c>
      <c r="L180">
        <f>IF(RAW_GAMES!L180="","",RAW_GAMES!L180)</f>
        <v>3.44</v>
      </c>
      <c r="M180">
        <f>IF(RAW_GAMES!M180="","",RAW_GAMES!M180)</f>
        <v>2.0099999999999998</v>
      </c>
      <c r="N180">
        <f t="shared" si="14"/>
        <v>1.4300000000000002</v>
      </c>
      <c r="O180" s="7">
        <f>RAW_GAMES!O180</f>
        <v>8</v>
      </c>
      <c r="P180">
        <f>RAW_GAMES!N180</f>
        <v>0</v>
      </c>
      <c r="Q180">
        <f t="shared" si="15"/>
        <v>0</v>
      </c>
      <c r="R180" s="7">
        <f>RAW_GAMES!Q180</f>
        <v>5</v>
      </c>
      <c r="S180">
        <f>RAW_GAMES!P180</f>
        <v>0</v>
      </c>
      <c r="T180">
        <f t="shared" si="16"/>
        <v>1</v>
      </c>
      <c r="U180">
        <f>_xlfn.XLOOKUP(C180,
  CALC_TEAMS_SEASON!B:B,
  CALC_TEAMS_SEASON!F:F)</f>
        <v>0.22060439560439565</v>
      </c>
      <c r="V180">
        <f>_xlfn.XLOOKUP(D180,
  CALC_TEAMS_SEASON!B:B,
  CALC_TEAMS_SEASON!F:F)</f>
        <v>0.13021353646353648</v>
      </c>
      <c r="W180" t="str">
        <f>RAW_GAMES!R180</f>
        <v>Kořenář</v>
      </c>
      <c r="X180" s="7">
        <f>RAW_GAMES!S180</f>
        <v>25</v>
      </c>
      <c r="Y180">
        <f t="shared" si="17"/>
        <v>1</v>
      </c>
      <c r="Z180" t="str">
        <f>RAW_GAMES!V180</f>
        <v>RS</v>
      </c>
    </row>
    <row r="181" spans="1:26" x14ac:dyDescent="0.25">
      <c r="A181" t="str">
        <f>RAW_GAMES!A181</f>
        <v>25/26</v>
      </c>
      <c r="B181" s="3">
        <f>RAW_GAMES!B181</f>
        <v>45942</v>
      </c>
      <c r="C181" s="3" t="str">
        <f>RAW_GAMES!E181</f>
        <v>KOM</v>
      </c>
      <c r="D181" s="3" t="str">
        <f>RAW_GAMES!F181</f>
        <v>LIT</v>
      </c>
      <c r="E181" s="7">
        <f>RAW_GAMES!G181</f>
        <v>0</v>
      </c>
      <c r="F181">
        <f>RAW_GAMES!H181</f>
        <v>5</v>
      </c>
      <c r="G181">
        <f>RAW_GAMES!I181</f>
        <v>2</v>
      </c>
      <c r="H181">
        <f t="shared" si="12"/>
        <v>3</v>
      </c>
      <c r="I181">
        <f>RAW_GAMES!J181</f>
        <v>32</v>
      </c>
      <c r="J181">
        <f>RAW_GAMES!K181</f>
        <v>16</v>
      </c>
      <c r="K181">
        <f t="shared" si="13"/>
        <v>16</v>
      </c>
      <c r="L181">
        <f>IF(RAW_GAMES!L181="","",RAW_GAMES!L181)</f>
        <v>3.72</v>
      </c>
      <c r="M181">
        <f>IF(RAW_GAMES!M181="","",RAW_GAMES!M181)</f>
        <v>1.1100000000000001</v>
      </c>
      <c r="N181">
        <f t="shared" si="14"/>
        <v>2.6100000000000003</v>
      </c>
      <c r="O181" s="7">
        <f>RAW_GAMES!O181</f>
        <v>4</v>
      </c>
      <c r="P181">
        <f>RAW_GAMES!N181</f>
        <v>2</v>
      </c>
      <c r="Q181">
        <f t="shared" si="15"/>
        <v>0.5</v>
      </c>
      <c r="R181" s="7">
        <f>RAW_GAMES!Q181</f>
        <v>4</v>
      </c>
      <c r="S181">
        <f>RAW_GAMES!P181</f>
        <v>0</v>
      </c>
      <c r="T181">
        <f t="shared" si="16"/>
        <v>1</v>
      </c>
      <c r="U181">
        <f>_xlfn.XLOOKUP(C181,
  CALC_TEAMS_SEASON!B:B,
  CALC_TEAMS_SEASON!F:F)</f>
        <v>0.14358974358974358</v>
      </c>
      <c r="V181">
        <f>_xlfn.XLOOKUP(D181,
  CALC_TEAMS_SEASON!B:B,
  CALC_TEAMS_SEASON!F:F)</f>
        <v>0.10089285714285713</v>
      </c>
      <c r="W181" t="str">
        <f>RAW_GAMES!R181</f>
        <v>Kavan</v>
      </c>
      <c r="X181" s="7">
        <f>RAW_GAMES!S181</f>
        <v>14</v>
      </c>
      <c r="Y181">
        <f t="shared" si="17"/>
        <v>1</v>
      </c>
      <c r="Z181" t="str">
        <f>RAW_GAMES!V181</f>
        <v>RS</v>
      </c>
    </row>
    <row r="182" spans="1:26" x14ac:dyDescent="0.25">
      <c r="A182" t="str">
        <f>RAW_GAMES!A182</f>
        <v>25/26</v>
      </c>
      <c r="B182" s="3">
        <f>RAW_GAMES!B182</f>
        <v>45942</v>
      </c>
      <c r="C182" s="3" t="str">
        <f>RAW_GAMES!E182</f>
        <v>CEB</v>
      </c>
      <c r="D182" s="3" t="str">
        <f>RAW_GAMES!F182</f>
        <v>SPA</v>
      </c>
      <c r="E182" s="7">
        <f>RAW_GAMES!G182</f>
        <v>0</v>
      </c>
      <c r="F182">
        <f>RAW_GAMES!H182</f>
        <v>2</v>
      </c>
      <c r="G182">
        <f>RAW_GAMES!I182</f>
        <v>4</v>
      </c>
      <c r="H182">
        <f t="shared" si="12"/>
        <v>-2</v>
      </c>
      <c r="I182">
        <f>RAW_GAMES!J182</f>
        <v>27</v>
      </c>
      <c r="J182">
        <f>RAW_GAMES!K182</f>
        <v>40</v>
      </c>
      <c r="K182">
        <f t="shared" si="13"/>
        <v>-13</v>
      </c>
      <c r="L182">
        <f>IF(RAW_GAMES!L182="","",RAW_GAMES!L182)</f>
        <v>2.0099999999999998</v>
      </c>
      <c r="M182">
        <f>IF(RAW_GAMES!M182="","",RAW_GAMES!M182)</f>
        <v>3.44</v>
      </c>
      <c r="N182">
        <f t="shared" si="14"/>
        <v>-1.4300000000000002</v>
      </c>
      <c r="O182" s="7">
        <f>RAW_GAMES!O182</f>
        <v>5</v>
      </c>
      <c r="P182">
        <f>RAW_GAMES!N182</f>
        <v>0</v>
      </c>
      <c r="Q182">
        <f t="shared" si="15"/>
        <v>0</v>
      </c>
      <c r="R182" s="7">
        <f>RAW_GAMES!Q182</f>
        <v>8</v>
      </c>
      <c r="S182">
        <f>RAW_GAMES!P182</f>
        <v>0</v>
      </c>
      <c r="T182">
        <f t="shared" si="16"/>
        <v>1</v>
      </c>
      <c r="U182">
        <f>_xlfn.XLOOKUP(C182,
  CALC_TEAMS_SEASON!B:B,
  CALC_TEAMS_SEASON!F:F)</f>
        <v>0.13021353646353648</v>
      </c>
      <c r="V182">
        <f>_xlfn.XLOOKUP(D182,
  CALC_TEAMS_SEASON!B:B,
  CALC_TEAMS_SEASON!F:F)</f>
        <v>0.22060439560439565</v>
      </c>
      <c r="W182" t="str">
        <f>RAW_GAMES!R182</f>
        <v>Strmeň</v>
      </c>
      <c r="X182" s="7">
        <f>RAW_GAMES!S182</f>
        <v>36</v>
      </c>
      <c r="Y182">
        <f t="shared" si="17"/>
        <v>0</v>
      </c>
      <c r="Z182" t="str">
        <f>RAW_GAMES!V182</f>
        <v>RS</v>
      </c>
    </row>
    <row r="183" spans="1:26" x14ac:dyDescent="0.25">
      <c r="A183" t="str">
        <f>RAW_GAMES!A183</f>
        <v>25/26</v>
      </c>
      <c r="B183" s="3">
        <f>RAW_GAMES!B183</f>
        <v>45942</v>
      </c>
      <c r="C183" s="3" t="str">
        <f>RAW_GAMES!E183</f>
        <v>KLA</v>
      </c>
      <c r="D183" s="3" t="str">
        <f>RAW_GAMES!F183</f>
        <v>MBL</v>
      </c>
      <c r="E183" s="7">
        <f>RAW_GAMES!G183</f>
        <v>0</v>
      </c>
      <c r="F183">
        <f>RAW_GAMES!H183</f>
        <v>1</v>
      </c>
      <c r="G183">
        <f>RAW_GAMES!I183</f>
        <v>2</v>
      </c>
      <c r="H183">
        <f t="shared" si="12"/>
        <v>-1</v>
      </c>
      <c r="I183">
        <f>RAW_GAMES!J183</f>
        <v>38</v>
      </c>
      <c r="J183">
        <f>RAW_GAMES!K183</f>
        <v>30</v>
      </c>
      <c r="K183">
        <f t="shared" si="13"/>
        <v>8</v>
      </c>
      <c r="L183" t="str">
        <f>IF(RAW_GAMES!L183="","",RAW_GAMES!L183)</f>
        <v/>
      </c>
      <c r="M183" t="str">
        <f>IF(RAW_GAMES!M183="","",RAW_GAMES!M183)</f>
        <v/>
      </c>
      <c r="N183" t="str">
        <f t="shared" si="14"/>
        <v/>
      </c>
      <c r="O183" s="7">
        <f>RAW_GAMES!O183</f>
        <v>2</v>
      </c>
      <c r="P183">
        <f>RAW_GAMES!N183</f>
        <v>0</v>
      </c>
      <c r="Q183">
        <f t="shared" si="15"/>
        <v>0</v>
      </c>
      <c r="R183" s="7">
        <f>RAW_GAMES!Q183</f>
        <v>5</v>
      </c>
      <c r="S183">
        <f>RAW_GAMES!P183</f>
        <v>0</v>
      </c>
      <c r="T183">
        <f t="shared" si="16"/>
        <v>1</v>
      </c>
      <c r="U183">
        <f>_xlfn.XLOOKUP(C183,
  CALC_TEAMS_SEASON!B:B,
  CALC_TEAMS_SEASON!F:F)</f>
        <v>0.13120421245421243</v>
      </c>
      <c r="V183">
        <f>_xlfn.XLOOKUP(D183,
  CALC_TEAMS_SEASON!B:B,
  CALC_TEAMS_SEASON!F:F)</f>
        <v>0.11826923076923078</v>
      </c>
      <c r="W183" t="str">
        <f>RAW_GAMES!R183</f>
        <v>Brízgala</v>
      </c>
      <c r="X183" s="7">
        <f>RAW_GAMES!S183</f>
        <v>29</v>
      </c>
      <c r="Y183">
        <f t="shared" si="17"/>
        <v>0</v>
      </c>
      <c r="Z183" t="str">
        <f>RAW_GAMES!V183</f>
        <v>RS</v>
      </c>
    </row>
    <row r="184" spans="1:26" x14ac:dyDescent="0.25">
      <c r="A184" t="str">
        <f>RAW_GAMES!A184</f>
        <v>25/26</v>
      </c>
      <c r="B184" s="3">
        <f>RAW_GAMES!B184</f>
        <v>45942</v>
      </c>
      <c r="C184" s="3" t="str">
        <f>RAW_GAMES!E184</f>
        <v>KVA</v>
      </c>
      <c r="D184" s="3" t="str">
        <f>RAW_GAMES!F184</f>
        <v>VIT</v>
      </c>
      <c r="E184" s="7">
        <f>RAW_GAMES!G184</f>
        <v>0</v>
      </c>
      <c r="F184">
        <f>RAW_GAMES!H184</f>
        <v>0</v>
      </c>
      <c r="G184">
        <f>RAW_GAMES!I184</f>
        <v>3</v>
      </c>
      <c r="H184">
        <f t="shared" si="12"/>
        <v>-3</v>
      </c>
      <c r="I184">
        <f>RAW_GAMES!J184</f>
        <v>26</v>
      </c>
      <c r="J184">
        <f>RAW_GAMES!K184</f>
        <v>21</v>
      </c>
      <c r="K184">
        <f t="shared" si="13"/>
        <v>5</v>
      </c>
      <c r="L184" t="str">
        <f>IF(RAW_GAMES!L184="","",RAW_GAMES!L184)</f>
        <v/>
      </c>
      <c r="M184" t="str">
        <f>IF(RAW_GAMES!M184="","",RAW_GAMES!M184)</f>
        <v/>
      </c>
      <c r="N184" t="str">
        <f t="shared" si="14"/>
        <v/>
      </c>
      <c r="O184" s="7">
        <f>RAW_GAMES!O184</f>
        <v>3</v>
      </c>
      <c r="P184">
        <f>RAW_GAMES!N184</f>
        <v>0</v>
      </c>
      <c r="Q184">
        <f t="shared" si="15"/>
        <v>0</v>
      </c>
      <c r="R184" s="7">
        <f>RAW_GAMES!Q184</f>
        <v>3</v>
      </c>
      <c r="S184">
        <f>RAW_GAMES!P184</f>
        <v>1</v>
      </c>
      <c r="T184">
        <f t="shared" si="16"/>
        <v>0.66666666666666674</v>
      </c>
      <c r="U184">
        <f>_xlfn.XLOOKUP(C184,
  CALC_TEAMS_SEASON!B:B,
  CALC_TEAMS_SEASON!F:F)</f>
        <v>0.17387057387057389</v>
      </c>
      <c r="V184">
        <f>_xlfn.XLOOKUP(D184,
  CALC_TEAMS_SEASON!B:B,
  CALC_TEAMS_SEASON!F:F)</f>
        <v>0.16984890109890113</v>
      </c>
      <c r="W184" t="str">
        <f>RAW_GAMES!R184</f>
        <v>Frodl</v>
      </c>
      <c r="X184" s="7">
        <f>RAW_GAMES!S184</f>
        <v>18</v>
      </c>
      <c r="Y184">
        <f t="shared" si="17"/>
        <v>0</v>
      </c>
      <c r="Z184" t="str">
        <f>RAW_GAMES!V184</f>
        <v>RS</v>
      </c>
    </row>
    <row r="185" spans="1:26" x14ac:dyDescent="0.25">
      <c r="A185" t="str">
        <f>RAW_GAMES!A185</f>
        <v>25/26</v>
      </c>
      <c r="B185" s="3">
        <f>RAW_GAMES!B185</f>
        <v>45942</v>
      </c>
      <c r="C185" s="3" t="str">
        <f>RAW_GAMES!E185</f>
        <v>LIB</v>
      </c>
      <c r="D185" s="3" t="str">
        <f>RAW_GAMES!F185</f>
        <v>PLZ</v>
      </c>
      <c r="E185" s="7">
        <f>RAW_GAMES!G185</f>
        <v>0</v>
      </c>
      <c r="F185">
        <f>RAW_GAMES!H185</f>
        <v>1</v>
      </c>
      <c r="G185">
        <f>RAW_GAMES!I185</f>
        <v>0</v>
      </c>
      <c r="H185">
        <f t="shared" si="12"/>
        <v>1</v>
      </c>
      <c r="I185">
        <f>RAW_GAMES!J185</f>
        <v>18</v>
      </c>
      <c r="J185">
        <f>RAW_GAMES!K185</f>
        <v>32</v>
      </c>
      <c r="K185">
        <f t="shared" si="13"/>
        <v>-14</v>
      </c>
      <c r="L185" t="str">
        <f>IF(RAW_GAMES!L185="","",RAW_GAMES!L185)</f>
        <v/>
      </c>
      <c r="M185" t="str">
        <f>IF(RAW_GAMES!M185="","",RAW_GAMES!M185)</f>
        <v/>
      </c>
      <c r="N185" t="str">
        <f t="shared" si="14"/>
        <v/>
      </c>
      <c r="O185" s="7">
        <f>RAW_GAMES!O185</f>
        <v>2</v>
      </c>
      <c r="P185">
        <f>RAW_GAMES!N185</f>
        <v>0</v>
      </c>
      <c r="Q185">
        <f t="shared" si="15"/>
        <v>0</v>
      </c>
      <c r="R185" s="7">
        <f>RAW_GAMES!Q185</f>
        <v>4</v>
      </c>
      <c r="S185">
        <f>RAW_GAMES!P185</f>
        <v>0</v>
      </c>
      <c r="T185">
        <f t="shared" si="16"/>
        <v>1</v>
      </c>
      <c r="U185">
        <f>_xlfn.XLOOKUP(C185,
  CALC_TEAMS_SEASON!B:B,
  CALC_TEAMS_SEASON!F:F)</f>
        <v>0.14377289377289379</v>
      </c>
      <c r="V185">
        <f>_xlfn.XLOOKUP(D185,
  CALC_TEAMS_SEASON!B:B,
  CALC_TEAMS_SEASON!F:F)</f>
        <v>0.17641178266178262</v>
      </c>
      <c r="W185" t="str">
        <f>RAW_GAMES!R185</f>
        <v>Kváča</v>
      </c>
      <c r="X185" s="7">
        <f>RAW_GAMES!S185</f>
        <v>32</v>
      </c>
      <c r="Y185">
        <f t="shared" si="17"/>
        <v>1</v>
      </c>
      <c r="Z185" t="str">
        <f>RAW_GAMES!V185</f>
        <v>RS</v>
      </c>
    </row>
    <row r="186" spans="1:26" x14ac:dyDescent="0.25">
      <c r="A186" t="str">
        <f>RAW_GAMES!A186</f>
        <v>25/26</v>
      </c>
      <c r="B186" s="3">
        <f>RAW_GAMES!B186</f>
        <v>45942</v>
      </c>
      <c r="C186" s="3" t="str">
        <f>RAW_GAMES!E186</f>
        <v>LIT</v>
      </c>
      <c r="D186" s="3" t="str">
        <f>RAW_GAMES!F186</f>
        <v>KOM</v>
      </c>
      <c r="E186" s="7">
        <f>RAW_GAMES!G186</f>
        <v>1</v>
      </c>
      <c r="F186">
        <f>RAW_GAMES!H186</f>
        <v>2</v>
      </c>
      <c r="G186">
        <f>RAW_GAMES!I186</f>
        <v>5</v>
      </c>
      <c r="H186">
        <f t="shared" si="12"/>
        <v>-3</v>
      </c>
      <c r="I186">
        <f>RAW_GAMES!J186</f>
        <v>16</v>
      </c>
      <c r="J186">
        <f>RAW_GAMES!K186</f>
        <v>32</v>
      </c>
      <c r="K186">
        <f t="shared" si="13"/>
        <v>-16</v>
      </c>
      <c r="L186">
        <f>IF(RAW_GAMES!L186="","",RAW_GAMES!L186)</f>
        <v>1.1100000000000001</v>
      </c>
      <c r="M186">
        <f>IF(RAW_GAMES!M186="","",RAW_GAMES!M186)</f>
        <v>3.72</v>
      </c>
      <c r="N186">
        <f t="shared" si="14"/>
        <v>-2.6100000000000003</v>
      </c>
      <c r="O186" s="7">
        <f>RAW_GAMES!O186</f>
        <v>4</v>
      </c>
      <c r="P186">
        <f>RAW_GAMES!N186</f>
        <v>0</v>
      </c>
      <c r="Q186">
        <f t="shared" si="15"/>
        <v>0</v>
      </c>
      <c r="R186" s="7">
        <f>RAW_GAMES!Q186</f>
        <v>4</v>
      </c>
      <c r="S186">
        <f>RAW_GAMES!P186</f>
        <v>2</v>
      </c>
      <c r="T186">
        <f t="shared" si="16"/>
        <v>0.5</v>
      </c>
      <c r="U186">
        <f>_xlfn.XLOOKUP(C186,
  CALC_TEAMS_SEASON!B:B,
  CALC_TEAMS_SEASON!F:F)</f>
        <v>0.10089285714285713</v>
      </c>
      <c r="V186">
        <f>_xlfn.XLOOKUP(D186,
  CALC_TEAMS_SEASON!B:B,
  CALC_TEAMS_SEASON!F:F)</f>
        <v>0.14358974358974358</v>
      </c>
      <c r="W186" t="str">
        <f>RAW_GAMES!R186</f>
        <v>Tomek</v>
      </c>
      <c r="X186" s="7">
        <f>RAW_GAMES!S186</f>
        <v>27</v>
      </c>
      <c r="Y186">
        <f t="shared" si="17"/>
        <v>0</v>
      </c>
      <c r="Z186" t="str">
        <f>RAW_GAMES!V186</f>
        <v>RS</v>
      </c>
    </row>
    <row r="187" spans="1:26" x14ac:dyDescent="0.25">
      <c r="A187" t="str">
        <f>RAW_GAMES!A187</f>
        <v>25/26</v>
      </c>
      <c r="B187" s="3">
        <f>RAW_GAMES!B187</f>
        <v>45942</v>
      </c>
      <c r="C187" s="3" t="str">
        <f>RAW_GAMES!E187</f>
        <v>MBL</v>
      </c>
      <c r="D187" s="3" t="str">
        <f>RAW_GAMES!F187</f>
        <v>KLA</v>
      </c>
      <c r="E187" s="7">
        <f>RAW_GAMES!G187</f>
        <v>1</v>
      </c>
      <c r="F187">
        <f>RAW_GAMES!H187</f>
        <v>2</v>
      </c>
      <c r="G187">
        <f>RAW_GAMES!I187</f>
        <v>1</v>
      </c>
      <c r="H187">
        <f t="shared" si="12"/>
        <v>1</v>
      </c>
      <c r="I187">
        <f>RAW_GAMES!J187</f>
        <v>30</v>
      </c>
      <c r="J187">
        <f>RAW_GAMES!K187</f>
        <v>38</v>
      </c>
      <c r="K187">
        <f t="shared" si="13"/>
        <v>-8</v>
      </c>
      <c r="L187" t="str">
        <f>IF(RAW_GAMES!L187="","",RAW_GAMES!L187)</f>
        <v/>
      </c>
      <c r="M187" t="str">
        <f>IF(RAW_GAMES!M187="","",RAW_GAMES!M187)</f>
        <v/>
      </c>
      <c r="N187" t="str">
        <f t="shared" si="14"/>
        <v/>
      </c>
      <c r="O187" s="7">
        <f>RAW_GAMES!O187</f>
        <v>5</v>
      </c>
      <c r="P187">
        <f>RAW_GAMES!N187</f>
        <v>0</v>
      </c>
      <c r="Q187">
        <f t="shared" si="15"/>
        <v>0</v>
      </c>
      <c r="R187" s="7">
        <f>RAW_GAMES!Q187</f>
        <v>2</v>
      </c>
      <c r="S187">
        <f>RAW_GAMES!P187</f>
        <v>0</v>
      </c>
      <c r="T187">
        <f t="shared" si="16"/>
        <v>1</v>
      </c>
      <c r="U187">
        <f>_xlfn.XLOOKUP(C187,
  CALC_TEAMS_SEASON!B:B,
  CALC_TEAMS_SEASON!F:F)</f>
        <v>0.11826923076923078</v>
      </c>
      <c r="V187">
        <f>_xlfn.XLOOKUP(D187,
  CALC_TEAMS_SEASON!B:B,
  CALC_TEAMS_SEASON!F:F)</f>
        <v>0.13120421245421243</v>
      </c>
      <c r="W187" t="str">
        <f>RAW_GAMES!R187</f>
        <v>Furch</v>
      </c>
      <c r="X187" s="7">
        <f>RAW_GAMES!S187</f>
        <v>37</v>
      </c>
      <c r="Y187">
        <f t="shared" si="17"/>
        <v>1</v>
      </c>
      <c r="Z187" t="str">
        <f>RAW_GAMES!V187</f>
        <v>RS</v>
      </c>
    </row>
    <row r="188" spans="1:26" x14ac:dyDescent="0.25">
      <c r="A188" t="str">
        <f>RAW_GAMES!A188</f>
        <v>25/26</v>
      </c>
      <c r="B188" s="3">
        <f>RAW_GAMES!B188</f>
        <v>45942</v>
      </c>
      <c r="C188" s="3" t="str">
        <f>RAW_GAMES!E188</f>
        <v>MHK</v>
      </c>
      <c r="D188" s="3" t="str">
        <f>RAW_GAMES!F188</f>
        <v>PCE</v>
      </c>
      <c r="E188" s="7">
        <f>RAW_GAMES!G188</f>
        <v>1</v>
      </c>
      <c r="F188">
        <f>RAW_GAMES!H188</f>
        <v>2</v>
      </c>
      <c r="G188">
        <f>RAW_GAMES!I188</f>
        <v>1</v>
      </c>
      <c r="H188">
        <f t="shared" si="12"/>
        <v>1</v>
      </c>
      <c r="I188">
        <f>RAW_GAMES!J188</f>
        <v>26</v>
      </c>
      <c r="J188">
        <f>RAW_GAMES!K188</f>
        <v>18</v>
      </c>
      <c r="K188">
        <f t="shared" si="13"/>
        <v>8</v>
      </c>
      <c r="L188">
        <f>IF(RAW_GAMES!L188="","",RAW_GAMES!L188)</f>
        <v>2.4500000000000002</v>
      </c>
      <c r="M188">
        <f>IF(RAW_GAMES!M188="","",RAW_GAMES!M188)</f>
        <v>1.88</v>
      </c>
      <c r="N188">
        <f t="shared" si="14"/>
        <v>0.57000000000000028</v>
      </c>
      <c r="O188" s="7">
        <f>RAW_GAMES!O188</f>
        <v>6</v>
      </c>
      <c r="P188">
        <f>RAW_GAMES!N188</f>
        <v>0</v>
      </c>
      <c r="Q188">
        <f t="shared" si="15"/>
        <v>0</v>
      </c>
      <c r="R188" s="7">
        <f>RAW_GAMES!Q188</f>
        <v>5</v>
      </c>
      <c r="S188">
        <f>RAW_GAMES!P188</f>
        <v>1</v>
      </c>
      <c r="T188">
        <f t="shared" si="16"/>
        <v>0.8</v>
      </c>
      <c r="U188">
        <f>_xlfn.XLOOKUP(C188,
  CALC_TEAMS_SEASON!B:B,
  CALC_TEAMS_SEASON!F:F)</f>
        <v>0.14184981684981687</v>
      </c>
      <c r="V188">
        <f>_xlfn.XLOOKUP(D188,
  CALC_TEAMS_SEASON!B:B,
  CALC_TEAMS_SEASON!F:F)</f>
        <v>0.20297619047619053</v>
      </c>
      <c r="W188" t="str">
        <f>RAW_GAMES!R188</f>
        <v>Škorvánek</v>
      </c>
      <c r="X188" s="7">
        <f>RAW_GAMES!S188</f>
        <v>17</v>
      </c>
      <c r="Y188">
        <f t="shared" si="17"/>
        <v>1</v>
      </c>
      <c r="Z188" t="str">
        <f>RAW_GAMES!V188</f>
        <v>RS</v>
      </c>
    </row>
    <row r="189" spans="1:26" x14ac:dyDescent="0.25">
      <c r="A189" t="str">
        <f>RAW_GAMES!A189</f>
        <v>25/26</v>
      </c>
      <c r="B189" s="3">
        <f>RAW_GAMES!B189</f>
        <v>45942</v>
      </c>
      <c r="C189" s="3" t="str">
        <f>RAW_GAMES!E189</f>
        <v>OLO</v>
      </c>
      <c r="D189" s="3" t="str">
        <f>RAW_GAMES!F189</f>
        <v>TRI</v>
      </c>
      <c r="E189" s="7">
        <f>RAW_GAMES!G189</f>
        <v>1</v>
      </c>
      <c r="F189">
        <f>RAW_GAMES!H189</f>
        <v>3</v>
      </c>
      <c r="G189">
        <f>RAW_GAMES!I189</f>
        <v>5</v>
      </c>
      <c r="H189">
        <f t="shared" si="12"/>
        <v>-2</v>
      </c>
      <c r="I189">
        <f>RAW_GAMES!J189</f>
        <v>31</v>
      </c>
      <c r="J189">
        <f>RAW_GAMES!K189</f>
        <v>26</v>
      </c>
      <c r="K189">
        <f t="shared" si="13"/>
        <v>5</v>
      </c>
      <c r="L189">
        <f>IF(RAW_GAMES!L189="","",RAW_GAMES!L189)</f>
        <v>3.14</v>
      </c>
      <c r="M189">
        <f>IF(RAW_GAMES!M189="","",RAW_GAMES!M189)</f>
        <v>2.38</v>
      </c>
      <c r="N189">
        <f t="shared" si="14"/>
        <v>0.76000000000000023</v>
      </c>
      <c r="O189" s="7">
        <f>RAW_GAMES!O189</f>
        <v>2</v>
      </c>
      <c r="P189">
        <f>RAW_GAMES!N189</f>
        <v>0</v>
      </c>
      <c r="Q189">
        <f t="shared" si="15"/>
        <v>0</v>
      </c>
      <c r="R189" s="7">
        <f>RAW_GAMES!Q189</f>
        <v>2</v>
      </c>
      <c r="S189">
        <f>RAW_GAMES!P189</f>
        <v>1</v>
      </c>
      <c r="T189">
        <f t="shared" si="16"/>
        <v>0.5</v>
      </c>
      <c r="U189">
        <f>_xlfn.XLOOKUP(C189,
  CALC_TEAMS_SEASON!B:B,
  CALC_TEAMS_SEASON!F:F)</f>
        <v>0.14989316239316242</v>
      </c>
      <c r="V189">
        <f>_xlfn.XLOOKUP(D189,
  CALC_TEAMS_SEASON!B:B,
  CALC_TEAMS_SEASON!F:F)</f>
        <v>0.17437423687423692</v>
      </c>
      <c r="W189" t="str">
        <f>RAW_GAMES!R189</f>
        <v>Cichoň</v>
      </c>
      <c r="X189" s="7">
        <f>RAW_GAMES!S189</f>
        <v>21</v>
      </c>
      <c r="Y189">
        <f t="shared" si="17"/>
        <v>0</v>
      </c>
      <c r="Z189" t="str">
        <f>RAW_GAMES!V189</f>
        <v>RS</v>
      </c>
    </row>
    <row r="190" spans="1:26" x14ac:dyDescent="0.25">
      <c r="A190" t="str">
        <f>RAW_GAMES!A190</f>
        <v>25/26</v>
      </c>
      <c r="B190" s="3">
        <f>RAW_GAMES!B190</f>
        <v>45942</v>
      </c>
      <c r="C190" s="3" t="str">
        <f>RAW_GAMES!E190</f>
        <v>PLZ</v>
      </c>
      <c r="D190" s="3" t="str">
        <f>RAW_GAMES!F190</f>
        <v>LIB</v>
      </c>
      <c r="E190" s="7">
        <f>RAW_GAMES!G190</f>
        <v>1</v>
      </c>
      <c r="F190">
        <f>RAW_GAMES!H190</f>
        <v>0</v>
      </c>
      <c r="G190">
        <f>RAW_GAMES!I190</f>
        <v>1</v>
      </c>
      <c r="H190">
        <f t="shared" si="12"/>
        <v>-1</v>
      </c>
      <c r="I190">
        <f>RAW_GAMES!J190</f>
        <v>32</v>
      </c>
      <c r="J190">
        <f>RAW_GAMES!K190</f>
        <v>18</v>
      </c>
      <c r="K190">
        <f t="shared" si="13"/>
        <v>14</v>
      </c>
      <c r="L190" t="str">
        <f>IF(RAW_GAMES!L190="","",RAW_GAMES!L190)</f>
        <v/>
      </c>
      <c r="M190" t="str">
        <f>IF(RAW_GAMES!M190="","",RAW_GAMES!M190)</f>
        <v/>
      </c>
      <c r="N190" t="str">
        <f t="shared" si="14"/>
        <v/>
      </c>
      <c r="O190" s="7">
        <f>RAW_GAMES!O190</f>
        <v>4</v>
      </c>
      <c r="P190">
        <f>RAW_GAMES!N190</f>
        <v>0</v>
      </c>
      <c r="Q190">
        <f t="shared" si="15"/>
        <v>0</v>
      </c>
      <c r="R190" s="7">
        <f>RAW_GAMES!Q190</f>
        <v>2</v>
      </c>
      <c r="S190">
        <f>RAW_GAMES!P190</f>
        <v>0</v>
      </c>
      <c r="T190">
        <f t="shared" si="16"/>
        <v>1</v>
      </c>
      <c r="U190">
        <f>_xlfn.XLOOKUP(C190,
  CALC_TEAMS_SEASON!B:B,
  CALC_TEAMS_SEASON!F:F)</f>
        <v>0.17641178266178262</v>
      </c>
      <c r="V190">
        <f>_xlfn.XLOOKUP(D190,
  CALC_TEAMS_SEASON!B:B,
  CALC_TEAMS_SEASON!F:F)</f>
        <v>0.14377289377289379</v>
      </c>
      <c r="W190" t="str">
        <f>RAW_GAMES!R190</f>
        <v>Malík</v>
      </c>
      <c r="X190" s="7">
        <f>RAW_GAMES!S190</f>
        <v>17</v>
      </c>
      <c r="Y190">
        <f t="shared" si="17"/>
        <v>0</v>
      </c>
      <c r="Z190" t="str">
        <f>RAW_GAMES!V190</f>
        <v>RS</v>
      </c>
    </row>
    <row r="191" spans="1:26" x14ac:dyDescent="0.25">
      <c r="A191" t="str">
        <f>RAW_GAMES!A191</f>
        <v>25/26</v>
      </c>
      <c r="B191" s="3">
        <f>RAW_GAMES!B191</f>
        <v>45942</v>
      </c>
      <c r="C191" s="3" t="str">
        <f>RAW_GAMES!E191</f>
        <v>VIT</v>
      </c>
      <c r="D191" s="3" t="str">
        <f>RAW_GAMES!F191</f>
        <v>KVA</v>
      </c>
      <c r="E191" s="7">
        <f>RAW_GAMES!G191</f>
        <v>1</v>
      </c>
      <c r="F191">
        <f>RAW_GAMES!H191</f>
        <v>3</v>
      </c>
      <c r="G191">
        <f>RAW_GAMES!I191</f>
        <v>0</v>
      </c>
      <c r="H191">
        <f t="shared" si="12"/>
        <v>3</v>
      </c>
      <c r="I191">
        <f>RAW_GAMES!J191</f>
        <v>21</v>
      </c>
      <c r="J191">
        <f>RAW_GAMES!K191</f>
        <v>26</v>
      </c>
      <c r="K191">
        <f t="shared" si="13"/>
        <v>-5</v>
      </c>
      <c r="L191" t="str">
        <f>IF(RAW_GAMES!L191="","",RAW_GAMES!L191)</f>
        <v/>
      </c>
      <c r="M191" t="str">
        <f>IF(RAW_GAMES!M191="","",RAW_GAMES!M191)</f>
        <v/>
      </c>
      <c r="N191" t="str">
        <f t="shared" si="14"/>
        <v/>
      </c>
      <c r="O191" s="7">
        <f>RAW_GAMES!O191</f>
        <v>3</v>
      </c>
      <c r="P191">
        <f>RAW_GAMES!N191</f>
        <v>1</v>
      </c>
      <c r="Q191">
        <f t="shared" si="15"/>
        <v>0.33333333333333331</v>
      </c>
      <c r="R191" s="7">
        <f>RAW_GAMES!Q191</f>
        <v>3</v>
      </c>
      <c r="S191">
        <f>RAW_GAMES!P191</f>
        <v>0</v>
      </c>
      <c r="T191">
        <f t="shared" si="16"/>
        <v>1</v>
      </c>
      <c r="U191">
        <f>_xlfn.XLOOKUP(C191,
  CALC_TEAMS_SEASON!B:B,
  CALC_TEAMS_SEASON!F:F)</f>
        <v>0.16984890109890113</v>
      </c>
      <c r="V191">
        <f>_xlfn.XLOOKUP(D191,
  CALC_TEAMS_SEASON!B:B,
  CALC_TEAMS_SEASON!F:F)</f>
        <v>0.17387057387057389</v>
      </c>
      <c r="W191" t="str">
        <f>RAW_GAMES!R191</f>
        <v>Hrachovina</v>
      </c>
      <c r="X191" s="7">
        <f>RAW_GAMES!S191</f>
        <v>26</v>
      </c>
      <c r="Y191">
        <f t="shared" si="17"/>
        <v>1</v>
      </c>
      <c r="Z191" t="str">
        <f>RAW_GAMES!V191</f>
        <v>RS</v>
      </c>
    </row>
    <row r="192" spans="1:26" x14ac:dyDescent="0.25">
      <c r="A192" t="str">
        <f>RAW_GAMES!A192</f>
        <v>25/26</v>
      </c>
      <c r="B192" s="3">
        <f>RAW_GAMES!B192</f>
        <v>45945</v>
      </c>
      <c r="C192" s="3" t="str">
        <f>RAW_GAMES!E192</f>
        <v>LIT</v>
      </c>
      <c r="D192" s="3" t="str">
        <f>RAW_GAMES!F192</f>
        <v>VIT</v>
      </c>
      <c r="E192" s="7">
        <f>RAW_GAMES!G192</f>
        <v>0</v>
      </c>
      <c r="F192">
        <f>RAW_GAMES!H192</f>
        <v>2</v>
      </c>
      <c r="G192">
        <f>RAW_GAMES!I192</f>
        <v>8</v>
      </c>
      <c r="H192">
        <f t="shared" si="12"/>
        <v>-6</v>
      </c>
      <c r="I192">
        <f>RAW_GAMES!J192</f>
        <v>38</v>
      </c>
      <c r="J192">
        <f>RAW_GAMES!K192</f>
        <v>37</v>
      </c>
      <c r="K192">
        <f t="shared" si="13"/>
        <v>1</v>
      </c>
      <c r="L192" t="str">
        <f>IF(RAW_GAMES!L192="","",RAW_GAMES!L192)</f>
        <v/>
      </c>
      <c r="M192" t="str">
        <f>IF(RAW_GAMES!M192="","",RAW_GAMES!M192)</f>
        <v/>
      </c>
      <c r="N192" t="str">
        <f t="shared" si="14"/>
        <v/>
      </c>
      <c r="O192" s="7">
        <f>RAW_GAMES!O192</f>
        <v>4</v>
      </c>
      <c r="P192">
        <f>RAW_GAMES!N192</f>
        <v>0</v>
      </c>
      <c r="Q192">
        <f t="shared" si="15"/>
        <v>0</v>
      </c>
      <c r="R192" s="7">
        <f>RAW_GAMES!Q192</f>
        <v>7</v>
      </c>
      <c r="S192">
        <f>RAW_GAMES!P192</f>
        <v>2</v>
      </c>
      <c r="T192">
        <f t="shared" si="16"/>
        <v>0.7142857142857143</v>
      </c>
      <c r="U192">
        <f>_xlfn.XLOOKUP(C192,
  CALC_TEAMS_SEASON!B:B,
  CALC_TEAMS_SEASON!F:F)</f>
        <v>0.10089285714285713</v>
      </c>
      <c r="V192">
        <f>_xlfn.XLOOKUP(D192,
  CALC_TEAMS_SEASON!B:B,
  CALC_TEAMS_SEASON!F:F)</f>
        <v>0.16984890109890113</v>
      </c>
      <c r="W192" t="str">
        <f>RAW_GAMES!R192</f>
        <v>Čajan</v>
      </c>
      <c r="X192" s="7">
        <f>RAW_GAMES!S192</f>
        <v>29</v>
      </c>
      <c r="Y192">
        <f t="shared" si="17"/>
        <v>0</v>
      </c>
      <c r="Z192" t="str">
        <f>RAW_GAMES!V192</f>
        <v>RS</v>
      </c>
    </row>
    <row r="193" spans="1:26" x14ac:dyDescent="0.25">
      <c r="A193" t="str">
        <f>RAW_GAMES!A193</f>
        <v>25/26</v>
      </c>
      <c r="B193" s="3">
        <f>RAW_GAMES!B193</f>
        <v>45945</v>
      </c>
      <c r="C193" s="3" t="str">
        <f>RAW_GAMES!E193</f>
        <v>VIT</v>
      </c>
      <c r="D193" s="3" t="str">
        <f>RAW_GAMES!F193</f>
        <v>LIT</v>
      </c>
      <c r="E193" s="7">
        <f>RAW_GAMES!G193</f>
        <v>1</v>
      </c>
      <c r="F193">
        <f>RAW_GAMES!H193</f>
        <v>8</v>
      </c>
      <c r="G193">
        <f>RAW_GAMES!I193</f>
        <v>2</v>
      </c>
      <c r="H193">
        <f t="shared" si="12"/>
        <v>6</v>
      </c>
      <c r="I193">
        <f>RAW_GAMES!J193</f>
        <v>37</v>
      </c>
      <c r="J193">
        <f>RAW_GAMES!K193</f>
        <v>38</v>
      </c>
      <c r="K193">
        <f t="shared" si="13"/>
        <v>-1</v>
      </c>
      <c r="L193" t="str">
        <f>IF(RAW_GAMES!L193="","",RAW_GAMES!L193)</f>
        <v/>
      </c>
      <c r="M193" t="str">
        <f>IF(RAW_GAMES!M193="","",RAW_GAMES!M193)</f>
        <v/>
      </c>
      <c r="N193" t="str">
        <f t="shared" si="14"/>
        <v/>
      </c>
      <c r="O193" s="7">
        <f>RAW_GAMES!O193</f>
        <v>7</v>
      </c>
      <c r="P193">
        <f>RAW_GAMES!N193</f>
        <v>2</v>
      </c>
      <c r="Q193">
        <f t="shared" si="15"/>
        <v>0.2857142857142857</v>
      </c>
      <c r="R193" s="7">
        <f>RAW_GAMES!Q193</f>
        <v>4</v>
      </c>
      <c r="S193">
        <f>RAW_GAMES!P193</f>
        <v>0</v>
      </c>
      <c r="T193">
        <f t="shared" si="16"/>
        <v>1</v>
      </c>
      <c r="U193">
        <f>_xlfn.XLOOKUP(C193,
  CALC_TEAMS_SEASON!B:B,
  CALC_TEAMS_SEASON!F:F)</f>
        <v>0.16984890109890113</v>
      </c>
      <c r="V193">
        <f>_xlfn.XLOOKUP(D193,
  CALC_TEAMS_SEASON!B:B,
  CALC_TEAMS_SEASON!F:F)</f>
        <v>0.10089285714285713</v>
      </c>
      <c r="W193" t="str">
        <f>RAW_GAMES!R193</f>
        <v>Hrachovina</v>
      </c>
      <c r="X193" s="7">
        <f>RAW_GAMES!S193</f>
        <v>36</v>
      </c>
      <c r="Y193">
        <f t="shared" si="17"/>
        <v>1</v>
      </c>
      <c r="Z193" t="str">
        <f>RAW_GAMES!V193</f>
        <v>RS</v>
      </c>
    </row>
    <row r="194" spans="1:26" x14ac:dyDescent="0.25">
      <c r="A194" t="str">
        <f>RAW_GAMES!A194</f>
        <v>25/26</v>
      </c>
      <c r="B194" s="3">
        <f>RAW_GAMES!B194</f>
        <v>45946</v>
      </c>
      <c r="C194" s="3" t="str">
        <f>RAW_GAMES!E194</f>
        <v>OLO</v>
      </c>
      <c r="D194" s="3" t="str">
        <f>RAW_GAMES!F194</f>
        <v>PLZ</v>
      </c>
      <c r="E194" s="7">
        <f>RAW_GAMES!G194</f>
        <v>0</v>
      </c>
      <c r="F194">
        <f>RAW_GAMES!H194</f>
        <v>3</v>
      </c>
      <c r="G194">
        <f>RAW_GAMES!I194</f>
        <v>2</v>
      </c>
      <c r="H194">
        <f t="shared" si="12"/>
        <v>1</v>
      </c>
      <c r="I194">
        <f>RAW_GAMES!J194</f>
        <v>20</v>
      </c>
      <c r="J194">
        <f>RAW_GAMES!K194</f>
        <v>28</v>
      </c>
      <c r="K194">
        <f t="shared" si="13"/>
        <v>-8</v>
      </c>
      <c r="L194" t="str">
        <f>IF(RAW_GAMES!L194="","",RAW_GAMES!L194)</f>
        <v/>
      </c>
      <c r="M194" t="str">
        <f>IF(RAW_GAMES!M194="","",RAW_GAMES!M194)</f>
        <v/>
      </c>
      <c r="N194" t="str">
        <f t="shared" si="14"/>
        <v/>
      </c>
      <c r="O194" s="7">
        <f>RAW_GAMES!O194</f>
        <v>2</v>
      </c>
      <c r="P194">
        <f>RAW_GAMES!N194</f>
        <v>0</v>
      </c>
      <c r="Q194">
        <f t="shared" si="15"/>
        <v>0</v>
      </c>
      <c r="R194" s="7">
        <f>RAW_GAMES!Q194</f>
        <v>2</v>
      </c>
      <c r="S194">
        <f>RAW_GAMES!P194</f>
        <v>1</v>
      </c>
      <c r="T194">
        <f t="shared" si="16"/>
        <v>0.5</v>
      </c>
      <c r="U194">
        <f>_xlfn.XLOOKUP(C194,
  CALC_TEAMS_SEASON!B:B,
  CALC_TEAMS_SEASON!F:F)</f>
        <v>0.14989316239316242</v>
      </c>
      <c r="V194">
        <f>_xlfn.XLOOKUP(D194,
  CALC_TEAMS_SEASON!B:B,
  CALC_TEAMS_SEASON!F:F)</f>
        <v>0.17641178266178262</v>
      </c>
      <c r="W194" t="str">
        <f>RAW_GAMES!R194</f>
        <v>Cichoň</v>
      </c>
      <c r="X194" s="7">
        <f>RAW_GAMES!S194</f>
        <v>26</v>
      </c>
      <c r="Y194">
        <f t="shared" si="17"/>
        <v>1</v>
      </c>
      <c r="Z194" t="str">
        <f>RAW_GAMES!V194</f>
        <v>RS</v>
      </c>
    </row>
    <row r="195" spans="1:26" x14ac:dyDescent="0.25">
      <c r="A195" t="str">
        <f>RAW_GAMES!A195</f>
        <v>25/26</v>
      </c>
      <c r="B195" s="3">
        <f>RAW_GAMES!B195</f>
        <v>45946</v>
      </c>
      <c r="C195" s="3" t="str">
        <f>RAW_GAMES!E195</f>
        <v>PLZ</v>
      </c>
      <c r="D195" s="3" t="str">
        <f>RAW_GAMES!F195</f>
        <v>OLO</v>
      </c>
      <c r="E195" s="7">
        <f>RAW_GAMES!G195</f>
        <v>1</v>
      </c>
      <c r="F195">
        <f>RAW_GAMES!H195</f>
        <v>2</v>
      </c>
      <c r="G195">
        <f>RAW_GAMES!I195</f>
        <v>3</v>
      </c>
      <c r="H195">
        <f t="shared" ref="H195:H258" si="18">F195-G195</f>
        <v>-1</v>
      </c>
      <c r="I195">
        <f>RAW_GAMES!J195</f>
        <v>28</v>
      </c>
      <c r="J195">
        <f>RAW_GAMES!K195</f>
        <v>20</v>
      </c>
      <c r="K195">
        <f t="shared" ref="K195:K258" si="19">I195-J195</f>
        <v>8</v>
      </c>
      <c r="L195" t="str">
        <f>IF(RAW_GAMES!L195="","",RAW_GAMES!L195)</f>
        <v/>
      </c>
      <c r="M195" t="str">
        <f>IF(RAW_GAMES!M195="","",RAW_GAMES!M195)</f>
        <v/>
      </c>
      <c r="N195" t="str">
        <f t="shared" ref="N195:N258" si="20">IF(L195="","",L195-M195)</f>
        <v/>
      </c>
      <c r="O195" s="7">
        <f>RAW_GAMES!O195</f>
        <v>2</v>
      </c>
      <c r="P195">
        <f>RAW_GAMES!N195</f>
        <v>1</v>
      </c>
      <c r="Q195">
        <f t="shared" ref="Q195:Q258" si="21">IF(O195&gt;0,P195/O195,0)</f>
        <v>0.5</v>
      </c>
      <c r="R195" s="7">
        <f>RAW_GAMES!Q195</f>
        <v>2</v>
      </c>
      <c r="S195">
        <f>RAW_GAMES!P195</f>
        <v>0</v>
      </c>
      <c r="T195">
        <f t="shared" ref="T195:T258" si="22">IF(R195&gt;0, 1-(S195/R195),1)</f>
        <v>1</v>
      </c>
      <c r="U195">
        <f>_xlfn.XLOOKUP(C195,
  CALC_TEAMS_SEASON!B:B,
  CALC_TEAMS_SEASON!F:F)</f>
        <v>0.17641178266178262</v>
      </c>
      <c r="V195">
        <f>_xlfn.XLOOKUP(D195,
  CALC_TEAMS_SEASON!B:B,
  CALC_TEAMS_SEASON!F:F)</f>
        <v>0.14989316239316242</v>
      </c>
      <c r="W195" t="str">
        <f>RAW_GAMES!R195</f>
        <v>Malík</v>
      </c>
      <c r="X195" s="7">
        <f>RAW_GAMES!S195</f>
        <v>17</v>
      </c>
      <c r="Y195">
        <f t="shared" ref="Y195:Y258" si="23">IF(F195&gt;G195,1,0)</f>
        <v>0</v>
      </c>
      <c r="Z195" t="str">
        <f>RAW_GAMES!V195</f>
        <v>RS</v>
      </c>
    </row>
    <row r="196" spans="1:26" x14ac:dyDescent="0.25">
      <c r="A196" t="str">
        <f>RAW_GAMES!A196</f>
        <v>25/26</v>
      </c>
      <c r="B196" s="3">
        <f>RAW_GAMES!B196</f>
        <v>45947</v>
      </c>
      <c r="C196" s="3" t="str">
        <f>RAW_GAMES!E196</f>
        <v>PCE</v>
      </c>
      <c r="D196" s="3" t="str">
        <f>RAW_GAMES!F196</f>
        <v>LIB</v>
      </c>
      <c r="E196" s="7">
        <f>RAW_GAMES!G196</f>
        <v>1</v>
      </c>
      <c r="F196">
        <f>RAW_GAMES!H196</f>
        <v>0</v>
      </c>
      <c r="G196">
        <f>RAW_GAMES!I196</f>
        <v>5</v>
      </c>
      <c r="H196">
        <f t="shared" si="18"/>
        <v>-5</v>
      </c>
      <c r="I196">
        <f>RAW_GAMES!J196</f>
        <v>31</v>
      </c>
      <c r="J196">
        <f>RAW_GAMES!K196</f>
        <v>41</v>
      </c>
      <c r="K196">
        <f t="shared" si="19"/>
        <v>-10</v>
      </c>
      <c r="L196">
        <f>IF(RAW_GAMES!L196="","",RAW_GAMES!L196)</f>
        <v>1.9</v>
      </c>
      <c r="M196">
        <f>IF(RAW_GAMES!M196="","",RAW_GAMES!M196)</f>
        <v>2.84</v>
      </c>
      <c r="N196">
        <f t="shared" si="20"/>
        <v>-0.94</v>
      </c>
      <c r="O196" s="7">
        <f>RAW_GAMES!O196</f>
        <v>3</v>
      </c>
      <c r="P196">
        <f>RAW_GAMES!N196</f>
        <v>0</v>
      </c>
      <c r="Q196">
        <f t="shared" si="21"/>
        <v>0</v>
      </c>
      <c r="R196" s="7">
        <f>RAW_GAMES!Q196</f>
        <v>4</v>
      </c>
      <c r="S196">
        <f>RAW_GAMES!P196</f>
        <v>0</v>
      </c>
      <c r="T196">
        <f t="shared" si="22"/>
        <v>1</v>
      </c>
      <c r="U196">
        <f>_xlfn.XLOOKUP(C196,
  CALC_TEAMS_SEASON!B:B,
  CALC_TEAMS_SEASON!F:F)</f>
        <v>0.20297619047619053</v>
      </c>
      <c r="V196">
        <f>_xlfn.XLOOKUP(D196,
  CALC_TEAMS_SEASON!B:B,
  CALC_TEAMS_SEASON!F:F)</f>
        <v>0.14377289377289379</v>
      </c>
      <c r="W196" t="str">
        <f>RAW_GAMES!R196</f>
        <v>Vomáčka</v>
      </c>
      <c r="X196" s="7">
        <f>RAW_GAMES!S196</f>
        <v>36</v>
      </c>
      <c r="Y196">
        <f t="shared" si="23"/>
        <v>0</v>
      </c>
      <c r="Z196" t="str">
        <f>RAW_GAMES!V196</f>
        <v>RS</v>
      </c>
    </row>
    <row r="197" spans="1:26" x14ac:dyDescent="0.25">
      <c r="A197" t="str">
        <f>RAW_GAMES!A197</f>
        <v>25/26</v>
      </c>
      <c r="B197" s="3">
        <f>RAW_GAMES!B197</f>
        <v>45947</v>
      </c>
      <c r="C197" s="3" t="str">
        <f>RAW_GAMES!E197</f>
        <v>KOM</v>
      </c>
      <c r="D197" s="3" t="str">
        <f>RAW_GAMES!F197</f>
        <v>MBL</v>
      </c>
      <c r="E197" s="7">
        <f>RAW_GAMES!G197</f>
        <v>1</v>
      </c>
      <c r="F197">
        <f>RAW_GAMES!H197</f>
        <v>1</v>
      </c>
      <c r="G197">
        <f>RAW_GAMES!I197</f>
        <v>4</v>
      </c>
      <c r="H197">
        <f t="shared" si="18"/>
        <v>-3</v>
      </c>
      <c r="I197">
        <f>RAW_GAMES!J197</f>
        <v>29</v>
      </c>
      <c r="J197">
        <f>RAW_GAMES!K197</f>
        <v>26</v>
      </c>
      <c r="K197">
        <f t="shared" si="19"/>
        <v>3</v>
      </c>
      <c r="L197">
        <f>IF(RAW_GAMES!L197="","",RAW_GAMES!L197)</f>
        <v>1.9</v>
      </c>
      <c r="M197">
        <f>IF(RAW_GAMES!M197="","",RAW_GAMES!M197)</f>
        <v>2.33</v>
      </c>
      <c r="N197">
        <f t="shared" si="20"/>
        <v>-0.43000000000000016</v>
      </c>
      <c r="O197" s="7">
        <f>RAW_GAMES!O197</f>
        <v>2</v>
      </c>
      <c r="P197">
        <f>RAW_GAMES!N197</f>
        <v>0</v>
      </c>
      <c r="Q197">
        <f t="shared" si="21"/>
        <v>0</v>
      </c>
      <c r="R197" s="7">
        <f>RAW_GAMES!Q197</f>
        <v>6</v>
      </c>
      <c r="S197">
        <f>RAW_GAMES!P197</f>
        <v>2</v>
      </c>
      <c r="T197">
        <f t="shared" si="22"/>
        <v>0.66666666666666674</v>
      </c>
      <c r="U197">
        <f>_xlfn.XLOOKUP(C197,
  CALC_TEAMS_SEASON!B:B,
  CALC_TEAMS_SEASON!F:F)</f>
        <v>0.14358974358974358</v>
      </c>
      <c r="V197">
        <f>_xlfn.XLOOKUP(D197,
  CALC_TEAMS_SEASON!B:B,
  CALC_TEAMS_SEASON!F:F)</f>
        <v>0.11826923076923078</v>
      </c>
      <c r="W197" t="str">
        <f>RAW_GAMES!R197</f>
        <v>Stezka</v>
      </c>
      <c r="X197" s="7">
        <f>RAW_GAMES!S197</f>
        <v>22</v>
      </c>
      <c r="Y197">
        <f t="shared" si="23"/>
        <v>0</v>
      </c>
      <c r="Z197" t="str">
        <f>RAW_GAMES!V197</f>
        <v>RS</v>
      </c>
    </row>
    <row r="198" spans="1:26" x14ac:dyDescent="0.25">
      <c r="A198" t="str">
        <f>RAW_GAMES!A198</f>
        <v>25/26</v>
      </c>
      <c r="B198" s="3">
        <f>RAW_GAMES!B198</f>
        <v>45947</v>
      </c>
      <c r="C198" s="3" t="str">
        <f>RAW_GAMES!E198</f>
        <v>KLA</v>
      </c>
      <c r="D198" s="3" t="str">
        <f>RAW_GAMES!F198</f>
        <v>VIT</v>
      </c>
      <c r="E198" s="7">
        <f>RAW_GAMES!G198</f>
        <v>1</v>
      </c>
      <c r="F198">
        <f>RAW_GAMES!H198</f>
        <v>3</v>
      </c>
      <c r="G198">
        <f>RAW_GAMES!I198</f>
        <v>1</v>
      </c>
      <c r="H198">
        <f t="shared" si="18"/>
        <v>2</v>
      </c>
      <c r="I198">
        <f>RAW_GAMES!J198</f>
        <v>35</v>
      </c>
      <c r="J198">
        <f>RAW_GAMES!K198</f>
        <v>23</v>
      </c>
      <c r="K198">
        <f t="shared" si="19"/>
        <v>12</v>
      </c>
      <c r="L198" t="str">
        <f>IF(RAW_GAMES!L198="","",RAW_GAMES!L198)</f>
        <v/>
      </c>
      <c r="M198" t="str">
        <f>IF(RAW_GAMES!M198="","",RAW_GAMES!M198)</f>
        <v/>
      </c>
      <c r="N198" t="str">
        <f t="shared" si="20"/>
        <v/>
      </c>
      <c r="O198" s="7">
        <f>RAW_GAMES!O198</f>
        <v>5</v>
      </c>
      <c r="P198">
        <f>RAW_GAMES!N198</f>
        <v>1</v>
      </c>
      <c r="Q198">
        <f t="shared" si="21"/>
        <v>0.2</v>
      </c>
      <c r="R198" s="7">
        <f>RAW_GAMES!Q198</f>
        <v>7</v>
      </c>
      <c r="S198">
        <f>RAW_GAMES!P198</f>
        <v>1</v>
      </c>
      <c r="T198">
        <f t="shared" si="22"/>
        <v>0.85714285714285721</v>
      </c>
      <c r="U198">
        <f>_xlfn.XLOOKUP(C198,
  CALC_TEAMS_SEASON!B:B,
  CALC_TEAMS_SEASON!F:F)</f>
        <v>0.13120421245421243</v>
      </c>
      <c r="V198">
        <f>_xlfn.XLOOKUP(D198,
  CALC_TEAMS_SEASON!B:B,
  CALC_TEAMS_SEASON!F:F)</f>
        <v>0.16984890109890113</v>
      </c>
      <c r="W198" t="str">
        <f>RAW_GAMES!R198</f>
        <v>Dansk</v>
      </c>
      <c r="X198" s="7">
        <f>RAW_GAMES!S198</f>
        <v>22</v>
      </c>
      <c r="Y198">
        <f t="shared" si="23"/>
        <v>1</v>
      </c>
      <c r="Z198" t="str">
        <f>RAW_GAMES!V198</f>
        <v>RS</v>
      </c>
    </row>
    <row r="199" spans="1:26" x14ac:dyDescent="0.25">
      <c r="A199" t="str">
        <f>RAW_GAMES!A199</f>
        <v>25/26</v>
      </c>
      <c r="B199" s="3">
        <f>RAW_GAMES!B199</f>
        <v>45947</v>
      </c>
      <c r="C199" s="3" t="str">
        <f>RAW_GAMES!E199</f>
        <v>KVA</v>
      </c>
      <c r="D199" s="3" t="str">
        <f>RAW_GAMES!F199</f>
        <v>LIT</v>
      </c>
      <c r="E199" s="7">
        <f>RAW_GAMES!G199</f>
        <v>1</v>
      </c>
      <c r="F199">
        <f>RAW_GAMES!H199</f>
        <v>3</v>
      </c>
      <c r="G199">
        <f>RAW_GAMES!I199</f>
        <v>0</v>
      </c>
      <c r="H199">
        <f t="shared" si="18"/>
        <v>3</v>
      </c>
      <c r="I199">
        <f>RAW_GAMES!J199</f>
        <v>33</v>
      </c>
      <c r="J199">
        <f>RAW_GAMES!K199</f>
        <v>34</v>
      </c>
      <c r="K199">
        <f t="shared" si="19"/>
        <v>-1</v>
      </c>
      <c r="L199" t="str">
        <f>IF(RAW_GAMES!L199="","",RAW_GAMES!L199)</f>
        <v/>
      </c>
      <c r="M199" t="str">
        <f>IF(RAW_GAMES!M199="","",RAW_GAMES!M199)</f>
        <v/>
      </c>
      <c r="N199" t="str">
        <f t="shared" si="20"/>
        <v/>
      </c>
      <c r="O199" s="7">
        <f>RAW_GAMES!O199</f>
        <v>4</v>
      </c>
      <c r="P199">
        <f>RAW_GAMES!N199</f>
        <v>0</v>
      </c>
      <c r="Q199">
        <f t="shared" si="21"/>
        <v>0</v>
      </c>
      <c r="R199" s="7">
        <f>RAW_GAMES!Q199</f>
        <v>2</v>
      </c>
      <c r="S199">
        <f>RAW_GAMES!P199</f>
        <v>0</v>
      </c>
      <c r="T199">
        <f t="shared" si="22"/>
        <v>1</v>
      </c>
      <c r="U199">
        <f>_xlfn.XLOOKUP(C199,
  CALC_TEAMS_SEASON!B:B,
  CALC_TEAMS_SEASON!F:F)</f>
        <v>0.17387057387057389</v>
      </c>
      <c r="V199">
        <f>_xlfn.XLOOKUP(D199,
  CALC_TEAMS_SEASON!B:B,
  CALC_TEAMS_SEASON!F:F)</f>
        <v>0.10089285714285713</v>
      </c>
      <c r="W199" t="str">
        <f>RAW_GAMES!R199</f>
        <v>Frodl</v>
      </c>
      <c r="X199" s="7">
        <f>RAW_GAMES!S199</f>
        <v>34</v>
      </c>
      <c r="Y199">
        <f t="shared" si="23"/>
        <v>1</v>
      </c>
      <c r="Z199" t="str">
        <f>RAW_GAMES!V199</f>
        <v>RS</v>
      </c>
    </row>
    <row r="200" spans="1:26" x14ac:dyDescent="0.25">
      <c r="A200" t="str">
        <f>RAW_GAMES!A200</f>
        <v>25/26</v>
      </c>
      <c r="B200" s="3">
        <f>RAW_GAMES!B200</f>
        <v>45947</v>
      </c>
      <c r="C200" s="3" t="str">
        <f>RAW_GAMES!E200</f>
        <v>LIB</v>
      </c>
      <c r="D200" s="3" t="str">
        <f>RAW_GAMES!F200</f>
        <v>PCE</v>
      </c>
      <c r="E200" s="7">
        <f>RAW_GAMES!G200</f>
        <v>0</v>
      </c>
      <c r="F200">
        <f>RAW_GAMES!H200</f>
        <v>5</v>
      </c>
      <c r="G200">
        <f>RAW_GAMES!I200</f>
        <v>0</v>
      </c>
      <c r="H200">
        <f t="shared" si="18"/>
        <v>5</v>
      </c>
      <c r="I200">
        <f>RAW_GAMES!J200</f>
        <v>41</v>
      </c>
      <c r="J200">
        <f>RAW_GAMES!K200</f>
        <v>31</v>
      </c>
      <c r="K200">
        <f t="shared" si="19"/>
        <v>10</v>
      </c>
      <c r="L200">
        <f>IF(RAW_GAMES!L200="","",RAW_GAMES!L200)</f>
        <v>2.84</v>
      </c>
      <c r="M200">
        <f>IF(RAW_GAMES!M200="","",RAW_GAMES!M200)</f>
        <v>1.9</v>
      </c>
      <c r="N200">
        <f t="shared" si="20"/>
        <v>0.94</v>
      </c>
      <c r="O200" s="7">
        <f>RAW_GAMES!O200</f>
        <v>4</v>
      </c>
      <c r="P200">
        <f>RAW_GAMES!N200</f>
        <v>0</v>
      </c>
      <c r="Q200">
        <f t="shared" si="21"/>
        <v>0</v>
      </c>
      <c r="R200" s="7">
        <f>RAW_GAMES!Q200</f>
        <v>3</v>
      </c>
      <c r="S200">
        <f>RAW_GAMES!P200</f>
        <v>0</v>
      </c>
      <c r="T200">
        <f t="shared" si="22"/>
        <v>1</v>
      </c>
      <c r="U200">
        <f>_xlfn.XLOOKUP(C200,
  CALC_TEAMS_SEASON!B:B,
  CALC_TEAMS_SEASON!F:F)</f>
        <v>0.14377289377289379</v>
      </c>
      <c r="V200">
        <f>_xlfn.XLOOKUP(D200,
  CALC_TEAMS_SEASON!B:B,
  CALC_TEAMS_SEASON!F:F)</f>
        <v>0.20297619047619053</v>
      </c>
      <c r="W200" t="str">
        <f>RAW_GAMES!R200</f>
        <v>Kváča</v>
      </c>
      <c r="X200" s="7">
        <f>RAW_GAMES!S200</f>
        <v>31</v>
      </c>
      <c r="Y200">
        <f t="shared" si="23"/>
        <v>1</v>
      </c>
      <c r="Z200" t="str">
        <f>RAW_GAMES!V200</f>
        <v>RS</v>
      </c>
    </row>
    <row r="201" spans="1:26" x14ac:dyDescent="0.25">
      <c r="A201" t="str">
        <f>RAW_GAMES!A201</f>
        <v>25/26</v>
      </c>
      <c r="B201" s="3">
        <f>RAW_GAMES!B201</f>
        <v>45947</v>
      </c>
      <c r="C201" s="3" t="str">
        <f>RAW_GAMES!E201</f>
        <v>LIT</v>
      </c>
      <c r="D201" s="3" t="str">
        <f>RAW_GAMES!F201</f>
        <v>KVA</v>
      </c>
      <c r="E201" s="7">
        <f>RAW_GAMES!G201</f>
        <v>0</v>
      </c>
      <c r="F201">
        <f>RAW_GAMES!H201</f>
        <v>0</v>
      </c>
      <c r="G201">
        <f>RAW_GAMES!I201</f>
        <v>3</v>
      </c>
      <c r="H201">
        <f t="shared" si="18"/>
        <v>-3</v>
      </c>
      <c r="I201">
        <f>RAW_GAMES!J201</f>
        <v>34</v>
      </c>
      <c r="J201">
        <f>RAW_GAMES!K201</f>
        <v>33</v>
      </c>
      <c r="K201">
        <f t="shared" si="19"/>
        <v>1</v>
      </c>
      <c r="L201" t="str">
        <f>IF(RAW_GAMES!L201="","",RAW_GAMES!L201)</f>
        <v/>
      </c>
      <c r="M201" t="str">
        <f>IF(RAW_GAMES!M201="","",RAW_GAMES!M201)</f>
        <v/>
      </c>
      <c r="N201" t="str">
        <f t="shared" si="20"/>
        <v/>
      </c>
      <c r="O201" s="7">
        <f>RAW_GAMES!O201</f>
        <v>2</v>
      </c>
      <c r="P201">
        <f>RAW_GAMES!N201</f>
        <v>0</v>
      </c>
      <c r="Q201">
        <f t="shared" si="21"/>
        <v>0</v>
      </c>
      <c r="R201" s="7">
        <f>RAW_GAMES!Q201</f>
        <v>4</v>
      </c>
      <c r="S201">
        <f>RAW_GAMES!P201</f>
        <v>0</v>
      </c>
      <c r="T201">
        <f t="shared" si="22"/>
        <v>1</v>
      </c>
      <c r="U201">
        <f>_xlfn.XLOOKUP(C201,
  CALC_TEAMS_SEASON!B:B,
  CALC_TEAMS_SEASON!F:F)</f>
        <v>0.10089285714285713</v>
      </c>
      <c r="V201">
        <f>_xlfn.XLOOKUP(D201,
  CALC_TEAMS_SEASON!B:B,
  CALC_TEAMS_SEASON!F:F)</f>
        <v>0.17387057387057389</v>
      </c>
      <c r="W201" t="str">
        <f>RAW_GAMES!R201</f>
        <v>Čajan</v>
      </c>
      <c r="X201" s="7">
        <f>RAW_GAMES!S201</f>
        <v>30</v>
      </c>
      <c r="Y201">
        <f t="shared" si="23"/>
        <v>0</v>
      </c>
      <c r="Z201" t="str">
        <f>RAW_GAMES!V201</f>
        <v>RS</v>
      </c>
    </row>
    <row r="202" spans="1:26" x14ac:dyDescent="0.25">
      <c r="A202" t="str">
        <f>RAW_GAMES!A202</f>
        <v>25/26</v>
      </c>
      <c r="B202" s="3">
        <f>RAW_GAMES!B202</f>
        <v>45947</v>
      </c>
      <c r="C202" s="3" t="str">
        <f>RAW_GAMES!E202</f>
        <v>MBL</v>
      </c>
      <c r="D202" s="3" t="str">
        <f>RAW_GAMES!F202</f>
        <v>KOM</v>
      </c>
      <c r="E202" s="7">
        <f>RAW_GAMES!G202</f>
        <v>0</v>
      </c>
      <c r="F202">
        <f>RAW_GAMES!H202</f>
        <v>4</v>
      </c>
      <c r="G202">
        <f>RAW_GAMES!I202</f>
        <v>1</v>
      </c>
      <c r="H202">
        <f t="shared" si="18"/>
        <v>3</v>
      </c>
      <c r="I202">
        <f>RAW_GAMES!J202</f>
        <v>26</v>
      </c>
      <c r="J202">
        <f>RAW_GAMES!K202</f>
        <v>29</v>
      </c>
      <c r="K202">
        <f t="shared" si="19"/>
        <v>-3</v>
      </c>
      <c r="L202">
        <f>IF(RAW_GAMES!L202="","",RAW_GAMES!L202)</f>
        <v>2.33</v>
      </c>
      <c r="M202">
        <f>IF(RAW_GAMES!M202="","",RAW_GAMES!M202)</f>
        <v>1.9</v>
      </c>
      <c r="N202">
        <f t="shared" si="20"/>
        <v>0.43000000000000016</v>
      </c>
      <c r="O202" s="7">
        <f>RAW_GAMES!O202</f>
        <v>6</v>
      </c>
      <c r="P202">
        <f>RAW_GAMES!N202</f>
        <v>2</v>
      </c>
      <c r="Q202">
        <f t="shared" si="21"/>
        <v>0.33333333333333331</v>
      </c>
      <c r="R202" s="7">
        <f>RAW_GAMES!Q202</f>
        <v>2</v>
      </c>
      <c r="S202">
        <f>RAW_GAMES!P202</f>
        <v>0</v>
      </c>
      <c r="T202">
        <f t="shared" si="22"/>
        <v>1</v>
      </c>
      <c r="U202">
        <f>_xlfn.XLOOKUP(C202,
  CALC_TEAMS_SEASON!B:B,
  CALC_TEAMS_SEASON!F:F)</f>
        <v>0.11826923076923078</v>
      </c>
      <c r="V202">
        <f>_xlfn.XLOOKUP(D202,
  CALC_TEAMS_SEASON!B:B,
  CALC_TEAMS_SEASON!F:F)</f>
        <v>0.14358974358974358</v>
      </c>
      <c r="W202" t="str">
        <f>RAW_GAMES!R202</f>
        <v>Furch</v>
      </c>
      <c r="X202" s="7">
        <f>RAW_GAMES!S202</f>
        <v>28</v>
      </c>
      <c r="Y202">
        <f t="shared" si="23"/>
        <v>1</v>
      </c>
      <c r="Z202" t="str">
        <f>RAW_GAMES!V202</f>
        <v>RS</v>
      </c>
    </row>
    <row r="203" spans="1:26" x14ac:dyDescent="0.25">
      <c r="A203" t="str">
        <f>RAW_GAMES!A203</f>
        <v>25/26</v>
      </c>
      <c r="B203" s="3">
        <f>RAW_GAMES!B203</f>
        <v>45947</v>
      </c>
      <c r="C203" s="3" t="str">
        <f>RAW_GAMES!E203</f>
        <v>VIT</v>
      </c>
      <c r="D203" s="3" t="str">
        <f>RAW_GAMES!F203</f>
        <v>KLA</v>
      </c>
      <c r="E203" s="7">
        <f>RAW_GAMES!G203</f>
        <v>0</v>
      </c>
      <c r="F203">
        <f>RAW_GAMES!H203</f>
        <v>1</v>
      </c>
      <c r="G203">
        <f>RAW_GAMES!I203</f>
        <v>3</v>
      </c>
      <c r="H203">
        <f t="shared" si="18"/>
        <v>-2</v>
      </c>
      <c r="I203">
        <f>RAW_GAMES!J203</f>
        <v>23</v>
      </c>
      <c r="J203">
        <f>RAW_GAMES!K203</f>
        <v>35</v>
      </c>
      <c r="K203">
        <f t="shared" si="19"/>
        <v>-12</v>
      </c>
      <c r="L203" t="str">
        <f>IF(RAW_GAMES!L203="","",RAW_GAMES!L203)</f>
        <v/>
      </c>
      <c r="M203" t="str">
        <f>IF(RAW_GAMES!M203="","",RAW_GAMES!M203)</f>
        <v/>
      </c>
      <c r="N203" t="str">
        <f t="shared" si="20"/>
        <v/>
      </c>
      <c r="O203" s="7">
        <f>RAW_GAMES!O203</f>
        <v>7</v>
      </c>
      <c r="P203">
        <f>RAW_GAMES!N203</f>
        <v>1</v>
      </c>
      <c r="Q203">
        <f t="shared" si="21"/>
        <v>0.14285714285714285</v>
      </c>
      <c r="R203" s="7">
        <f>RAW_GAMES!Q203</f>
        <v>5</v>
      </c>
      <c r="S203">
        <f>RAW_GAMES!P203</f>
        <v>1</v>
      </c>
      <c r="T203">
        <f t="shared" si="22"/>
        <v>0.8</v>
      </c>
      <c r="U203">
        <f>_xlfn.XLOOKUP(C203,
  CALC_TEAMS_SEASON!B:B,
  CALC_TEAMS_SEASON!F:F)</f>
        <v>0.16984890109890113</v>
      </c>
      <c r="V203">
        <f>_xlfn.XLOOKUP(D203,
  CALC_TEAMS_SEASON!B:B,
  CALC_TEAMS_SEASON!F:F)</f>
        <v>0.13120421245421243</v>
      </c>
      <c r="W203" t="str">
        <f>RAW_GAMES!R203</f>
        <v>Hrachovina</v>
      </c>
      <c r="X203" s="7">
        <f>RAW_GAMES!S203</f>
        <v>32</v>
      </c>
      <c r="Y203">
        <f t="shared" si="23"/>
        <v>0</v>
      </c>
      <c r="Z203" t="str">
        <f>RAW_GAMES!V203</f>
        <v>RS</v>
      </c>
    </row>
    <row r="204" spans="1:26" x14ac:dyDescent="0.25">
      <c r="A204" t="str">
        <f>RAW_GAMES!A204</f>
        <v>25/26</v>
      </c>
      <c r="B204" s="3">
        <f>RAW_GAMES!B204</f>
        <v>45949</v>
      </c>
      <c r="C204" s="3" t="str">
        <f>RAW_GAMES!E204</f>
        <v>PCE</v>
      </c>
      <c r="D204" s="3" t="str">
        <f>RAW_GAMES!F204</f>
        <v>MBL</v>
      </c>
      <c r="E204" s="7">
        <f>RAW_GAMES!G204</f>
        <v>0</v>
      </c>
      <c r="F204">
        <f>RAW_GAMES!H204</f>
        <v>2</v>
      </c>
      <c r="G204">
        <f>RAW_GAMES!I204</f>
        <v>0</v>
      </c>
      <c r="H204">
        <f t="shared" si="18"/>
        <v>2</v>
      </c>
      <c r="I204">
        <f>RAW_GAMES!J204</f>
        <v>27</v>
      </c>
      <c r="J204">
        <f>RAW_GAMES!K204</f>
        <v>18</v>
      </c>
      <c r="K204">
        <f t="shared" si="19"/>
        <v>9</v>
      </c>
      <c r="L204">
        <f>IF(RAW_GAMES!L204="","",RAW_GAMES!L204)</f>
        <v>3.3</v>
      </c>
      <c r="M204">
        <f>IF(RAW_GAMES!M204="","",RAW_GAMES!M204)</f>
        <v>1.46</v>
      </c>
      <c r="N204">
        <f t="shared" si="20"/>
        <v>1.8399999999999999</v>
      </c>
      <c r="O204" s="7">
        <f>RAW_GAMES!O204</f>
        <v>3</v>
      </c>
      <c r="P204">
        <f>RAW_GAMES!N204</f>
        <v>1</v>
      </c>
      <c r="Q204">
        <f t="shared" si="21"/>
        <v>0.33333333333333331</v>
      </c>
      <c r="R204" s="7">
        <f>RAW_GAMES!Q204</f>
        <v>3</v>
      </c>
      <c r="S204">
        <f>RAW_GAMES!P204</f>
        <v>0</v>
      </c>
      <c r="T204">
        <f t="shared" si="22"/>
        <v>1</v>
      </c>
      <c r="U204">
        <f>_xlfn.XLOOKUP(C204,
  CALC_TEAMS_SEASON!B:B,
  CALC_TEAMS_SEASON!F:F)</f>
        <v>0.20297619047619053</v>
      </c>
      <c r="V204">
        <f>_xlfn.XLOOKUP(D204,
  CALC_TEAMS_SEASON!B:B,
  CALC_TEAMS_SEASON!F:F)</f>
        <v>0.11826923076923078</v>
      </c>
      <c r="W204" t="str">
        <f>RAW_GAMES!R204</f>
        <v>Will</v>
      </c>
      <c r="X204" s="7">
        <f>RAW_GAMES!S204</f>
        <v>18</v>
      </c>
      <c r="Y204">
        <f t="shared" si="23"/>
        <v>1</v>
      </c>
      <c r="Z204" t="str">
        <f>RAW_GAMES!V204</f>
        <v>RS</v>
      </c>
    </row>
    <row r="205" spans="1:26" x14ac:dyDescent="0.25">
      <c r="A205" t="str">
        <f>RAW_GAMES!A205</f>
        <v>25/26</v>
      </c>
      <c r="B205" s="3">
        <f>RAW_GAMES!B205</f>
        <v>45949</v>
      </c>
      <c r="C205" s="3" t="str">
        <f>RAW_GAMES!E205</f>
        <v>TRI</v>
      </c>
      <c r="D205" s="3" t="str">
        <f>RAW_GAMES!F205</f>
        <v>LIB</v>
      </c>
      <c r="E205" s="7">
        <f>RAW_GAMES!G205</f>
        <v>0</v>
      </c>
      <c r="F205">
        <f>RAW_GAMES!H205</f>
        <v>1</v>
      </c>
      <c r="G205">
        <f>RAW_GAMES!I205</f>
        <v>0</v>
      </c>
      <c r="H205">
        <f t="shared" si="18"/>
        <v>1</v>
      </c>
      <c r="I205">
        <f>RAW_GAMES!J205</f>
        <v>20</v>
      </c>
      <c r="J205">
        <f>RAW_GAMES!K205</f>
        <v>42</v>
      </c>
      <c r="K205">
        <f t="shared" si="19"/>
        <v>-22</v>
      </c>
      <c r="L205">
        <f>IF(RAW_GAMES!L205="","",RAW_GAMES!L205)</f>
        <v>2.02</v>
      </c>
      <c r="M205">
        <f>IF(RAW_GAMES!M205="","",RAW_GAMES!M205)</f>
        <v>2.89</v>
      </c>
      <c r="N205">
        <f t="shared" si="20"/>
        <v>-0.87000000000000011</v>
      </c>
      <c r="O205" s="7">
        <f>RAW_GAMES!O205</f>
        <v>5</v>
      </c>
      <c r="P205">
        <f>RAW_GAMES!N205</f>
        <v>0</v>
      </c>
      <c r="Q205">
        <f t="shared" si="21"/>
        <v>0</v>
      </c>
      <c r="R205" s="7">
        <f>RAW_GAMES!Q205</f>
        <v>7</v>
      </c>
      <c r="S205">
        <f>RAW_GAMES!P205</f>
        <v>0</v>
      </c>
      <c r="T205">
        <f t="shared" si="22"/>
        <v>1</v>
      </c>
      <c r="U205">
        <f>_xlfn.XLOOKUP(C205,
  CALC_TEAMS_SEASON!B:B,
  CALC_TEAMS_SEASON!F:F)</f>
        <v>0.17437423687423692</v>
      </c>
      <c r="V205">
        <f>_xlfn.XLOOKUP(D205,
  CALC_TEAMS_SEASON!B:B,
  CALC_TEAMS_SEASON!F:F)</f>
        <v>0.14377289377289379</v>
      </c>
      <c r="W205" t="str">
        <f>RAW_GAMES!R205</f>
        <v>Mazanec</v>
      </c>
      <c r="X205" s="7">
        <f>RAW_GAMES!S205</f>
        <v>42</v>
      </c>
      <c r="Y205">
        <f t="shared" si="23"/>
        <v>1</v>
      </c>
      <c r="Z205" t="str">
        <f>RAW_GAMES!V205</f>
        <v>RS</v>
      </c>
    </row>
    <row r="206" spans="1:26" x14ac:dyDescent="0.25">
      <c r="A206" t="str">
        <f>RAW_GAMES!A206</f>
        <v>25/26</v>
      </c>
      <c r="B206" s="3">
        <f>RAW_GAMES!B206</f>
        <v>45949</v>
      </c>
      <c r="C206" s="3" t="str">
        <f>RAW_GAMES!E206</f>
        <v>SPA</v>
      </c>
      <c r="D206" s="3" t="str">
        <f>RAW_GAMES!F206</f>
        <v>KOM</v>
      </c>
      <c r="E206" s="7">
        <f>RAW_GAMES!G206</f>
        <v>1</v>
      </c>
      <c r="F206">
        <f>RAW_GAMES!H206</f>
        <v>4</v>
      </c>
      <c r="G206">
        <f>RAW_GAMES!I206</f>
        <v>1</v>
      </c>
      <c r="H206">
        <f t="shared" si="18"/>
        <v>3</v>
      </c>
      <c r="I206">
        <f>RAW_GAMES!J206</f>
        <v>40</v>
      </c>
      <c r="J206">
        <f>RAW_GAMES!K206</f>
        <v>23</v>
      </c>
      <c r="K206">
        <f t="shared" si="19"/>
        <v>17</v>
      </c>
      <c r="L206">
        <f>IF(RAW_GAMES!L206="","",RAW_GAMES!L206)</f>
        <v>3.52</v>
      </c>
      <c r="M206">
        <f>IF(RAW_GAMES!M206="","",RAW_GAMES!M206)</f>
        <v>1.83</v>
      </c>
      <c r="N206">
        <f t="shared" si="20"/>
        <v>1.69</v>
      </c>
      <c r="O206" s="7">
        <f>RAW_GAMES!O206</f>
        <v>8</v>
      </c>
      <c r="P206">
        <f>RAW_GAMES!N206</f>
        <v>2</v>
      </c>
      <c r="Q206">
        <f t="shared" si="21"/>
        <v>0.25</v>
      </c>
      <c r="R206" s="7">
        <f>RAW_GAMES!Q206</f>
        <v>4</v>
      </c>
      <c r="S206">
        <f>RAW_GAMES!P206</f>
        <v>0</v>
      </c>
      <c r="T206">
        <f t="shared" si="22"/>
        <v>1</v>
      </c>
      <c r="U206">
        <f>_xlfn.XLOOKUP(C206,
  CALC_TEAMS_SEASON!B:B,
  CALC_TEAMS_SEASON!F:F)</f>
        <v>0.22060439560439565</v>
      </c>
      <c r="V206">
        <f>_xlfn.XLOOKUP(D206,
  CALC_TEAMS_SEASON!B:B,
  CALC_TEAMS_SEASON!F:F)</f>
        <v>0.14358974358974358</v>
      </c>
      <c r="W206" t="str">
        <f>RAW_GAMES!R206</f>
        <v>Kovář</v>
      </c>
      <c r="X206" s="7">
        <f>RAW_GAMES!S206</f>
        <v>22</v>
      </c>
      <c r="Y206">
        <f t="shared" si="23"/>
        <v>1</v>
      </c>
      <c r="Z206" t="str">
        <f>RAW_GAMES!V206</f>
        <v>RS</v>
      </c>
    </row>
    <row r="207" spans="1:26" x14ac:dyDescent="0.25">
      <c r="A207" t="str">
        <f>RAW_GAMES!A207</f>
        <v>25/26</v>
      </c>
      <c r="B207" s="3">
        <f>RAW_GAMES!B207</f>
        <v>45949</v>
      </c>
      <c r="C207" s="3" t="str">
        <f>RAW_GAMES!E207</f>
        <v>KOM</v>
      </c>
      <c r="D207" s="3" t="str">
        <f>RAW_GAMES!F207</f>
        <v>SPA</v>
      </c>
      <c r="E207" s="7">
        <f>RAW_GAMES!G207</f>
        <v>0</v>
      </c>
      <c r="F207">
        <f>RAW_GAMES!H207</f>
        <v>1</v>
      </c>
      <c r="G207">
        <f>RAW_GAMES!I207</f>
        <v>4</v>
      </c>
      <c r="H207">
        <f t="shared" si="18"/>
        <v>-3</v>
      </c>
      <c r="I207">
        <f>RAW_GAMES!J207</f>
        <v>23</v>
      </c>
      <c r="J207">
        <f>RAW_GAMES!K207</f>
        <v>40</v>
      </c>
      <c r="K207">
        <f t="shared" si="19"/>
        <v>-17</v>
      </c>
      <c r="L207">
        <f>IF(RAW_GAMES!L207="","",RAW_GAMES!L207)</f>
        <v>1.83</v>
      </c>
      <c r="M207">
        <f>IF(RAW_GAMES!M207="","",RAW_GAMES!M207)</f>
        <v>3.52</v>
      </c>
      <c r="N207">
        <f t="shared" si="20"/>
        <v>-1.69</v>
      </c>
      <c r="O207" s="7">
        <f>RAW_GAMES!O207</f>
        <v>4</v>
      </c>
      <c r="P207">
        <f>RAW_GAMES!N207</f>
        <v>0</v>
      </c>
      <c r="Q207">
        <f t="shared" si="21"/>
        <v>0</v>
      </c>
      <c r="R207" s="7">
        <f>RAW_GAMES!Q207</f>
        <v>8</v>
      </c>
      <c r="S207">
        <f>RAW_GAMES!P207</f>
        <v>2</v>
      </c>
      <c r="T207">
        <f t="shared" si="22"/>
        <v>0.75</v>
      </c>
      <c r="U207">
        <f>_xlfn.XLOOKUP(C207,
  CALC_TEAMS_SEASON!B:B,
  CALC_TEAMS_SEASON!F:F)</f>
        <v>0.14358974358974358</v>
      </c>
      <c r="V207">
        <f>_xlfn.XLOOKUP(D207,
  CALC_TEAMS_SEASON!B:B,
  CALC_TEAMS_SEASON!F:F)</f>
        <v>0.22060439560439565</v>
      </c>
      <c r="W207" t="str">
        <f>RAW_GAMES!R207</f>
        <v>Kavan</v>
      </c>
      <c r="X207" s="7">
        <f>RAW_GAMES!S207</f>
        <v>36</v>
      </c>
      <c r="Y207">
        <f t="shared" si="23"/>
        <v>0</v>
      </c>
      <c r="Z207" t="str">
        <f>RAW_GAMES!V207</f>
        <v>RS</v>
      </c>
    </row>
    <row r="208" spans="1:26" x14ac:dyDescent="0.25">
      <c r="A208" t="str">
        <f>RAW_GAMES!A208</f>
        <v>25/26</v>
      </c>
      <c r="B208" s="3">
        <f>RAW_GAMES!B208</f>
        <v>45949</v>
      </c>
      <c r="C208" s="3" t="str">
        <f>RAW_GAMES!E208</f>
        <v>CEB</v>
      </c>
      <c r="D208" s="3" t="str">
        <f>RAW_GAMES!F208</f>
        <v>PLZ</v>
      </c>
      <c r="E208" s="7">
        <f>RAW_GAMES!G208</f>
        <v>1</v>
      </c>
      <c r="F208">
        <f>RAW_GAMES!H208</f>
        <v>0</v>
      </c>
      <c r="G208">
        <f>RAW_GAMES!I208</f>
        <v>3</v>
      </c>
      <c r="H208">
        <f t="shared" si="18"/>
        <v>-3</v>
      </c>
      <c r="I208">
        <f>RAW_GAMES!J208</f>
        <v>20</v>
      </c>
      <c r="J208">
        <f>RAW_GAMES!K208</f>
        <v>27</v>
      </c>
      <c r="K208">
        <f t="shared" si="19"/>
        <v>-7</v>
      </c>
      <c r="L208" t="str">
        <f>IF(RAW_GAMES!L208="","",RAW_GAMES!L208)</f>
        <v/>
      </c>
      <c r="M208" t="str">
        <f>IF(RAW_GAMES!M208="","",RAW_GAMES!M208)</f>
        <v/>
      </c>
      <c r="N208" t="str">
        <f t="shared" si="20"/>
        <v/>
      </c>
      <c r="O208" s="7">
        <f>RAW_GAMES!O208</f>
        <v>3</v>
      </c>
      <c r="P208">
        <f>RAW_GAMES!N208</f>
        <v>0</v>
      </c>
      <c r="Q208">
        <f t="shared" si="21"/>
        <v>0</v>
      </c>
      <c r="R208" s="7">
        <f>RAW_GAMES!Q208</f>
        <v>3</v>
      </c>
      <c r="S208">
        <f>RAW_GAMES!P208</f>
        <v>0</v>
      </c>
      <c r="T208">
        <f t="shared" si="22"/>
        <v>1</v>
      </c>
      <c r="U208">
        <f>_xlfn.XLOOKUP(C208,
  CALC_TEAMS_SEASON!B:B,
  CALC_TEAMS_SEASON!F:F)</f>
        <v>0.13021353646353648</v>
      </c>
      <c r="V208">
        <f>_xlfn.XLOOKUP(D208,
  CALC_TEAMS_SEASON!B:B,
  CALC_TEAMS_SEASON!F:F)</f>
        <v>0.17641178266178262</v>
      </c>
      <c r="W208" t="str">
        <f>RAW_GAMES!R208</f>
        <v>Strmeň</v>
      </c>
      <c r="X208" s="7">
        <f>RAW_GAMES!S208</f>
        <v>24</v>
      </c>
      <c r="Y208">
        <f t="shared" si="23"/>
        <v>0</v>
      </c>
      <c r="Z208" t="str">
        <f>RAW_GAMES!V208</f>
        <v>RS</v>
      </c>
    </row>
    <row r="209" spans="1:26" x14ac:dyDescent="0.25">
      <c r="A209" t="str">
        <f>RAW_GAMES!A209</f>
        <v>25/26</v>
      </c>
      <c r="B209" s="3">
        <f>RAW_GAMES!B209</f>
        <v>45949</v>
      </c>
      <c r="C209" s="3" t="str">
        <f>RAW_GAMES!E209</f>
        <v>KLA</v>
      </c>
      <c r="D209" s="3" t="str">
        <f>RAW_GAMES!F209</f>
        <v>MHK</v>
      </c>
      <c r="E209" s="7">
        <f>RAW_GAMES!G209</f>
        <v>0</v>
      </c>
      <c r="F209">
        <f>RAW_GAMES!H209</f>
        <v>1</v>
      </c>
      <c r="G209">
        <f>RAW_GAMES!I209</f>
        <v>4</v>
      </c>
      <c r="H209">
        <f t="shared" si="18"/>
        <v>-3</v>
      </c>
      <c r="I209">
        <f>RAW_GAMES!J209</f>
        <v>25</v>
      </c>
      <c r="J209">
        <f>RAW_GAMES!K209</f>
        <v>36</v>
      </c>
      <c r="K209">
        <f t="shared" si="19"/>
        <v>-11</v>
      </c>
      <c r="L209" t="str">
        <f>IF(RAW_GAMES!L209="","",RAW_GAMES!L209)</f>
        <v/>
      </c>
      <c r="M209" t="str">
        <f>IF(RAW_GAMES!M209="","",RAW_GAMES!M209)</f>
        <v/>
      </c>
      <c r="N209" t="str">
        <f t="shared" si="20"/>
        <v/>
      </c>
      <c r="O209" s="7">
        <f>RAW_GAMES!O209</f>
        <v>4</v>
      </c>
      <c r="P209">
        <f>RAW_GAMES!N209</f>
        <v>0</v>
      </c>
      <c r="Q209">
        <f t="shared" si="21"/>
        <v>0</v>
      </c>
      <c r="R209" s="7">
        <f>RAW_GAMES!Q209</f>
        <v>3</v>
      </c>
      <c r="S209">
        <f>RAW_GAMES!P209</f>
        <v>0</v>
      </c>
      <c r="T209">
        <f t="shared" si="22"/>
        <v>1</v>
      </c>
      <c r="U209">
        <f>_xlfn.XLOOKUP(C209,
  CALC_TEAMS_SEASON!B:B,
  CALC_TEAMS_SEASON!F:F)</f>
        <v>0.13120421245421243</v>
      </c>
      <c r="V209">
        <f>_xlfn.XLOOKUP(D209,
  CALC_TEAMS_SEASON!B:B,
  CALC_TEAMS_SEASON!F:F)</f>
        <v>0.14184981684981687</v>
      </c>
      <c r="W209" t="str">
        <f>RAW_GAMES!R209</f>
        <v>Brízgala</v>
      </c>
      <c r="X209" s="7">
        <f>RAW_GAMES!S209</f>
        <v>32</v>
      </c>
      <c r="Y209">
        <f t="shared" si="23"/>
        <v>0</v>
      </c>
      <c r="Z209" t="str">
        <f>RAW_GAMES!V209</f>
        <v>RS</v>
      </c>
    </row>
    <row r="210" spans="1:26" x14ac:dyDescent="0.25">
      <c r="A210" t="str">
        <f>RAW_GAMES!A210</f>
        <v>25/26</v>
      </c>
      <c r="B210" s="3">
        <f>RAW_GAMES!B210</f>
        <v>45949</v>
      </c>
      <c r="C210" s="3" t="str">
        <f>RAW_GAMES!E210</f>
        <v>KVA</v>
      </c>
      <c r="D210" s="3" t="str">
        <f>RAW_GAMES!F210</f>
        <v>OLO</v>
      </c>
      <c r="E210" s="7">
        <f>RAW_GAMES!G210</f>
        <v>0</v>
      </c>
      <c r="F210">
        <f>RAW_GAMES!H210</f>
        <v>3</v>
      </c>
      <c r="G210">
        <f>RAW_GAMES!I210</f>
        <v>5</v>
      </c>
      <c r="H210">
        <f t="shared" si="18"/>
        <v>-2</v>
      </c>
      <c r="I210">
        <f>RAW_GAMES!J210</f>
        <v>37</v>
      </c>
      <c r="J210">
        <f>RAW_GAMES!K210</f>
        <v>32</v>
      </c>
      <c r="K210">
        <f t="shared" si="19"/>
        <v>5</v>
      </c>
      <c r="L210" t="str">
        <f>IF(RAW_GAMES!L210="","",RAW_GAMES!L210)</f>
        <v/>
      </c>
      <c r="M210" t="str">
        <f>IF(RAW_GAMES!M210="","",RAW_GAMES!M210)</f>
        <v/>
      </c>
      <c r="N210" t="str">
        <f t="shared" si="20"/>
        <v/>
      </c>
      <c r="O210" s="7">
        <f>RAW_GAMES!O210</f>
        <v>4</v>
      </c>
      <c r="P210">
        <f>RAW_GAMES!N210</f>
        <v>2</v>
      </c>
      <c r="Q210">
        <f t="shared" si="21"/>
        <v>0.5</v>
      </c>
      <c r="R210" s="7">
        <f>RAW_GAMES!Q210</f>
        <v>1</v>
      </c>
      <c r="S210">
        <f>RAW_GAMES!P210</f>
        <v>0</v>
      </c>
      <c r="T210">
        <f t="shared" si="22"/>
        <v>1</v>
      </c>
      <c r="U210">
        <f>_xlfn.XLOOKUP(C210,
  CALC_TEAMS_SEASON!B:B,
  CALC_TEAMS_SEASON!F:F)</f>
        <v>0.17387057387057389</v>
      </c>
      <c r="V210">
        <f>_xlfn.XLOOKUP(D210,
  CALC_TEAMS_SEASON!B:B,
  CALC_TEAMS_SEASON!F:F)</f>
        <v>0.14989316239316242</v>
      </c>
      <c r="W210" t="str">
        <f>RAW_GAMES!R210</f>
        <v>Král</v>
      </c>
      <c r="X210" s="7">
        <f>RAW_GAMES!S210</f>
        <v>27</v>
      </c>
      <c r="Y210">
        <f t="shared" si="23"/>
        <v>0</v>
      </c>
      <c r="Z210" t="str">
        <f>RAW_GAMES!V210</f>
        <v>RS</v>
      </c>
    </row>
    <row r="211" spans="1:26" x14ac:dyDescent="0.25">
      <c r="A211" t="str">
        <f>RAW_GAMES!A211</f>
        <v>25/26</v>
      </c>
      <c r="B211" s="3">
        <f>RAW_GAMES!B211</f>
        <v>45949</v>
      </c>
      <c r="C211" s="3" t="str">
        <f>RAW_GAMES!E211</f>
        <v>LIB</v>
      </c>
      <c r="D211" s="3" t="str">
        <f>RAW_GAMES!F211</f>
        <v>TRI</v>
      </c>
      <c r="E211" s="7">
        <f>RAW_GAMES!G211</f>
        <v>1</v>
      </c>
      <c r="F211">
        <f>RAW_GAMES!H211</f>
        <v>0</v>
      </c>
      <c r="G211">
        <f>RAW_GAMES!I211</f>
        <v>1</v>
      </c>
      <c r="H211">
        <f t="shared" si="18"/>
        <v>-1</v>
      </c>
      <c r="I211">
        <f>RAW_GAMES!J211</f>
        <v>42</v>
      </c>
      <c r="J211">
        <f>RAW_GAMES!K211</f>
        <v>20</v>
      </c>
      <c r="K211">
        <f t="shared" si="19"/>
        <v>22</v>
      </c>
      <c r="L211">
        <f>IF(RAW_GAMES!L211="","",RAW_GAMES!L211)</f>
        <v>2.89</v>
      </c>
      <c r="M211">
        <f>IF(RAW_GAMES!M211="","",RAW_GAMES!M211)</f>
        <v>2.02</v>
      </c>
      <c r="N211">
        <f t="shared" si="20"/>
        <v>0.87000000000000011</v>
      </c>
      <c r="O211" s="7">
        <f>RAW_GAMES!O211</f>
        <v>7</v>
      </c>
      <c r="P211">
        <f>RAW_GAMES!N211</f>
        <v>0</v>
      </c>
      <c r="Q211">
        <f t="shared" si="21"/>
        <v>0</v>
      </c>
      <c r="R211" s="7">
        <f>RAW_GAMES!Q211</f>
        <v>5</v>
      </c>
      <c r="S211">
        <f>RAW_GAMES!P211</f>
        <v>0</v>
      </c>
      <c r="T211">
        <f t="shared" si="22"/>
        <v>1</v>
      </c>
      <c r="U211">
        <f>_xlfn.XLOOKUP(C211,
  CALC_TEAMS_SEASON!B:B,
  CALC_TEAMS_SEASON!F:F)</f>
        <v>0.14377289377289379</v>
      </c>
      <c r="V211">
        <f>_xlfn.XLOOKUP(D211,
  CALC_TEAMS_SEASON!B:B,
  CALC_TEAMS_SEASON!F:F)</f>
        <v>0.17437423687423692</v>
      </c>
      <c r="W211" t="str">
        <f>RAW_GAMES!R211</f>
        <v>Kváča</v>
      </c>
      <c r="X211" s="7">
        <f>RAW_GAMES!S211</f>
        <v>19</v>
      </c>
      <c r="Y211">
        <f t="shared" si="23"/>
        <v>0</v>
      </c>
      <c r="Z211" t="str">
        <f>RAW_GAMES!V211</f>
        <v>RS</v>
      </c>
    </row>
    <row r="212" spans="1:26" x14ac:dyDescent="0.25">
      <c r="A212" t="str">
        <f>RAW_GAMES!A212</f>
        <v>25/26</v>
      </c>
      <c r="B212" s="3">
        <f>RAW_GAMES!B212</f>
        <v>45949</v>
      </c>
      <c r="C212" s="3" t="str">
        <f>RAW_GAMES!E212</f>
        <v>MBL</v>
      </c>
      <c r="D212" s="3" t="str">
        <f>RAW_GAMES!F212</f>
        <v>PCE</v>
      </c>
      <c r="E212" s="7">
        <f>RAW_GAMES!G212</f>
        <v>1</v>
      </c>
      <c r="F212">
        <f>RAW_GAMES!H212</f>
        <v>0</v>
      </c>
      <c r="G212">
        <f>RAW_GAMES!I212</f>
        <v>2</v>
      </c>
      <c r="H212">
        <f t="shared" si="18"/>
        <v>-2</v>
      </c>
      <c r="I212">
        <f>RAW_GAMES!J212</f>
        <v>18</v>
      </c>
      <c r="J212">
        <f>RAW_GAMES!K212</f>
        <v>27</v>
      </c>
      <c r="K212">
        <f t="shared" si="19"/>
        <v>-9</v>
      </c>
      <c r="L212">
        <f>IF(RAW_GAMES!L212="","",RAW_GAMES!L212)</f>
        <v>1.46</v>
      </c>
      <c r="M212">
        <f>IF(RAW_GAMES!M212="","",RAW_GAMES!M212)</f>
        <v>3.3</v>
      </c>
      <c r="N212">
        <f t="shared" si="20"/>
        <v>-1.8399999999999999</v>
      </c>
      <c r="O212" s="7">
        <f>RAW_GAMES!O212</f>
        <v>3</v>
      </c>
      <c r="P212">
        <f>RAW_GAMES!N212</f>
        <v>0</v>
      </c>
      <c r="Q212">
        <f t="shared" si="21"/>
        <v>0</v>
      </c>
      <c r="R212" s="7">
        <f>RAW_GAMES!Q212</f>
        <v>3</v>
      </c>
      <c r="S212">
        <f>RAW_GAMES!P212</f>
        <v>1</v>
      </c>
      <c r="T212">
        <f t="shared" si="22"/>
        <v>0.66666666666666674</v>
      </c>
      <c r="U212">
        <f>_xlfn.XLOOKUP(C212,
  CALC_TEAMS_SEASON!B:B,
  CALC_TEAMS_SEASON!F:F)</f>
        <v>0.11826923076923078</v>
      </c>
      <c r="V212">
        <f>_xlfn.XLOOKUP(D212,
  CALC_TEAMS_SEASON!B:B,
  CALC_TEAMS_SEASON!F:F)</f>
        <v>0.20297619047619053</v>
      </c>
      <c r="W212" t="str">
        <f>RAW_GAMES!R212</f>
        <v>Furch</v>
      </c>
      <c r="X212" s="7">
        <f>RAW_GAMES!S212</f>
        <v>25</v>
      </c>
      <c r="Y212">
        <f t="shared" si="23"/>
        <v>0</v>
      </c>
      <c r="Z212" t="str">
        <f>RAW_GAMES!V212</f>
        <v>RS</v>
      </c>
    </row>
    <row r="213" spans="1:26" x14ac:dyDescent="0.25">
      <c r="A213" t="str">
        <f>RAW_GAMES!A213</f>
        <v>25/26</v>
      </c>
      <c r="B213" s="3">
        <f>RAW_GAMES!B213</f>
        <v>45949</v>
      </c>
      <c r="C213" s="3" t="str">
        <f>RAW_GAMES!E213</f>
        <v>MHK</v>
      </c>
      <c r="D213" s="3" t="str">
        <f>RAW_GAMES!F213</f>
        <v>KLA</v>
      </c>
      <c r="E213" s="7">
        <f>RAW_GAMES!G213</f>
        <v>1</v>
      </c>
      <c r="F213">
        <f>RAW_GAMES!H213</f>
        <v>4</v>
      </c>
      <c r="G213">
        <f>RAW_GAMES!I213</f>
        <v>1</v>
      </c>
      <c r="H213">
        <f t="shared" si="18"/>
        <v>3</v>
      </c>
      <c r="I213">
        <f>RAW_GAMES!J213</f>
        <v>36</v>
      </c>
      <c r="J213">
        <f>RAW_GAMES!K213</f>
        <v>25</v>
      </c>
      <c r="K213">
        <f t="shared" si="19"/>
        <v>11</v>
      </c>
      <c r="L213" t="str">
        <f>IF(RAW_GAMES!L213="","",RAW_GAMES!L213)</f>
        <v/>
      </c>
      <c r="M213" t="str">
        <f>IF(RAW_GAMES!M213="","",RAW_GAMES!M213)</f>
        <v/>
      </c>
      <c r="N213" t="str">
        <f t="shared" si="20"/>
        <v/>
      </c>
      <c r="O213" s="7">
        <f>RAW_GAMES!O213</f>
        <v>3</v>
      </c>
      <c r="P213">
        <f>RAW_GAMES!N213</f>
        <v>0</v>
      </c>
      <c r="Q213">
        <f t="shared" si="21"/>
        <v>0</v>
      </c>
      <c r="R213" s="7">
        <f>RAW_GAMES!Q213</f>
        <v>4</v>
      </c>
      <c r="S213">
        <f>RAW_GAMES!P213</f>
        <v>0</v>
      </c>
      <c r="T213">
        <f t="shared" si="22"/>
        <v>1</v>
      </c>
      <c r="U213">
        <f>_xlfn.XLOOKUP(C213,
  CALC_TEAMS_SEASON!B:B,
  CALC_TEAMS_SEASON!F:F)</f>
        <v>0.14184981684981687</v>
      </c>
      <c r="V213">
        <f>_xlfn.XLOOKUP(D213,
  CALC_TEAMS_SEASON!B:B,
  CALC_TEAMS_SEASON!F:F)</f>
        <v>0.13120421245421243</v>
      </c>
      <c r="W213" t="str">
        <f>RAW_GAMES!R213</f>
        <v>Škorvánek</v>
      </c>
      <c r="X213" s="7">
        <f>RAW_GAMES!S213</f>
        <v>24</v>
      </c>
      <c r="Y213">
        <f t="shared" si="23"/>
        <v>1</v>
      </c>
      <c r="Z213" t="str">
        <f>RAW_GAMES!V213</f>
        <v>RS</v>
      </c>
    </row>
    <row r="214" spans="1:26" x14ac:dyDescent="0.25">
      <c r="A214" t="str">
        <f>RAW_GAMES!A214</f>
        <v>25/26</v>
      </c>
      <c r="B214" s="3">
        <f>RAW_GAMES!B214</f>
        <v>45949</v>
      </c>
      <c r="C214" s="3" t="str">
        <f>RAW_GAMES!E214</f>
        <v>OLO</v>
      </c>
      <c r="D214" s="3" t="str">
        <f>RAW_GAMES!F214</f>
        <v>KVA</v>
      </c>
      <c r="E214" s="7">
        <f>RAW_GAMES!G214</f>
        <v>1</v>
      </c>
      <c r="F214">
        <f>RAW_GAMES!H214</f>
        <v>5</v>
      </c>
      <c r="G214">
        <f>RAW_GAMES!I214</f>
        <v>3</v>
      </c>
      <c r="H214">
        <f t="shared" si="18"/>
        <v>2</v>
      </c>
      <c r="I214">
        <f>RAW_GAMES!J214</f>
        <v>32</v>
      </c>
      <c r="J214">
        <f>RAW_GAMES!K214</f>
        <v>37</v>
      </c>
      <c r="K214">
        <f t="shared" si="19"/>
        <v>-5</v>
      </c>
      <c r="L214" t="str">
        <f>IF(RAW_GAMES!L214="","",RAW_GAMES!L214)</f>
        <v/>
      </c>
      <c r="M214" t="str">
        <f>IF(RAW_GAMES!M214="","",RAW_GAMES!M214)</f>
        <v/>
      </c>
      <c r="N214" t="str">
        <f t="shared" si="20"/>
        <v/>
      </c>
      <c r="O214" s="7">
        <f>RAW_GAMES!O214</f>
        <v>1</v>
      </c>
      <c r="P214">
        <f>RAW_GAMES!N214</f>
        <v>0</v>
      </c>
      <c r="Q214">
        <f t="shared" si="21"/>
        <v>0</v>
      </c>
      <c r="R214" s="7">
        <f>RAW_GAMES!Q214</f>
        <v>4</v>
      </c>
      <c r="S214">
        <f>RAW_GAMES!P214</f>
        <v>2</v>
      </c>
      <c r="T214">
        <f t="shared" si="22"/>
        <v>0.5</v>
      </c>
      <c r="U214">
        <f>_xlfn.XLOOKUP(C214,
  CALC_TEAMS_SEASON!B:B,
  CALC_TEAMS_SEASON!F:F)</f>
        <v>0.14989316239316242</v>
      </c>
      <c r="V214">
        <f>_xlfn.XLOOKUP(D214,
  CALC_TEAMS_SEASON!B:B,
  CALC_TEAMS_SEASON!F:F)</f>
        <v>0.17387057387057389</v>
      </c>
      <c r="W214" t="str">
        <f>RAW_GAMES!R214</f>
        <v>Machovský</v>
      </c>
      <c r="X214" s="7">
        <f>RAW_GAMES!S214</f>
        <v>24</v>
      </c>
      <c r="Y214">
        <f t="shared" si="23"/>
        <v>1</v>
      </c>
      <c r="Z214" t="str">
        <f>RAW_GAMES!V214</f>
        <v>RS</v>
      </c>
    </row>
    <row r="215" spans="1:26" x14ac:dyDescent="0.25">
      <c r="A215" t="str">
        <f>RAW_GAMES!A215</f>
        <v>25/26</v>
      </c>
      <c r="B215" s="3">
        <f>RAW_GAMES!B215</f>
        <v>45949</v>
      </c>
      <c r="C215" s="3" t="str">
        <f>RAW_GAMES!E215</f>
        <v>PLZ</v>
      </c>
      <c r="D215" s="3" t="str">
        <f>RAW_GAMES!F215</f>
        <v>CEB</v>
      </c>
      <c r="E215" s="7">
        <f>RAW_GAMES!G215</f>
        <v>0</v>
      </c>
      <c r="F215">
        <f>RAW_GAMES!H215</f>
        <v>3</v>
      </c>
      <c r="G215">
        <f>RAW_GAMES!I215</f>
        <v>0</v>
      </c>
      <c r="H215">
        <f t="shared" si="18"/>
        <v>3</v>
      </c>
      <c r="I215">
        <f>RAW_GAMES!J215</f>
        <v>27</v>
      </c>
      <c r="J215">
        <f>RAW_GAMES!K215</f>
        <v>20</v>
      </c>
      <c r="K215">
        <f t="shared" si="19"/>
        <v>7</v>
      </c>
      <c r="L215" t="str">
        <f>IF(RAW_GAMES!L215="","",RAW_GAMES!L215)</f>
        <v/>
      </c>
      <c r="M215" t="str">
        <f>IF(RAW_GAMES!M215="","",RAW_GAMES!M215)</f>
        <v/>
      </c>
      <c r="N215" t="str">
        <f t="shared" si="20"/>
        <v/>
      </c>
      <c r="O215" s="7">
        <f>RAW_GAMES!O215</f>
        <v>3</v>
      </c>
      <c r="P215">
        <f>RAW_GAMES!N215</f>
        <v>0</v>
      </c>
      <c r="Q215">
        <f t="shared" si="21"/>
        <v>0</v>
      </c>
      <c r="R215" s="7">
        <f>RAW_GAMES!Q215</f>
        <v>3</v>
      </c>
      <c r="S215">
        <f>RAW_GAMES!P215</f>
        <v>0</v>
      </c>
      <c r="T215">
        <f t="shared" si="22"/>
        <v>1</v>
      </c>
      <c r="U215">
        <f>_xlfn.XLOOKUP(C215,
  CALC_TEAMS_SEASON!B:B,
  CALC_TEAMS_SEASON!F:F)</f>
        <v>0.17641178266178262</v>
      </c>
      <c r="V215">
        <f>_xlfn.XLOOKUP(D215,
  CALC_TEAMS_SEASON!B:B,
  CALC_TEAMS_SEASON!F:F)</f>
        <v>0.13021353646353648</v>
      </c>
      <c r="W215" t="str">
        <f>RAW_GAMES!R215</f>
        <v>Růžička</v>
      </c>
      <c r="X215" s="7">
        <f>RAW_GAMES!S215</f>
        <v>20</v>
      </c>
      <c r="Y215">
        <f t="shared" si="23"/>
        <v>1</v>
      </c>
      <c r="Z215" t="str">
        <f>RAW_GAMES!V215</f>
        <v>RS</v>
      </c>
    </row>
    <row r="216" spans="1:26" x14ac:dyDescent="0.25">
      <c r="A216" t="str">
        <f>RAW_GAMES!A216</f>
        <v>25/26</v>
      </c>
      <c r="B216" s="3">
        <f>RAW_GAMES!B216</f>
        <v>45951</v>
      </c>
      <c r="C216" s="3" t="str">
        <f>RAW_GAMES!E216</f>
        <v>TRI</v>
      </c>
      <c r="D216" s="3" t="str">
        <f>RAW_GAMES!F216</f>
        <v>SPA</v>
      </c>
      <c r="E216" s="7">
        <f>RAW_GAMES!G216</f>
        <v>0</v>
      </c>
      <c r="F216">
        <f>RAW_GAMES!H216</f>
        <v>4</v>
      </c>
      <c r="G216">
        <f>RAW_GAMES!I216</f>
        <v>1</v>
      </c>
      <c r="H216">
        <f t="shared" si="18"/>
        <v>3</v>
      </c>
      <c r="I216">
        <f>RAW_GAMES!J216</f>
        <v>36</v>
      </c>
      <c r="J216">
        <f>RAW_GAMES!K216</f>
        <v>23</v>
      </c>
      <c r="K216">
        <f t="shared" si="19"/>
        <v>13</v>
      </c>
      <c r="L216">
        <f>IF(RAW_GAMES!L216="","",RAW_GAMES!L216)</f>
        <v>4.38</v>
      </c>
      <c r="M216">
        <f>IF(RAW_GAMES!M216="","",RAW_GAMES!M216)</f>
        <v>2.4</v>
      </c>
      <c r="N216">
        <f t="shared" si="20"/>
        <v>1.98</v>
      </c>
      <c r="O216" s="7">
        <f>RAW_GAMES!O216</f>
        <v>5</v>
      </c>
      <c r="P216">
        <f>RAW_GAMES!N216</f>
        <v>2</v>
      </c>
      <c r="Q216">
        <f t="shared" si="21"/>
        <v>0.4</v>
      </c>
      <c r="R216" s="7">
        <f>RAW_GAMES!Q216</f>
        <v>5</v>
      </c>
      <c r="S216">
        <f>RAW_GAMES!P216</f>
        <v>0</v>
      </c>
      <c r="T216">
        <f t="shared" si="22"/>
        <v>1</v>
      </c>
      <c r="U216">
        <f>_xlfn.XLOOKUP(C216,
  CALC_TEAMS_SEASON!B:B,
  CALC_TEAMS_SEASON!F:F)</f>
        <v>0.17437423687423692</v>
      </c>
      <c r="V216">
        <f>_xlfn.XLOOKUP(D216,
  CALC_TEAMS_SEASON!B:B,
  CALC_TEAMS_SEASON!F:F)</f>
        <v>0.22060439560439565</v>
      </c>
      <c r="W216" t="str">
        <f>RAW_GAMES!R216</f>
        <v>Mazanec</v>
      </c>
      <c r="X216" s="7">
        <f>RAW_GAMES!S216</f>
        <v>22</v>
      </c>
      <c r="Y216">
        <f t="shared" si="23"/>
        <v>1</v>
      </c>
      <c r="Z216" t="str">
        <f>RAW_GAMES!V216</f>
        <v>RS</v>
      </c>
    </row>
    <row r="217" spans="1:26" x14ac:dyDescent="0.25">
      <c r="A217" t="str">
        <f>RAW_GAMES!A217</f>
        <v>25/26</v>
      </c>
      <c r="B217" s="3">
        <f>RAW_GAMES!B217</f>
        <v>45951</v>
      </c>
      <c r="C217" s="3" t="str">
        <f>RAW_GAMES!E217</f>
        <v>SPA</v>
      </c>
      <c r="D217" s="3" t="str">
        <f>RAW_GAMES!F217</f>
        <v>TRI</v>
      </c>
      <c r="E217" s="7">
        <f>RAW_GAMES!G217</f>
        <v>1</v>
      </c>
      <c r="F217">
        <f>RAW_GAMES!H217</f>
        <v>1</v>
      </c>
      <c r="G217">
        <f>RAW_GAMES!I217</f>
        <v>4</v>
      </c>
      <c r="H217">
        <f t="shared" si="18"/>
        <v>-3</v>
      </c>
      <c r="I217">
        <f>RAW_GAMES!J217</f>
        <v>23</v>
      </c>
      <c r="J217">
        <f>RAW_GAMES!K217</f>
        <v>36</v>
      </c>
      <c r="K217">
        <f t="shared" si="19"/>
        <v>-13</v>
      </c>
      <c r="L217">
        <f>IF(RAW_GAMES!L217="","",RAW_GAMES!L217)</f>
        <v>2.4</v>
      </c>
      <c r="M217">
        <f>IF(RAW_GAMES!M217="","",RAW_GAMES!M217)</f>
        <v>4.38</v>
      </c>
      <c r="N217">
        <f t="shared" si="20"/>
        <v>-1.98</v>
      </c>
      <c r="O217" s="7">
        <f>RAW_GAMES!O217</f>
        <v>5</v>
      </c>
      <c r="P217">
        <f>RAW_GAMES!N217</f>
        <v>0</v>
      </c>
      <c r="Q217">
        <f t="shared" si="21"/>
        <v>0</v>
      </c>
      <c r="R217" s="7">
        <f>RAW_GAMES!Q217</f>
        <v>5</v>
      </c>
      <c r="S217">
        <f>RAW_GAMES!P217</f>
        <v>2</v>
      </c>
      <c r="T217">
        <f t="shared" si="22"/>
        <v>0.6</v>
      </c>
      <c r="U217">
        <f>_xlfn.XLOOKUP(C217,
  CALC_TEAMS_SEASON!B:B,
  CALC_TEAMS_SEASON!F:F)</f>
        <v>0.22060439560439565</v>
      </c>
      <c r="V217">
        <f>_xlfn.XLOOKUP(D217,
  CALC_TEAMS_SEASON!B:B,
  CALC_TEAMS_SEASON!F:F)</f>
        <v>0.17437423687423692</v>
      </c>
      <c r="W217" t="str">
        <f>RAW_GAMES!R217</f>
        <v>Kovář</v>
      </c>
      <c r="X217" s="7">
        <f>RAW_GAMES!S217</f>
        <v>32</v>
      </c>
      <c r="Y217">
        <f t="shared" si="23"/>
        <v>0</v>
      </c>
      <c r="Z217" t="str">
        <f>RAW_GAMES!V217</f>
        <v>RS</v>
      </c>
    </row>
    <row r="218" spans="1:26" x14ac:dyDescent="0.25">
      <c r="A218" t="str">
        <f>RAW_GAMES!A218</f>
        <v>25/26</v>
      </c>
      <c r="B218" s="3">
        <f>RAW_GAMES!B218</f>
        <v>45951</v>
      </c>
      <c r="C218" s="3" t="str">
        <f>RAW_GAMES!E218</f>
        <v>CEB</v>
      </c>
      <c r="D218" s="3" t="str">
        <f>RAW_GAMES!F218</f>
        <v>MHK</v>
      </c>
      <c r="E218" s="7">
        <f>RAW_GAMES!G218</f>
        <v>1</v>
      </c>
      <c r="F218">
        <f>RAW_GAMES!H218</f>
        <v>0</v>
      </c>
      <c r="G218">
        <f>RAW_GAMES!I218</f>
        <v>3</v>
      </c>
      <c r="H218">
        <f t="shared" si="18"/>
        <v>-3</v>
      </c>
      <c r="I218">
        <f>RAW_GAMES!J218</f>
        <v>22</v>
      </c>
      <c r="J218">
        <f>RAW_GAMES!K218</f>
        <v>26</v>
      </c>
      <c r="K218">
        <f t="shared" si="19"/>
        <v>-4</v>
      </c>
      <c r="L218" t="str">
        <f>IF(RAW_GAMES!L218="","",RAW_GAMES!L218)</f>
        <v/>
      </c>
      <c r="M218" t="str">
        <f>IF(RAW_GAMES!M218="","",RAW_GAMES!M218)</f>
        <v/>
      </c>
      <c r="N218" t="str">
        <f t="shared" si="20"/>
        <v/>
      </c>
      <c r="O218" s="7">
        <f>RAW_GAMES!O218</f>
        <v>2</v>
      </c>
      <c r="P218">
        <f>RAW_GAMES!N218</f>
        <v>0</v>
      </c>
      <c r="Q218">
        <f t="shared" si="21"/>
        <v>0</v>
      </c>
      <c r="R218" s="7">
        <f>RAW_GAMES!Q218</f>
        <v>3</v>
      </c>
      <c r="S218">
        <f>RAW_GAMES!P218</f>
        <v>0</v>
      </c>
      <c r="T218">
        <f t="shared" si="22"/>
        <v>1</v>
      </c>
      <c r="U218">
        <f>_xlfn.XLOOKUP(C218,
  CALC_TEAMS_SEASON!B:B,
  CALC_TEAMS_SEASON!F:F)</f>
        <v>0.13021353646353648</v>
      </c>
      <c r="V218">
        <f>_xlfn.XLOOKUP(D218,
  CALC_TEAMS_SEASON!B:B,
  CALC_TEAMS_SEASON!F:F)</f>
        <v>0.14184981684981687</v>
      </c>
      <c r="W218" t="str">
        <f>RAW_GAMES!R218</f>
        <v>Strmeň</v>
      </c>
      <c r="X218" s="7">
        <f>RAW_GAMES!S218</f>
        <v>23</v>
      </c>
      <c r="Y218">
        <f t="shared" si="23"/>
        <v>0</v>
      </c>
      <c r="Z218" t="str">
        <f>RAW_GAMES!V218</f>
        <v>RS</v>
      </c>
    </row>
    <row r="219" spans="1:26" x14ac:dyDescent="0.25">
      <c r="A219" t="str">
        <f>RAW_GAMES!A219</f>
        <v>25/26</v>
      </c>
      <c r="B219" s="3">
        <f>RAW_GAMES!B219</f>
        <v>45951</v>
      </c>
      <c r="C219" s="3" t="str">
        <f>RAW_GAMES!E219</f>
        <v>LIT</v>
      </c>
      <c r="D219" s="3" t="str">
        <f>RAW_GAMES!F219</f>
        <v>OLO</v>
      </c>
      <c r="E219" s="7">
        <f>RAW_GAMES!G219</f>
        <v>0</v>
      </c>
      <c r="F219">
        <f>RAW_GAMES!H219</f>
        <v>2</v>
      </c>
      <c r="G219">
        <f>RAW_GAMES!I219</f>
        <v>3</v>
      </c>
      <c r="H219">
        <f t="shared" si="18"/>
        <v>-1</v>
      </c>
      <c r="I219">
        <f>RAW_GAMES!J219</f>
        <v>30</v>
      </c>
      <c r="J219">
        <f>RAW_GAMES!K219</f>
        <v>40</v>
      </c>
      <c r="K219">
        <f t="shared" si="19"/>
        <v>-10</v>
      </c>
      <c r="L219" t="str">
        <f>IF(RAW_GAMES!L219="","",RAW_GAMES!L219)</f>
        <v/>
      </c>
      <c r="M219" t="str">
        <f>IF(RAW_GAMES!M219="","",RAW_GAMES!M219)</f>
        <v/>
      </c>
      <c r="N219" t="str">
        <f t="shared" si="20"/>
        <v/>
      </c>
      <c r="O219" s="7">
        <f>RAW_GAMES!O219</f>
        <v>2</v>
      </c>
      <c r="P219">
        <f>RAW_GAMES!N219</f>
        <v>0</v>
      </c>
      <c r="Q219">
        <f t="shared" si="21"/>
        <v>0</v>
      </c>
      <c r="R219" s="7">
        <f>RAW_GAMES!Q219</f>
        <v>6</v>
      </c>
      <c r="S219">
        <f>RAW_GAMES!P219</f>
        <v>1</v>
      </c>
      <c r="T219">
        <f t="shared" si="22"/>
        <v>0.83333333333333337</v>
      </c>
      <c r="U219">
        <f>_xlfn.XLOOKUP(C219,
  CALC_TEAMS_SEASON!B:B,
  CALC_TEAMS_SEASON!F:F)</f>
        <v>0.10089285714285713</v>
      </c>
      <c r="V219">
        <f>_xlfn.XLOOKUP(D219,
  CALC_TEAMS_SEASON!B:B,
  CALC_TEAMS_SEASON!F:F)</f>
        <v>0.14989316239316242</v>
      </c>
      <c r="W219" t="str">
        <f>RAW_GAMES!R219</f>
        <v>Čajan</v>
      </c>
      <c r="X219" s="7">
        <f>RAW_GAMES!S219</f>
        <v>37</v>
      </c>
      <c r="Y219">
        <f t="shared" si="23"/>
        <v>0</v>
      </c>
      <c r="Z219" t="str">
        <f>RAW_GAMES!V219</f>
        <v>RS</v>
      </c>
    </row>
    <row r="220" spans="1:26" x14ac:dyDescent="0.25">
      <c r="A220" t="str">
        <f>RAW_GAMES!A220</f>
        <v>25/26</v>
      </c>
      <c r="B220" s="3">
        <f>RAW_GAMES!B220</f>
        <v>45951</v>
      </c>
      <c r="C220" s="3" t="str">
        <f>RAW_GAMES!E220</f>
        <v>MHK</v>
      </c>
      <c r="D220" s="3" t="str">
        <f>RAW_GAMES!F220</f>
        <v>CEB</v>
      </c>
      <c r="E220" s="7">
        <f>RAW_GAMES!G220</f>
        <v>0</v>
      </c>
      <c r="F220">
        <f>RAW_GAMES!H220</f>
        <v>3</v>
      </c>
      <c r="G220">
        <f>RAW_GAMES!I220</f>
        <v>0</v>
      </c>
      <c r="H220">
        <f t="shared" si="18"/>
        <v>3</v>
      </c>
      <c r="I220">
        <f>RAW_GAMES!J220</f>
        <v>26</v>
      </c>
      <c r="J220">
        <f>RAW_GAMES!K220</f>
        <v>22</v>
      </c>
      <c r="K220">
        <f t="shared" si="19"/>
        <v>4</v>
      </c>
      <c r="L220" t="str">
        <f>IF(RAW_GAMES!L220="","",RAW_GAMES!L220)</f>
        <v/>
      </c>
      <c r="M220" t="str">
        <f>IF(RAW_GAMES!M220="","",RAW_GAMES!M220)</f>
        <v/>
      </c>
      <c r="N220" t="str">
        <f t="shared" si="20"/>
        <v/>
      </c>
      <c r="O220" s="7">
        <f>RAW_GAMES!O220</f>
        <v>3</v>
      </c>
      <c r="P220">
        <f>RAW_GAMES!N220</f>
        <v>0</v>
      </c>
      <c r="Q220">
        <f t="shared" si="21"/>
        <v>0</v>
      </c>
      <c r="R220" s="7">
        <f>RAW_GAMES!Q220</f>
        <v>2</v>
      </c>
      <c r="S220">
        <f>RAW_GAMES!P220</f>
        <v>0</v>
      </c>
      <c r="T220">
        <f t="shared" si="22"/>
        <v>1</v>
      </c>
      <c r="U220">
        <f>_xlfn.XLOOKUP(C220,
  CALC_TEAMS_SEASON!B:B,
  CALC_TEAMS_SEASON!F:F)</f>
        <v>0.14184981684981687</v>
      </c>
      <c r="V220">
        <f>_xlfn.XLOOKUP(D220,
  CALC_TEAMS_SEASON!B:B,
  CALC_TEAMS_SEASON!F:F)</f>
        <v>0.13021353646353648</v>
      </c>
      <c r="W220" t="str">
        <f>RAW_GAMES!R220</f>
        <v>Škorvánek</v>
      </c>
      <c r="X220" s="7">
        <f>RAW_GAMES!S220</f>
        <v>22</v>
      </c>
      <c r="Y220">
        <f t="shared" si="23"/>
        <v>1</v>
      </c>
      <c r="Z220" t="str">
        <f>RAW_GAMES!V220</f>
        <v>RS</v>
      </c>
    </row>
    <row r="221" spans="1:26" x14ac:dyDescent="0.25">
      <c r="A221" t="str">
        <f>RAW_GAMES!A221</f>
        <v>25/26</v>
      </c>
      <c r="B221" s="3">
        <f>RAW_GAMES!B221</f>
        <v>45951</v>
      </c>
      <c r="C221" s="3" t="str">
        <f>RAW_GAMES!E221</f>
        <v>OLO</v>
      </c>
      <c r="D221" s="3" t="str">
        <f>RAW_GAMES!F221</f>
        <v>LIT</v>
      </c>
      <c r="E221" s="7">
        <f>RAW_GAMES!G221</f>
        <v>1</v>
      </c>
      <c r="F221">
        <f>RAW_GAMES!H221</f>
        <v>3</v>
      </c>
      <c r="G221">
        <f>RAW_GAMES!I221</f>
        <v>2</v>
      </c>
      <c r="H221">
        <f t="shared" si="18"/>
        <v>1</v>
      </c>
      <c r="I221">
        <f>RAW_GAMES!J221</f>
        <v>40</v>
      </c>
      <c r="J221">
        <f>RAW_GAMES!K221</f>
        <v>30</v>
      </c>
      <c r="K221">
        <f t="shared" si="19"/>
        <v>10</v>
      </c>
      <c r="L221" t="str">
        <f>IF(RAW_GAMES!L221="","",RAW_GAMES!L221)</f>
        <v/>
      </c>
      <c r="M221" t="str">
        <f>IF(RAW_GAMES!M221="","",RAW_GAMES!M221)</f>
        <v/>
      </c>
      <c r="N221" t="str">
        <f t="shared" si="20"/>
        <v/>
      </c>
      <c r="O221" s="7">
        <f>RAW_GAMES!O221</f>
        <v>6</v>
      </c>
      <c r="P221">
        <f>RAW_GAMES!N221</f>
        <v>1</v>
      </c>
      <c r="Q221">
        <f t="shared" si="21"/>
        <v>0.16666666666666666</v>
      </c>
      <c r="R221" s="7">
        <f>RAW_GAMES!Q221</f>
        <v>2</v>
      </c>
      <c r="S221">
        <f>RAW_GAMES!P221</f>
        <v>0</v>
      </c>
      <c r="T221">
        <f t="shared" si="22"/>
        <v>1</v>
      </c>
      <c r="U221">
        <f>_xlfn.XLOOKUP(C221,
  CALC_TEAMS_SEASON!B:B,
  CALC_TEAMS_SEASON!F:F)</f>
        <v>0.14989316239316242</v>
      </c>
      <c r="V221">
        <f>_xlfn.XLOOKUP(D221,
  CALC_TEAMS_SEASON!B:B,
  CALC_TEAMS_SEASON!F:F)</f>
        <v>0.10089285714285713</v>
      </c>
      <c r="W221" t="str">
        <f>RAW_GAMES!R221</f>
        <v>Machovský</v>
      </c>
      <c r="X221" s="7">
        <f>RAW_GAMES!S221</f>
        <v>28</v>
      </c>
      <c r="Y221">
        <f t="shared" si="23"/>
        <v>1</v>
      </c>
      <c r="Z221" t="str">
        <f>RAW_GAMES!V221</f>
        <v>RS</v>
      </c>
    </row>
    <row r="222" spans="1:26" x14ac:dyDescent="0.25">
      <c r="A222" t="str">
        <f>RAW_GAMES!A222</f>
        <v>25/26</v>
      </c>
      <c r="B222" s="3">
        <f>RAW_GAMES!B222</f>
        <v>45952</v>
      </c>
      <c r="C222" s="3" t="str">
        <f>RAW_GAMES!E222</f>
        <v>SPA</v>
      </c>
      <c r="D222" s="3" t="str">
        <f>RAW_GAMES!F222</f>
        <v>VIT</v>
      </c>
      <c r="E222" s="7">
        <f>RAW_GAMES!G222</f>
        <v>1</v>
      </c>
      <c r="F222">
        <f>RAW_GAMES!H222</f>
        <v>5</v>
      </c>
      <c r="G222">
        <f>RAW_GAMES!I222</f>
        <v>4</v>
      </c>
      <c r="H222">
        <f t="shared" si="18"/>
        <v>1</v>
      </c>
      <c r="I222">
        <f>RAW_GAMES!J222</f>
        <v>30</v>
      </c>
      <c r="J222">
        <f>RAW_GAMES!K222</f>
        <v>40</v>
      </c>
      <c r="K222">
        <f t="shared" si="19"/>
        <v>-10</v>
      </c>
      <c r="L222">
        <f>IF(RAW_GAMES!L222="","",RAW_GAMES!L222)</f>
        <v>2.38</v>
      </c>
      <c r="M222">
        <f>IF(RAW_GAMES!M222="","",RAW_GAMES!M222)</f>
        <v>3.78</v>
      </c>
      <c r="N222">
        <f t="shared" si="20"/>
        <v>-1.4</v>
      </c>
      <c r="O222" s="7">
        <f>RAW_GAMES!O222</f>
        <v>4</v>
      </c>
      <c r="P222">
        <f>RAW_GAMES!N222</f>
        <v>1</v>
      </c>
      <c r="Q222">
        <f t="shared" si="21"/>
        <v>0.25</v>
      </c>
      <c r="R222" s="7">
        <f>RAW_GAMES!Q222</f>
        <v>4</v>
      </c>
      <c r="S222">
        <f>RAW_GAMES!P222</f>
        <v>1</v>
      </c>
      <c r="T222">
        <f t="shared" si="22"/>
        <v>0.75</v>
      </c>
      <c r="U222">
        <f>_xlfn.XLOOKUP(C222,
  CALC_TEAMS_SEASON!B:B,
  CALC_TEAMS_SEASON!F:F)</f>
        <v>0.22060439560439565</v>
      </c>
      <c r="V222">
        <f>_xlfn.XLOOKUP(D222,
  CALC_TEAMS_SEASON!B:B,
  CALC_TEAMS_SEASON!F:F)</f>
        <v>0.16984890109890113</v>
      </c>
      <c r="W222" t="str">
        <f>RAW_GAMES!R222</f>
        <v>Kovář</v>
      </c>
      <c r="X222" s="7">
        <f>RAW_GAMES!S222</f>
        <v>36</v>
      </c>
      <c r="Y222">
        <f t="shared" si="23"/>
        <v>1</v>
      </c>
      <c r="Z222" t="str">
        <f>RAW_GAMES!V222</f>
        <v>RS</v>
      </c>
    </row>
    <row r="223" spans="1:26" x14ac:dyDescent="0.25">
      <c r="A223" t="str">
        <f>RAW_GAMES!A223</f>
        <v>25/26</v>
      </c>
      <c r="B223" s="3">
        <f>RAW_GAMES!B223</f>
        <v>45952</v>
      </c>
      <c r="C223" s="3" t="str">
        <f>RAW_GAMES!E223</f>
        <v>VIT</v>
      </c>
      <c r="D223" s="3" t="str">
        <f>RAW_GAMES!F223</f>
        <v>SPA</v>
      </c>
      <c r="E223" s="7">
        <f>RAW_GAMES!G223</f>
        <v>0</v>
      </c>
      <c r="F223">
        <f>RAW_GAMES!H223</f>
        <v>4</v>
      </c>
      <c r="G223">
        <f>RAW_GAMES!I223</f>
        <v>5</v>
      </c>
      <c r="H223">
        <f t="shared" si="18"/>
        <v>-1</v>
      </c>
      <c r="I223">
        <f>RAW_GAMES!J223</f>
        <v>40</v>
      </c>
      <c r="J223">
        <f>RAW_GAMES!K223</f>
        <v>30</v>
      </c>
      <c r="K223">
        <f t="shared" si="19"/>
        <v>10</v>
      </c>
      <c r="L223">
        <f>IF(RAW_GAMES!L223="","",RAW_GAMES!L223)</f>
        <v>3.78</v>
      </c>
      <c r="M223">
        <f>IF(RAW_GAMES!M223="","",RAW_GAMES!M223)</f>
        <v>2.38</v>
      </c>
      <c r="N223">
        <f t="shared" si="20"/>
        <v>1.4</v>
      </c>
      <c r="O223" s="7">
        <f>RAW_GAMES!O223</f>
        <v>4</v>
      </c>
      <c r="P223">
        <f>RAW_GAMES!N223</f>
        <v>1</v>
      </c>
      <c r="Q223">
        <f t="shared" si="21"/>
        <v>0.25</v>
      </c>
      <c r="R223" s="7">
        <f>RAW_GAMES!Q223</f>
        <v>4</v>
      </c>
      <c r="S223">
        <f>RAW_GAMES!P223</f>
        <v>1</v>
      </c>
      <c r="T223">
        <f t="shared" si="22"/>
        <v>0.75</v>
      </c>
      <c r="U223">
        <f>_xlfn.XLOOKUP(C223,
  CALC_TEAMS_SEASON!B:B,
  CALC_TEAMS_SEASON!F:F)</f>
        <v>0.16984890109890113</v>
      </c>
      <c r="V223">
        <f>_xlfn.XLOOKUP(D223,
  CALC_TEAMS_SEASON!B:B,
  CALC_TEAMS_SEASON!F:F)</f>
        <v>0.22060439560439565</v>
      </c>
      <c r="W223" t="str">
        <f>RAW_GAMES!R223</f>
        <v>Hrachovina</v>
      </c>
      <c r="X223" s="7">
        <f>RAW_GAMES!S223</f>
        <v>31</v>
      </c>
      <c r="Y223">
        <f t="shared" si="23"/>
        <v>0</v>
      </c>
      <c r="Z223" t="str">
        <f>RAW_GAMES!V223</f>
        <v>RS</v>
      </c>
    </row>
    <row r="224" spans="1:26" x14ac:dyDescent="0.25">
      <c r="A224" t="str">
        <f>RAW_GAMES!A224</f>
        <v>25/26</v>
      </c>
      <c r="B224" s="3">
        <f>RAW_GAMES!B224</f>
        <v>45953</v>
      </c>
      <c r="C224" s="3" t="str">
        <f>RAW_GAMES!E224</f>
        <v>PCE</v>
      </c>
      <c r="D224" s="3" t="str">
        <f>RAW_GAMES!F224</f>
        <v>CEB</v>
      </c>
      <c r="E224" s="7">
        <f>RAW_GAMES!G224</f>
        <v>1</v>
      </c>
      <c r="F224">
        <f>RAW_GAMES!H224</f>
        <v>5</v>
      </c>
      <c r="G224">
        <f>RAW_GAMES!I224</f>
        <v>2</v>
      </c>
      <c r="H224">
        <f t="shared" si="18"/>
        <v>3</v>
      </c>
      <c r="I224">
        <f>RAW_GAMES!J224</f>
        <v>25</v>
      </c>
      <c r="J224">
        <f>RAW_GAMES!K224</f>
        <v>25</v>
      </c>
      <c r="K224">
        <f t="shared" si="19"/>
        <v>0</v>
      </c>
      <c r="L224">
        <f>IF(RAW_GAMES!L224="","",RAW_GAMES!L224)</f>
        <v>3.13</v>
      </c>
      <c r="M224">
        <f>IF(RAW_GAMES!M224="","",RAW_GAMES!M224)</f>
        <v>2.87</v>
      </c>
      <c r="N224">
        <f t="shared" si="20"/>
        <v>0.25999999999999979</v>
      </c>
      <c r="O224" s="7">
        <f>RAW_GAMES!O224</f>
        <v>4</v>
      </c>
      <c r="P224">
        <f>RAW_GAMES!N224</f>
        <v>1</v>
      </c>
      <c r="Q224">
        <f t="shared" si="21"/>
        <v>0.25</v>
      </c>
      <c r="R224" s="7">
        <f>RAW_GAMES!Q224</f>
        <v>5</v>
      </c>
      <c r="S224">
        <f>RAW_GAMES!P224</f>
        <v>1</v>
      </c>
      <c r="T224">
        <f t="shared" si="22"/>
        <v>0.8</v>
      </c>
      <c r="U224">
        <f>_xlfn.XLOOKUP(C224,
  CALC_TEAMS_SEASON!B:B,
  CALC_TEAMS_SEASON!F:F)</f>
        <v>0.20297619047619053</v>
      </c>
      <c r="V224">
        <f>_xlfn.XLOOKUP(D224,
  CALC_TEAMS_SEASON!B:B,
  CALC_TEAMS_SEASON!F:F)</f>
        <v>0.13021353646353648</v>
      </c>
      <c r="W224" t="str">
        <f>RAW_GAMES!R224</f>
        <v>Will</v>
      </c>
      <c r="X224" s="7">
        <f>RAW_GAMES!S224</f>
        <v>23</v>
      </c>
      <c r="Y224">
        <f t="shared" si="23"/>
        <v>1</v>
      </c>
      <c r="Z224" t="str">
        <f>RAW_GAMES!V224</f>
        <v>RS</v>
      </c>
    </row>
    <row r="225" spans="1:26" x14ac:dyDescent="0.25">
      <c r="A225" t="str">
        <f>RAW_GAMES!A225</f>
        <v>25/26</v>
      </c>
      <c r="B225" s="3">
        <f>RAW_GAMES!B225</f>
        <v>45953</v>
      </c>
      <c r="C225" s="3" t="str">
        <f>RAW_GAMES!E225</f>
        <v>CEB</v>
      </c>
      <c r="D225" s="3" t="str">
        <f>RAW_GAMES!F225</f>
        <v>PCE</v>
      </c>
      <c r="E225" s="7">
        <f>RAW_GAMES!G225</f>
        <v>0</v>
      </c>
      <c r="F225">
        <f>RAW_GAMES!H225</f>
        <v>2</v>
      </c>
      <c r="G225">
        <f>RAW_GAMES!I225</f>
        <v>5</v>
      </c>
      <c r="H225">
        <f t="shared" si="18"/>
        <v>-3</v>
      </c>
      <c r="I225">
        <f>RAW_GAMES!J225</f>
        <v>25</v>
      </c>
      <c r="J225">
        <f>RAW_GAMES!K225</f>
        <v>25</v>
      </c>
      <c r="K225">
        <f t="shared" si="19"/>
        <v>0</v>
      </c>
      <c r="L225">
        <f>IF(RAW_GAMES!L225="","",RAW_GAMES!L225)</f>
        <v>2.87</v>
      </c>
      <c r="M225">
        <f>IF(RAW_GAMES!M225="","",RAW_GAMES!M225)</f>
        <v>3.13</v>
      </c>
      <c r="N225">
        <f t="shared" si="20"/>
        <v>-0.25999999999999979</v>
      </c>
      <c r="O225" s="7">
        <f>RAW_GAMES!O225</f>
        <v>5</v>
      </c>
      <c r="P225">
        <f>RAW_GAMES!N225</f>
        <v>1</v>
      </c>
      <c r="Q225">
        <f t="shared" si="21"/>
        <v>0.2</v>
      </c>
      <c r="R225" s="7">
        <f>RAW_GAMES!Q225</f>
        <v>4</v>
      </c>
      <c r="S225">
        <f>RAW_GAMES!P225</f>
        <v>1</v>
      </c>
      <c r="T225">
        <f t="shared" si="22"/>
        <v>0.75</v>
      </c>
      <c r="U225">
        <f>_xlfn.XLOOKUP(C225,
  CALC_TEAMS_SEASON!B:B,
  CALC_TEAMS_SEASON!F:F)</f>
        <v>0.13021353646353648</v>
      </c>
      <c r="V225">
        <f>_xlfn.XLOOKUP(D225,
  CALC_TEAMS_SEASON!B:B,
  CALC_TEAMS_SEASON!F:F)</f>
        <v>0.20297619047619053</v>
      </c>
      <c r="W225" t="str">
        <f>RAW_GAMES!R225</f>
        <v>Strmeň</v>
      </c>
      <c r="X225" s="7">
        <f>RAW_GAMES!S225</f>
        <v>20</v>
      </c>
      <c r="Y225">
        <f t="shared" si="23"/>
        <v>0</v>
      </c>
      <c r="Z225" t="str">
        <f>RAW_GAMES!V225</f>
        <v>RS</v>
      </c>
    </row>
    <row r="226" spans="1:26" x14ac:dyDescent="0.25">
      <c r="A226" t="str">
        <f>RAW_GAMES!A226</f>
        <v>25/26</v>
      </c>
      <c r="B226" s="3">
        <f>RAW_GAMES!B226</f>
        <v>45954</v>
      </c>
      <c r="C226" s="3" t="str">
        <f>RAW_GAMES!E226</f>
        <v>TRI</v>
      </c>
      <c r="D226" s="3" t="str">
        <f>RAW_GAMES!F226</f>
        <v>MBL</v>
      </c>
      <c r="E226" s="7">
        <f>RAW_GAMES!G226</f>
        <v>1</v>
      </c>
      <c r="F226">
        <f>RAW_GAMES!H226</f>
        <v>2</v>
      </c>
      <c r="G226">
        <f>RAW_GAMES!I226</f>
        <v>1</v>
      </c>
      <c r="H226">
        <f t="shared" si="18"/>
        <v>1</v>
      </c>
      <c r="I226">
        <f>RAW_GAMES!J226</f>
        <v>43</v>
      </c>
      <c r="J226">
        <f>RAW_GAMES!K226</f>
        <v>22</v>
      </c>
      <c r="K226">
        <f t="shared" si="19"/>
        <v>21</v>
      </c>
      <c r="L226">
        <f>IF(RAW_GAMES!L226="","",RAW_GAMES!L226)</f>
        <v>3.8</v>
      </c>
      <c r="M226">
        <f>IF(RAW_GAMES!M226="","",RAW_GAMES!M226)</f>
        <v>1.49</v>
      </c>
      <c r="N226">
        <f t="shared" si="20"/>
        <v>2.3099999999999996</v>
      </c>
      <c r="O226" s="7">
        <f>RAW_GAMES!O226</f>
        <v>5</v>
      </c>
      <c r="P226">
        <f>RAW_GAMES!N226</f>
        <v>1</v>
      </c>
      <c r="Q226">
        <f t="shared" si="21"/>
        <v>0.2</v>
      </c>
      <c r="R226" s="7">
        <f>RAW_GAMES!Q226</f>
        <v>1</v>
      </c>
      <c r="S226">
        <f>RAW_GAMES!P226</f>
        <v>0</v>
      </c>
      <c r="T226">
        <f t="shared" si="22"/>
        <v>1</v>
      </c>
      <c r="U226">
        <f>_xlfn.XLOOKUP(C226,
  CALC_TEAMS_SEASON!B:B,
  CALC_TEAMS_SEASON!F:F)</f>
        <v>0.17437423687423692</v>
      </c>
      <c r="V226">
        <f>_xlfn.XLOOKUP(D226,
  CALC_TEAMS_SEASON!B:B,
  CALC_TEAMS_SEASON!F:F)</f>
        <v>0.11826923076923078</v>
      </c>
      <c r="W226" t="str">
        <f>RAW_GAMES!R226</f>
        <v>Mazanec</v>
      </c>
      <c r="X226" s="7">
        <f>RAW_GAMES!S226</f>
        <v>21</v>
      </c>
      <c r="Y226">
        <f t="shared" si="23"/>
        <v>1</v>
      </c>
      <c r="Z226" t="str">
        <f>RAW_GAMES!V226</f>
        <v>RS</v>
      </c>
    </row>
    <row r="227" spans="1:26" x14ac:dyDescent="0.25">
      <c r="A227" t="str">
        <f>RAW_GAMES!A227</f>
        <v>25/26</v>
      </c>
      <c r="B227" s="3">
        <f>RAW_GAMES!B227</f>
        <v>45954</v>
      </c>
      <c r="C227" s="3" t="str">
        <f>RAW_GAMES!E227</f>
        <v>SPA</v>
      </c>
      <c r="D227" s="3" t="str">
        <f>RAW_GAMES!F227</f>
        <v>KVA</v>
      </c>
      <c r="E227" s="7">
        <f>RAW_GAMES!G227</f>
        <v>0</v>
      </c>
      <c r="F227">
        <f>RAW_GAMES!H227</f>
        <v>3</v>
      </c>
      <c r="G227">
        <f>RAW_GAMES!I227</f>
        <v>4</v>
      </c>
      <c r="H227">
        <f t="shared" si="18"/>
        <v>-1</v>
      </c>
      <c r="I227">
        <f>RAW_GAMES!J227</f>
        <v>29</v>
      </c>
      <c r="J227">
        <f>RAW_GAMES!K227</f>
        <v>34</v>
      </c>
      <c r="K227">
        <f t="shared" si="19"/>
        <v>-5</v>
      </c>
      <c r="L227">
        <f>IF(RAW_GAMES!L227="","",RAW_GAMES!L227)</f>
        <v>3.27</v>
      </c>
      <c r="M227">
        <f>IF(RAW_GAMES!M227="","",RAW_GAMES!M227)</f>
        <v>3.98</v>
      </c>
      <c r="N227">
        <f t="shared" si="20"/>
        <v>-0.71</v>
      </c>
      <c r="O227" s="7">
        <f>RAW_GAMES!O227</f>
        <v>5</v>
      </c>
      <c r="P227">
        <f>RAW_GAMES!N227</f>
        <v>0</v>
      </c>
      <c r="Q227">
        <f t="shared" si="21"/>
        <v>0</v>
      </c>
      <c r="R227" s="7">
        <f>RAW_GAMES!Q227</f>
        <v>5</v>
      </c>
      <c r="S227">
        <f>RAW_GAMES!P227</f>
        <v>0</v>
      </c>
      <c r="T227">
        <f t="shared" si="22"/>
        <v>1</v>
      </c>
      <c r="U227">
        <f>_xlfn.XLOOKUP(C227,
  CALC_TEAMS_SEASON!B:B,
  CALC_TEAMS_SEASON!F:F)</f>
        <v>0.22060439560439565</v>
      </c>
      <c r="V227">
        <f>_xlfn.XLOOKUP(D227,
  CALC_TEAMS_SEASON!B:B,
  CALC_TEAMS_SEASON!F:F)</f>
        <v>0.17387057387057389</v>
      </c>
      <c r="W227" t="str">
        <f>RAW_GAMES!R227</f>
        <v>Kořenář</v>
      </c>
      <c r="X227" s="7">
        <f>RAW_GAMES!S227</f>
        <v>31</v>
      </c>
      <c r="Y227">
        <f t="shared" si="23"/>
        <v>0</v>
      </c>
      <c r="Z227" t="str">
        <f>RAW_GAMES!V227</f>
        <v>RS</v>
      </c>
    </row>
    <row r="228" spans="1:26" x14ac:dyDescent="0.25">
      <c r="A228" t="str">
        <f>RAW_GAMES!A228</f>
        <v>25/26</v>
      </c>
      <c r="B228" s="3">
        <f>RAW_GAMES!B228</f>
        <v>45954</v>
      </c>
      <c r="C228" s="3" t="str">
        <f>RAW_GAMES!E228</f>
        <v>KVA</v>
      </c>
      <c r="D228" s="3" t="str">
        <f>RAW_GAMES!F228</f>
        <v>SPA</v>
      </c>
      <c r="E228" s="7">
        <f>RAW_GAMES!G228</f>
        <v>1</v>
      </c>
      <c r="F228">
        <f>RAW_GAMES!H228</f>
        <v>4</v>
      </c>
      <c r="G228">
        <f>RAW_GAMES!I228</f>
        <v>3</v>
      </c>
      <c r="H228">
        <f t="shared" si="18"/>
        <v>1</v>
      </c>
      <c r="I228">
        <f>RAW_GAMES!J228</f>
        <v>34</v>
      </c>
      <c r="J228">
        <f>RAW_GAMES!K228</f>
        <v>29</v>
      </c>
      <c r="K228">
        <f t="shared" si="19"/>
        <v>5</v>
      </c>
      <c r="L228">
        <f>IF(RAW_GAMES!L228="","",RAW_GAMES!L228)</f>
        <v>3.98</v>
      </c>
      <c r="M228">
        <f>IF(RAW_GAMES!M228="","",RAW_GAMES!M228)</f>
        <v>3.27</v>
      </c>
      <c r="N228">
        <f t="shared" si="20"/>
        <v>0.71</v>
      </c>
      <c r="O228" s="7">
        <f>RAW_GAMES!O228</f>
        <v>5</v>
      </c>
      <c r="P228">
        <f>RAW_GAMES!N228</f>
        <v>0</v>
      </c>
      <c r="Q228">
        <f t="shared" si="21"/>
        <v>0</v>
      </c>
      <c r="R228" s="7">
        <f>RAW_GAMES!Q228</f>
        <v>5</v>
      </c>
      <c r="S228">
        <f>RAW_GAMES!P228</f>
        <v>0</v>
      </c>
      <c r="T228">
        <f t="shared" si="22"/>
        <v>1</v>
      </c>
      <c r="U228">
        <f>_xlfn.XLOOKUP(C228,
  CALC_TEAMS_SEASON!B:B,
  CALC_TEAMS_SEASON!F:F)</f>
        <v>0.17387057387057389</v>
      </c>
      <c r="V228">
        <f>_xlfn.XLOOKUP(D228,
  CALC_TEAMS_SEASON!B:B,
  CALC_TEAMS_SEASON!F:F)</f>
        <v>0.22060439560439565</v>
      </c>
      <c r="W228" t="str">
        <f>RAW_GAMES!R228</f>
        <v>Frodl</v>
      </c>
      <c r="X228" s="7">
        <f>RAW_GAMES!S228</f>
        <v>26</v>
      </c>
      <c r="Y228">
        <f t="shared" si="23"/>
        <v>1</v>
      </c>
      <c r="Z228" t="str">
        <f>RAW_GAMES!V228</f>
        <v>RS</v>
      </c>
    </row>
    <row r="229" spans="1:26" x14ac:dyDescent="0.25">
      <c r="A229" t="str">
        <f>RAW_GAMES!A229</f>
        <v>25/26</v>
      </c>
      <c r="B229" s="3">
        <f>RAW_GAMES!B229</f>
        <v>45954</v>
      </c>
      <c r="C229" s="3" t="str">
        <f>RAW_GAMES!E229</f>
        <v>KOM</v>
      </c>
      <c r="D229" s="3" t="str">
        <f>RAW_GAMES!F229</f>
        <v>VIT</v>
      </c>
      <c r="E229" s="7">
        <f>RAW_GAMES!G229</f>
        <v>1</v>
      </c>
      <c r="F229">
        <f>RAW_GAMES!H229</f>
        <v>4</v>
      </c>
      <c r="G229">
        <f>RAW_GAMES!I229</f>
        <v>1</v>
      </c>
      <c r="H229">
        <f t="shared" si="18"/>
        <v>3</v>
      </c>
      <c r="I229">
        <f>RAW_GAMES!J229</f>
        <v>31</v>
      </c>
      <c r="J229">
        <f>RAW_GAMES!K229</f>
        <v>28</v>
      </c>
      <c r="K229">
        <f t="shared" si="19"/>
        <v>3</v>
      </c>
      <c r="L229">
        <f>IF(RAW_GAMES!L229="","",RAW_GAMES!L229)</f>
        <v>3.2</v>
      </c>
      <c r="M229">
        <f>IF(RAW_GAMES!M229="","",RAW_GAMES!M229)</f>
        <v>2.31</v>
      </c>
      <c r="N229">
        <f t="shared" si="20"/>
        <v>0.89000000000000012</v>
      </c>
      <c r="O229" s="7">
        <f>RAW_GAMES!O229</f>
        <v>5</v>
      </c>
      <c r="P229">
        <f>RAW_GAMES!N229</f>
        <v>2</v>
      </c>
      <c r="Q229">
        <f t="shared" si="21"/>
        <v>0.4</v>
      </c>
      <c r="R229" s="7">
        <f>RAW_GAMES!Q229</f>
        <v>3</v>
      </c>
      <c r="S229">
        <f>RAW_GAMES!P229</f>
        <v>0</v>
      </c>
      <c r="T229">
        <f t="shared" si="22"/>
        <v>1</v>
      </c>
      <c r="U229">
        <f>_xlfn.XLOOKUP(C229,
  CALC_TEAMS_SEASON!B:B,
  CALC_TEAMS_SEASON!F:F)</f>
        <v>0.14358974358974358</v>
      </c>
      <c r="V229">
        <f>_xlfn.XLOOKUP(D229,
  CALC_TEAMS_SEASON!B:B,
  CALC_TEAMS_SEASON!F:F)</f>
        <v>0.16984890109890113</v>
      </c>
      <c r="W229" t="str">
        <f>RAW_GAMES!R229</f>
        <v>Stezka</v>
      </c>
      <c r="X229" s="7">
        <f>RAW_GAMES!S229</f>
        <v>27</v>
      </c>
      <c r="Y229">
        <f t="shared" si="23"/>
        <v>1</v>
      </c>
      <c r="Z229" t="str">
        <f>RAW_GAMES!V229</f>
        <v>RS</v>
      </c>
    </row>
    <row r="230" spans="1:26" x14ac:dyDescent="0.25">
      <c r="A230" t="str">
        <f>RAW_GAMES!A230</f>
        <v>25/26</v>
      </c>
      <c r="B230" s="3">
        <f>RAW_GAMES!B230</f>
        <v>45954</v>
      </c>
      <c r="C230" s="3" t="str">
        <f>RAW_GAMES!E230</f>
        <v>KLA</v>
      </c>
      <c r="D230" s="3" t="str">
        <f>RAW_GAMES!F230</f>
        <v>OLO</v>
      </c>
      <c r="E230" s="7">
        <f>RAW_GAMES!G230</f>
        <v>1</v>
      </c>
      <c r="F230">
        <f>RAW_GAMES!H230</f>
        <v>3</v>
      </c>
      <c r="G230">
        <f>RAW_GAMES!I230</f>
        <v>2</v>
      </c>
      <c r="H230">
        <f t="shared" si="18"/>
        <v>1</v>
      </c>
      <c r="I230">
        <f>RAW_GAMES!J230</f>
        <v>29</v>
      </c>
      <c r="J230">
        <f>RAW_GAMES!K230</f>
        <v>20</v>
      </c>
      <c r="K230">
        <f t="shared" si="19"/>
        <v>9</v>
      </c>
      <c r="L230" t="str">
        <f>IF(RAW_GAMES!L230="","",RAW_GAMES!L230)</f>
        <v/>
      </c>
      <c r="M230" t="str">
        <f>IF(RAW_GAMES!M230="","",RAW_GAMES!M230)</f>
        <v/>
      </c>
      <c r="N230" t="str">
        <f t="shared" si="20"/>
        <v/>
      </c>
      <c r="O230" s="7">
        <f>RAW_GAMES!O230</f>
        <v>5</v>
      </c>
      <c r="P230">
        <f>RAW_GAMES!N230</f>
        <v>1</v>
      </c>
      <c r="Q230">
        <f t="shared" si="21"/>
        <v>0.2</v>
      </c>
      <c r="R230" s="7">
        <f>RAW_GAMES!Q230</f>
        <v>6</v>
      </c>
      <c r="S230">
        <f>RAW_GAMES!P230</f>
        <v>1</v>
      </c>
      <c r="T230">
        <f t="shared" si="22"/>
        <v>0.83333333333333337</v>
      </c>
      <c r="U230">
        <f>_xlfn.XLOOKUP(C230,
  CALC_TEAMS_SEASON!B:B,
  CALC_TEAMS_SEASON!F:F)</f>
        <v>0.13120421245421243</v>
      </c>
      <c r="V230">
        <f>_xlfn.XLOOKUP(D230,
  CALC_TEAMS_SEASON!B:B,
  CALC_TEAMS_SEASON!F:F)</f>
        <v>0.14989316239316242</v>
      </c>
      <c r="W230" t="str">
        <f>RAW_GAMES!R230</f>
        <v>Dansk</v>
      </c>
      <c r="X230" s="7">
        <f>RAW_GAMES!S230</f>
        <v>18</v>
      </c>
      <c r="Y230">
        <f t="shared" si="23"/>
        <v>1</v>
      </c>
      <c r="Z230" t="str">
        <f>RAW_GAMES!V230</f>
        <v>RS</v>
      </c>
    </row>
    <row r="231" spans="1:26" x14ac:dyDescent="0.25">
      <c r="A231" t="str">
        <f>RAW_GAMES!A231</f>
        <v>25/26</v>
      </c>
      <c r="B231" s="3">
        <f>RAW_GAMES!B231</f>
        <v>45954</v>
      </c>
      <c r="C231" s="3" t="str">
        <f>RAW_GAMES!E231</f>
        <v>LIB</v>
      </c>
      <c r="D231" s="3" t="str">
        <f>RAW_GAMES!F231</f>
        <v>LIT</v>
      </c>
      <c r="E231" s="7">
        <f>RAW_GAMES!G231</f>
        <v>0</v>
      </c>
      <c r="F231">
        <f>RAW_GAMES!H231</f>
        <v>3</v>
      </c>
      <c r="G231">
        <f>RAW_GAMES!I231</f>
        <v>4</v>
      </c>
      <c r="H231">
        <f t="shared" si="18"/>
        <v>-1</v>
      </c>
      <c r="I231">
        <f>RAW_GAMES!J231</f>
        <v>26</v>
      </c>
      <c r="J231">
        <f>RAW_GAMES!K231</f>
        <v>30</v>
      </c>
      <c r="K231">
        <f t="shared" si="19"/>
        <v>-4</v>
      </c>
      <c r="L231" t="str">
        <f>IF(RAW_GAMES!L231="","",RAW_GAMES!L231)</f>
        <v/>
      </c>
      <c r="M231" t="str">
        <f>IF(RAW_GAMES!M231="","",RAW_GAMES!M231)</f>
        <v/>
      </c>
      <c r="N231" t="str">
        <f t="shared" si="20"/>
        <v/>
      </c>
      <c r="O231" s="7">
        <f>RAW_GAMES!O231</f>
        <v>5</v>
      </c>
      <c r="P231">
        <f>RAW_GAMES!N231</f>
        <v>0</v>
      </c>
      <c r="Q231">
        <f t="shared" si="21"/>
        <v>0</v>
      </c>
      <c r="R231" s="7">
        <f>RAW_GAMES!Q231</f>
        <v>7</v>
      </c>
      <c r="S231">
        <f>RAW_GAMES!P231</f>
        <v>3</v>
      </c>
      <c r="T231">
        <f t="shared" si="22"/>
        <v>0.5714285714285714</v>
      </c>
      <c r="U231">
        <f>_xlfn.XLOOKUP(C231,
  CALC_TEAMS_SEASON!B:B,
  CALC_TEAMS_SEASON!F:F)</f>
        <v>0.14377289377289379</v>
      </c>
      <c r="V231">
        <f>_xlfn.XLOOKUP(D231,
  CALC_TEAMS_SEASON!B:B,
  CALC_TEAMS_SEASON!F:F)</f>
        <v>0.10089285714285713</v>
      </c>
      <c r="W231" t="str">
        <f>RAW_GAMES!R231</f>
        <v>Kváča</v>
      </c>
      <c r="X231" s="7">
        <f>RAW_GAMES!S231</f>
        <v>26</v>
      </c>
      <c r="Y231">
        <f t="shared" si="23"/>
        <v>0</v>
      </c>
      <c r="Z231" t="str">
        <f>RAW_GAMES!V231</f>
        <v>RS</v>
      </c>
    </row>
    <row r="232" spans="1:26" x14ac:dyDescent="0.25">
      <c r="A232" t="str">
        <f>RAW_GAMES!A232</f>
        <v>25/26</v>
      </c>
      <c r="B232" s="3">
        <f>RAW_GAMES!B232</f>
        <v>45954</v>
      </c>
      <c r="C232" s="3" t="str">
        <f>RAW_GAMES!E232</f>
        <v>LIT</v>
      </c>
      <c r="D232" s="3" t="str">
        <f>RAW_GAMES!F232</f>
        <v>LIB</v>
      </c>
      <c r="E232" s="7">
        <f>RAW_GAMES!G232</f>
        <v>1</v>
      </c>
      <c r="F232">
        <f>RAW_GAMES!H232</f>
        <v>4</v>
      </c>
      <c r="G232">
        <f>RAW_GAMES!I232</f>
        <v>3</v>
      </c>
      <c r="H232">
        <f t="shared" si="18"/>
        <v>1</v>
      </c>
      <c r="I232">
        <f>RAW_GAMES!J232</f>
        <v>30</v>
      </c>
      <c r="J232">
        <f>RAW_GAMES!K232</f>
        <v>26</v>
      </c>
      <c r="K232">
        <f t="shared" si="19"/>
        <v>4</v>
      </c>
      <c r="L232" t="str">
        <f>IF(RAW_GAMES!L232="","",RAW_GAMES!L232)</f>
        <v/>
      </c>
      <c r="M232" t="str">
        <f>IF(RAW_GAMES!M232="","",RAW_GAMES!M232)</f>
        <v/>
      </c>
      <c r="N232" t="str">
        <f t="shared" si="20"/>
        <v/>
      </c>
      <c r="O232" s="7">
        <f>RAW_GAMES!O232</f>
        <v>7</v>
      </c>
      <c r="P232">
        <f>RAW_GAMES!N232</f>
        <v>3</v>
      </c>
      <c r="Q232">
        <f t="shared" si="21"/>
        <v>0.42857142857142855</v>
      </c>
      <c r="R232" s="7">
        <f>RAW_GAMES!Q232</f>
        <v>5</v>
      </c>
      <c r="S232">
        <f>RAW_GAMES!P232</f>
        <v>0</v>
      </c>
      <c r="T232">
        <f t="shared" si="22"/>
        <v>1</v>
      </c>
      <c r="U232">
        <f>_xlfn.XLOOKUP(C232,
  CALC_TEAMS_SEASON!B:B,
  CALC_TEAMS_SEASON!F:F)</f>
        <v>0.10089285714285713</v>
      </c>
      <c r="V232">
        <f>_xlfn.XLOOKUP(D232,
  CALC_TEAMS_SEASON!B:B,
  CALC_TEAMS_SEASON!F:F)</f>
        <v>0.14377289377289379</v>
      </c>
      <c r="W232" t="str">
        <f>RAW_GAMES!R232</f>
        <v>Tomek</v>
      </c>
      <c r="X232" s="7">
        <f>RAW_GAMES!S232</f>
        <v>23</v>
      </c>
      <c r="Y232">
        <f t="shared" si="23"/>
        <v>1</v>
      </c>
      <c r="Z232" t="str">
        <f>RAW_GAMES!V232</f>
        <v>RS</v>
      </c>
    </row>
    <row r="233" spans="1:26" x14ac:dyDescent="0.25">
      <c r="A233" t="str">
        <f>RAW_GAMES!A233</f>
        <v>25/26</v>
      </c>
      <c r="B233" s="3">
        <f>RAW_GAMES!B233</f>
        <v>45954</v>
      </c>
      <c r="C233" s="3" t="str">
        <f>RAW_GAMES!E233</f>
        <v>MBL</v>
      </c>
      <c r="D233" s="3" t="str">
        <f>RAW_GAMES!F233</f>
        <v>TRI</v>
      </c>
      <c r="E233" s="7">
        <f>RAW_GAMES!G233</f>
        <v>0</v>
      </c>
      <c r="F233">
        <f>RAW_GAMES!H233</f>
        <v>1</v>
      </c>
      <c r="G233">
        <f>RAW_GAMES!I233</f>
        <v>2</v>
      </c>
      <c r="H233">
        <f t="shared" si="18"/>
        <v>-1</v>
      </c>
      <c r="I233">
        <f>RAW_GAMES!J233</f>
        <v>22</v>
      </c>
      <c r="J233">
        <f>RAW_GAMES!K233</f>
        <v>43</v>
      </c>
      <c r="K233">
        <f t="shared" si="19"/>
        <v>-21</v>
      </c>
      <c r="L233">
        <f>IF(RAW_GAMES!L233="","",RAW_GAMES!L233)</f>
        <v>1.49</v>
      </c>
      <c r="M233">
        <f>IF(RAW_GAMES!M233="","",RAW_GAMES!M233)</f>
        <v>3.8</v>
      </c>
      <c r="N233">
        <f t="shared" si="20"/>
        <v>-2.3099999999999996</v>
      </c>
      <c r="O233" s="7">
        <f>RAW_GAMES!O233</f>
        <v>1</v>
      </c>
      <c r="P233">
        <f>RAW_GAMES!N233</f>
        <v>0</v>
      </c>
      <c r="Q233">
        <f t="shared" si="21"/>
        <v>0</v>
      </c>
      <c r="R233" s="7">
        <f>RAW_GAMES!Q233</f>
        <v>5</v>
      </c>
      <c r="S233">
        <f>RAW_GAMES!P233</f>
        <v>1</v>
      </c>
      <c r="T233">
        <f t="shared" si="22"/>
        <v>0.8</v>
      </c>
      <c r="U233">
        <f>_xlfn.XLOOKUP(C233,
  CALC_TEAMS_SEASON!B:B,
  CALC_TEAMS_SEASON!F:F)</f>
        <v>0.11826923076923078</v>
      </c>
      <c r="V233">
        <f>_xlfn.XLOOKUP(D233,
  CALC_TEAMS_SEASON!B:B,
  CALC_TEAMS_SEASON!F:F)</f>
        <v>0.17437423687423692</v>
      </c>
      <c r="W233" t="str">
        <f>RAW_GAMES!R233</f>
        <v>Mokry</v>
      </c>
      <c r="X233" s="7">
        <f>RAW_GAMES!S233</f>
        <v>41</v>
      </c>
      <c r="Y233">
        <f t="shared" si="23"/>
        <v>0</v>
      </c>
      <c r="Z233" t="str">
        <f>RAW_GAMES!V233</f>
        <v>RS</v>
      </c>
    </row>
    <row r="234" spans="1:26" x14ac:dyDescent="0.25">
      <c r="A234" t="str">
        <f>RAW_GAMES!A234</f>
        <v>25/26</v>
      </c>
      <c r="B234" s="3">
        <f>RAW_GAMES!B234</f>
        <v>45954</v>
      </c>
      <c r="C234" s="3" t="str">
        <f>RAW_GAMES!E234</f>
        <v>MHK</v>
      </c>
      <c r="D234" s="3" t="str">
        <f>RAW_GAMES!F234</f>
        <v>PLZ</v>
      </c>
      <c r="E234" s="7">
        <f>RAW_GAMES!G234</f>
        <v>0</v>
      </c>
      <c r="F234">
        <f>RAW_GAMES!H234</f>
        <v>3</v>
      </c>
      <c r="G234">
        <f>RAW_GAMES!I234</f>
        <v>2</v>
      </c>
      <c r="H234">
        <f t="shared" si="18"/>
        <v>1</v>
      </c>
      <c r="I234">
        <f>RAW_GAMES!J234</f>
        <v>20</v>
      </c>
      <c r="J234">
        <f>RAW_GAMES!K234</f>
        <v>34</v>
      </c>
      <c r="K234">
        <f t="shared" si="19"/>
        <v>-14</v>
      </c>
      <c r="L234" t="str">
        <f>IF(RAW_GAMES!L234="","",RAW_GAMES!L234)</f>
        <v/>
      </c>
      <c r="M234" t="str">
        <f>IF(RAW_GAMES!M234="","",RAW_GAMES!M234)</f>
        <v/>
      </c>
      <c r="N234" t="str">
        <f t="shared" si="20"/>
        <v/>
      </c>
      <c r="O234" s="7">
        <f>RAW_GAMES!O234</f>
        <v>4</v>
      </c>
      <c r="P234">
        <f>RAW_GAMES!N234</f>
        <v>1</v>
      </c>
      <c r="Q234">
        <f t="shared" si="21"/>
        <v>0.25</v>
      </c>
      <c r="R234" s="7">
        <f>RAW_GAMES!Q234</f>
        <v>4</v>
      </c>
      <c r="S234">
        <f>RAW_GAMES!P234</f>
        <v>0</v>
      </c>
      <c r="T234">
        <f t="shared" si="22"/>
        <v>1</v>
      </c>
      <c r="U234">
        <f>_xlfn.XLOOKUP(C234,
  CALC_TEAMS_SEASON!B:B,
  CALC_TEAMS_SEASON!F:F)</f>
        <v>0.14184981684981687</v>
      </c>
      <c r="V234">
        <f>_xlfn.XLOOKUP(D234,
  CALC_TEAMS_SEASON!B:B,
  CALC_TEAMS_SEASON!F:F)</f>
        <v>0.17641178266178262</v>
      </c>
      <c r="W234" t="str">
        <f>RAW_GAMES!R234</f>
        <v>Škorvánek</v>
      </c>
      <c r="X234" s="7">
        <f>RAW_GAMES!S234</f>
        <v>32</v>
      </c>
      <c r="Y234">
        <f t="shared" si="23"/>
        <v>1</v>
      </c>
      <c r="Z234" t="str">
        <f>RAW_GAMES!V234</f>
        <v>RS</v>
      </c>
    </row>
    <row r="235" spans="1:26" x14ac:dyDescent="0.25">
      <c r="A235" t="str">
        <f>RAW_GAMES!A235</f>
        <v>25/26</v>
      </c>
      <c r="B235" s="3">
        <f>RAW_GAMES!B235</f>
        <v>45954</v>
      </c>
      <c r="C235" s="3" t="str">
        <f>RAW_GAMES!E235</f>
        <v>OLO</v>
      </c>
      <c r="D235" s="3" t="str">
        <f>RAW_GAMES!F235</f>
        <v>KLA</v>
      </c>
      <c r="E235" s="7">
        <f>RAW_GAMES!G235</f>
        <v>0</v>
      </c>
      <c r="F235">
        <f>RAW_GAMES!H235</f>
        <v>2</v>
      </c>
      <c r="G235">
        <f>RAW_GAMES!I235</f>
        <v>3</v>
      </c>
      <c r="H235">
        <f t="shared" si="18"/>
        <v>-1</v>
      </c>
      <c r="I235">
        <f>RAW_GAMES!J235</f>
        <v>20</v>
      </c>
      <c r="J235">
        <f>RAW_GAMES!K235</f>
        <v>29</v>
      </c>
      <c r="K235">
        <f t="shared" si="19"/>
        <v>-9</v>
      </c>
      <c r="L235" t="str">
        <f>IF(RAW_GAMES!L235="","",RAW_GAMES!L235)</f>
        <v/>
      </c>
      <c r="M235" t="str">
        <f>IF(RAW_GAMES!M235="","",RAW_GAMES!M235)</f>
        <v/>
      </c>
      <c r="N235" t="str">
        <f t="shared" si="20"/>
        <v/>
      </c>
      <c r="O235" s="7">
        <f>RAW_GAMES!O235</f>
        <v>6</v>
      </c>
      <c r="P235">
        <f>RAW_GAMES!N235</f>
        <v>1</v>
      </c>
      <c r="Q235">
        <f t="shared" si="21"/>
        <v>0.16666666666666666</v>
      </c>
      <c r="R235" s="7">
        <f>RAW_GAMES!Q235</f>
        <v>5</v>
      </c>
      <c r="S235">
        <f>RAW_GAMES!P235</f>
        <v>1</v>
      </c>
      <c r="T235">
        <f t="shared" si="22"/>
        <v>0.8</v>
      </c>
      <c r="U235">
        <f>_xlfn.XLOOKUP(C235,
  CALC_TEAMS_SEASON!B:B,
  CALC_TEAMS_SEASON!F:F)</f>
        <v>0.14989316239316242</v>
      </c>
      <c r="V235">
        <f>_xlfn.XLOOKUP(D235,
  CALC_TEAMS_SEASON!B:B,
  CALC_TEAMS_SEASON!F:F)</f>
        <v>0.13120421245421243</v>
      </c>
      <c r="W235" t="str">
        <f>RAW_GAMES!R235</f>
        <v>Machovský</v>
      </c>
      <c r="X235" s="7">
        <f>RAW_GAMES!S235</f>
        <v>26</v>
      </c>
      <c r="Y235">
        <f t="shared" si="23"/>
        <v>0</v>
      </c>
      <c r="Z235" t="str">
        <f>RAW_GAMES!V235</f>
        <v>RS</v>
      </c>
    </row>
    <row r="236" spans="1:26" x14ac:dyDescent="0.25">
      <c r="A236" t="str">
        <f>RAW_GAMES!A236</f>
        <v>25/26</v>
      </c>
      <c r="B236" s="3">
        <f>RAW_GAMES!B236</f>
        <v>45954</v>
      </c>
      <c r="C236" s="3" t="str">
        <f>RAW_GAMES!E236</f>
        <v>PLZ</v>
      </c>
      <c r="D236" s="3" t="str">
        <f>RAW_GAMES!F236</f>
        <v>MHK</v>
      </c>
      <c r="E236" s="7">
        <f>RAW_GAMES!G236</f>
        <v>1</v>
      </c>
      <c r="F236">
        <f>RAW_GAMES!H236</f>
        <v>2</v>
      </c>
      <c r="G236">
        <f>RAW_GAMES!I236</f>
        <v>3</v>
      </c>
      <c r="H236">
        <f t="shared" si="18"/>
        <v>-1</v>
      </c>
      <c r="I236">
        <f>RAW_GAMES!J236</f>
        <v>34</v>
      </c>
      <c r="J236">
        <f>RAW_GAMES!K236</f>
        <v>20</v>
      </c>
      <c r="K236">
        <f t="shared" si="19"/>
        <v>14</v>
      </c>
      <c r="L236" t="str">
        <f>IF(RAW_GAMES!L236="","",RAW_GAMES!L236)</f>
        <v/>
      </c>
      <c r="M236" t="str">
        <f>IF(RAW_GAMES!M236="","",RAW_GAMES!M236)</f>
        <v/>
      </c>
      <c r="N236" t="str">
        <f t="shared" si="20"/>
        <v/>
      </c>
      <c r="O236" s="7">
        <f>RAW_GAMES!O236</f>
        <v>4</v>
      </c>
      <c r="P236">
        <f>RAW_GAMES!N236</f>
        <v>0</v>
      </c>
      <c r="Q236">
        <f t="shared" si="21"/>
        <v>0</v>
      </c>
      <c r="R236" s="7">
        <f>RAW_GAMES!Q236</f>
        <v>4</v>
      </c>
      <c r="S236">
        <f>RAW_GAMES!P236</f>
        <v>1</v>
      </c>
      <c r="T236">
        <f t="shared" si="22"/>
        <v>0.75</v>
      </c>
      <c r="U236">
        <f>_xlfn.XLOOKUP(C236,
  CALC_TEAMS_SEASON!B:B,
  CALC_TEAMS_SEASON!F:F)</f>
        <v>0.17641178266178262</v>
      </c>
      <c r="V236">
        <f>_xlfn.XLOOKUP(D236,
  CALC_TEAMS_SEASON!B:B,
  CALC_TEAMS_SEASON!F:F)</f>
        <v>0.14184981684981687</v>
      </c>
      <c r="W236" t="str">
        <f>RAW_GAMES!R236</f>
        <v>Malík</v>
      </c>
      <c r="X236" s="7">
        <f>RAW_GAMES!S236</f>
        <v>17</v>
      </c>
      <c r="Y236">
        <f t="shared" si="23"/>
        <v>0</v>
      </c>
      <c r="Z236" t="str">
        <f>RAW_GAMES!V236</f>
        <v>RS</v>
      </c>
    </row>
    <row r="237" spans="1:26" x14ac:dyDescent="0.25">
      <c r="A237" t="str">
        <f>RAW_GAMES!A237</f>
        <v>25/26</v>
      </c>
      <c r="B237" s="3">
        <f>RAW_GAMES!B237</f>
        <v>45954</v>
      </c>
      <c r="C237" s="3" t="str">
        <f>RAW_GAMES!E237</f>
        <v>VIT</v>
      </c>
      <c r="D237" s="3" t="str">
        <f>RAW_GAMES!F237</f>
        <v>KOM</v>
      </c>
      <c r="E237" s="7">
        <f>RAW_GAMES!G237</f>
        <v>0</v>
      </c>
      <c r="F237">
        <f>RAW_GAMES!H237</f>
        <v>1</v>
      </c>
      <c r="G237">
        <f>RAW_GAMES!I237</f>
        <v>4</v>
      </c>
      <c r="H237">
        <f t="shared" si="18"/>
        <v>-3</v>
      </c>
      <c r="I237">
        <f>RAW_GAMES!J237</f>
        <v>28</v>
      </c>
      <c r="J237">
        <f>RAW_GAMES!K237</f>
        <v>31</v>
      </c>
      <c r="K237">
        <f t="shared" si="19"/>
        <v>-3</v>
      </c>
      <c r="L237">
        <f>IF(RAW_GAMES!L237="","",RAW_GAMES!L237)</f>
        <v>2.31</v>
      </c>
      <c r="M237">
        <f>IF(RAW_GAMES!M237="","",RAW_GAMES!M237)</f>
        <v>3.2</v>
      </c>
      <c r="N237">
        <f t="shared" si="20"/>
        <v>-0.89000000000000012</v>
      </c>
      <c r="O237" s="7">
        <f>RAW_GAMES!O237</f>
        <v>3</v>
      </c>
      <c r="P237">
        <f>RAW_GAMES!N237</f>
        <v>0</v>
      </c>
      <c r="Q237">
        <f t="shared" si="21"/>
        <v>0</v>
      </c>
      <c r="R237" s="7">
        <f>RAW_GAMES!Q237</f>
        <v>5</v>
      </c>
      <c r="S237">
        <f>RAW_GAMES!P237</f>
        <v>2</v>
      </c>
      <c r="T237">
        <f t="shared" si="22"/>
        <v>0.6</v>
      </c>
      <c r="U237">
        <f>_xlfn.XLOOKUP(C237,
  CALC_TEAMS_SEASON!B:B,
  CALC_TEAMS_SEASON!F:F)</f>
        <v>0.16984890109890113</v>
      </c>
      <c r="V237">
        <f>_xlfn.XLOOKUP(D237,
  CALC_TEAMS_SEASON!B:B,
  CALC_TEAMS_SEASON!F:F)</f>
        <v>0.14358974358974358</v>
      </c>
      <c r="W237" t="str">
        <f>RAW_GAMES!R237</f>
        <v>Hrachovina</v>
      </c>
      <c r="X237" s="7">
        <f>RAW_GAMES!S237</f>
        <v>27</v>
      </c>
      <c r="Y237">
        <f t="shared" si="23"/>
        <v>0</v>
      </c>
      <c r="Z237" t="str">
        <f>RAW_GAMES!V237</f>
        <v>RS</v>
      </c>
    </row>
    <row r="238" spans="1:26" x14ac:dyDescent="0.25">
      <c r="A238" t="str">
        <f>RAW_GAMES!A238</f>
        <v>25/26</v>
      </c>
      <c r="B238" s="3">
        <f>RAW_GAMES!B238</f>
        <v>45956</v>
      </c>
      <c r="C238" s="3" t="str">
        <f>RAW_GAMES!E238</f>
        <v>PCE</v>
      </c>
      <c r="D238" s="3" t="str">
        <f>RAW_GAMES!F238</f>
        <v>OLO</v>
      </c>
      <c r="E238" s="7">
        <f>RAW_GAMES!G238</f>
        <v>0</v>
      </c>
      <c r="F238">
        <f>RAW_GAMES!H238</f>
        <v>1</v>
      </c>
      <c r="G238">
        <f>RAW_GAMES!I238</f>
        <v>2</v>
      </c>
      <c r="H238">
        <f t="shared" si="18"/>
        <v>-1</v>
      </c>
      <c r="I238">
        <f>RAW_GAMES!J238</f>
        <v>44</v>
      </c>
      <c r="J238">
        <f>RAW_GAMES!K238</f>
        <v>17</v>
      </c>
      <c r="K238">
        <f t="shared" si="19"/>
        <v>27</v>
      </c>
      <c r="L238">
        <f>IF(RAW_GAMES!L238="","",RAW_GAMES!L238)</f>
        <v>3.5</v>
      </c>
      <c r="M238">
        <f>IF(RAW_GAMES!M238="","",RAW_GAMES!M238)</f>
        <v>1.59</v>
      </c>
      <c r="N238">
        <f t="shared" si="20"/>
        <v>1.91</v>
      </c>
      <c r="O238" s="7">
        <f>RAW_GAMES!O238</f>
        <v>7</v>
      </c>
      <c r="P238">
        <f>RAW_GAMES!N238</f>
        <v>0</v>
      </c>
      <c r="Q238">
        <f t="shared" si="21"/>
        <v>0</v>
      </c>
      <c r="R238" s="7">
        <f>RAW_GAMES!Q238</f>
        <v>9</v>
      </c>
      <c r="S238">
        <f>RAW_GAMES!P238</f>
        <v>2</v>
      </c>
      <c r="T238">
        <f t="shared" si="22"/>
        <v>0.77777777777777779</v>
      </c>
      <c r="U238">
        <f>_xlfn.XLOOKUP(C238,
  CALC_TEAMS_SEASON!B:B,
  CALC_TEAMS_SEASON!F:F)</f>
        <v>0.20297619047619053</v>
      </c>
      <c r="V238">
        <f>_xlfn.XLOOKUP(D238,
  CALC_TEAMS_SEASON!B:B,
  CALC_TEAMS_SEASON!F:F)</f>
        <v>0.14989316239316242</v>
      </c>
      <c r="W238" t="str">
        <f>RAW_GAMES!R238</f>
        <v>Will</v>
      </c>
      <c r="X238" s="7">
        <f>RAW_GAMES!S238</f>
        <v>15</v>
      </c>
      <c r="Y238">
        <f t="shared" si="23"/>
        <v>0</v>
      </c>
      <c r="Z238" t="str">
        <f>RAW_GAMES!V238</f>
        <v>RS</v>
      </c>
    </row>
    <row r="239" spans="1:26" x14ac:dyDescent="0.25">
      <c r="A239" t="str">
        <f>RAW_GAMES!A239</f>
        <v>25/26</v>
      </c>
      <c r="B239" s="3">
        <f>RAW_GAMES!B239</f>
        <v>45956</v>
      </c>
      <c r="C239" s="3" t="str">
        <f>RAW_GAMES!E239</f>
        <v>TRI</v>
      </c>
      <c r="D239" s="3" t="str">
        <f>RAW_GAMES!F239</f>
        <v>PLZ</v>
      </c>
      <c r="E239" s="7">
        <f>RAW_GAMES!G239</f>
        <v>0</v>
      </c>
      <c r="F239">
        <f>RAW_GAMES!H239</f>
        <v>2</v>
      </c>
      <c r="G239">
        <f>RAW_GAMES!I239</f>
        <v>1</v>
      </c>
      <c r="H239">
        <f t="shared" si="18"/>
        <v>1</v>
      </c>
      <c r="I239">
        <f>RAW_GAMES!J239</f>
        <v>20</v>
      </c>
      <c r="J239">
        <f>RAW_GAMES!K239</f>
        <v>26</v>
      </c>
      <c r="K239">
        <f t="shared" si="19"/>
        <v>-6</v>
      </c>
      <c r="L239">
        <f>IF(RAW_GAMES!L239="","",RAW_GAMES!L239)</f>
        <v>2.06</v>
      </c>
      <c r="M239">
        <f>IF(RAW_GAMES!M239="","",RAW_GAMES!M239)</f>
        <v>3.65</v>
      </c>
      <c r="N239">
        <f t="shared" si="20"/>
        <v>-1.5899999999999999</v>
      </c>
      <c r="O239" s="7">
        <f>RAW_GAMES!O239</f>
        <v>2</v>
      </c>
      <c r="P239">
        <f>RAW_GAMES!N239</f>
        <v>1</v>
      </c>
      <c r="Q239">
        <f t="shared" si="21"/>
        <v>0.5</v>
      </c>
      <c r="R239" s="7">
        <f>RAW_GAMES!Q239</f>
        <v>8</v>
      </c>
      <c r="S239">
        <f>RAW_GAMES!P239</f>
        <v>0</v>
      </c>
      <c r="T239">
        <f t="shared" si="22"/>
        <v>1</v>
      </c>
      <c r="U239">
        <f>_xlfn.XLOOKUP(C239,
  CALC_TEAMS_SEASON!B:B,
  CALC_TEAMS_SEASON!F:F)</f>
        <v>0.17437423687423692</v>
      </c>
      <c r="V239">
        <f>_xlfn.XLOOKUP(D239,
  CALC_TEAMS_SEASON!B:B,
  CALC_TEAMS_SEASON!F:F)</f>
        <v>0.17641178266178262</v>
      </c>
      <c r="W239" t="str">
        <f>RAW_GAMES!R239</f>
        <v>Mazanec</v>
      </c>
      <c r="X239" s="7">
        <f>RAW_GAMES!S239</f>
        <v>25</v>
      </c>
      <c r="Y239">
        <f t="shared" si="23"/>
        <v>1</v>
      </c>
      <c r="Z239" t="str">
        <f>RAW_GAMES!V239</f>
        <v>RS</v>
      </c>
    </row>
    <row r="240" spans="1:26" x14ac:dyDescent="0.25">
      <c r="A240" t="str">
        <f>RAW_GAMES!A240</f>
        <v>25/26</v>
      </c>
      <c r="B240" s="3">
        <f>RAW_GAMES!B240</f>
        <v>45956</v>
      </c>
      <c r="C240" s="3" t="str">
        <f>RAW_GAMES!E240</f>
        <v>SPA</v>
      </c>
      <c r="D240" s="3" t="str">
        <f>RAW_GAMES!F240</f>
        <v>LIT</v>
      </c>
      <c r="E240" s="7">
        <f>RAW_GAMES!G240</f>
        <v>1</v>
      </c>
      <c r="F240">
        <f>RAW_GAMES!H240</f>
        <v>2</v>
      </c>
      <c r="G240">
        <f>RAW_GAMES!I240</f>
        <v>1</v>
      </c>
      <c r="H240">
        <f t="shared" si="18"/>
        <v>1</v>
      </c>
      <c r="I240">
        <f>RAW_GAMES!J240</f>
        <v>26</v>
      </c>
      <c r="J240">
        <f>RAW_GAMES!K240</f>
        <v>33</v>
      </c>
      <c r="K240">
        <f t="shared" si="19"/>
        <v>-7</v>
      </c>
      <c r="L240">
        <f>IF(RAW_GAMES!L240="","",RAW_GAMES!L240)</f>
        <v>2.64</v>
      </c>
      <c r="M240">
        <f>IF(RAW_GAMES!M240="","",RAW_GAMES!M240)</f>
        <v>2.92</v>
      </c>
      <c r="N240">
        <f t="shared" si="20"/>
        <v>-0.2799999999999998</v>
      </c>
      <c r="O240" s="7">
        <f>RAW_GAMES!O240</f>
        <v>5</v>
      </c>
      <c r="P240">
        <f>RAW_GAMES!N240</f>
        <v>1</v>
      </c>
      <c r="Q240">
        <f t="shared" si="21"/>
        <v>0.2</v>
      </c>
      <c r="R240" s="7">
        <f>RAW_GAMES!Q240</f>
        <v>6</v>
      </c>
      <c r="S240">
        <f>RAW_GAMES!P240</f>
        <v>0</v>
      </c>
      <c r="T240">
        <f t="shared" si="22"/>
        <v>1</v>
      </c>
      <c r="U240">
        <f>_xlfn.XLOOKUP(C240,
  CALC_TEAMS_SEASON!B:B,
  CALC_TEAMS_SEASON!F:F)</f>
        <v>0.22060439560439565</v>
      </c>
      <c r="V240">
        <f>_xlfn.XLOOKUP(D240,
  CALC_TEAMS_SEASON!B:B,
  CALC_TEAMS_SEASON!F:F)</f>
        <v>0.10089285714285713</v>
      </c>
      <c r="W240" t="str">
        <f>RAW_GAMES!R240</f>
        <v>Kovář</v>
      </c>
      <c r="X240" s="7">
        <f>RAW_GAMES!S240</f>
        <v>32</v>
      </c>
      <c r="Y240">
        <f t="shared" si="23"/>
        <v>1</v>
      </c>
      <c r="Z240" t="str">
        <f>RAW_GAMES!V240</f>
        <v>RS</v>
      </c>
    </row>
    <row r="241" spans="1:26" x14ac:dyDescent="0.25">
      <c r="A241" t="str">
        <f>RAW_GAMES!A241</f>
        <v>25/26</v>
      </c>
      <c r="B241" s="3">
        <f>RAW_GAMES!B241</f>
        <v>45956</v>
      </c>
      <c r="C241" s="3" t="str">
        <f>RAW_GAMES!E241</f>
        <v>KOM</v>
      </c>
      <c r="D241" s="3" t="str">
        <f>RAW_GAMES!F241</f>
        <v>LIB</v>
      </c>
      <c r="E241" s="7">
        <f>RAW_GAMES!G241</f>
        <v>0</v>
      </c>
      <c r="F241">
        <f>RAW_GAMES!H241</f>
        <v>3</v>
      </c>
      <c r="G241">
        <f>RAW_GAMES!I241</f>
        <v>4</v>
      </c>
      <c r="H241">
        <f t="shared" si="18"/>
        <v>-1</v>
      </c>
      <c r="I241">
        <f>RAW_GAMES!J241</f>
        <v>23</v>
      </c>
      <c r="J241">
        <f>RAW_GAMES!K241</f>
        <v>37</v>
      </c>
      <c r="K241">
        <f t="shared" si="19"/>
        <v>-14</v>
      </c>
      <c r="L241">
        <f>IF(RAW_GAMES!L241="","",RAW_GAMES!L241)</f>
        <v>1.37</v>
      </c>
      <c r="M241">
        <f>IF(RAW_GAMES!M241="","",RAW_GAMES!M241)</f>
        <v>3.14</v>
      </c>
      <c r="N241">
        <f t="shared" si="20"/>
        <v>-1.77</v>
      </c>
      <c r="O241" s="7">
        <f>RAW_GAMES!O241</f>
        <v>2</v>
      </c>
      <c r="P241">
        <f>RAW_GAMES!N241</f>
        <v>0</v>
      </c>
      <c r="Q241">
        <f t="shared" si="21"/>
        <v>0</v>
      </c>
      <c r="R241" s="7">
        <f>RAW_GAMES!Q241</f>
        <v>2</v>
      </c>
      <c r="S241">
        <f>RAW_GAMES!P241</f>
        <v>2</v>
      </c>
      <c r="T241">
        <f t="shared" si="22"/>
        <v>0</v>
      </c>
      <c r="U241">
        <f>_xlfn.XLOOKUP(C241,
  CALC_TEAMS_SEASON!B:B,
  CALC_TEAMS_SEASON!F:F)</f>
        <v>0.14358974358974358</v>
      </c>
      <c r="V241">
        <f>_xlfn.XLOOKUP(D241,
  CALC_TEAMS_SEASON!B:B,
  CALC_TEAMS_SEASON!F:F)</f>
        <v>0.14377289377289379</v>
      </c>
      <c r="W241" t="str">
        <f>RAW_GAMES!R241</f>
        <v>Stezka</v>
      </c>
      <c r="X241" s="7">
        <f>RAW_GAMES!S241</f>
        <v>33</v>
      </c>
      <c r="Y241">
        <f t="shared" si="23"/>
        <v>0</v>
      </c>
      <c r="Z241" t="str">
        <f>RAW_GAMES!V241</f>
        <v>RS</v>
      </c>
    </row>
    <row r="242" spans="1:26" x14ac:dyDescent="0.25">
      <c r="A242" t="str">
        <f>RAW_GAMES!A242</f>
        <v>25/26</v>
      </c>
      <c r="B242" s="3">
        <f>RAW_GAMES!B242</f>
        <v>45956</v>
      </c>
      <c r="C242" s="3" t="str">
        <f>RAW_GAMES!E242</f>
        <v>CEB</v>
      </c>
      <c r="D242" s="3" t="str">
        <f>RAW_GAMES!F242</f>
        <v>KLA</v>
      </c>
      <c r="E242" s="7">
        <f>RAW_GAMES!G242</f>
        <v>1</v>
      </c>
      <c r="F242">
        <f>RAW_GAMES!H242</f>
        <v>4</v>
      </c>
      <c r="G242">
        <f>RAW_GAMES!I242</f>
        <v>3</v>
      </c>
      <c r="H242">
        <f t="shared" si="18"/>
        <v>1</v>
      </c>
      <c r="I242">
        <f>RAW_GAMES!J242</f>
        <v>39</v>
      </c>
      <c r="J242">
        <f>RAW_GAMES!K242</f>
        <v>21</v>
      </c>
      <c r="K242">
        <f t="shared" si="19"/>
        <v>18</v>
      </c>
      <c r="L242" t="str">
        <f>IF(RAW_GAMES!L242="","",RAW_GAMES!L242)</f>
        <v/>
      </c>
      <c r="M242" t="str">
        <f>IF(RAW_GAMES!M242="","",RAW_GAMES!M242)</f>
        <v/>
      </c>
      <c r="N242" t="str">
        <f t="shared" si="20"/>
        <v/>
      </c>
      <c r="O242" s="7">
        <f>RAW_GAMES!O242</f>
        <v>5</v>
      </c>
      <c r="P242">
        <f>RAW_GAMES!N242</f>
        <v>0</v>
      </c>
      <c r="Q242">
        <f t="shared" si="21"/>
        <v>0</v>
      </c>
      <c r="R242" s="7">
        <f>RAW_GAMES!Q242</f>
        <v>4</v>
      </c>
      <c r="S242">
        <f>RAW_GAMES!P242</f>
        <v>1</v>
      </c>
      <c r="T242">
        <f t="shared" si="22"/>
        <v>0.75</v>
      </c>
      <c r="U242">
        <f>_xlfn.XLOOKUP(C242,
  CALC_TEAMS_SEASON!B:B,
  CALC_TEAMS_SEASON!F:F)</f>
        <v>0.13021353646353648</v>
      </c>
      <c r="V242">
        <f>_xlfn.XLOOKUP(D242,
  CALC_TEAMS_SEASON!B:B,
  CALC_TEAMS_SEASON!F:F)</f>
        <v>0.13120421245421243</v>
      </c>
      <c r="W242" t="str">
        <f>RAW_GAMES!R242</f>
        <v>Mařík</v>
      </c>
      <c r="X242" s="7">
        <f>RAW_GAMES!S242</f>
        <v>18</v>
      </c>
      <c r="Y242">
        <f t="shared" si="23"/>
        <v>1</v>
      </c>
      <c r="Z242" t="str">
        <f>RAW_GAMES!V242</f>
        <v>RS</v>
      </c>
    </row>
    <row r="243" spans="1:26" x14ac:dyDescent="0.25">
      <c r="A243" t="str">
        <f>RAW_GAMES!A243</f>
        <v>25/26</v>
      </c>
      <c r="B243" s="3">
        <f>RAW_GAMES!B243</f>
        <v>45956</v>
      </c>
      <c r="C243" s="3" t="str">
        <f>RAW_GAMES!E243</f>
        <v>KLA</v>
      </c>
      <c r="D243" s="3" t="str">
        <f>RAW_GAMES!F243</f>
        <v>CEB</v>
      </c>
      <c r="E243" s="7">
        <f>RAW_GAMES!G243</f>
        <v>0</v>
      </c>
      <c r="F243">
        <f>RAW_GAMES!H243</f>
        <v>3</v>
      </c>
      <c r="G243">
        <f>RAW_GAMES!I243</f>
        <v>4</v>
      </c>
      <c r="H243">
        <f t="shared" si="18"/>
        <v>-1</v>
      </c>
      <c r="I243">
        <f>RAW_GAMES!J243</f>
        <v>21</v>
      </c>
      <c r="J243">
        <f>RAW_GAMES!K243</f>
        <v>39</v>
      </c>
      <c r="K243">
        <f t="shared" si="19"/>
        <v>-18</v>
      </c>
      <c r="L243" t="str">
        <f>IF(RAW_GAMES!L243="","",RAW_GAMES!L243)</f>
        <v/>
      </c>
      <c r="M243" t="str">
        <f>IF(RAW_GAMES!M243="","",RAW_GAMES!M243)</f>
        <v/>
      </c>
      <c r="N243" t="str">
        <f t="shared" si="20"/>
        <v/>
      </c>
      <c r="O243" s="7">
        <f>RAW_GAMES!O243</f>
        <v>4</v>
      </c>
      <c r="P243">
        <f>RAW_GAMES!N243</f>
        <v>1</v>
      </c>
      <c r="Q243">
        <f t="shared" si="21"/>
        <v>0.25</v>
      </c>
      <c r="R243" s="7">
        <f>RAW_GAMES!Q243</f>
        <v>5</v>
      </c>
      <c r="S243">
        <f>RAW_GAMES!P243</f>
        <v>0</v>
      </c>
      <c r="T243">
        <f t="shared" si="22"/>
        <v>1</v>
      </c>
      <c r="U243">
        <f>_xlfn.XLOOKUP(C243,
  CALC_TEAMS_SEASON!B:B,
  CALC_TEAMS_SEASON!F:F)</f>
        <v>0.13120421245421243</v>
      </c>
      <c r="V243">
        <f>_xlfn.XLOOKUP(D243,
  CALC_TEAMS_SEASON!B:B,
  CALC_TEAMS_SEASON!F:F)</f>
        <v>0.13021353646353648</v>
      </c>
      <c r="W243" t="str">
        <f>RAW_GAMES!R243</f>
        <v>Dansk</v>
      </c>
      <c r="X243" s="7">
        <f>RAW_GAMES!S243</f>
        <v>35</v>
      </c>
      <c r="Y243">
        <f t="shared" si="23"/>
        <v>0</v>
      </c>
      <c r="Z243" t="str">
        <f>RAW_GAMES!V243</f>
        <v>RS</v>
      </c>
    </row>
    <row r="244" spans="1:26" x14ac:dyDescent="0.25">
      <c r="A244" t="str">
        <f>RAW_GAMES!A244</f>
        <v>25/26</v>
      </c>
      <c r="B244" s="3">
        <f>RAW_GAMES!B244</f>
        <v>45956</v>
      </c>
      <c r="C244" s="3" t="str">
        <f>RAW_GAMES!E244</f>
        <v>KVA</v>
      </c>
      <c r="D244" s="3" t="str">
        <f>RAW_GAMES!F244</f>
        <v>MHK</v>
      </c>
      <c r="E244" s="7">
        <f>RAW_GAMES!G244</f>
        <v>0</v>
      </c>
      <c r="F244">
        <f>RAW_GAMES!H244</f>
        <v>5</v>
      </c>
      <c r="G244">
        <f>RAW_GAMES!I244</f>
        <v>4</v>
      </c>
      <c r="H244">
        <f t="shared" si="18"/>
        <v>1</v>
      </c>
      <c r="I244">
        <f>RAW_GAMES!J244</f>
        <v>26</v>
      </c>
      <c r="J244">
        <f>RAW_GAMES!K244</f>
        <v>30</v>
      </c>
      <c r="K244">
        <f t="shared" si="19"/>
        <v>-4</v>
      </c>
      <c r="L244" t="str">
        <f>IF(RAW_GAMES!L244="","",RAW_GAMES!L244)</f>
        <v/>
      </c>
      <c r="M244" t="str">
        <f>IF(RAW_GAMES!M244="","",RAW_GAMES!M244)</f>
        <v/>
      </c>
      <c r="N244" t="str">
        <f t="shared" si="20"/>
        <v/>
      </c>
      <c r="O244" s="7">
        <f>RAW_GAMES!O244</f>
        <v>2</v>
      </c>
      <c r="P244">
        <f>RAW_GAMES!N244</f>
        <v>1</v>
      </c>
      <c r="Q244">
        <f t="shared" si="21"/>
        <v>0.5</v>
      </c>
      <c r="R244" s="7">
        <f>RAW_GAMES!Q244</f>
        <v>4</v>
      </c>
      <c r="S244">
        <f>RAW_GAMES!P244</f>
        <v>2</v>
      </c>
      <c r="T244">
        <f t="shared" si="22"/>
        <v>0.5</v>
      </c>
      <c r="U244">
        <f>_xlfn.XLOOKUP(C244,
  CALC_TEAMS_SEASON!B:B,
  CALC_TEAMS_SEASON!F:F)</f>
        <v>0.17387057387057389</v>
      </c>
      <c r="V244">
        <f>_xlfn.XLOOKUP(D244,
  CALC_TEAMS_SEASON!B:B,
  CALC_TEAMS_SEASON!F:F)</f>
        <v>0.14184981684981687</v>
      </c>
      <c r="W244" t="str">
        <f>RAW_GAMES!R244</f>
        <v>Frodl</v>
      </c>
      <c r="X244" s="7">
        <f>RAW_GAMES!S244</f>
        <v>26</v>
      </c>
      <c r="Y244">
        <f t="shared" si="23"/>
        <v>1</v>
      </c>
      <c r="Z244" t="str">
        <f>RAW_GAMES!V244</f>
        <v>RS</v>
      </c>
    </row>
    <row r="245" spans="1:26" x14ac:dyDescent="0.25">
      <c r="A245" t="str">
        <f>RAW_GAMES!A245</f>
        <v>25/26</v>
      </c>
      <c r="B245" s="3">
        <f>RAW_GAMES!B245</f>
        <v>45956</v>
      </c>
      <c r="C245" s="3" t="str">
        <f>RAW_GAMES!E245</f>
        <v>LIB</v>
      </c>
      <c r="D245" s="3" t="str">
        <f>RAW_GAMES!F245</f>
        <v>KOM</v>
      </c>
      <c r="E245" s="7">
        <f>RAW_GAMES!G245</f>
        <v>1</v>
      </c>
      <c r="F245">
        <f>RAW_GAMES!H245</f>
        <v>4</v>
      </c>
      <c r="G245">
        <f>RAW_GAMES!I245</f>
        <v>3</v>
      </c>
      <c r="H245">
        <f t="shared" si="18"/>
        <v>1</v>
      </c>
      <c r="I245">
        <f>RAW_GAMES!J245</f>
        <v>37</v>
      </c>
      <c r="J245">
        <f>RAW_GAMES!K245</f>
        <v>23</v>
      </c>
      <c r="K245">
        <f t="shared" si="19"/>
        <v>14</v>
      </c>
      <c r="L245">
        <f>IF(RAW_GAMES!L245="","",RAW_GAMES!L245)</f>
        <v>3.14</v>
      </c>
      <c r="M245">
        <f>IF(RAW_GAMES!M245="","",RAW_GAMES!M245)</f>
        <v>1.37</v>
      </c>
      <c r="N245">
        <f t="shared" si="20"/>
        <v>1.77</v>
      </c>
      <c r="O245" s="7">
        <f>RAW_GAMES!O245</f>
        <v>2</v>
      </c>
      <c r="P245">
        <f>RAW_GAMES!N245</f>
        <v>2</v>
      </c>
      <c r="Q245">
        <f t="shared" si="21"/>
        <v>1</v>
      </c>
      <c r="R245" s="7">
        <f>RAW_GAMES!Q245</f>
        <v>2</v>
      </c>
      <c r="S245">
        <f>RAW_GAMES!P245</f>
        <v>0</v>
      </c>
      <c r="T245">
        <f t="shared" si="22"/>
        <v>1</v>
      </c>
      <c r="U245">
        <f>_xlfn.XLOOKUP(C245,
  CALC_TEAMS_SEASON!B:B,
  CALC_TEAMS_SEASON!F:F)</f>
        <v>0.14377289377289379</v>
      </c>
      <c r="V245">
        <f>_xlfn.XLOOKUP(D245,
  CALC_TEAMS_SEASON!B:B,
  CALC_TEAMS_SEASON!F:F)</f>
        <v>0.14358974358974358</v>
      </c>
      <c r="W245" t="str">
        <f>RAW_GAMES!R245</f>
        <v>Kváča</v>
      </c>
      <c r="X245" s="7">
        <f>RAW_GAMES!S245</f>
        <v>20</v>
      </c>
      <c r="Y245">
        <f t="shared" si="23"/>
        <v>1</v>
      </c>
      <c r="Z245" t="str">
        <f>RAW_GAMES!V245</f>
        <v>RS</v>
      </c>
    </row>
    <row r="246" spans="1:26" x14ac:dyDescent="0.25">
      <c r="A246" t="str">
        <f>RAW_GAMES!A246</f>
        <v>25/26</v>
      </c>
      <c r="B246" s="3">
        <f>RAW_GAMES!B246</f>
        <v>45956</v>
      </c>
      <c r="C246" s="3" t="str">
        <f>RAW_GAMES!E246</f>
        <v>LIT</v>
      </c>
      <c r="D246" s="3" t="str">
        <f>RAW_GAMES!F246</f>
        <v>SPA</v>
      </c>
      <c r="E246" s="7">
        <f>RAW_GAMES!G246</f>
        <v>0</v>
      </c>
      <c r="F246">
        <f>RAW_GAMES!H246</f>
        <v>1</v>
      </c>
      <c r="G246">
        <f>RAW_GAMES!I246</f>
        <v>2</v>
      </c>
      <c r="H246">
        <f t="shared" si="18"/>
        <v>-1</v>
      </c>
      <c r="I246">
        <f>RAW_GAMES!J246</f>
        <v>33</v>
      </c>
      <c r="J246">
        <f>RAW_GAMES!K246</f>
        <v>26</v>
      </c>
      <c r="K246">
        <f t="shared" si="19"/>
        <v>7</v>
      </c>
      <c r="L246">
        <f>IF(RAW_GAMES!L246="","",RAW_GAMES!L246)</f>
        <v>2.92</v>
      </c>
      <c r="M246">
        <f>IF(RAW_GAMES!M246="","",RAW_GAMES!M246)</f>
        <v>2.64</v>
      </c>
      <c r="N246">
        <f t="shared" si="20"/>
        <v>0.2799999999999998</v>
      </c>
      <c r="O246" s="7">
        <f>RAW_GAMES!O246</f>
        <v>6</v>
      </c>
      <c r="P246">
        <f>RAW_GAMES!N246</f>
        <v>0</v>
      </c>
      <c r="Q246">
        <f t="shared" si="21"/>
        <v>0</v>
      </c>
      <c r="R246" s="7">
        <f>RAW_GAMES!Q246</f>
        <v>5</v>
      </c>
      <c r="S246">
        <f>RAW_GAMES!P246</f>
        <v>1</v>
      </c>
      <c r="T246">
        <f t="shared" si="22"/>
        <v>0.8</v>
      </c>
      <c r="U246">
        <f>_xlfn.XLOOKUP(C246,
  CALC_TEAMS_SEASON!B:B,
  CALC_TEAMS_SEASON!F:F)</f>
        <v>0.10089285714285713</v>
      </c>
      <c r="V246">
        <f>_xlfn.XLOOKUP(D246,
  CALC_TEAMS_SEASON!B:B,
  CALC_TEAMS_SEASON!F:F)</f>
        <v>0.22060439560439565</v>
      </c>
      <c r="W246" t="str">
        <f>RAW_GAMES!R246</f>
        <v>Tomek</v>
      </c>
      <c r="X246" s="7">
        <f>RAW_GAMES!S246</f>
        <v>24</v>
      </c>
      <c r="Y246">
        <f t="shared" si="23"/>
        <v>0</v>
      </c>
      <c r="Z246" t="str">
        <f>RAW_GAMES!V246</f>
        <v>RS</v>
      </c>
    </row>
    <row r="247" spans="1:26" x14ac:dyDescent="0.25">
      <c r="A247" t="str">
        <f>RAW_GAMES!A247</f>
        <v>25/26</v>
      </c>
      <c r="B247" s="3">
        <f>RAW_GAMES!B247</f>
        <v>45956</v>
      </c>
      <c r="C247" s="3" t="str">
        <f>RAW_GAMES!E247</f>
        <v>MBL</v>
      </c>
      <c r="D247" s="3" t="str">
        <f>RAW_GAMES!F247</f>
        <v>VIT</v>
      </c>
      <c r="E247" s="7">
        <f>RAW_GAMES!G247</f>
        <v>1</v>
      </c>
      <c r="F247">
        <f>RAW_GAMES!H247</f>
        <v>1</v>
      </c>
      <c r="G247">
        <f>RAW_GAMES!I247</f>
        <v>2</v>
      </c>
      <c r="H247">
        <f t="shared" si="18"/>
        <v>-1</v>
      </c>
      <c r="I247">
        <f>RAW_GAMES!J247</f>
        <v>31</v>
      </c>
      <c r="J247">
        <f>RAW_GAMES!K247</f>
        <v>21</v>
      </c>
      <c r="K247">
        <f t="shared" si="19"/>
        <v>10</v>
      </c>
      <c r="L247" t="str">
        <f>IF(RAW_GAMES!L247="","",RAW_GAMES!L247)</f>
        <v/>
      </c>
      <c r="M247" t="str">
        <f>IF(RAW_GAMES!M247="","",RAW_GAMES!M247)</f>
        <v/>
      </c>
      <c r="N247" t="str">
        <f t="shared" si="20"/>
        <v/>
      </c>
      <c r="O247" s="7">
        <f>RAW_GAMES!O247</f>
        <v>4</v>
      </c>
      <c r="P247">
        <f>RAW_GAMES!N247</f>
        <v>1</v>
      </c>
      <c r="Q247">
        <f t="shared" si="21"/>
        <v>0.25</v>
      </c>
      <c r="R247" s="7">
        <f>RAW_GAMES!Q247</f>
        <v>3</v>
      </c>
      <c r="S247">
        <f>RAW_GAMES!P247</f>
        <v>1</v>
      </c>
      <c r="T247">
        <f t="shared" si="22"/>
        <v>0.66666666666666674</v>
      </c>
      <c r="U247">
        <f>_xlfn.XLOOKUP(C247,
  CALC_TEAMS_SEASON!B:B,
  CALC_TEAMS_SEASON!F:F)</f>
        <v>0.11826923076923078</v>
      </c>
      <c r="V247">
        <f>_xlfn.XLOOKUP(D247,
  CALC_TEAMS_SEASON!B:B,
  CALC_TEAMS_SEASON!F:F)</f>
        <v>0.16984890109890113</v>
      </c>
      <c r="W247" t="str">
        <f>RAW_GAMES!R247</f>
        <v>Furch</v>
      </c>
      <c r="X247" s="7">
        <f>RAW_GAMES!S247</f>
        <v>19</v>
      </c>
      <c r="Y247">
        <f t="shared" si="23"/>
        <v>0</v>
      </c>
      <c r="Z247" t="str">
        <f>RAW_GAMES!V247</f>
        <v>RS</v>
      </c>
    </row>
    <row r="248" spans="1:26" x14ac:dyDescent="0.25">
      <c r="A248" t="str">
        <f>RAW_GAMES!A248</f>
        <v>25/26</v>
      </c>
      <c r="B248" s="3">
        <f>RAW_GAMES!B248</f>
        <v>45956</v>
      </c>
      <c r="C248" s="3" t="str">
        <f>RAW_GAMES!E248</f>
        <v>MHK</v>
      </c>
      <c r="D248" s="3" t="str">
        <f>RAW_GAMES!F248</f>
        <v>KVA</v>
      </c>
      <c r="E248" s="7">
        <f>RAW_GAMES!G248</f>
        <v>1</v>
      </c>
      <c r="F248">
        <f>RAW_GAMES!H248</f>
        <v>4</v>
      </c>
      <c r="G248">
        <f>RAW_GAMES!I248</f>
        <v>5</v>
      </c>
      <c r="H248">
        <f t="shared" si="18"/>
        <v>-1</v>
      </c>
      <c r="I248">
        <f>RAW_GAMES!J248</f>
        <v>30</v>
      </c>
      <c r="J248">
        <f>RAW_GAMES!K248</f>
        <v>26</v>
      </c>
      <c r="K248">
        <f t="shared" si="19"/>
        <v>4</v>
      </c>
      <c r="L248" t="str">
        <f>IF(RAW_GAMES!L248="","",RAW_GAMES!L248)</f>
        <v/>
      </c>
      <c r="M248" t="str">
        <f>IF(RAW_GAMES!M248="","",RAW_GAMES!M248)</f>
        <v/>
      </c>
      <c r="N248" t="str">
        <f t="shared" si="20"/>
        <v/>
      </c>
      <c r="O248" s="7">
        <f>RAW_GAMES!O248</f>
        <v>4</v>
      </c>
      <c r="P248">
        <f>RAW_GAMES!N248</f>
        <v>2</v>
      </c>
      <c r="Q248">
        <f t="shared" si="21"/>
        <v>0.5</v>
      </c>
      <c r="R248" s="7">
        <f>RAW_GAMES!Q248</f>
        <v>2</v>
      </c>
      <c r="S248">
        <f>RAW_GAMES!P248</f>
        <v>1</v>
      </c>
      <c r="T248">
        <f t="shared" si="22"/>
        <v>0.5</v>
      </c>
      <c r="U248">
        <f>_xlfn.XLOOKUP(C248,
  CALC_TEAMS_SEASON!B:B,
  CALC_TEAMS_SEASON!F:F)</f>
        <v>0.14184981684981687</v>
      </c>
      <c r="V248">
        <f>_xlfn.XLOOKUP(D248,
  CALC_TEAMS_SEASON!B:B,
  CALC_TEAMS_SEASON!F:F)</f>
        <v>0.17387057387057389</v>
      </c>
      <c r="W248" t="str">
        <f>RAW_GAMES!R248</f>
        <v>Novotný</v>
      </c>
      <c r="X248" s="7">
        <f>RAW_GAMES!S248</f>
        <v>21</v>
      </c>
      <c r="Y248">
        <f t="shared" si="23"/>
        <v>0</v>
      </c>
      <c r="Z248" t="str">
        <f>RAW_GAMES!V248</f>
        <v>RS</v>
      </c>
    </row>
    <row r="249" spans="1:26" x14ac:dyDescent="0.25">
      <c r="A249" t="str">
        <f>RAW_GAMES!A249</f>
        <v>25/26</v>
      </c>
      <c r="B249" s="3">
        <f>RAW_GAMES!B249</f>
        <v>45956</v>
      </c>
      <c r="C249" s="3" t="str">
        <f>RAW_GAMES!E249</f>
        <v>OLO</v>
      </c>
      <c r="D249" s="3" t="str">
        <f>RAW_GAMES!F249</f>
        <v>PCE</v>
      </c>
      <c r="E249" s="7">
        <f>RAW_GAMES!G249</f>
        <v>1</v>
      </c>
      <c r="F249">
        <f>RAW_GAMES!H249</f>
        <v>2</v>
      </c>
      <c r="G249">
        <f>RAW_GAMES!I249</f>
        <v>1</v>
      </c>
      <c r="H249">
        <f t="shared" si="18"/>
        <v>1</v>
      </c>
      <c r="I249">
        <f>RAW_GAMES!J249</f>
        <v>17</v>
      </c>
      <c r="J249">
        <f>RAW_GAMES!K249</f>
        <v>44</v>
      </c>
      <c r="K249">
        <f t="shared" si="19"/>
        <v>-27</v>
      </c>
      <c r="L249">
        <f>IF(RAW_GAMES!L249="","",RAW_GAMES!L249)</f>
        <v>1.59</v>
      </c>
      <c r="M249">
        <f>IF(RAW_GAMES!M249="","",RAW_GAMES!M249)</f>
        <v>3.5</v>
      </c>
      <c r="N249">
        <f t="shared" si="20"/>
        <v>-1.91</v>
      </c>
      <c r="O249" s="7">
        <f>RAW_GAMES!O249</f>
        <v>9</v>
      </c>
      <c r="P249">
        <f>RAW_GAMES!N249</f>
        <v>2</v>
      </c>
      <c r="Q249">
        <f t="shared" si="21"/>
        <v>0.22222222222222221</v>
      </c>
      <c r="R249" s="7">
        <f>RAW_GAMES!Q249</f>
        <v>7</v>
      </c>
      <c r="S249">
        <f>RAW_GAMES!P249</f>
        <v>0</v>
      </c>
      <c r="T249">
        <f t="shared" si="22"/>
        <v>1</v>
      </c>
      <c r="U249">
        <f>_xlfn.XLOOKUP(C249,
  CALC_TEAMS_SEASON!B:B,
  CALC_TEAMS_SEASON!F:F)</f>
        <v>0.14989316239316242</v>
      </c>
      <c r="V249">
        <f>_xlfn.XLOOKUP(D249,
  CALC_TEAMS_SEASON!B:B,
  CALC_TEAMS_SEASON!F:F)</f>
        <v>0.20297619047619053</v>
      </c>
      <c r="W249" t="str">
        <f>RAW_GAMES!R249</f>
        <v>Cichoň</v>
      </c>
      <c r="X249" s="7">
        <f>RAW_GAMES!S249</f>
        <v>43</v>
      </c>
      <c r="Y249">
        <f t="shared" si="23"/>
        <v>1</v>
      </c>
      <c r="Z249" t="str">
        <f>RAW_GAMES!V249</f>
        <v>RS</v>
      </c>
    </row>
    <row r="250" spans="1:26" x14ac:dyDescent="0.25">
      <c r="A250" t="str">
        <f>RAW_GAMES!A250</f>
        <v>25/26</v>
      </c>
      <c r="B250" s="3">
        <f>RAW_GAMES!B250</f>
        <v>45956</v>
      </c>
      <c r="C250" s="3" t="str">
        <f>RAW_GAMES!E250</f>
        <v>PLZ</v>
      </c>
      <c r="D250" s="3" t="str">
        <f>RAW_GAMES!F250</f>
        <v>TRI</v>
      </c>
      <c r="E250" s="7">
        <f>RAW_GAMES!G250</f>
        <v>1</v>
      </c>
      <c r="F250">
        <f>RAW_GAMES!H250</f>
        <v>1</v>
      </c>
      <c r="G250">
        <f>RAW_GAMES!I250</f>
        <v>2</v>
      </c>
      <c r="H250">
        <f t="shared" si="18"/>
        <v>-1</v>
      </c>
      <c r="I250">
        <f>RAW_GAMES!J250</f>
        <v>26</v>
      </c>
      <c r="J250">
        <f>RAW_GAMES!K250</f>
        <v>20</v>
      </c>
      <c r="K250">
        <f t="shared" si="19"/>
        <v>6</v>
      </c>
      <c r="L250">
        <f>IF(RAW_GAMES!L250="","",RAW_GAMES!L250)</f>
        <v>3.65</v>
      </c>
      <c r="M250">
        <f>IF(RAW_GAMES!M250="","",RAW_GAMES!M250)</f>
        <v>2.06</v>
      </c>
      <c r="N250">
        <f t="shared" si="20"/>
        <v>1.5899999999999999</v>
      </c>
      <c r="O250" s="7">
        <f>RAW_GAMES!O250</f>
        <v>8</v>
      </c>
      <c r="P250">
        <f>RAW_GAMES!N250</f>
        <v>0</v>
      </c>
      <c r="Q250">
        <f t="shared" si="21"/>
        <v>0</v>
      </c>
      <c r="R250" s="7">
        <f>RAW_GAMES!Q250</f>
        <v>2</v>
      </c>
      <c r="S250">
        <f>RAW_GAMES!P250</f>
        <v>1</v>
      </c>
      <c r="T250">
        <f t="shared" si="22"/>
        <v>0.5</v>
      </c>
      <c r="U250">
        <f>_xlfn.XLOOKUP(C250,
  CALC_TEAMS_SEASON!B:B,
  CALC_TEAMS_SEASON!F:F)</f>
        <v>0.17641178266178262</v>
      </c>
      <c r="V250">
        <f>_xlfn.XLOOKUP(D250,
  CALC_TEAMS_SEASON!B:B,
  CALC_TEAMS_SEASON!F:F)</f>
        <v>0.17437423687423692</v>
      </c>
      <c r="W250" t="str">
        <f>RAW_GAMES!R250</f>
        <v>Malík</v>
      </c>
      <c r="X250" s="7">
        <f>RAW_GAMES!S250</f>
        <v>19</v>
      </c>
      <c r="Y250">
        <f t="shared" si="23"/>
        <v>0</v>
      </c>
      <c r="Z250" t="str">
        <f>RAW_GAMES!V250</f>
        <v>RS</v>
      </c>
    </row>
    <row r="251" spans="1:26" x14ac:dyDescent="0.25">
      <c r="A251" t="str">
        <f>RAW_GAMES!A251</f>
        <v>25/26</v>
      </c>
      <c r="B251" s="3">
        <f>RAW_GAMES!B251</f>
        <v>45956</v>
      </c>
      <c r="C251" s="3" t="str">
        <f>RAW_GAMES!E251</f>
        <v>VIT</v>
      </c>
      <c r="D251" s="3" t="str">
        <f>RAW_GAMES!F251</f>
        <v>MBL</v>
      </c>
      <c r="E251" s="7">
        <f>RAW_GAMES!G251</f>
        <v>0</v>
      </c>
      <c r="F251">
        <f>RAW_GAMES!H251</f>
        <v>2</v>
      </c>
      <c r="G251">
        <f>RAW_GAMES!I251</f>
        <v>1</v>
      </c>
      <c r="H251">
        <f t="shared" si="18"/>
        <v>1</v>
      </c>
      <c r="I251">
        <f>RAW_GAMES!J251</f>
        <v>21</v>
      </c>
      <c r="J251">
        <f>RAW_GAMES!K251</f>
        <v>31</v>
      </c>
      <c r="K251">
        <f t="shared" si="19"/>
        <v>-10</v>
      </c>
      <c r="L251" t="str">
        <f>IF(RAW_GAMES!L251="","",RAW_GAMES!L251)</f>
        <v/>
      </c>
      <c r="M251" t="str">
        <f>IF(RAW_GAMES!M251="","",RAW_GAMES!M251)</f>
        <v/>
      </c>
      <c r="N251" t="str">
        <f t="shared" si="20"/>
        <v/>
      </c>
      <c r="O251" s="7">
        <f>RAW_GAMES!O251</f>
        <v>3</v>
      </c>
      <c r="P251">
        <f>RAW_GAMES!N251</f>
        <v>1</v>
      </c>
      <c r="Q251">
        <f t="shared" si="21"/>
        <v>0.33333333333333331</v>
      </c>
      <c r="R251" s="7">
        <f>RAW_GAMES!Q251</f>
        <v>4</v>
      </c>
      <c r="S251">
        <f>RAW_GAMES!P251</f>
        <v>1</v>
      </c>
      <c r="T251">
        <f t="shared" si="22"/>
        <v>0.75</v>
      </c>
      <c r="U251">
        <f>_xlfn.XLOOKUP(C251,
  CALC_TEAMS_SEASON!B:B,
  CALC_TEAMS_SEASON!F:F)</f>
        <v>0.16984890109890113</v>
      </c>
      <c r="V251">
        <f>_xlfn.XLOOKUP(D251,
  CALC_TEAMS_SEASON!B:B,
  CALC_TEAMS_SEASON!F:F)</f>
        <v>0.11826923076923078</v>
      </c>
      <c r="W251" t="str">
        <f>RAW_GAMES!R251</f>
        <v>Hrachovina</v>
      </c>
      <c r="X251" s="7">
        <f>RAW_GAMES!S251</f>
        <v>30</v>
      </c>
      <c r="Y251">
        <f t="shared" si="23"/>
        <v>1</v>
      </c>
      <c r="Z251" t="str">
        <f>RAW_GAMES!V251</f>
        <v>RS</v>
      </c>
    </row>
    <row r="252" spans="1:26" x14ac:dyDescent="0.25">
      <c r="A252" t="str">
        <f>RAW_GAMES!A252</f>
        <v>25/26</v>
      </c>
      <c r="B252" s="3">
        <f>RAW_GAMES!B252</f>
        <v>45958</v>
      </c>
      <c r="C252" s="3" t="str">
        <f>RAW_GAMES!E252</f>
        <v>PCE</v>
      </c>
      <c r="D252" s="3" t="str">
        <f>RAW_GAMES!F252</f>
        <v>PLZ</v>
      </c>
      <c r="E252" s="7">
        <f>RAW_GAMES!G252</f>
        <v>1</v>
      </c>
      <c r="F252">
        <f>RAW_GAMES!H252</f>
        <v>1</v>
      </c>
      <c r="G252">
        <f>RAW_GAMES!I252</f>
        <v>3</v>
      </c>
      <c r="H252">
        <f t="shared" si="18"/>
        <v>-2</v>
      </c>
      <c r="I252">
        <f>RAW_GAMES!J252</f>
        <v>23</v>
      </c>
      <c r="J252">
        <f>RAW_GAMES!K252</f>
        <v>19</v>
      </c>
      <c r="K252">
        <f t="shared" si="19"/>
        <v>4</v>
      </c>
      <c r="L252">
        <f>IF(RAW_GAMES!L252="","",RAW_GAMES!L252)</f>
        <v>2.54</v>
      </c>
      <c r="M252">
        <f>IF(RAW_GAMES!M252="","",RAW_GAMES!M252)</f>
        <v>2.37</v>
      </c>
      <c r="N252">
        <f t="shared" si="20"/>
        <v>0.16999999999999993</v>
      </c>
      <c r="O252" s="7">
        <f>RAW_GAMES!O252</f>
        <v>6</v>
      </c>
      <c r="P252">
        <f>RAW_GAMES!N252</f>
        <v>0</v>
      </c>
      <c r="Q252">
        <f t="shared" si="21"/>
        <v>0</v>
      </c>
      <c r="R252" s="7">
        <f>RAW_GAMES!Q252</f>
        <v>5</v>
      </c>
      <c r="S252">
        <f>RAW_GAMES!P252</f>
        <v>0</v>
      </c>
      <c r="T252">
        <f t="shared" si="22"/>
        <v>1</v>
      </c>
      <c r="U252">
        <f>_xlfn.XLOOKUP(C252,
  CALC_TEAMS_SEASON!B:B,
  CALC_TEAMS_SEASON!F:F)</f>
        <v>0.20297619047619053</v>
      </c>
      <c r="V252">
        <f>_xlfn.XLOOKUP(D252,
  CALC_TEAMS_SEASON!B:B,
  CALC_TEAMS_SEASON!F:F)</f>
        <v>0.17641178266178262</v>
      </c>
      <c r="W252" t="str">
        <f>RAW_GAMES!R252</f>
        <v>Will</v>
      </c>
      <c r="X252" s="7">
        <f>RAW_GAMES!S252</f>
        <v>16</v>
      </c>
      <c r="Y252">
        <f t="shared" si="23"/>
        <v>0</v>
      </c>
      <c r="Z252" t="str">
        <f>RAW_GAMES!V252</f>
        <v>RS</v>
      </c>
    </row>
    <row r="253" spans="1:26" x14ac:dyDescent="0.25">
      <c r="A253" t="str">
        <f>RAW_GAMES!A253</f>
        <v>25/26</v>
      </c>
      <c r="B253" s="3">
        <f>RAW_GAMES!B253</f>
        <v>45958</v>
      </c>
      <c r="C253" s="3" t="str">
        <f>RAW_GAMES!E253</f>
        <v>TRI</v>
      </c>
      <c r="D253" s="3" t="str">
        <f>RAW_GAMES!F253</f>
        <v>CEB</v>
      </c>
      <c r="E253" s="7">
        <f>RAW_GAMES!G253</f>
        <v>1</v>
      </c>
      <c r="F253">
        <f>RAW_GAMES!H253</f>
        <v>6</v>
      </c>
      <c r="G253">
        <f>RAW_GAMES!I253</f>
        <v>3</v>
      </c>
      <c r="H253">
        <f t="shared" si="18"/>
        <v>3</v>
      </c>
      <c r="I253">
        <f>RAW_GAMES!J253</f>
        <v>23</v>
      </c>
      <c r="J253">
        <f>RAW_GAMES!K253</f>
        <v>25</v>
      </c>
      <c r="K253">
        <f t="shared" si="19"/>
        <v>-2</v>
      </c>
      <c r="L253">
        <f>IF(RAW_GAMES!L253="","",RAW_GAMES!L253)</f>
        <v>3.02</v>
      </c>
      <c r="M253">
        <f>IF(RAW_GAMES!M253="","",RAW_GAMES!M253)</f>
        <v>2.04</v>
      </c>
      <c r="N253">
        <f t="shared" si="20"/>
        <v>0.98</v>
      </c>
      <c r="O253" s="7">
        <f>RAW_GAMES!O253</f>
        <v>6</v>
      </c>
      <c r="P253">
        <f>RAW_GAMES!N253</f>
        <v>2</v>
      </c>
      <c r="Q253">
        <f t="shared" si="21"/>
        <v>0.33333333333333331</v>
      </c>
      <c r="R253" s="7">
        <f>RAW_GAMES!Q253</f>
        <v>2</v>
      </c>
      <c r="S253">
        <f>RAW_GAMES!P253</f>
        <v>1</v>
      </c>
      <c r="T253">
        <f t="shared" si="22"/>
        <v>0.5</v>
      </c>
      <c r="U253">
        <f>_xlfn.XLOOKUP(C253,
  CALC_TEAMS_SEASON!B:B,
  CALC_TEAMS_SEASON!F:F)</f>
        <v>0.17437423687423692</v>
      </c>
      <c r="V253">
        <f>_xlfn.XLOOKUP(D253,
  CALC_TEAMS_SEASON!B:B,
  CALC_TEAMS_SEASON!F:F)</f>
        <v>0.13021353646353648</v>
      </c>
      <c r="W253" t="str">
        <f>RAW_GAMES!R253</f>
        <v>Mazanec</v>
      </c>
      <c r="X253" s="7">
        <f>RAW_GAMES!S253</f>
        <v>22</v>
      </c>
      <c r="Y253">
        <f t="shared" si="23"/>
        <v>1</v>
      </c>
      <c r="Z253" t="str">
        <f>RAW_GAMES!V253</f>
        <v>RS</v>
      </c>
    </row>
    <row r="254" spans="1:26" x14ac:dyDescent="0.25">
      <c r="A254" t="str">
        <f>RAW_GAMES!A254</f>
        <v>25/26</v>
      </c>
      <c r="B254" s="3">
        <f>RAW_GAMES!B254</f>
        <v>45958</v>
      </c>
      <c r="C254" s="3" t="str">
        <f>RAW_GAMES!E254</f>
        <v>KOM</v>
      </c>
      <c r="D254" s="3" t="str">
        <f>RAW_GAMES!F254</f>
        <v>MHK</v>
      </c>
      <c r="E254" s="7">
        <f>RAW_GAMES!G254</f>
        <v>1</v>
      </c>
      <c r="F254">
        <f>RAW_GAMES!H254</f>
        <v>1</v>
      </c>
      <c r="G254">
        <f>RAW_GAMES!I254</f>
        <v>2</v>
      </c>
      <c r="H254">
        <f t="shared" si="18"/>
        <v>-1</v>
      </c>
      <c r="I254">
        <f>RAW_GAMES!J254</f>
        <v>18</v>
      </c>
      <c r="J254">
        <f>RAW_GAMES!K254</f>
        <v>22</v>
      </c>
      <c r="K254">
        <f t="shared" si="19"/>
        <v>-4</v>
      </c>
      <c r="L254">
        <f>IF(RAW_GAMES!L254="","",RAW_GAMES!L254)</f>
        <v>1.26</v>
      </c>
      <c r="M254">
        <f>IF(RAW_GAMES!M254="","",RAW_GAMES!M254)</f>
        <v>2.77</v>
      </c>
      <c r="N254">
        <f t="shared" si="20"/>
        <v>-1.51</v>
      </c>
      <c r="O254" s="7">
        <f>RAW_GAMES!O254</f>
        <v>4</v>
      </c>
      <c r="P254">
        <f>RAW_GAMES!N254</f>
        <v>0</v>
      </c>
      <c r="Q254">
        <f t="shared" si="21"/>
        <v>0</v>
      </c>
      <c r="R254" s="7">
        <f>RAW_GAMES!Q254</f>
        <v>2</v>
      </c>
      <c r="S254">
        <f>RAW_GAMES!P254</f>
        <v>1</v>
      </c>
      <c r="T254">
        <f t="shared" si="22"/>
        <v>0.5</v>
      </c>
      <c r="U254">
        <f>_xlfn.XLOOKUP(C254,
  CALC_TEAMS_SEASON!B:B,
  CALC_TEAMS_SEASON!F:F)</f>
        <v>0.14358974358974358</v>
      </c>
      <c r="V254">
        <f>_xlfn.XLOOKUP(D254,
  CALC_TEAMS_SEASON!B:B,
  CALC_TEAMS_SEASON!F:F)</f>
        <v>0.14184981684981687</v>
      </c>
      <c r="W254" t="str">
        <f>RAW_GAMES!R254</f>
        <v>Kavan</v>
      </c>
      <c r="X254" s="7">
        <f>RAW_GAMES!S254</f>
        <v>20</v>
      </c>
      <c r="Y254">
        <f t="shared" si="23"/>
        <v>0</v>
      </c>
      <c r="Z254" t="str">
        <f>RAW_GAMES!V254</f>
        <v>RS</v>
      </c>
    </row>
    <row r="255" spans="1:26" x14ac:dyDescent="0.25">
      <c r="A255" t="str">
        <f>RAW_GAMES!A255</f>
        <v>25/26</v>
      </c>
      <c r="B255" s="3">
        <f>RAW_GAMES!B255</f>
        <v>45958</v>
      </c>
      <c r="C255" s="3" t="str">
        <f>RAW_GAMES!E255</f>
        <v>CEB</v>
      </c>
      <c r="D255" s="3" t="str">
        <f>RAW_GAMES!F255</f>
        <v>TRI</v>
      </c>
      <c r="E255" s="7">
        <f>RAW_GAMES!G255</f>
        <v>0</v>
      </c>
      <c r="F255">
        <f>RAW_GAMES!H255</f>
        <v>3</v>
      </c>
      <c r="G255">
        <f>RAW_GAMES!I255</f>
        <v>6</v>
      </c>
      <c r="H255">
        <f t="shared" si="18"/>
        <v>-3</v>
      </c>
      <c r="I255">
        <f>RAW_GAMES!J255</f>
        <v>25</v>
      </c>
      <c r="J255">
        <f>RAW_GAMES!K255</f>
        <v>23</v>
      </c>
      <c r="K255">
        <f t="shared" si="19"/>
        <v>2</v>
      </c>
      <c r="L255">
        <f>IF(RAW_GAMES!L255="","",RAW_GAMES!L255)</f>
        <v>2.04</v>
      </c>
      <c r="M255">
        <f>IF(RAW_GAMES!M255="","",RAW_GAMES!M255)</f>
        <v>3.02</v>
      </c>
      <c r="N255">
        <f t="shared" si="20"/>
        <v>-0.98</v>
      </c>
      <c r="O255" s="7">
        <f>RAW_GAMES!O255</f>
        <v>2</v>
      </c>
      <c r="P255">
        <f>RAW_GAMES!N255</f>
        <v>1</v>
      </c>
      <c r="Q255">
        <f t="shared" si="21"/>
        <v>0.5</v>
      </c>
      <c r="R255" s="7">
        <f>RAW_GAMES!Q255</f>
        <v>6</v>
      </c>
      <c r="S255">
        <f>RAW_GAMES!P255</f>
        <v>2</v>
      </c>
      <c r="T255">
        <f t="shared" si="22"/>
        <v>0.66666666666666674</v>
      </c>
      <c r="U255">
        <f>_xlfn.XLOOKUP(C255,
  CALC_TEAMS_SEASON!B:B,
  CALC_TEAMS_SEASON!F:F)</f>
        <v>0.13021353646353648</v>
      </c>
      <c r="V255">
        <f>_xlfn.XLOOKUP(D255,
  CALC_TEAMS_SEASON!B:B,
  CALC_TEAMS_SEASON!F:F)</f>
        <v>0.17437423687423692</v>
      </c>
      <c r="W255" t="str">
        <f>RAW_GAMES!R255</f>
        <v>Mařík</v>
      </c>
      <c r="X255" s="7">
        <f>RAW_GAMES!S255</f>
        <v>17</v>
      </c>
      <c r="Y255">
        <f t="shared" si="23"/>
        <v>0</v>
      </c>
      <c r="Z255" t="str">
        <f>RAW_GAMES!V255</f>
        <v>RS</v>
      </c>
    </row>
    <row r="256" spans="1:26" x14ac:dyDescent="0.25">
      <c r="A256" t="str">
        <f>RAW_GAMES!A256</f>
        <v>25/26</v>
      </c>
      <c r="B256" s="3">
        <f>RAW_GAMES!B256</f>
        <v>45958</v>
      </c>
      <c r="C256" s="3" t="str">
        <f>RAW_GAMES!E256</f>
        <v>KLA</v>
      </c>
      <c r="D256" s="3" t="str">
        <f>RAW_GAMES!F256</f>
        <v>LIB</v>
      </c>
      <c r="E256" s="7">
        <f>RAW_GAMES!G256</f>
        <v>1</v>
      </c>
      <c r="F256">
        <f>RAW_GAMES!H256</f>
        <v>4</v>
      </c>
      <c r="G256">
        <f>RAW_GAMES!I256</f>
        <v>3</v>
      </c>
      <c r="H256">
        <f t="shared" si="18"/>
        <v>1</v>
      </c>
      <c r="I256">
        <f>RAW_GAMES!J256</f>
        <v>21</v>
      </c>
      <c r="J256">
        <f>RAW_GAMES!K256</f>
        <v>43</v>
      </c>
      <c r="K256">
        <f t="shared" si="19"/>
        <v>-22</v>
      </c>
      <c r="L256" t="str">
        <f>IF(RAW_GAMES!L256="","",RAW_GAMES!L256)</f>
        <v/>
      </c>
      <c r="M256" t="str">
        <f>IF(RAW_GAMES!M256="","",RAW_GAMES!M256)</f>
        <v/>
      </c>
      <c r="N256" t="str">
        <f t="shared" si="20"/>
        <v/>
      </c>
      <c r="O256" s="7">
        <f>RAW_GAMES!O256</f>
        <v>5</v>
      </c>
      <c r="P256">
        <f>RAW_GAMES!N256</f>
        <v>1</v>
      </c>
      <c r="Q256">
        <f t="shared" si="21"/>
        <v>0.2</v>
      </c>
      <c r="R256" s="7">
        <f>RAW_GAMES!Q256</f>
        <v>4</v>
      </c>
      <c r="S256">
        <f>RAW_GAMES!P256</f>
        <v>0</v>
      </c>
      <c r="T256">
        <f t="shared" si="22"/>
        <v>1</v>
      </c>
      <c r="U256">
        <f>_xlfn.XLOOKUP(C256,
  CALC_TEAMS_SEASON!B:B,
  CALC_TEAMS_SEASON!F:F)</f>
        <v>0.13120421245421243</v>
      </c>
      <c r="V256">
        <f>_xlfn.XLOOKUP(D256,
  CALC_TEAMS_SEASON!B:B,
  CALC_TEAMS_SEASON!F:F)</f>
        <v>0.14377289377289379</v>
      </c>
      <c r="W256" t="str">
        <f>RAW_GAMES!R256</f>
        <v>Brízgala</v>
      </c>
      <c r="X256" s="7">
        <f>RAW_GAMES!S256</f>
        <v>40</v>
      </c>
      <c r="Y256">
        <f t="shared" si="23"/>
        <v>1</v>
      </c>
      <c r="Z256" t="str">
        <f>RAW_GAMES!V256</f>
        <v>RS</v>
      </c>
    </row>
    <row r="257" spans="1:26" x14ac:dyDescent="0.25">
      <c r="A257" t="str">
        <f>RAW_GAMES!A257</f>
        <v>25/26</v>
      </c>
      <c r="B257" s="3">
        <f>RAW_GAMES!B257</f>
        <v>45958</v>
      </c>
      <c r="C257" s="3" t="str">
        <f>RAW_GAMES!E257</f>
        <v>KVA</v>
      </c>
      <c r="D257" s="3" t="str">
        <f>RAW_GAMES!F257</f>
        <v>MBL</v>
      </c>
      <c r="E257" s="7">
        <f>RAW_GAMES!G257</f>
        <v>1</v>
      </c>
      <c r="F257">
        <f>RAW_GAMES!H257</f>
        <v>4</v>
      </c>
      <c r="G257">
        <f>RAW_GAMES!I257</f>
        <v>5</v>
      </c>
      <c r="H257">
        <f t="shared" si="18"/>
        <v>-1</v>
      </c>
      <c r="I257">
        <f>RAW_GAMES!J257</f>
        <v>36</v>
      </c>
      <c r="J257">
        <f>RAW_GAMES!K257</f>
        <v>25</v>
      </c>
      <c r="K257">
        <f t="shared" si="19"/>
        <v>11</v>
      </c>
      <c r="L257" t="str">
        <f>IF(RAW_GAMES!L257="","",RAW_GAMES!L257)</f>
        <v/>
      </c>
      <c r="M257" t="str">
        <f>IF(RAW_GAMES!M257="","",RAW_GAMES!M257)</f>
        <v/>
      </c>
      <c r="N257" t="str">
        <f t="shared" si="20"/>
        <v/>
      </c>
      <c r="O257" s="7">
        <f>RAW_GAMES!O257</f>
        <v>6</v>
      </c>
      <c r="P257">
        <f>RAW_GAMES!N257</f>
        <v>2</v>
      </c>
      <c r="Q257">
        <f t="shared" si="21"/>
        <v>0.33333333333333331</v>
      </c>
      <c r="R257" s="7">
        <f>RAW_GAMES!Q257</f>
        <v>5</v>
      </c>
      <c r="S257">
        <f>RAW_GAMES!P257</f>
        <v>1</v>
      </c>
      <c r="T257">
        <f t="shared" si="22"/>
        <v>0.8</v>
      </c>
      <c r="U257">
        <f>_xlfn.XLOOKUP(C257,
  CALC_TEAMS_SEASON!B:B,
  CALC_TEAMS_SEASON!F:F)</f>
        <v>0.17387057387057389</v>
      </c>
      <c r="V257">
        <f>_xlfn.XLOOKUP(D257,
  CALC_TEAMS_SEASON!B:B,
  CALC_TEAMS_SEASON!F:F)</f>
        <v>0.11826923076923078</v>
      </c>
      <c r="W257" t="str">
        <f>RAW_GAMES!R257</f>
        <v>Frodl</v>
      </c>
      <c r="X257" s="7">
        <f>RAW_GAMES!S257</f>
        <v>20</v>
      </c>
      <c r="Y257">
        <f t="shared" si="23"/>
        <v>0</v>
      </c>
      <c r="Z257" t="str">
        <f>RAW_GAMES!V257</f>
        <v>RS</v>
      </c>
    </row>
    <row r="258" spans="1:26" x14ac:dyDescent="0.25">
      <c r="A258" t="str">
        <f>RAW_GAMES!A258</f>
        <v>25/26</v>
      </c>
      <c r="B258" s="3">
        <f>RAW_GAMES!B258</f>
        <v>45958</v>
      </c>
      <c r="C258" s="3" t="str">
        <f>RAW_GAMES!E258</f>
        <v>LIB</v>
      </c>
      <c r="D258" s="3" t="str">
        <f>RAW_GAMES!F258</f>
        <v>KLA</v>
      </c>
      <c r="E258" s="7">
        <f>RAW_GAMES!G258</f>
        <v>0</v>
      </c>
      <c r="F258">
        <f>RAW_GAMES!H258</f>
        <v>3</v>
      </c>
      <c r="G258">
        <f>RAW_GAMES!I258</f>
        <v>4</v>
      </c>
      <c r="H258">
        <f t="shared" si="18"/>
        <v>-1</v>
      </c>
      <c r="I258">
        <f>RAW_GAMES!J258</f>
        <v>43</v>
      </c>
      <c r="J258">
        <f>RAW_GAMES!K258</f>
        <v>21</v>
      </c>
      <c r="K258">
        <f t="shared" si="19"/>
        <v>22</v>
      </c>
      <c r="L258" t="str">
        <f>IF(RAW_GAMES!L258="","",RAW_GAMES!L258)</f>
        <v/>
      </c>
      <c r="M258" t="str">
        <f>IF(RAW_GAMES!M258="","",RAW_GAMES!M258)</f>
        <v/>
      </c>
      <c r="N258" t="str">
        <f t="shared" si="20"/>
        <v/>
      </c>
      <c r="O258" s="7">
        <f>RAW_GAMES!O258</f>
        <v>4</v>
      </c>
      <c r="P258">
        <f>RAW_GAMES!N258</f>
        <v>0</v>
      </c>
      <c r="Q258">
        <f t="shared" si="21"/>
        <v>0</v>
      </c>
      <c r="R258" s="7">
        <f>RAW_GAMES!Q258</f>
        <v>5</v>
      </c>
      <c r="S258">
        <f>RAW_GAMES!P258</f>
        <v>1</v>
      </c>
      <c r="T258">
        <f t="shared" si="22"/>
        <v>0.8</v>
      </c>
      <c r="U258">
        <f>_xlfn.XLOOKUP(C258,
  CALC_TEAMS_SEASON!B:B,
  CALC_TEAMS_SEASON!F:F)</f>
        <v>0.14377289377289379</v>
      </c>
      <c r="V258">
        <f>_xlfn.XLOOKUP(D258,
  CALC_TEAMS_SEASON!B:B,
  CALC_TEAMS_SEASON!F:F)</f>
        <v>0.13120421245421243</v>
      </c>
      <c r="W258" t="str">
        <f>RAW_GAMES!R258</f>
        <v>Kváča</v>
      </c>
      <c r="X258" s="7">
        <f>RAW_GAMES!S258</f>
        <v>18</v>
      </c>
      <c r="Y258">
        <f t="shared" si="23"/>
        <v>0</v>
      </c>
      <c r="Z258" t="str">
        <f>RAW_GAMES!V258</f>
        <v>RS</v>
      </c>
    </row>
    <row r="259" spans="1:26" x14ac:dyDescent="0.25">
      <c r="A259" t="str">
        <f>RAW_GAMES!A259</f>
        <v>25/26</v>
      </c>
      <c r="B259" s="3">
        <f>RAW_GAMES!B259</f>
        <v>45958</v>
      </c>
      <c r="C259" s="3" t="str">
        <f>RAW_GAMES!E259</f>
        <v>LIT</v>
      </c>
      <c r="D259" s="3" t="str">
        <f>RAW_GAMES!F259</f>
        <v>OLO</v>
      </c>
      <c r="E259" s="7">
        <f>RAW_GAMES!G259</f>
        <v>1</v>
      </c>
      <c r="F259">
        <f>RAW_GAMES!H259</f>
        <v>1</v>
      </c>
      <c r="G259">
        <f>RAW_GAMES!I259</f>
        <v>0</v>
      </c>
      <c r="H259">
        <f t="shared" ref="H259:H322" si="24">F259-G259</f>
        <v>1</v>
      </c>
      <c r="I259">
        <f>RAW_GAMES!J259</f>
        <v>32</v>
      </c>
      <c r="J259">
        <f>RAW_GAMES!K259</f>
        <v>26</v>
      </c>
      <c r="K259">
        <f t="shared" ref="K259:K322" si="25">I259-J259</f>
        <v>6</v>
      </c>
      <c r="L259" t="str">
        <f>IF(RAW_GAMES!L259="","",RAW_GAMES!L259)</f>
        <v/>
      </c>
      <c r="M259" t="str">
        <f>IF(RAW_GAMES!M259="","",RAW_GAMES!M259)</f>
        <v/>
      </c>
      <c r="N259" t="str">
        <f t="shared" ref="N259:N322" si="26">IF(L259="","",L259-M259)</f>
        <v/>
      </c>
      <c r="O259" s="7">
        <f>RAW_GAMES!O259</f>
        <v>5</v>
      </c>
      <c r="P259">
        <f>RAW_GAMES!N259</f>
        <v>1</v>
      </c>
      <c r="Q259">
        <f t="shared" ref="Q259:Q322" si="27">IF(O259&gt;0,P259/O259,0)</f>
        <v>0.2</v>
      </c>
      <c r="R259" s="7">
        <f>RAW_GAMES!Q259</f>
        <v>1</v>
      </c>
      <c r="S259">
        <f>RAW_GAMES!P259</f>
        <v>0</v>
      </c>
      <c r="T259">
        <f t="shared" ref="T259:T322" si="28">IF(R259&gt;0, 1-(S259/R259),1)</f>
        <v>1</v>
      </c>
      <c r="U259">
        <f>_xlfn.XLOOKUP(C259,
  CALC_TEAMS_SEASON!B:B,
  CALC_TEAMS_SEASON!F:F)</f>
        <v>0.10089285714285713</v>
      </c>
      <c r="V259">
        <f>_xlfn.XLOOKUP(D259,
  CALC_TEAMS_SEASON!B:B,
  CALC_TEAMS_SEASON!F:F)</f>
        <v>0.14989316239316242</v>
      </c>
      <c r="W259" t="str">
        <f>RAW_GAMES!R259</f>
        <v>Čajan</v>
      </c>
      <c r="X259" s="7">
        <f>RAW_GAMES!S259</f>
        <v>26</v>
      </c>
      <c r="Y259">
        <f t="shared" ref="Y259:Y322" si="29">IF(F259&gt;G259,1,0)</f>
        <v>1</v>
      </c>
      <c r="Z259" t="str">
        <f>RAW_GAMES!V259</f>
        <v>RS</v>
      </c>
    </row>
    <row r="260" spans="1:26" x14ac:dyDescent="0.25">
      <c r="A260" t="str">
        <f>RAW_GAMES!A260</f>
        <v>25/26</v>
      </c>
      <c r="B260" s="3">
        <f>RAW_GAMES!B260</f>
        <v>45958</v>
      </c>
      <c r="C260" s="3" t="str">
        <f>RAW_GAMES!E260</f>
        <v>MBL</v>
      </c>
      <c r="D260" s="3" t="str">
        <f>RAW_GAMES!F260</f>
        <v>KVA</v>
      </c>
      <c r="E260" s="7">
        <f>RAW_GAMES!G260</f>
        <v>0</v>
      </c>
      <c r="F260">
        <f>RAW_GAMES!H260</f>
        <v>5</v>
      </c>
      <c r="G260">
        <f>RAW_GAMES!I260</f>
        <v>4</v>
      </c>
      <c r="H260">
        <f t="shared" si="24"/>
        <v>1</v>
      </c>
      <c r="I260">
        <f>RAW_GAMES!J260</f>
        <v>25</v>
      </c>
      <c r="J260">
        <f>RAW_GAMES!K260</f>
        <v>36</v>
      </c>
      <c r="K260">
        <f t="shared" si="25"/>
        <v>-11</v>
      </c>
      <c r="L260" t="str">
        <f>IF(RAW_GAMES!L260="","",RAW_GAMES!L260)</f>
        <v/>
      </c>
      <c r="M260" t="str">
        <f>IF(RAW_GAMES!M260="","",RAW_GAMES!M260)</f>
        <v/>
      </c>
      <c r="N260" t="str">
        <f t="shared" si="26"/>
        <v/>
      </c>
      <c r="O260" s="7">
        <f>RAW_GAMES!O260</f>
        <v>5</v>
      </c>
      <c r="P260">
        <f>RAW_GAMES!N260</f>
        <v>1</v>
      </c>
      <c r="Q260">
        <f t="shared" si="27"/>
        <v>0.2</v>
      </c>
      <c r="R260" s="7">
        <f>RAW_GAMES!Q260</f>
        <v>6</v>
      </c>
      <c r="S260">
        <f>RAW_GAMES!P260</f>
        <v>2</v>
      </c>
      <c r="T260">
        <f t="shared" si="28"/>
        <v>0.66666666666666674</v>
      </c>
      <c r="U260">
        <f>_xlfn.XLOOKUP(C260,
  CALC_TEAMS_SEASON!B:B,
  CALC_TEAMS_SEASON!F:F)</f>
        <v>0.11826923076923078</v>
      </c>
      <c r="V260">
        <f>_xlfn.XLOOKUP(D260,
  CALC_TEAMS_SEASON!B:B,
  CALC_TEAMS_SEASON!F:F)</f>
        <v>0.17387057387057389</v>
      </c>
      <c r="W260" t="str">
        <f>RAW_GAMES!R260</f>
        <v>Furch</v>
      </c>
      <c r="X260" s="7">
        <f>RAW_GAMES!S260</f>
        <v>32</v>
      </c>
      <c r="Y260">
        <f t="shared" si="29"/>
        <v>1</v>
      </c>
      <c r="Z260" t="str">
        <f>RAW_GAMES!V260</f>
        <v>RS</v>
      </c>
    </row>
    <row r="261" spans="1:26" x14ac:dyDescent="0.25">
      <c r="A261" t="str">
        <f>RAW_GAMES!A261</f>
        <v>25/26</v>
      </c>
      <c r="B261" s="3">
        <f>RAW_GAMES!B261</f>
        <v>45958</v>
      </c>
      <c r="C261" s="3" t="str">
        <f>RAW_GAMES!E261</f>
        <v>MHK</v>
      </c>
      <c r="D261" s="3" t="str">
        <f>RAW_GAMES!F261</f>
        <v>KOM</v>
      </c>
      <c r="E261" s="7">
        <f>RAW_GAMES!G261</f>
        <v>0</v>
      </c>
      <c r="F261">
        <f>RAW_GAMES!H261</f>
        <v>2</v>
      </c>
      <c r="G261">
        <f>RAW_GAMES!I261</f>
        <v>1</v>
      </c>
      <c r="H261">
        <f t="shared" si="24"/>
        <v>1</v>
      </c>
      <c r="I261">
        <f>RAW_GAMES!J261</f>
        <v>18</v>
      </c>
      <c r="J261">
        <f>RAW_GAMES!K261</f>
        <v>22</v>
      </c>
      <c r="K261">
        <f t="shared" si="25"/>
        <v>-4</v>
      </c>
      <c r="L261">
        <f>IF(RAW_GAMES!L261="","",RAW_GAMES!L261)</f>
        <v>2.77</v>
      </c>
      <c r="M261">
        <f>IF(RAW_GAMES!M261="","",RAW_GAMES!M261)</f>
        <v>1.26</v>
      </c>
      <c r="N261">
        <f t="shared" si="26"/>
        <v>1.51</v>
      </c>
      <c r="O261" s="7">
        <f>RAW_GAMES!O261</f>
        <v>2</v>
      </c>
      <c r="P261">
        <f>RAW_GAMES!N261</f>
        <v>1</v>
      </c>
      <c r="Q261">
        <f t="shared" si="27"/>
        <v>0.5</v>
      </c>
      <c r="R261" s="7">
        <f>RAW_GAMES!Q261</f>
        <v>4</v>
      </c>
      <c r="S261">
        <f>RAW_GAMES!P261</f>
        <v>0</v>
      </c>
      <c r="T261">
        <f t="shared" si="28"/>
        <v>1</v>
      </c>
      <c r="U261">
        <f>_xlfn.XLOOKUP(C261,
  CALC_TEAMS_SEASON!B:B,
  CALC_TEAMS_SEASON!F:F)</f>
        <v>0.14184981684981687</v>
      </c>
      <c r="V261">
        <f>_xlfn.XLOOKUP(D261,
  CALC_TEAMS_SEASON!B:B,
  CALC_TEAMS_SEASON!F:F)</f>
        <v>0.14358974358974358</v>
      </c>
      <c r="W261" t="str">
        <f>RAW_GAMES!R261</f>
        <v>Škorvánek</v>
      </c>
      <c r="X261" s="7">
        <f>RAW_GAMES!S261</f>
        <v>17</v>
      </c>
      <c r="Y261">
        <f t="shared" si="29"/>
        <v>1</v>
      </c>
      <c r="Z261" t="str">
        <f>RAW_GAMES!V261</f>
        <v>RS</v>
      </c>
    </row>
    <row r="262" spans="1:26" x14ac:dyDescent="0.25">
      <c r="A262" t="str">
        <f>RAW_GAMES!A262</f>
        <v>25/26</v>
      </c>
      <c r="B262" s="3">
        <f>RAW_GAMES!B262</f>
        <v>45958</v>
      </c>
      <c r="C262" s="3" t="str">
        <f>RAW_GAMES!E262</f>
        <v>OLO</v>
      </c>
      <c r="D262" s="3" t="str">
        <f>RAW_GAMES!F262</f>
        <v>LIT</v>
      </c>
      <c r="E262" s="7">
        <f>RAW_GAMES!G262</f>
        <v>0</v>
      </c>
      <c r="F262">
        <f>RAW_GAMES!H262</f>
        <v>0</v>
      </c>
      <c r="G262">
        <f>RAW_GAMES!I262</f>
        <v>1</v>
      </c>
      <c r="H262">
        <f t="shared" si="24"/>
        <v>-1</v>
      </c>
      <c r="I262">
        <f>RAW_GAMES!J262</f>
        <v>26</v>
      </c>
      <c r="J262">
        <f>RAW_GAMES!K262</f>
        <v>32</v>
      </c>
      <c r="K262">
        <f t="shared" si="25"/>
        <v>-6</v>
      </c>
      <c r="L262" t="str">
        <f>IF(RAW_GAMES!L262="","",RAW_GAMES!L262)</f>
        <v/>
      </c>
      <c r="M262" t="str">
        <f>IF(RAW_GAMES!M262="","",RAW_GAMES!M262)</f>
        <v/>
      </c>
      <c r="N262" t="str">
        <f t="shared" si="26"/>
        <v/>
      </c>
      <c r="O262" s="7">
        <f>RAW_GAMES!O262</f>
        <v>1</v>
      </c>
      <c r="P262">
        <f>RAW_GAMES!N262</f>
        <v>0</v>
      </c>
      <c r="Q262">
        <f t="shared" si="27"/>
        <v>0</v>
      </c>
      <c r="R262" s="7">
        <f>RAW_GAMES!Q262</f>
        <v>5</v>
      </c>
      <c r="S262">
        <f>RAW_GAMES!P262</f>
        <v>1</v>
      </c>
      <c r="T262">
        <f t="shared" si="28"/>
        <v>0.8</v>
      </c>
      <c r="U262">
        <f>_xlfn.XLOOKUP(C262,
  CALC_TEAMS_SEASON!B:B,
  CALC_TEAMS_SEASON!F:F)</f>
        <v>0.14989316239316242</v>
      </c>
      <c r="V262">
        <f>_xlfn.XLOOKUP(D262,
  CALC_TEAMS_SEASON!B:B,
  CALC_TEAMS_SEASON!F:F)</f>
        <v>0.10089285714285713</v>
      </c>
      <c r="W262" t="str">
        <f>RAW_GAMES!R262</f>
        <v>Cichoň</v>
      </c>
      <c r="X262" s="7">
        <f>RAW_GAMES!S262</f>
        <v>31</v>
      </c>
      <c r="Y262">
        <f t="shared" si="29"/>
        <v>0</v>
      </c>
      <c r="Z262" t="str">
        <f>RAW_GAMES!V262</f>
        <v>RS</v>
      </c>
    </row>
    <row r="263" spans="1:26" x14ac:dyDescent="0.25">
      <c r="A263" t="str">
        <f>RAW_GAMES!A263</f>
        <v>25/26</v>
      </c>
      <c r="B263" s="3">
        <f>RAW_GAMES!B263</f>
        <v>45958</v>
      </c>
      <c r="C263" s="3" t="str">
        <f>RAW_GAMES!E263</f>
        <v>PLZ</v>
      </c>
      <c r="D263" s="3" t="str">
        <f>RAW_GAMES!F263</f>
        <v>PCE</v>
      </c>
      <c r="E263" s="7">
        <f>RAW_GAMES!G263</f>
        <v>0</v>
      </c>
      <c r="F263">
        <f>RAW_GAMES!H263</f>
        <v>3</v>
      </c>
      <c r="G263">
        <f>RAW_GAMES!I263</f>
        <v>1</v>
      </c>
      <c r="H263">
        <f t="shared" si="24"/>
        <v>2</v>
      </c>
      <c r="I263">
        <f>RAW_GAMES!J263</f>
        <v>19</v>
      </c>
      <c r="J263">
        <f>RAW_GAMES!K263</f>
        <v>23</v>
      </c>
      <c r="K263">
        <f t="shared" si="25"/>
        <v>-4</v>
      </c>
      <c r="L263">
        <f>IF(RAW_GAMES!L263="","",RAW_GAMES!L263)</f>
        <v>2.37</v>
      </c>
      <c r="M263">
        <f>IF(RAW_GAMES!M263="","",RAW_GAMES!M263)</f>
        <v>2.54</v>
      </c>
      <c r="N263">
        <f t="shared" si="26"/>
        <v>-0.16999999999999993</v>
      </c>
      <c r="O263" s="7">
        <f>RAW_GAMES!O263</f>
        <v>5</v>
      </c>
      <c r="P263">
        <f>RAW_GAMES!N263</f>
        <v>0</v>
      </c>
      <c r="Q263">
        <f t="shared" si="27"/>
        <v>0</v>
      </c>
      <c r="R263" s="7">
        <f>RAW_GAMES!Q263</f>
        <v>6</v>
      </c>
      <c r="S263">
        <f>RAW_GAMES!P263</f>
        <v>0</v>
      </c>
      <c r="T263">
        <f t="shared" si="28"/>
        <v>1</v>
      </c>
      <c r="U263">
        <f>_xlfn.XLOOKUP(C263,
  CALC_TEAMS_SEASON!B:B,
  CALC_TEAMS_SEASON!F:F)</f>
        <v>0.17641178266178262</v>
      </c>
      <c r="V263">
        <f>_xlfn.XLOOKUP(D263,
  CALC_TEAMS_SEASON!B:B,
  CALC_TEAMS_SEASON!F:F)</f>
        <v>0.20297619047619053</v>
      </c>
      <c r="W263" t="str">
        <f>RAW_GAMES!R263</f>
        <v>Malík</v>
      </c>
      <c r="X263" s="7">
        <f>RAW_GAMES!S263</f>
        <v>22</v>
      </c>
      <c r="Y263">
        <f t="shared" si="29"/>
        <v>1</v>
      </c>
      <c r="Z263" t="str">
        <f>RAW_GAMES!V263</f>
        <v>RS</v>
      </c>
    </row>
    <row r="264" spans="1:26" x14ac:dyDescent="0.25">
      <c r="A264" t="str">
        <f>RAW_GAMES!A264</f>
        <v>25/26</v>
      </c>
      <c r="B264" s="3">
        <f>RAW_GAMES!B264</f>
        <v>45959</v>
      </c>
      <c r="C264" s="3" t="str">
        <f>RAW_GAMES!E264</f>
        <v>SPA</v>
      </c>
      <c r="D264" s="3" t="str">
        <f>RAW_GAMES!F264</f>
        <v>VIT</v>
      </c>
      <c r="E264" s="7">
        <f>RAW_GAMES!G264</f>
        <v>0</v>
      </c>
      <c r="F264">
        <f>RAW_GAMES!H264</f>
        <v>4</v>
      </c>
      <c r="G264">
        <f>RAW_GAMES!I264</f>
        <v>1</v>
      </c>
      <c r="H264">
        <f t="shared" si="24"/>
        <v>3</v>
      </c>
      <c r="I264">
        <f>RAW_GAMES!J264</f>
        <v>35</v>
      </c>
      <c r="J264">
        <f>RAW_GAMES!K264</f>
        <v>22</v>
      </c>
      <c r="K264">
        <f t="shared" si="25"/>
        <v>13</v>
      </c>
      <c r="L264">
        <f>IF(RAW_GAMES!L264="","",RAW_GAMES!L264)</f>
        <v>2.86</v>
      </c>
      <c r="M264">
        <f>IF(RAW_GAMES!M264="","",RAW_GAMES!M264)</f>
        <v>1.55</v>
      </c>
      <c r="N264">
        <f t="shared" si="26"/>
        <v>1.3099999999999998</v>
      </c>
      <c r="O264" s="7">
        <f>RAW_GAMES!O264</f>
        <v>2</v>
      </c>
      <c r="P264">
        <f>RAW_GAMES!N264</f>
        <v>1</v>
      </c>
      <c r="Q264">
        <f t="shared" si="27"/>
        <v>0.5</v>
      </c>
      <c r="R264" s="7">
        <f>RAW_GAMES!Q264</f>
        <v>3</v>
      </c>
      <c r="S264">
        <f>RAW_GAMES!P264</f>
        <v>0</v>
      </c>
      <c r="T264">
        <f t="shared" si="28"/>
        <v>1</v>
      </c>
      <c r="U264">
        <f>_xlfn.XLOOKUP(C264,
  CALC_TEAMS_SEASON!B:B,
  CALC_TEAMS_SEASON!F:F)</f>
        <v>0.22060439560439565</v>
      </c>
      <c r="V264">
        <f>_xlfn.XLOOKUP(D264,
  CALC_TEAMS_SEASON!B:B,
  CALC_TEAMS_SEASON!F:F)</f>
        <v>0.16984890109890113</v>
      </c>
      <c r="W264" t="str">
        <f>RAW_GAMES!R264</f>
        <v>Kovář</v>
      </c>
      <c r="X264" s="7">
        <f>RAW_GAMES!S264</f>
        <v>21</v>
      </c>
      <c r="Y264">
        <f t="shared" si="29"/>
        <v>1</v>
      </c>
      <c r="Z264" t="str">
        <f>RAW_GAMES!V264</f>
        <v>RS</v>
      </c>
    </row>
    <row r="265" spans="1:26" x14ac:dyDescent="0.25">
      <c r="A265" t="str">
        <f>RAW_GAMES!A265</f>
        <v>25/26</v>
      </c>
      <c r="B265" s="3">
        <f>RAW_GAMES!B265</f>
        <v>45959</v>
      </c>
      <c r="C265" s="3" t="str">
        <f>RAW_GAMES!E265</f>
        <v>VIT</v>
      </c>
      <c r="D265" s="3" t="str">
        <f>RAW_GAMES!F265</f>
        <v>SPA</v>
      </c>
      <c r="E265" s="7">
        <f>RAW_GAMES!G265</f>
        <v>1</v>
      </c>
      <c r="F265">
        <f>RAW_GAMES!H265</f>
        <v>1</v>
      </c>
      <c r="G265">
        <f>RAW_GAMES!I265</f>
        <v>4</v>
      </c>
      <c r="H265">
        <f t="shared" si="24"/>
        <v>-3</v>
      </c>
      <c r="I265">
        <f>RAW_GAMES!J265</f>
        <v>22</v>
      </c>
      <c r="J265">
        <f>RAW_GAMES!K265</f>
        <v>35</v>
      </c>
      <c r="K265">
        <f t="shared" si="25"/>
        <v>-13</v>
      </c>
      <c r="L265">
        <f>IF(RAW_GAMES!L265="","",RAW_GAMES!L265)</f>
        <v>1.55</v>
      </c>
      <c r="M265">
        <f>IF(RAW_GAMES!M265="","",RAW_GAMES!M265)</f>
        <v>2.86</v>
      </c>
      <c r="N265">
        <f t="shared" si="26"/>
        <v>-1.3099999999999998</v>
      </c>
      <c r="O265" s="7">
        <f>RAW_GAMES!O265</f>
        <v>3</v>
      </c>
      <c r="P265">
        <f>RAW_GAMES!N265</f>
        <v>0</v>
      </c>
      <c r="Q265">
        <f t="shared" si="27"/>
        <v>0</v>
      </c>
      <c r="R265" s="7">
        <f>RAW_GAMES!Q265</f>
        <v>2</v>
      </c>
      <c r="S265">
        <f>RAW_GAMES!P265</f>
        <v>1</v>
      </c>
      <c r="T265">
        <f t="shared" si="28"/>
        <v>0.5</v>
      </c>
      <c r="U265">
        <f>_xlfn.XLOOKUP(C265,
  CALC_TEAMS_SEASON!B:B,
  CALC_TEAMS_SEASON!F:F)</f>
        <v>0.16984890109890113</v>
      </c>
      <c r="V265">
        <f>_xlfn.XLOOKUP(D265,
  CALC_TEAMS_SEASON!B:B,
  CALC_TEAMS_SEASON!F:F)</f>
        <v>0.22060439560439565</v>
      </c>
      <c r="W265" t="str">
        <f>RAW_GAMES!R265</f>
        <v>Hrachovina</v>
      </c>
      <c r="X265" s="7">
        <f>RAW_GAMES!S265</f>
        <v>31</v>
      </c>
      <c r="Y265">
        <f t="shared" si="29"/>
        <v>0</v>
      </c>
      <c r="Z265" t="str">
        <f>RAW_GAMES!V265</f>
        <v>RS</v>
      </c>
    </row>
    <row r="266" spans="1:26" x14ac:dyDescent="0.25">
      <c r="A266" t="str">
        <f>RAW_GAMES!A266</f>
        <v>25/26</v>
      </c>
      <c r="B266" s="3">
        <f>RAW_GAMES!B266</f>
        <v>45961</v>
      </c>
      <c r="C266" s="3" t="str">
        <f>RAW_GAMES!E266</f>
        <v>CEB</v>
      </c>
      <c r="D266" s="3" t="str">
        <f>RAW_GAMES!F266</f>
        <v>KVA</v>
      </c>
      <c r="E266" s="7">
        <f>RAW_GAMES!G266</f>
        <v>1</v>
      </c>
      <c r="F266">
        <f>RAW_GAMES!H266</f>
        <v>3</v>
      </c>
      <c r="G266">
        <f>RAW_GAMES!I266</f>
        <v>2</v>
      </c>
      <c r="H266">
        <f t="shared" si="24"/>
        <v>1</v>
      </c>
      <c r="I266">
        <f>RAW_GAMES!J266</f>
        <v>27</v>
      </c>
      <c r="J266">
        <f>RAW_GAMES!K266</f>
        <v>23</v>
      </c>
      <c r="K266">
        <f t="shared" si="25"/>
        <v>4</v>
      </c>
      <c r="L266" t="str">
        <f>IF(RAW_GAMES!L266="","",RAW_GAMES!L266)</f>
        <v/>
      </c>
      <c r="M266" t="str">
        <f>IF(RAW_GAMES!M266="","",RAW_GAMES!M266)</f>
        <v/>
      </c>
      <c r="N266" t="str">
        <f t="shared" si="26"/>
        <v/>
      </c>
      <c r="O266" s="7">
        <f>RAW_GAMES!O266</f>
        <v>2</v>
      </c>
      <c r="P266">
        <f>RAW_GAMES!N266</f>
        <v>0</v>
      </c>
      <c r="Q266">
        <f t="shared" si="27"/>
        <v>0</v>
      </c>
      <c r="R266" s="7">
        <f>RAW_GAMES!Q266</f>
        <v>3</v>
      </c>
      <c r="S266">
        <f>RAW_GAMES!P266</f>
        <v>1</v>
      </c>
      <c r="T266">
        <f t="shared" si="28"/>
        <v>0.66666666666666674</v>
      </c>
      <c r="U266">
        <f>_xlfn.XLOOKUP(C266,
  CALC_TEAMS_SEASON!B:B,
  CALC_TEAMS_SEASON!F:F)</f>
        <v>0.13021353646353648</v>
      </c>
      <c r="V266">
        <f>_xlfn.XLOOKUP(D266,
  CALC_TEAMS_SEASON!B:B,
  CALC_TEAMS_SEASON!F:F)</f>
        <v>0.17387057387057389</v>
      </c>
      <c r="W266" t="str">
        <f>RAW_GAMES!R266</f>
        <v>Mařík</v>
      </c>
      <c r="X266" s="7">
        <f>RAW_GAMES!S266</f>
        <v>24</v>
      </c>
      <c r="Y266">
        <f t="shared" si="29"/>
        <v>1</v>
      </c>
      <c r="Z266" t="str">
        <f>RAW_GAMES!V266</f>
        <v>RS</v>
      </c>
    </row>
    <row r="267" spans="1:26" x14ac:dyDescent="0.25">
      <c r="A267" t="str">
        <f>RAW_GAMES!A267</f>
        <v>25/26</v>
      </c>
      <c r="B267" s="3">
        <f>RAW_GAMES!B267</f>
        <v>45961</v>
      </c>
      <c r="C267" s="3" t="str">
        <f>RAW_GAMES!E267</f>
        <v>LIB</v>
      </c>
      <c r="D267" s="3" t="str">
        <f>RAW_GAMES!F267</f>
        <v>VIT</v>
      </c>
      <c r="E267" s="7">
        <f>RAW_GAMES!G267</f>
        <v>1</v>
      </c>
      <c r="F267">
        <f>RAW_GAMES!H267</f>
        <v>2</v>
      </c>
      <c r="G267">
        <f>RAW_GAMES!I267</f>
        <v>3</v>
      </c>
      <c r="H267">
        <f t="shared" si="24"/>
        <v>-1</v>
      </c>
      <c r="I267">
        <f>RAW_GAMES!J267</f>
        <v>41</v>
      </c>
      <c r="J267">
        <f>RAW_GAMES!K267</f>
        <v>22</v>
      </c>
      <c r="K267">
        <f t="shared" si="25"/>
        <v>19</v>
      </c>
      <c r="L267" t="str">
        <f>IF(RAW_GAMES!L267="","",RAW_GAMES!L267)</f>
        <v/>
      </c>
      <c r="M267" t="str">
        <f>IF(RAW_GAMES!M267="","",RAW_GAMES!M267)</f>
        <v/>
      </c>
      <c r="N267" t="str">
        <f t="shared" si="26"/>
        <v/>
      </c>
      <c r="O267" s="7">
        <f>RAW_GAMES!O267</f>
        <v>6</v>
      </c>
      <c r="P267">
        <f>RAW_GAMES!N267</f>
        <v>2</v>
      </c>
      <c r="Q267">
        <f t="shared" si="27"/>
        <v>0.33333333333333331</v>
      </c>
      <c r="R267" s="7">
        <f>RAW_GAMES!Q267</f>
        <v>6</v>
      </c>
      <c r="S267">
        <f>RAW_GAMES!P267</f>
        <v>0</v>
      </c>
      <c r="T267">
        <f t="shared" si="28"/>
        <v>1</v>
      </c>
      <c r="U267">
        <f>_xlfn.XLOOKUP(C267,
  CALC_TEAMS_SEASON!B:B,
  CALC_TEAMS_SEASON!F:F)</f>
        <v>0.14377289377289379</v>
      </c>
      <c r="V267">
        <f>_xlfn.XLOOKUP(D267,
  CALC_TEAMS_SEASON!B:B,
  CALC_TEAMS_SEASON!F:F)</f>
        <v>0.16984890109890113</v>
      </c>
      <c r="W267" t="str">
        <f>RAW_GAMES!R267</f>
        <v>Kváča</v>
      </c>
      <c r="X267" s="7">
        <f>RAW_GAMES!S267</f>
        <v>19</v>
      </c>
      <c r="Y267">
        <f t="shared" si="29"/>
        <v>0</v>
      </c>
      <c r="Z267" t="str">
        <f>RAW_GAMES!V267</f>
        <v>RS</v>
      </c>
    </row>
    <row r="268" spans="1:26" x14ac:dyDescent="0.25">
      <c r="A268" t="str">
        <f>RAW_GAMES!A268</f>
        <v>25/26</v>
      </c>
      <c r="B268" s="3">
        <f>RAW_GAMES!B268</f>
        <v>45961</v>
      </c>
      <c r="C268" s="3" t="str">
        <f>RAW_GAMES!E268</f>
        <v>MBL</v>
      </c>
      <c r="D268" s="3" t="str">
        <f>RAW_GAMES!F268</f>
        <v>LIT</v>
      </c>
      <c r="E268" s="7">
        <f>RAW_GAMES!G268</f>
        <v>1</v>
      </c>
      <c r="F268">
        <f>RAW_GAMES!H268</f>
        <v>3</v>
      </c>
      <c r="G268">
        <f>RAW_GAMES!I268</f>
        <v>2</v>
      </c>
      <c r="H268">
        <f t="shared" si="24"/>
        <v>1</v>
      </c>
      <c r="I268">
        <f>RAW_GAMES!J268</f>
        <v>29</v>
      </c>
      <c r="J268">
        <f>RAW_GAMES!K268</f>
        <v>32</v>
      </c>
      <c r="K268">
        <f t="shared" si="25"/>
        <v>-3</v>
      </c>
      <c r="L268" t="str">
        <f>IF(RAW_GAMES!L268="","",RAW_GAMES!L268)</f>
        <v/>
      </c>
      <c r="M268" t="str">
        <f>IF(RAW_GAMES!M268="","",RAW_GAMES!M268)</f>
        <v/>
      </c>
      <c r="N268" t="str">
        <f t="shared" si="26"/>
        <v/>
      </c>
      <c r="O268" s="7">
        <f>RAW_GAMES!O268</f>
        <v>4</v>
      </c>
      <c r="P268">
        <f>RAW_GAMES!N268</f>
        <v>0</v>
      </c>
      <c r="Q268">
        <f t="shared" si="27"/>
        <v>0</v>
      </c>
      <c r="R268" s="7">
        <f>RAW_GAMES!Q268</f>
        <v>3</v>
      </c>
      <c r="S268">
        <f>RAW_GAMES!P268</f>
        <v>0</v>
      </c>
      <c r="T268">
        <f t="shared" si="28"/>
        <v>1</v>
      </c>
      <c r="U268">
        <f>_xlfn.XLOOKUP(C268,
  CALC_TEAMS_SEASON!B:B,
  CALC_TEAMS_SEASON!F:F)</f>
        <v>0.11826923076923078</v>
      </c>
      <c r="V268">
        <f>_xlfn.XLOOKUP(D268,
  CALC_TEAMS_SEASON!B:B,
  CALC_TEAMS_SEASON!F:F)</f>
        <v>0.10089285714285713</v>
      </c>
      <c r="W268" t="str">
        <f>RAW_GAMES!R268</f>
        <v>Furch</v>
      </c>
      <c r="X268" s="7">
        <f>RAW_GAMES!S268</f>
        <v>30</v>
      </c>
      <c r="Y268">
        <f t="shared" si="29"/>
        <v>1</v>
      </c>
      <c r="Z268" t="str">
        <f>RAW_GAMES!V268</f>
        <v>RS</v>
      </c>
    </row>
    <row r="269" spans="1:26" x14ac:dyDescent="0.25">
      <c r="A269" t="str">
        <f>RAW_GAMES!A269</f>
        <v>25/26</v>
      </c>
      <c r="B269" s="3">
        <f>RAW_GAMES!B269</f>
        <v>45961</v>
      </c>
      <c r="C269" s="3" t="str">
        <f>RAW_GAMES!E269</f>
        <v>MHK</v>
      </c>
      <c r="D269" s="3" t="str">
        <f>RAW_GAMES!F269</f>
        <v>TRI</v>
      </c>
      <c r="E269" s="7">
        <f>RAW_GAMES!G269</f>
        <v>1</v>
      </c>
      <c r="F269">
        <f>RAW_GAMES!H269</f>
        <v>4</v>
      </c>
      <c r="G269">
        <f>RAW_GAMES!I269</f>
        <v>1</v>
      </c>
      <c r="H269">
        <f t="shared" si="24"/>
        <v>3</v>
      </c>
      <c r="I269">
        <f>RAW_GAMES!J269</f>
        <v>30</v>
      </c>
      <c r="J269">
        <f>RAW_GAMES!K269</f>
        <v>17</v>
      </c>
      <c r="K269">
        <f t="shared" si="25"/>
        <v>13</v>
      </c>
      <c r="L269">
        <f>IF(RAW_GAMES!L269="","",RAW_GAMES!L269)</f>
        <v>3.19</v>
      </c>
      <c r="M269">
        <f>IF(RAW_GAMES!M269="","",RAW_GAMES!M269)</f>
        <v>1.31</v>
      </c>
      <c r="N269">
        <f t="shared" si="26"/>
        <v>1.88</v>
      </c>
      <c r="O269" s="7">
        <f>RAW_GAMES!O269</f>
        <v>3</v>
      </c>
      <c r="P269">
        <f>RAW_GAMES!N269</f>
        <v>0</v>
      </c>
      <c r="Q269">
        <f t="shared" si="27"/>
        <v>0</v>
      </c>
      <c r="R269" s="7">
        <f>RAW_GAMES!Q269</f>
        <v>3</v>
      </c>
      <c r="S269">
        <f>RAW_GAMES!P269</f>
        <v>1</v>
      </c>
      <c r="T269">
        <f t="shared" si="28"/>
        <v>0.66666666666666674</v>
      </c>
      <c r="U269">
        <f>_xlfn.XLOOKUP(C269,
  CALC_TEAMS_SEASON!B:B,
  CALC_TEAMS_SEASON!F:F)</f>
        <v>0.14184981684981687</v>
      </c>
      <c r="V269">
        <f>_xlfn.XLOOKUP(D269,
  CALC_TEAMS_SEASON!B:B,
  CALC_TEAMS_SEASON!F:F)</f>
        <v>0.17437423687423692</v>
      </c>
      <c r="W269" t="str">
        <f>RAW_GAMES!R269</f>
        <v>Škorvánek</v>
      </c>
      <c r="X269" s="7">
        <f>RAW_GAMES!S269</f>
        <v>16</v>
      </c>
      <c r="Y269">
        <f t="shared" si="29"/>
        <v>1</v>
      </c>
      <c r="Z269" t="str">
        <f>RAW_GAMES!V269</f>
        <v>RS</v>
      </c>
    </row>
    <row r="270" spans="1:26" x14ac:dyDescent="0.25">
      <c r="A270" t="str">
        <f>RAW_GAMES!A270</f>
        <v>25/26</v>
      </c>
      <c r="B270" s="3">
        <f>RAW_GAMES!B270</f>
        <v>45961</v>
      </c>
      <c r="C270" s="3" t="str">
        <f>RAW_GAMES!E270</f>
        <v>OLO</v>
      </c>
      <c r="D270" s="3" t="str">
        <f>RAW_GAMES!F270</f>
        <v>SPA</v>
      </c>
      <c r="E270" s="7">
        <f>RAW_GAMES!G270</f>
        <v>1</v>
      </c>
      <c r="F270">
        <f>RAW_GAMES!H270</f>
        <v>1</v>
      </c>
      <c r="G270">
        <f>RAW_GAMES!I270</f>
        <v>4</v>
      </c>
      <c r="H270">
        <f t="shared" si="24"/>
        <v>-3</v>
      </c>
      <c r="I270">
        <f>RAW_GAMES!J270</f>
        <v>16</v>
      </c>
      <c r="J270">
        <f>RAW_GAMES!K270</f>
        <v>43</v>
      </c>
      <c r="K270">
        <f t="shared" si="25"/>
        <v>-27</v>
      </c>
      <c r="L270">
        <f>IF(RAW_GAMES!L270="","",RAW_GAMES!L270)</f>
        <v>1.84</v>
      </c>
      <c r="M270">
        <f>IF(RAW_GAMES!M270="","",RAW_GAMES!M270)</f>
        <v>2.86</v>
      </c>
      <c r="N270">
        <f t="shared" si="26"/>
        <v>-1.0199999999999998</v>
      </c>
      <c r="O270" s="7">
        <f>RAW_GAMES!O270</f>
        <v>2</v>
      </c>
      <c r="P270">
        <f>RAW_GAMES!N270</f>
        <v>0</v>
      </c>
      <c r="Q270">
        <f t="shared" si="27"/>
        <v>0</v>
      </c>
      <c r="R270" s="7">
        <f>RAW_GAMES!Q270</f>
        <v>3</v>
      </c>
      <c r="S270">
        <f>RAW_GAMES!P270</f>
        <v>1</v>
      </c>
      <c r="T270">
        <f t="shared" si="28"/>
        <v>0.66666666666666674</v>
      </c>
      <c r="U270">
        <f>_xlfn.XLOOKUP(C270,
  CALC_TEAMS_SEASON!B:B,
  CALC_TEAMS_SEASON!F:F)</f>
        <v>0.14989316239316242</v>
      </c>
      <c r="V270">
        <f>_xlfn.XLOOKUP(D270,
  CALC_TEAMS_SEASON!B:B,
  CALC_TEAMS_SEASON!F:F)</f>
        <v>0.22060439560439565</v>
      </c>
      <c r="W270" t="str">
        <f>RAW_GAMES!R270</f>
        <v>Machovský</v>
      </c>
      <c r="X270" s="7">
        <f>RAW_GAMES!S270</f>
        <v>39</v>
      </c>
      <c r="Y270">
        <f t="shared" si="29"/>
        <v>0</v>
      </c>
      <c r="Z270" t="str">
        <f>RAW_GAMES!V270</f>
        <v>RS</v>
      </c>
    </row>
    <row r="271" spans="1:26" x14ac:dyDescent="0.25">
      <c r="A271" t="str">
        <f>RAW_GAMES!A271</f>
        <v>25/26</v>
      </c>
      <c r="B271" s="3">
        <f>RAW_GAMES!B271</f>
        <v>45961</v>
      </c>
      <c r="C271" s="3" t="str">
        <f>RAW_GAMES!E271</f>
        <v>PCE</v>
      </c>
      <c r="D271" s="3" t="str">
        <f>RAW_GAMES!F271</f>
        <v>KLA</v>
      </c>
      <c r="E271" s="7">
        <f>RAW_GAMES!G271</f>
        <v>1</v>
      </c>
      <c r="F271">
        <f>RAW_GAMES!H271</f>
        <v>8</v>
      </c>
      <c r="G271">
        <f>RAW_GAMES!I271</f>
        <v>3</v>
      </c>
      <c r="H271">
        <f t="shared" si="24"/>
        <v>5</v>
      </c>
      <c r="I271">
        <f>RAW_GAMES!J271</f>
        <v>44</v>
      </c>
      <c r="J271">
        <f>RAW_GAMES!K271</f>
        <v>28</v>
      </c>
      <c r="K271">
        <f t="shared" si="25"/>
        <v>16</v>
      </c>
      <c r="L271">
        <f>IF(RAW_GAMES!L271="","",RAW_GAMES!L271)</f>
        <v>4.95</v>
      </c>
      <c r="M271">
        <f>IF(RAW_GAMES!M271="","",RAW_GAMES!M271)</f>
        <v>2.42</v>
      </c>
      <c r="N271">
        <f t="shared" si="26"/>
        <v>2.5300000000000002</v>
      </c>
      <c r="O271" s="7">
        <f>RAW_GAMES!O271</f>
        <v>8</v>
      </c>
      <c r="P271">
        <f>RAW_GAMES!N271</f>
        <v>4</v>
      </c>
      <c r="Q271">
        <f t="shared" si="27"/>
        <v>0.5</v>
      </c>
      <c r="R271" s="7">
        <f>RAW_GAMES!Q271</f>
        <v>7</v>
      </c>
      <c r="S271">
        <f>RAW_GAMES!P271</f>
        <v>2</v>
      </c>
      <c r="T271">
        <f t="shared" si="28"/>
        <v>0.7142857142857143</v>
      </c>
      <c r="U271">
        <f>_xlfn.XLOOKUP(C271,
  CALC_TEAMS_SEASON!B:B,
  CALC_TEAMS_SEASON!F:F)</f>
        <v>0.20297619047619053</v>
      </c>
      <c r="V271">
        <f>_xlfn.XLOOKUP(D271,
  CALC_TEAMS_SEASON!B:B,
  CALC_TEAMS_SEASON!F:F)</f>
        <v>0.13120421245421243</v>
      </c>
      <c r="W271" t="str">
        <f>RAW_GAMES!R271</f>
        <v>Will</v>
      </c>
      <c r="X271" s="7">
        <f>RAW_GAMES!S271</f>
        <v>25</v>
      </c>
      <c r="Y271">
        <f t="shared" si="29"/>
        <v>1</v>
      </c>
      <c r="Z271" t="str">
        <f>RAW_GAMES!V271</f>
        <v>RS</v>
      </c>
    </row>
    <row r="272" spans="1:26" x14ac:dyDescent="0.25">
      <c r="A272" t="str">
        <f>RAW_GAMES!A272</f>
        <v>25/26</v>
      </c>
      <c r="B272" s="3">
        <f>RAW_GAMES!B272</f>
        <v>45961</v>
      </c>
      <c r="C272" s="3" t="str">
        <f>RAW_GAMES!E272</f>
        <v>PLZ</v>
      </c>
      <c r="D272" s="3" t="str">
        <f>RAW_GAMES!F272</f>
        <v>KOM</v>
      </c>
      <c r="E272" s="7">
        <f>RAW_GAMES!G272</f>
        <v>1</v>
      </c>
      <c r="F272">
        <f>RAW_GAMES!H272</f>
        <v>4</v>
      </c>
      <c r="G272">
        <f>RAW_GAMES!I272</f>
        <v>3</v>
      </c>
      <c r="H272">
        <f t="shared" si="24"/>
        <v>1</v>
      </c>
      <c r="I272">
        <f>RAW_GAMES!J272</f>
        <v>34</v>
      </c>
      <c r="J272">
        <f>RAW_GAMES!K272</f>
        <v>19</v>
      </c>
      <c r="K272">
        <f t="shared" si="25"/>
        <v>15</v>
      </c>
      <c r="L272">
        <f>IF(RAW_GAMES!L272="","",RAW_GAMES!L272)</f>
        <v>4.6399999999999997</v>
      </c>
      <c r="M272">
        <f>IF(RAW_GAMES!M272="","",RAW_GAMES!M272)</f>
        <v>3.05</v>
      </c>
      <c r="N272">
        <f t="shared" si="26"/>
        <v>1.5899999999999999</v>
      </c>
      <c r="O272" s="7">
        <f>RAW_GAMES!O272</f>
        <v>3</v>
      </c>
      <c r="P272">
        <f>RAW_GAMES!N272</f>
        <v>1</v>
      </c>
      <c r="Q272">
        <f t="shared" si="27"/>
        <v>0.33333333333333331</v>
      </c>
      <c r="R272" s="7">
        <f>RAW_GAMES!Q272</f>
        <v>4</v>
      </c>
      <c r="S272">
        <f>RAW_GAMES!P272</f>
        <v>2</v>
      </c>
      <c r="T272">
        <f t="shared" si="28"/>
        <v>0.5</v>
      </c>
      <c r="U272">
        <f>_xlfn.XLOOKUP(C272,
  CALC_TEAMS_SEASON!B:B,
  CALC_TEAMS_SEASON!F:F)</f>
        <v>0.17641178266178262</v>
      </c>
      <c r="V272">
        <f>_xlfn.XLOOKUP(D272,
  CALC_TEAMS_SEASON!B:B,
  CALC_TEAMS_SEASON!F:F)</f>
        <v>0.14358974358974358</v>
      </c>
      <c r="W272" t="str">
        <f>RAW_GAMES!R272</f>
        <v>Malík</v>
      </c>
      <c r="X272" s="7">
        <f>RAW_GAMES!S272</f>
        <v>16</v>
      </c>
      <c r="Y272">
        <f t="shared" si="29"/>
        <v>1</v>
      </c>
      <c r="Z272" t="str">
        <f>RAW_GAMES!V272</f>
        <v>RS</v>
      </c>
    </row>
    <row r="273" spans="1:26" x14ac:dyDescent="0.25">
      <c r="A273" t="str">
        <f>RAW_GAMES!A273</f>
        <v>25/26</v>
      </c>
      <c r="B273" s="3">
        <f>RAW_GAMES!B273</f>
        <v>45961</v>
      </c>
      <c r="C273" s="3" t="str">
        <f>RAW_GAMES!E273</f>
        <v>KLA</v>
      </c>
      <c r="D273" s="3" t="str">
        <f>RAW_GAMES!F273</f>
        <v>PCE</v>
      </c>
      <c r="E273" s="7">
        <f>RAW_GAMES!G273</f>
        <v>0</v>
      </c>
      <c r="F273">
        <f>RAW_GAMES!H273</f>
        <v>3</v>
      </c>
      <c r="G273">
        <f>RAW_GAMES!I273</f>
        <v>8</v>
      </c>
      <c r="H273">
        <f t="shared" si="24"/>
        <v>-5</v>
      </c>
      <c r="I273">
        <f>RAW_GAMES!J273</f>
        <v>28</v>
      </c>
      <c r="J273">
        <f>RAW_GAMES!K273</f>
        <v>44</v>
      </c>
      <c r="K273">
        <f t="shared" si="25"/>
        <v>-16</v>
      </c>
      <c r="L273">
        <f>IF(RAW_GAMES!L273="","",RAW_GAMES!L273)</f>
        <v>2.42</v>
      </c>
      <c r="M273">
        <f>IF(RAW_GAMES!M273="","",RAW_GAMES!M273)</f>
        <v>4.95</v>
      </c>
      <c r="N273">
        <f t="shared" si="26"/>
        <v>-2.5300000000000002</v>
      </c>
      <c r="O273" s="7">
        <f>RAW_GAMES!O273</f>
        <v>7</v>
      </c>
      <c r="P273">
        <f>RAW_GAMES!N273</f>
        <v>2</v>
      </c>
      <c r="Q273">
        <f t="shared" si="27"/>
        <v>0.2857142857142857</v>
      </c>
      <c r="R273" s="7">
        <f>RAW_GAMES!Q273</f>
        <v>8</v>
      </c>
      <c r="S273">
        <f>RAW_GAMES!P273</f>
        <v>4</v>
      </c>
      <c r="T273">
        <f t="shared" si="28"/>
        <v>0.5</v>
      </c>
      <c r="U273">
        <f>_xlfn.XLOOKUP(C273,
  CALC_TEAMS_SEASON!B:B,
  CALC_TEAMS_SEASON!F:F)</f>
        <v>0.13120421245421243</v>
      </c>
      <c r="V273">
        <f>_xlfn.XLOOKUP(D273,
  CALC_TEAMS_SEASON!B:B,
  CALC_TEAMS_SEASON!F:F)</f>
        <v>0.20297619047619053</v>
      </c>
      <c r="W273" t="str">
        <f>RAW_GAMES!R273</f>
        <v>Dansk</v>
      </c>
      <c r="X273" s="7">
        <f>RAW_GAMES!S273</f>
        <v>36</v>
      </c>
      <c r="Y273">
        <f t="shared" si="29"/>
        <v>0</v>
      </c>
      <c r="Z273" t="str">
        <f>RAW_GAMES!V273</f>
        <v>RS</v>
      </c>
    </row>
    <row r="274" spans="1:26" x14ac:dyDescent="0.25">
      <c r="A274" t="str">
        <f>RAW_GAMES!A274</f>
        <v>25/26</v>
      </c>
      <c r="B274" s="3">
        <f>RAW_GAMES!B274</f>
        <v>45961</v>
      </c>
      <c r="C274" s="3" t="str">
        <f>RAW_GAMES!E274</f>
        <v>KOM</v>
      </c>
      <c r="D274" s="3" t="str">
        <f>RAW_GAMES!F274</f>
        <v>PLZ</v>
      </c>
      <c r="E274" s="7">
        <f>RAW_GAMES!G274</f>
        <v>0</v>
      </c>
      <c r="F274">
        <f>RAW_GAMES!H274</f>
        <v>3</v>
      </c>
      <c r="G274">
        <f>RAW_GAMES!I274</f>
        <v>4</v>
      </c>
      <c r="H274">
        <f t="shared" si="24"/>
        <v>-1</v>
      </c>
      <c r="I274">
        <f>RAW_GAMES!J274</f>
        <v>34</v>
      </c>
      <c r="J274">
        <f>RAW_GAMES!K274</f>
        <v>19</v>
      </c>
      <c r="K274">
        <f t="shared" si="25"/>
        <v>15</v>
      </c>
      <c r="L274">
        <f>IF(RAW_GAMES!L274="","",RAW_GAMES!L274)</f>
        <v>3.05</v>
      </c>
      <c r="M274">
        <f>IF(RAW_GAMES!M274="","",RAW_GAMES!M274)</f>
        <v>4.6399999999999997</v>
      </c>
      <c r="N274">
        <f t="shared" si="26"/>
        <v>-1.5899999999999999</v>
      </c>
      <c r="O274" s="7">
        <f>RAW_GAMES!O274</f>
        <v>4</v>
      </c>
      <c r="P274">
        <f>RAW_GAMES!N274</f>
        <v>2</v>
      </c>
      <c r="Q274">
        <f t="shared" si="27"/>
        <v>0.5</v>
      </c>
      <c r="R274" s="7">
        <f>RAW_GAMES!Q274</f>
        <v>3</v>
      </c>
      <c r="S274">
        <f>RAW_GAMES!P274</f>
        <v>1</v>
      </c>
      <c r="T274">
        <f t="shared" si="28"/>
        <v>0.66666666666666674</v>
      </c>
      <c r="U274">
        <f>_xlfn.XLOOKUP(C274,
  CALC_TEAMS_SEASON!B:B,
  CALC_TEAMS_SEASON!F:F)</f>
        <v>0.14358974358974358</v>
      </c>
      <c r="V274">
        <f>_xlfn.XLOOKUP(D274,
  CALC_TEAMS_SEASON!B:B,
  CALC_TEAMS_SEASON!F:F)</f>
        <v>0.17641178266178262</v>
      </c>
      <c r="W274" t="str">
        <f>RAW_GAMES!R274</f>
        <v>Stezka</v>
      </c>
      <c r="X274" s="7">
        <f>RAW_GAMES!S274</f>
        <v>31</v>
      </c>
      <c r="Y274">
        <f t="shared" si="29"/>
        <v>0</v>
      </c>
      <c r="Z274" t="str">
        <f>RAW_GAMES!V274</f>
        <v>RS</v>
      </c>
    </row>
    <row r="275" spans="1:26" x14ac:dyDescent="0.25">
      <c r="A275" t="str">
        <f>RAW_GAMES!A275</f>
        <v>25/26</v>
      </c>
      <c r="B275" s="3">
        <f>RAW_GAMES!B275</f>
        <v>45961</v>
      </c>
      <c r="C275" s="3" t="str">
        <f>RAW_GAMES!E275</f>
        <v>KVA</v>
      </c>
      <c r="D275" s="3" t="str">
        <f>RAW_GAMES!F275</f>
        <v>CEB</v>
      </c>
      <c r="E275" s="7">
        <f>RAW_GAMES!G275</f>
        <v>0</v>
      </c>
      <c r="F275">
        <f>RAW_GAMES!H275</f>
        <v>2</v>
      </c>
      <c r="G275">
        <f>RAW_GAMES!I275</f>
        <v>3</v>
      </c>
      <c r="H275">
        <f t="shared" si="24"/>
        <v>-1</v>
      </c>
      <c r="I275">
        <f>RAW_GAMES!J275</f>
        <v>23</v>
      </c>
      <c r="J275">
        <f>RAW_GAMES!K275</f>
        <v>27</v>
      </c>
      <c r="K275">
        <f t="shared" si="25"/>
        <v>-4</v>
      </c>
      <c r="L275" t="str">
        <f>IF(RAW_GAMES!L275="","",RAW_GAMES!L275)</f>
        <v/>
      </c>
      <c r="M275" t="str">
        <f>IF(RAW_GAMES!M275="","",RAW_GAMES!M275)</f>
        <v/>
      </c>
      <c r="N275" t="str">
        <f t="shared" si="26"/>
        <v/>
      </c>
      <c r="O275" s="7">
        <f>RAW_GAMES!O275</f>
        <v>3</v>
      </c>
      <c r="P275">
        <f>RAW_GAMES!N275</f>
        <v>1</v>
      </c>
      <c r="Q275">
        <f t="shared" si="27"/>
        <v>0.33333333333333331</v>
      </c>
      <c r="R275" s="7">
        <f>RAW_GAMES!Q275</f>
        <v>2</v>
      </c>
      <c r="S275">
        <f>RAW_GAMES!P275</f>
        <v>0</v>
      </c>
      <c r="T275">
        <f t="shared" si="28"/>
        <v>1</v>
      </c>
      <c r="U275">
        <f>_xlfn.XLOOKUP(C275,
  CALC_TEAMS_SEASON!B:B,
  CALC_TEAMS_SEASON!F:F)</f>
        <v>0.17387057387057389</v>
      </c>
      <c r="V275">
        <f>_xlfn.XLOOKUP(D275,
  CALC_TEAMS_SEASON!B:B,
  CALC_TEAMS_SEASON!F:F)</f>
        <v>0.13021353646353648</v>
      </c>
      <c r="W275" t="str">
        <f>RAW_GAMES!R275</f>
        <v>Frodl</v>
      </c>
      <c r="X275" s="7">
        <f>RAW_GAMES!S275</f>
        <v>21</v>
      </c>
      <c r="Y275">
        <f t="shared" si="29"/>
        <v>0</v>
      </c>
      <c r="Z275" t="str">
        <f>RAW_GAMES!V275</f>
        <v>RS</v>
      </c>
    </row>
    <row r="276" spans="1:26" x14ac:dyDescent="0.25">
      <c r="A276" t="str">
        <f>RAW_GAMES!A276</f>
        <v>25/26</v>
      </c>
      <c r="B276" s="3">
        <f>RAW_GAMES!B276</f>
        <v>45961</v>
      </c>
      <c r="C276" s="3" t="str">
        <f>RAW_GAMES!E276</f>
        <v>LIT</v>
      </c>
      <c r="D276" s="3" t="str">
        <f>RAW_GAMES!F276</f>
        <v>MBL</v>
      </c>
      <c r="E276" s="7">
        <f>RAW_GAMES!G276</f>
        <v>0</v>
      </c>
      <c r="F276">
        <f>RAW_GAMES!H276</f>
        <v>2</v>
      </c>
      <c r="G276">
        <f>RAW_GAMES!I276</f>
        <v>3</v>
      </c>
      <c r="H276">
        <f t="shared" si="24"/>
        <v>-1</v>
      </c>
      <c r="I276">
        <f>RAW_GAMES!J276</f>
        <v>32</v>
      </c>
      <c r="J276">
        <f>RAW_GAMES!K276</f>
        <v>29</v>
      </c>
      <c r="K276">
        <f t="shared" si="25"/>
        <v>3</v>
      </c>
      <c r="L276" t="str">
        <f>IF(RAW_GAMES!L276="","",RAW_GAMES!L276)</f>
        <v/>
      </c>
      <c r="M276" t="str">
        <f>IF(RAW_GAMES!M276="","",RAW_GAMES!M276)</f>
        <v/>
      </c>
      <c r="N276" t="str">
        <f t="shared" si="26"/>
        <v/>
      </c>
      <c r="O276" s="7">
        <f>RAW_GAMES!O276</f>
        <v>3</v>
      </c>
      <c r="P276">
        <f>RAW_GAMES!N276</f>
        <v>0</v>
      </c>
      <c r="Q276">
        <f t="shared" si="27"/>
        <v>0</v>
      </c>
      <c r="R276" s="7">
        <f>RAW_GAMES!Q276</f>
        <v>4</v>
      </c>
      <c r="S276">
        <f>RAW_GAMES!P276</f>
        <v>0</v>
      </c>
      <c r="T276">
        <f t="shared" si="28"/>
        <v>1</v>
      </c>
      <c r="U276">
        <f>_xlfn.XLOOKUP(C276,
  CALC_TEAMS_SEASON!B:B,
  CALC_TEAMS_SEASON!F:F)</f>
        <v>0.10089285714285713</v>
      </c>
      <c r="V276">
        <f>_xlfn.XLOOKUP(D276,
  CALC_TEAMS_SEASON!B:B,
  CALC_TEAMS_SEASON!F:F)</f>
        <v>0.11826923076923078</v>
      </c>
      <c r="W276" t="str">
        <f>RAW_GAMES!R276</f>
        <v>Čajan</v>
      </c>
      <c r="X276" s="7">
        <f>RAW_GAMES!S276</f>
        <v>26</v>
      </c>
      <c r="Y276">
        <f t="shared" si="29"/>
        <v>0</v>
      </c>
      <c r="Z276" t="str">
        <f>RAW_GAMES!V276</f>
        <v>RS</v>
      </c>
    </row>
    <row r="277" spans="1:26" x14ac:dyDescent="0.25">
      <c r="A277" t="str">
        <f>RAW_GAMES!A277</f>
        <v>25/26</v>
      </c>
      <c r="B277" s="3">
        <f>RAW_GAMES!B277</f>
        <v>45961</v>
      </c>
      <c r="C277" s="3" t="str">
        <f>RAW_GAMES!E277</f>
        <v>SPA</v>
      </c>
      <c r="D277" s="3" t="str">
        <f>RAW_GAMES!F277</f>
        <v>OLO</v>
      </c>
      <c r="E277" s="7">
        <f>RAW_GAMES!G277</f>
        <v>0</v>
      </c>
      <c r="F277">
        <f>RAW_GAMES!H277</f>
        <v>4</v>
      </c>
      <c r="G277">
        <f>RAW_GAMES!I277</f>
        <v>1</v>
      </c>
      <c r="H277">
        <f t="shared" si="24"/>
        <v>3</v>
      </c>
      <c r="I277">
        <f>RAW_GAMES!J277</f>
        <v>43</v>
      </c>
      <c r="J277">
        <f>RAW_GAMES!K277</f>
        <v>16</v>
      </c>
      <c r="K277">
        <f t="shared" si="25"/>
        <v>27</v>
      </c>
      <c r="L277">
        <f>IF(RAW_GAMES!L277="","",RAW_GAMES!L277)</f>
        <v>2.89</v>
      </c>
      <c r="M277">
        <f>IF(RAW_GAMES!M277="","",RAW_GAMES!M277)</f>
        <v>1.84</v>
      </c>
      <c r="N277">
        <f t="shared" si="26"/>
        <v>1.05</v>
      </c>
      <c r="O277" s="7">
        <f>RAW_GAMES!O277</f>
        <v>3</v>
      </c>
      <c r="P277">
        <f>RAW_GAMES!N277</f>
        <v>1</v>
      </c>
      <c r="Q277">
        <f t="shared" si="27"/>
        <v>0.33333333333333331</v>
      </c>
      <c r="R277" s="7">
        <f>RAW_GAMES!Q277</f>
        <v>2</v>
      </c>
      <c r="S277">
        <f>RAW_GAMES!P277</f>
        <v>0</v>
      </c>
      <c r="T277">
        <f t="shared" si="28"/>
        <v>1</v>
      </c>
      <c r="U277">
        <f>_xlfn.XLOOKUP(C277,
  CALC_TEAMS_SEASON!B:B,
  CALC_TEAMS_SEASON!F:F)</f>
        <v>0.22060439560439565</v>
      </c>
      <c r="V277">
        <f>_xlfn.XLOOKUP(D277,
  CALC_TEAMS_SEASON!B:B,
  CALC_TEAMS_SEASON!F:F)</f>
        <v>0.14989316239316242</v>
      </c>
      <c r="W277" t="str">
        <f>RAW_GAMES!R277</f>
        <v>Kořenář</v>
      </c>
      <c r="X277" s="7">
        <f>RAW_GAMES!S277</f>
        <v>15</v>
      </c>
      <c r="Y277">
        <f t="shared" si="29"/>
        <v>1</v>
      </c>
      <c r="Z277" t="str">
        <f>RAW_GAMES!V277</f>
        <v>RS</v>
      </c>
    </row>
    <row r="278" spans="1:26" x14ac:dyDescent="0.25">
      <c r="A278" t="str">
        <f>RAW_GAMES!A278</f>
        <v>25/26</v>
      </c>
      <c r="B278" s="3">
        <f>RAW_GAMES!B278</f>
        <v>45961</v>
      </c>
      <c r="C278" s="3" t="str">
        <f>RAW_GAMES!E278</f>
        <v>TRI</v>
      </c>
      <c r="D278" s="3" t="str">
        <f>RAW_GAMES!F278</f>
        <v>MHK</v>
      </c>
      <c r="E278" s="7">
        <f>RAW_GAMES!G278</f>
        <v>0</v>
      </c>
      <c r="F278">
        <f>RAW_GAMES!H278</f>
        <v>1</v>
      </c>
      <c r="G278">
        <f>RAW_GAMES!I278</f>
        <v>4</v>
      </c>
      <c r="H278">
        <f t="shared" si="24"/>
        <v>-3</v>
      </c>
      <c r="I278">
        <f>RAW_GAMES!J278</f>
        <v>17</v>
      </c>
      <c r="J278">
        <f>RAW_GAMES!K278</f>
        <v>30</v>
      </c>
      <c r="K278">
        <f t="shared" si="25"/>
        <v>-13</v>
      </c>
      <c r="L278">
        <f>IF(RAW_GAMES!L278="","",RAW_GAMES!L278)</f>
        <v>1.31</v>
      </c>
      <c r="M278">
        <f>IF(RAW_GAMES!M278="","",RAW_GAMES!M278)</f>
        <v>3.19</v>
      </c>
      <c r="N278">
        <f t="shared" si="26"/>
        <v>-1.88</v>
      </c>
      <c r="O278" s="7">
        <f>RAW_GAMES!O278</f>
        <v>3</v>
      </c>
      <c r="P278">
        <f>RAW_GAMES!N278</f>
        <v>1</v>
      </c>
      <c r="Q278">
        <f t="shared" si="27"/>
        <v>0.33333333333333331</v>
      </c>
      <c r="R278" s="7">
        <f>RAW_GAMES!Q278</f>
        <v>3</v>
      </c>
      <c r="S278">
        <f>RAW_GAMES!P278</f>
        <v>0</v>
      </c>
      <c r="T278">
        <f t="shared" si="28"/>
        <v>1</v>
      </c>
      <c r="U278">
        <f>_xlfn.XLOOKUP(C278,
  CALC_TEAMS_SEASON!B:B,
  CALC_TEAMS_SEASON!F:F)</f>
        <v>0.17437423687423692</v>
      </c>
      <c r="V278">
        <f>_xlfn.XLOOKUP(D278,
  CALC_TEAMS_SEASON!B:B,
  CALC_TEAMS_SEASON!F:F)</f>
        <v>0.14184981684981687</v>
      </c>
      <c r="W278" t="str">
        <f>RAW_GAMES!R278</f>
        <v>Mazanec</v>
      </c>
      <c r="X278" s="7">
        <f>RAW_GAMES!S278</f>
        <v>26</v>
      </c>
      <c r="Y278">
        <f t="shared" si="29"/>
        <v>0</v>
      </c>
      <c r="Z278" t="str">
        <f>RAW_GAMES!V278</f>
        <v>RS</v>
      </c>
    </row>
    <row r="279" spans="1:26" x14ac:dyDescent="0.25">
      <c r="A279" t="str">
        <f>RAW_GAMES!A279</f>
        <v>25/26</v>
      </c>
      <c r="B279" s="3">
        <f>RAW_GAMES!B279</f>
        <v>45961</v>
      </c>
      <c r="C279" s="3" t="str">
        <f>RAW_GAMES!E279</f>
        <v>VIT</v>
      </c>
      <c r="D279" s="3" t="str">
        <f>RAW_GAMES!F279</f>
        <v>LIB</v>
      </c>
      <c r="E279" s="7">
        <f>RAW_GAMES!G279</f>
        <v>0</v>
      </c>
      <c r="F279">
        <f>RAW_GAMES!H279</f>
        <v>3</v>
      </c>
      <c r="G279">
        <f>RAW_GAMES!I279</f>
        <v>2</v>
      </c>
      <c r="H279">
        <f t="shared" si="24"/>
        <v>1</v>
      </c>
      <c r="I279">
        <f>RAW_GAMES!J279</f>
        <v>22</v>
      </c>
      <c r="J279">
        <f>RAW_GAMES!K279</f>
        <v>41</v>
      </c>
      <c r="K279">
        <f t="shared" si="25"/>
        <v>-19</v>
      </c>
      <c r="L279" t="str">
        <f>IF(RAW_GAMES!L279="","",RAW_GAMES!L279)</f>
        <v/>
      </c>
      <c r="M279" t="str">
        <f>IF(RAW_GAMES!M279="","",RAW_GAMES!M279)</f>
        <v/>
      </c>
      <c r="N279" t="str">
        <f t="shared" si="26"/>
        <v/>
      </c>
      <c r="O279" s="7">
        <f>RAW_GAMES!O279</f>
        <v>6</v>
      </c>
      <c r="P279">
        <f>RAW_GAMES!N279</f>
        <v>0</v>
      </c>
      <c r="Q279">
        <f t="shared" si="27"/>
        <v>0</v>
      </c>
      <c r="R279" s="7">
        <f>RAW_GAMES!Q279</f>
        <v>6</v>
      </c>
      <c r="S279">
        <f>RAW_GAMES!P279</f>
        <v>2</v>
      </c>
      <c r="T279">
        <f t="shared" si="28"/>
        <v>0.66666666666666674</v>
      </c>
      <c r="U279">
        <f>_xlfn.XLOOKUP(C279,
  CALC_TEAMS_SEASON!B:B,
  CALC_TEAMS_SEASON!F:F)</f>
        <v>0.16984890109890113</v>
      </c>
      <c r="V279">
        <f>_xlfn.XLOOKUP(D279,
  CALC_TEAMS_SEASON!B:B,
  CALC_TEAMS_SEASON!F:F)</f>
        <v>0.14377289377289379</v>
      </c>
      <c r="W279" t="str">
        <f>RAW_GAMES!R279</f>
        <v>Hrachovina</v>
      </c>
      <c r="X279" s="7">
        <f>RAW_GAMES!S279</f>
        <v>39</v>
      </c>
      <c r="Y279">
        <f t="shared" si="29"/>
        <v>1</v>
      </c>
      <c r="Z279" t="str">
        <f>RAW_GAMES!V279</f>
        <v>RS</v>
      </c>
    </row>
    <row r="280" spans="1:26" x14ac:dyDescent="0.25">
      <c r="A280" t="str">
        <f>RAW_GAMES!A280</f>
        <v>25/26</v>
      </c>
      <c r="B280" s="3">
        <f>RAW_GAMES!B280</f>
        <v>45963</v>
      </c>
      <c r="C280" s="3" t="str">
        <f>RAW_GAMES!E280</f>
        <v>TRI</v>
      </c>
      <c r="D280" s="3" t="str">
        <f>RAW_GAMES!F280</f>
        <v>PCE</v>
      </c>
      <c r="E280" s="7">
        <f>RAW_GAMES!G280</f>
        <v>1</v>
      </c>
      <c r="F280">
        <f>RAW_GAMES!H280</f>
        <v>2</v>
      </c>
      <c r="G280">
        <f>RAW_GAMES!I280</f>
        <v>4</v>
      </c>
      <c r="H280">
        <f t="shared" si="24"/>
        <v>-2</v>
      </c>
      <c r="I280">
        <f>RAW_GAMES!J280</f>
        <v>25</v>
      </c>
      <c r="J280">
        <f>RAW_GAMES!K280</f>
        <v>21</v>
      </c>
      <c r="K280">
        <f t="shared" si="25"/>
        <v>4</v>
      </c>
      <c r="L280">
        <f>IF(RAW_GAMES!L280="","",RAW_GAMES!L280)</f>
        <v>1.79</v>
      </c>
      <c r="M280">
        <f>IF(RAW_GAMES!M280="","",RAW_GAMES!M280)</f>
        <v>2.14</v>
      </c>
      <c r="N280">
        <f t="shared" si="26"/>
        <v>-0.35000000000000009</v>
      </c>
      <c r="O280" s="7">
        <f>RAW_GAMES!O280</f>
        <v>7</v>
      </c>
      <c r="P280">
        <f>RAW_GAMES!N280</f>
        <v>2</v>
      </c>
      <c r="Q280">
        <f t="shared" si="27"/>
        <v>0.2857142857142857</v>
      </c>
      <c r="R280" s="7">
        <f>RAW_GAMES!Q280</f>
        <v>2</v>
      </c>
      <c r="S280">
        <f>RAW_GAMES!P280</f>
        <v>0</v>
      </c>
      <c r="T280">
        <f t="shared" si="28"/>
        <v>1</v>
      </c>
      <c r="U280">
        <f>_xlfn.XLOOKUP(C280,
  CALC_TEAMS_SEASON!B:B,
  CALC_TEAMS_SEASON!F:F)</f>
        <v>0.17437423687423692</v>
      </c>
      <c r="V280">
        <f>_xlfn.XLOOKUP(D280,
  CALC_TEAMS_SEASON!B:B,
  CALC_TEAMS_SEASON!F:F)</f>
        <v>0.20297619047619053</v>
      </c>
      <c r="W280" t="str">
        <f>RAW_GAMES!R280</f>
        <v>Kacetl</v>
      </c>
      <c r="X280" s="7">
        <f>RAW_GAMES!S280</f>
        <v>17</v>
      </c>
      <c r="Y280">
        <f t="shared" si="29"/>
        <v>0</v>
      </c>
      <c r="Z280" t="str">
        <f>RAW_GAMES!V280</f>
        <v>RS</v>
      </c>
    </row>
    <row r="281" spans="1:26" x14ac:dyDescent="0.25">
      <c r="A281" t="str">
        <f>RAW_GAMES!A281</f>
        <v>25/26</v>
      </c>
      <c r="B281" s="3">
        <f>RAW_GAMES!B281</f>
        <v>45963</v>
      </c>
      <c r="C281" s="3" t="str">
        <f>RAW_GAMES!E281</f>
        <v>SPA</v>
      </c>
      <c r="D281" s="3" t="str">
        <f>RAW_GAMES!F281</f>
        <v>MBL</v>
      </c>
      <c r="E281" s="7">
        <f>RAW_GAMES!G281</f>
        <v>1</v>
      </c>
      <c r="F281">
        <f>RAW_GAMES!H281</f>
        <v>2</v>
      </c>
      <c r="G281">
        <f>RAW_GAMES!I281</f>
        <v>0</v>
      </c>
      <c r="H281">
        <f t="shared" si="24"/>
        <v>2</v>
      </c>
      <c r="I281">
        <f>RAW_GAMES!J281</f>
        <v>35</v>
      </c>
      <c r="J281">
        <f>RAW_GAMES!K281</f>
        <v>24</v>
      </c>
      <c r="K281">
        <f t="shared" si="25"/>
        <v>11</v>
      </c>
      <c r="L281">
        <f>IF(RAW_GAMES!L281="","",RAW_GAMES!L281)</f>
        <v>4.16</v>
      </c>
      <c r="M281">
        <f>IF(RAW_GAMES!M281="","",RAW_GAMES!M281)</f>
        <v>1.59</v>
      </c>
      <c r="N281">
        <f t="shared" si="26"/>
        <v>2.5700000000000003</v>
      </c>
      <c r="O281" s="7">
        <f>RAW_GAMES!O281</f>
        <v>2</v>
      </c>
      <c r="P281">
        <f>RAW_GAMES!N281</f>
        <v>0</v>
      </c>
      <c r="Q281">
        <f t="shared" si="27"/>
        <v>0</v>
      </c>
      <c r="R281" s="7">
        <f>RAW_GAMES!Q281</f>
        <v>1</v>
      </c>
      <c r="S281">
        <f>RAW_GAMES!P281</f>
        <v>0</v>
      </c>
      <c r="T281">
        <f t="shared" si="28"/>
        <v>1</v>
      </c>
      <c r="U281">
        <f>_xlfn.XLOOKUP(C281,
  CALC_TEAMS_SEASON!B:B,
  CALC_TEAMS_SEASON!F:F)</f>
        <v>0.22060439560439565</v>
      </c>
      <c r="V281">
        <f>_xlfn.XLOOKUP(D281,
  CALC_TEAMS_SEASON!B:B,
  CALC_TEAMS_SEASON!F:F)</f>
        <v>0.11826923076923078</v>
      </c>
      <c r="W281" t="str">
        <f>RAW_GAMES!R281</f>
        <v>Kovář</v>
      </c>
      <c r="X281" s="7">
        <f>RAW_GAMES!S281</f>
        <v>24</v>
      </c>
      <c r="Y281">
        <f t="shared" si="29"/>
        <v>1</v>
      </c>
      <c r="Z281" t="str">
        <f>RAW_GAMES!V281</f>
        <v>RS</v>
      </c>
    </row>
    <row r="282" spans="1:26" x14ac:dyDescent="0.25">
      <c r="A282" t="str">
        <f>RAW_GAMES!A282</f>
        <v>25/26</v>
      </c>
      <c r="B282" s="3">
        <f>RAW_GAMES!B282</f>
        <v>45963</v>
      </c>
      <c r="C282" s="3" t="str">
        <f>RAW_GAMES!E282</f>
        <v>KOM</v>
      </c>
      <c r="D282" s="3" t="str">
        <f>RAW_GAMES!F282</f>
        <v>CEB</v>
      </c>
      <c r="E282" s="7">
        <f>RAW_GAMES!G282</f>
        <v>1</v>
      </c>
      <c r="F282">
        <f>RAW_GAMES!H282</f>
        <v>4</v>
      </c>
      <c r="G282">
        <f>RAW_GAMES!I282</f>
        <v>3</v>
      </c>
      <c r="H282">
        <f t="shared" si="24"/>
        <v>1</v>
      </c>
      <c r="I282">
        <f>RAW_GAMES!J282</f>
        <v>47</v>
      </c>
      <c r="J282">
        <f>RAW_GAMES!K282</f>
        <v>26</v>
      </c>
      <c r="K282">
        <f t="shared" si="25"/>
        <v>21</v>
      </c>
      <c r="L282">
        <f>IF(RAW_GAMES!L282="","",RAW_GAMES!L282)</f>
        <v>4.21</v>
      </c>
      <c r="M282">
        <f>IF(RAW_GAMES!M282="","",RAW_GAMES!M282)</f>
        <v>1.97</v>
      </c>
      <c r="N282">
        <f t="shared" si="26"/>
        <v>2.2400000000000002</v>
      </c>
      <c r="O282" s="7">
        <f>RAW_GAMES!O282</f>
        <v>6</v>
      </c>
      <c r="P282">
        <f>RAW_GAMES!N282</f>
        <v>0</v>
      </c>
      <c r="Q282">
        <f t="shared" si="27"/>
        <v>0</v>
      </c>
      <c r="R282" s="7">
        <f>RAW_GAMES!Q282</f>
        <v>2</v>
      </c>
      <c r="S282">
        <f>RAW_GAMES!P282</f>
        <v>1</v>
      </c>
      <c r="T282">
        <f t="shared" si="28"/>
        <v>0.5</v>
      </c>
      <c r="U282">
        <f>_xlfn.XLOOKUP(C282,
  CALC_TEAMS_SEASON!B:B,
  CALC_TEAMS_SEASON!F:F)</f>
        <v>0.14358974358974358</v>
      </c>
      <c r="V282">
        <f>_xlfn.XLOOKUP(D282,
  CALC_TEAMS_SEASON!B:B,
  CALC_TEAMS_SEASON!F:F)</f>
        <v>0.13021353646353648</v>
      </c>
      <c r="W282" t="str">
        <f>RAW_GAMES!R282</f>
        <v>Stezka</v>
      </c>
      <c r="X282" s="7">
        <f>RAW_GAMES!S282</f>
        <v>23</v>
      </c>
      <c r="Y282">
        <f t="shared" si="29"/>
        <v>1</v>
      </c>
      <c r="Z282" t="str">
        <f>RAW_GAMES!V282</f>
        <v>RS</v>
      </c>
    </row>
    <row r="283" spans="1:26" x14ac:dyDescent="0.25">
      <c r="A283" t="str">
        <f>RAW_GAMES!A283</f>
        <v>25/26</v>
      </c>
      <c r="B283" s="3">
        <f>RAW_GAMES!B283</f>
        <v>45963</v>
      </c>
      <c r="C283" s="3" t="str">
        <f>RAW_GAMES!E283</f>
        <v>KLA</v>
      </c>
      <c r="D283" s="3" t="str">
        <f>RAW_GAMES!F283</f>
        <v>PLZ</v>
      </c>
      <c r="E283" s="7">
        <f>RAW_GAMES!G283</f>
        <v>1</v>
      </c>
      <c r="F283">
        <f>RAW_GAMES!H283</f>
        <v>1</v>
      </c>
      <c r="G283">
        <f>RAW_GAMES!I283</f>
        <v>2</v>
      </c>
      <c r="H283">
        <f t="shared" si="24"/>
        <v>-1</v>
      </c>
      <c r="I283">
        <f>RAW_GAMES!J283</f>
        <v>35</v>
      </c>
      <c r="J283">
        <f>RAW_GAMES!K283</f>
        <v>25</v>
      </c>
      <c r="K283">
        <f t="shared" si="25"/>
        <v>10</v>
      </c>
      <c r="L283" t="str">
        <f>IF(RAW_GAMES!L283="","",RAW_GAMES!L283)</f>
        <v/>
      </c>
      <c r="M283" t="str">
        <f>IF(RAW_GAMES!M283="","",RAW_GAMES!M283)</f>
        <v/>
      </c>
      <c r="N283" t="str">
        <f t="shared" si="26"/>
        <v/>
      </c>
      <c r="O283" s="7">
        <f>RAW_GAMES!O283</f>
        <v>5</v>
      </c>
      <c r="P283">
        <f>RAW_GAMES!N283</f>
        <v>0</v>
      </c>
      <c r="Q283">
        <f t="shared" si="27"/>
        <v>0</v>
      </c>
      <c r="R283" s="7">
        <f>RAW_GAMES!Q283</f>
        <v>2</v>
      </c>
      <c r="S283">
        <f>RAW_GAMES!P283</f>
        <v>0</v>
      </c>
      <c r="T283">
        <f t="shared" si="28"/>
        <v>1</v>
      </c>
      <c r="U283">
        <f>_xlfn.XLOOKUP(C283,
  CALC_TEAMS_SEASON!B:B,
  CALC_TEAMS_SEASON!F:F)</f>
        <v>0.13120421245421243</v>
      </c>
      <c r="V283">
        <f>_xlfn.XLOOKUP(D283,
  CALC_TEAMS_SEASON!B:B,
  CALC_TEAMS_SEASON!F:F)</f>
        <v>0.17641178266178262</v>
      </c>
      <c r="W283" t="str">
        <f>RAW_GAMES!R283</f>
        <v>Dansk</v>
      </c>
      <c r="X283" s="7">
        <f>RAW_GAMES!S283</f>
        <v>23</v>
      </c>
      <c r="Y283">
        <f t="shared" si="29"/>
        <v>0</v>
      </c>
      <c r="Z283" t="str">
        <f>RAW_GAMES!V283</f>
        <v>RS</v>
      </c>
    </row>
    <row r="284" spans="1:26" x14ac:dyDescent="0.25">
      <c r="A284" t="str">
        <f>RAW_GAMES!A284</f>
        <v>25/26</v>
      </c>
      <c r="B284" s="3">
        <f>RAW_GAMES!B284</f>
        <v>45963</v>
      </c>
      <c r="C284" s="3" t="str">
        <f>RAW_GAMES!E284</f>
        <v>LIT</v>
      </c>
      <c r="D284" s="3" t="str">
        <f>RAW_GAMES!F284</f>
        <v>MHK</v>
      </c>
      <c r="E284" s="7">
        <f>RAW_GAMES!G284</f>
        <v>1</v>
      </c>
      <c r="F284">
        <f>RAW_GAMES!H284</f>
        <v>1</v>
      </c>
      <c r="G284">
        <f>RAW_GAMES!I284</f>
        <v>3</v>
      </c>
      <c r="H284">
        <f t="shared" si="24"/>
        <v>-2</v>
      </c>
      <c r="I284">
        <f>RAW_GAMES!J284</f>
        <v>22</v>
      </c>
      <c r="J284">
        <f>RAW_GAMES!K284</f>
        <v>33</v>
      </c>
      <c r="K284">
        <f t="shared" si="25"/>
        <v>-11</v>
      </c>
      <c r="L284" t="str">
        <f>IF(RAW_GAMES!L284="","",RAW_GAMES!L284)</f>
        <v/>
      </c>
      <c r="M284" t="str">
        <f>IF(RAW_GAMES!M284="","",RAW_GAMES!M284)</f>
        <v/>
      </c>
      <c r="N284" t="str">
        <f t="shared" si="26"/>
        <v/>
      </c>
      <c r="O284" s="7">
        <f>RAW_GAMES!O284</f>
        <v>6</v>
      </c>
      <c r="P284">
        <f>RAW_GAMES!N284</f>
        <v>0</v>
      </c>
      <c r="Q284">
        <f t="shared" si="27"/>
        <v>0</v>
      </c>
      <c r="R284" s="7">
        <f>RAW_GAMES!Q284</f>
        <v>8</v>
      </c>
      <c r="S284">
        <f>RAW_GAMES!P284</f>
        <v>1</v>
      </c>
      <c r="T284">
        <f t="shared" si="28"/>
        <v>0.875</v>
      </c>
      <c r="U284">
        <f>_xlfn.XLOOKUP(C284,
  CALC_TEAMS_SEASON!B:B,
  CALC_TEAMS_SEASON!F:F)</f>
        <v>0.10089285714285713</v>
      </c>
      <c r="V284">
        <f>_xlfn.XLOOKUP(D284,
  CALC_TEAMS_SEASON!B:B,
  CALC_TEAMS_SEASON!F:F)</f>
        <v>0.14184981684981687</v>
      </c>
      <c r="W284" t="str">
        <f>RAW_GAMES!R284</f>
        <v>Tomek</v>
      </c>
      <c r="X284" s="7">
        <f>RAW_GAMES!S284</f>
        <v>30</v>
      </c>
      <c r="Y284">
        <f t="shared" si="29"/>
        <v>0</v>
      </c>
      <c r="Z284" t="str">
        <f>RAW_GAMES!V284</f>
        <v>RS</v>
      </c>
    </row>
    <row r="285" spans="1:26" x14ac:dyDescent="0.25">
      <c r="A285" t="str">
        <f>RAW_GAMES!A285</f>
        <v>25/26</v>
      </c>
      <c r="B285" s="3">
        <f>RAW_GAMES!B285</f>
        <v>45963</v>
      </c>
      <c r="C285" s="3" t="str">
        <f>RAW_GAMES!E285</f>
        <v>VIT</v>
      </c>
      <c r="D285" s="3" t="str">
        <f>RAW_GAMES!F285</f>
        <v>OLO</v>
      </c>
      <c r="E285" s="7">
        <f>RAW_GAMES!G285</f>
        <v>1</v>
      </c>
      <c r="F285">
        <f>RAW_GAMES!H285</f>
        <v>2</v>
      </c>
      <c r="G285">
        <f>RAW_GAMES!I285</f>
        <v>3</v>
      </c>
      <c r="H285">
        <f t="shared" si="24"/>
        <v>-1</v>
      </c>
      <c r="I285">
        <f>RAW_GAMES!J285</f>
        <v>29</v>
      </c>
      <c r="J285">
        <f>RAW_GAMES!K285</f>
        <v>28</v>
      </c>
      <c r="K285">
        <f t="shared" si="25"/>
        <v>1</v>
      </c>
      <c r="L285" t="str">
        <f>IF(RAW_GAMES!L285="","",RAW_GAMES!L285)</f>
        <v/>
      </c>
      <c r="M285" t="str">
        <f>IF(RAW_GAMES!M285="","",RAW_GAMES!M285)</f>
        <v/>
      </c>
      <c r="N285" t="str">
        <f t="shared" si="26"/>
        <v/>
      </c>
      <c r="O285" s="7">
        <f>RAW_GAMES!O285</f>
        <v>6</v>
      </c>
      <c r="P285">
        <f>RAW_GAMES!N285</f>
        <v>0</v>
      </c>
      <c r="Q285">
        <f t="shared" si="27"/>
        <v>0</v>
      </c>
      <c r="R285" s="7">
        <f>RAW_GAMES!Q285</f>
        <v>7</v>
      </c>
      <c r="S285">
        <f>RAW_GAMES!P285</f>
        <v>2</v>
      </c>
      <c r="T285">
        <f t="shared" si="28"/>
        <v>0.7142857142857143</v>
      </c>
      <c r="U285">
        <f>_xlfn.XLOOKUP(C285,
  CALC_TEAMS_SEASON!B:B,
  CALC_TEAMS_SEASON!F:F)</f>
        <v>0.16984890109890113</v>
      </c>
      <c r="V285">
        <f>_xlfn.XLOOKUP(D285,
  CALC_TEAMS_SEASON!B:B,
  CALC_TEAMS_SEASON!F:F)</f>
        <v>0.14989316239316242</v>
      </c>
      <c r="W285" t="str">
        <f>RAW_GAMES!R285</f>
        <v>Hrachovina</v>
      </c>
      <c r="X285" s="7">
        <f>RAW_GAMES!S285</f>
        <v>25</v>
      </c>
      <c r="Y285">
        <f t="shared" si="29"/>
        <v>0</v>
      </c>
      <c r="Z285" t="str">
        <f>RAW_GAMES!V285</f>
        <v>RS</v>
      </c>
    </row>
    <row r="286" spans="1:26" x14ac:dyDescent="0.25">
      <c r="A286" t="str">
        <f>RAW_GAMES!A286</f>
        <v>25/26</v>
      </c>
      <c r="B286" s="3">
        <f>RAW_GAMES!B286</f>
        <v>45963</v>
      </c>
      <c r="C286" s="3" t="str">
        <f>RAW_GAMES!E286</f>
        <v>PCE</v>
      </c>
      <c r="D286" s="3" t="str">
        <f>RAW_GAMES!F286</f>
        <v>TRI</v>
      </c>
      <c r="E286" s="7">
        <f>RAW_GAMES!G286</f>
        <v>0</v>
      </c>
      <c r="F286">
        <f>RAW_GAMES!H286</f>
        <v>4</v>
      </c>
      <c r="G286">
        <f>RAW_GAMES!I286</f>
        <v>2</v>
      </c>
      <c r="H286">
        <f t="shared" si="24"/>
        <v>2</v>
      </c>
      <c r="I286">
        <f>RAW_GAMES!J286</f>
        <v>21</v>
      </c>
      <c r="J286">
        <f>RAW_GAMES!K286</f>
        <v>25</v>
      </c>
      <c r="K286">
        <f t="shared" si="25"/>
        <v>-4</v>
      </c>
      <c r="L286">
        <f>IF(RAW_GAMES!L286="","",RAW_GAMES!L286)</f>
        <v>2.14</v>
      </c>
      <c r="M286">
        <f>IF(RAW_GAMES!M286="","",RAW_GAMES!M286)</f>
        <v>1.79</v>
      </c>
      <c r="N286">
        <f t="shared" si="26"/>
        <v>0.35000000000000009</v>
      </c>
      <c r="O286" s="7">
        <f>RAW_GAMES!O286</f>
        <v>2</v>
      </c>
      <c r="P286">
        <f>RAW_GAMES!N286</f>
        <v>0</v>
      </c>
      <c r="Q286">
        <f t="shared" si="27"/>
        <v>0</v>
      </c>
      <c r="R286" s="7">
        <f>RAW_GAMES!Q286</f>
        <v>7</v>
      </c>
      <c r="S286">
        <f>RAW_GAMES!P286</f>
        <v>2</v>
      </c>
      <c r="T286">
        <f t="shared" si="28"/>
        <v>0.7142857142857143</v>
      </c>
      <c r="U286">
        <f>_xlfn.XLOOKUP(C286,
  CALC_TEAMS_SEASON!B:B,
  CALC_TEAMS_SEASON!F:F)</f>
        <v>0.20297619047619053</v>
      </c>
      <c r="V286">
        <f>_xlfn.XLOOKUP(D286,
  CALC_TEAMS_SEASON!B:B,
  CALC_TEAMS_SEASON!F:F)</f>
        <v>0.17437423687423692</v>
      </c>
      <c r="W286" t="str">
        <f>RAW_GAMES!R286</f>
        <v>Will</v>
      </c>
      <c r="X286" s="7">
        <f>RAW_GAMES!S286</f>
        <v>23</v>
      </c>
      <c r="Y286">
        <f t="shared" si="29"/>
        <v>1</v>
      </c>
      <c r="Z286" t="str">
        <f>RAW_GAMES!V286</f>
        <v>RS</v>
      </c>
    </row>
    <row r="287" spans="1:26" x14ac:dyDescent="0.25">
      <c r="A287" t="str">
        <f>RAW_GAMES!A287</f>
        <v>25/26</v>
      </c>
      <c r="B287" s="3">
        <f>RAW_GAMES!B287</f>
        <v>45963</v>
      </c>
      <c r="C287" s="3" t="str">
        <f>RAW_GAMES!E287</f>
        <v>CEB</v>
      </c>
      <c r="D287" s="3" t="str">
        <f>RAW_GAMES!F287</f>
        <v>KOM</v>
      </c>
      <c r="E287" s="7">
        <f>RAW_GAMES!G287</f>
        <v>0</v>
      </c>
      <c r="F287">
        <f>RAW_GAMES!H287</f>
        <v>3</v>
      </c>
      <c r="G287">
        <f>RAW_GAMES!I287</f>
        <v>4</v>
      </c>
      <c r="H287">
        <f t="shared" si="24"/>
        <v>-1</v>
      </c>
      <c r="I287">
        <f>RAW_GAMES!J287</f>
        <v>26</v>
      </c>
      <c r="J287">
        <f>RAW_GAMES!K287</f>
        <v>47</v>
      </c>
      <c r="K287">
        <f t="shared" si="25"/>
        <v>-21</v>
      </c>
      <c r="L287">
        <f>IF(RAW_GAMES!L287="","",RAW_GAMES!L287)</f>
        <v>1.97</v>
      </c>
      <c r="M287">
        <f>IF(RAW_GAMES!M287="","",RAW_GAMES!M287)</f>
        <v>4.21</v>
      </c>
      <c r="N287">
        <f t="shared" si="26"/>
        <v>-2.2400000000000002</v>
      </c>
      <c r="O287" s="7">
        <f>RAW_GAMES!O287</f>
        <v>2</v>
      </c>
      <c r="P287">
        <f>RAW_GAMES!N287</f>
        <v>1</v>
      </c>
      <c r="Q287">
        <f t="shared" si="27"/>
        <v>0.5</v>
      </c>
      <c r="R287" s="7">
        <f>RAW_GAMES!Q287</f>
        <v>6</v>
      </c>
      <c r="S287">
        <f>RAW_GAMES!P287</f>
        <v>0</v>
      </c>
      <c r="T287">
        <f t="shared" si="28"/>
        <v>1</v>
      </c>
      <c r="U287">
        <f>_xlfn.XLOOKUP(C287,
  CALC_TEAMS_SEASON!B:B,
  CALC_TEAMS_SEASON!F:F)</f>
        <v>0.13021353646353648</v>
      </c>
      <c r="V287">
        <f>_xlfn.XLOOKUP(D287,
  CALC_TEAMS_SEASON!B:B,
  CALC_TEAMS_SEASON!F:F)</f>
        <v>0.14358974358974358</v>
      </c>
      <c r="W287" t="str">
        <f>RAW_GAMES!R287</f>
        <v>Westerholm</v>
      </c>
      <c r="X287" s="7">
        <f>RAW_GAMES!S287</f>
        <v>43</v>
      </c>
      <c r="Y287">
        <f t="shared" si="29"/>
        <v>0</v>
      </c>
      <c r="Z287" t="str">
        <f>RAW_GAMES!V287</f>
        <v>RS</v>
      </c>
    </row>
    <row r="288" spans="1:26" x14ac:dyDescent="0.25">
      <c r="A288" t="str">
        <f>RAW_GAMES!A288</f>
        <v>25/26</v>
      </c>
      <c r="B288" s="3">
        <f>RAW_GAMES!B288</f>
        <v>45963</v>
      </c>
      <c r="C288" s="3" t="str">
        <f>RAW_GAMES!E288</f>
        <v>MBL</v>
      </c>
      <c r="D288" s="3" t="str">
        <f>RAW_GAMES!F288</f>
        <v>SPA</v>
      </c>
      <c r="E288" s="7">
        <f>RAW_GAMES!G288</f>
        <v>0</v>
      </c>
      <c r="F288">
        <f>RAW_GAMES!H288</f>
        <v>0</v>
      </c>
      <c r="G288">
        <f>RAW_GAMES!I288</f>
        <v>2</v>
      </c>
      <c r="H288">
        <f t="shared" si="24"/>
        <v>-2</v>
      </c>
      <c r="I288">
        <f>RAW_GAMES!J288</f>
        <v>24</v>
      </c>
      <c r="J288">
        <f>RAW_GAMES!K288</f>
        <v>35</v>
      </c>
      <c r="K288">
        <f t="shared" si="25"/>
        <v>-11</v>
      </c>
      <c r="L288">
        <f>IF(RAW_GAMES!L288="","",RAW_GAMES!L288)</f>
        <v>1.59</v>
      </c>
      <c r="M288">
        <f>IF(RAW_GAMES!M288="","",RAW_GAMES!M288)</f>
        <v>4.16</v>
      </c>
      <c r="N288">
        <f t="shared" si="26"/>
        <v>-2.5700000000000003</v>
      </c>
      <c r="O288" s="7">
        <f>RAW_GAMES!O288</f>
        <v>1</v>
      </c>
      <c r="P288">
        <f>RAW_GAMES!N288</f>
        <v>0</v>
      </c>
      <c r="Q288">
        <f t="shared" si="27"/>
        <v>0</v>
      </c>
      <c r="R288" s="7">
        <f>RAW_GAMES!Q288</f>
        <v>2</v>
      </c>
      <c r="S288">
        <f>RAW_GAMES!P288</f>
        <v>0</v>
      </c>
      <c r="T288">
        <f t="shared" si="28"/>
        <v>1</v>
      </c>
      <c r="U288">
        <f>_xlfn.XLOOKUP(C288,
  CALC_TEAMS_SEASON!B:B,
  CALC_TEAMS_SEASON!F:F)</f>
        <v>0.11826923076923078</v>
      </c>
      <c r="V288">
        <f>_xlfn.XLOOKUP(D288,
  CALC_TEAMS_SEASON!B:B,
  CALC_TEAMS_SEASON!F:F)</f>
        <v>0.22060439560439565</v>
      </c>
      <c r="W288" t="str">
        <f>RAW_GAMES!R288</f>
        <v>Mokry</v>
      </c>
      <c r="X288" s="7">
        <f>RAW_GAMES!S288</f>
        <v>33</v>
      </c>
      <c r="Y288">
        <f t="shared" si="29"/>
        <v>0</v>
      </c>
      <c r="Z288" t="str">
        <f>RAW_GAMES!V288</f>
        <v>RS</v>
      </c>
    </row>
    <row r="289" spans="1:26" x14ac:dyDescent="0.25">
      <c r="A289" t="str">
        <f>RAW_GAMES!A289</f>
        <v>25/26</v>
      </c>
      <c r="B289" s="3">
        <f>RAW_GAMES!B289</f>
        <v>45963</v>
      </c>
      <c r="C289" s="3" t="str">
        <f>RAW_GAMES!E289</f>
        <v>MHK</v>
      </c>
      <c r="D289" s="3" t="str">
        <f>RAW_GAMES!F289</f>
        <v>LIT</v>
      </c>
      <c r="E289" s="7">
        <f>RAW_GAMES!G289</f>
        <v>0</v>
      </c>
      <c r="F289">
        <f>RAW_GAMES!H289</f>
        <v>3</v>
      </c>
      <c r="G289">
        <f>RAW_GAMES!I289</f>
        <v>1</v>
      </c>
      <c r="H289">
        <f t="shared" si="24"/>
        <v>2</v>
      </c>
      <c r="I289">
        <f>RAW_GAMES!J289</f>
        <v>33</v>
      </c>
      <c r="J289">
        <f>RAW_GAMES!K289</f>
        <v>22</v>
      </c>
      <c r="K289">
        <f t="shared" si="25"/>
        <v>11</v>
      </c>
      <c r="L289" t="str">
        <f>IF(RAW_GAMES!L289="","",RAW_GAMES!L289)</f>
        <v/>
      </c>
      <c r="M289" t="str">
        <f>IF(RAW_GAMES!M289="","",RAW_GAMES!M289)</f>
        <v/>
      </c>
      <c r="N289" t="str">
        <f t="shared" si="26"/>
        <v/>
      </c>
      <c r="O289" s="7">
        <f>RAW_GAMES!O289</f>
        <v>8</v>
      </c>
      <c r="P289">
        <f>RAW_GAMES!N289</f>
        <v>1</v>
      </c>
      <c r="Q289">
        <f t="shared" si="27"/>
        <v>0.125</v>
      </c>
      <c r="R289" s="7">
        <f>RAW_GAMES!Q289</f>
        <v>6</v>
      </c>
      <c r="S289">
        <f>RAW_GAMES!P289</f>
        <v>0</v>
      </c>
      <c r="T289">
        <f t="shared" si="28"/>
        <v>1</v>
      </c>
      <c r="U289">
        <f>_xlfn.XLOOKUP(C289,
  CALC_TEAMS_SEASON!B:B,
  CALC_TEAMS_SEASON!F:F)</f>
        <v>0.14184981684981687</v>
      </c>
      <c r="V289">
        <f>_xlfn.XLOOKUP(D289,
  CALC_TEAMS_SEASON!B:B,
  CALC_TEAMS_SEASON!F:F)</f>
        <v>0.10089285714285713</v>
      </c>
      <c r="W289" t="str">
        <f>RAW_GAMES!R289</f>
        <v>Škorvánek</v>
      </c>
      <c r="X289" s="7">
        <f>RAW_GAMES!S289</f>
        <v>21</v>
      </c>
      <c r="Y289">
        <f t="shared" si="29"/>
        <v>1</v>
      </c>
      <c r="Z289" t="str">
        <f>RAW_GAMES!V289</f>
        <v>RS</v>
      </c>
    </row>
    <row r="290" spans="1:26" x14ac:dyDescent="0.25">
      <c r="A290" t="str">
        <f>RAW_GAMES!A290</f>
        <v>25/26</v>
      </c>
      <c r="B290" s="3">
        <f>RAW_GAMES!B290</f>
        <v>45963</v>
      </c>
      <c r="C290" s="3" t="str">
        <f>RAW_GAMES!E290</f>
        <v>OLO</v>
      </c>
      <c r="D290" s="3" t="str">
        <f>RAW_GAMES!F290</f>
        <v>VIT</v>
      </c>
      <c r="E290" s="7">
        <f>RAW_GAMES!G290</f>
        <v>0</v>
      </c>
      <c r="F290">
        <f>RAW_GAMES!H290</f>
        <v>3</v>
      </c>
      <c r="G290">
        <f>RAW_GAMES!I290</f>
        <v>2</v>
      </c>
      <c r="H290">
        <f t="shared" si="24"/>
        <v>1</v>
      </c>
      <c r="I290">
        <f>RAW_GAMES!J290</f>
        <v>28</v>
      </c>
      <c r="J290">
        <f>RAW_GAMES!K290</f>
        <v>29</v>
      </c>
      <c r="K290">
        <f t="shared" si="25"/>
        <v>-1</v>
      </c>
      <c r="L290" t="str">
        <f>IF(RAW_GAMES!L290="","",RAW_GAMES!L290)</f>
        <v/>
      </c>
      <c r="M290" t="str">
        <f>IF(RAW_GAMES!M290="","",RAW_GAMES!M290)</f>
        <v/>
      </c>
      <c r="N290" t="str">
        <f t="shared" si="26"/>
        <v/>
      </c>
      <c r="O290" s="7">
        <f>RAW_GAMES!O290</f>
        <v>7</v>
      </c>
      <c r="P290">
        <f>RAW_GAMES!N290</f>
        <v>2</v>
      </c>
      <c r="Q290">
        <f t="shared" si="27"/>
        <v>0.2857142857142857</v>
      </c>
      <c r="R290" s="7">
        <f>RAW_GAMES!Q290</f>
        <v>6</v>
      </c>
      <c r="S290">
        <f>RAW_GAMES!P290</f>
        <v>0</v>
      </c>
      <c r="T290">
        <f t="shared" si="28"/>
        <v>1</v>
      </c>
      <c r="U290">
        <f>_xlfn.XLOOKUP(C290,
  CALC_TEAMS_SEASON!B:B,
  CALC_TEAMS_SEASON!F:F)</f>
        <v>0.14989316239316242</v>
      </c>
      <c r="V290">
        <f>_xlfn.XLOOKUP(D290,
  CALC_TEAMS_SEASON!B:B,
  CALC_TEAMS_SEASON!F:F)</f>
        <v>0.16984890109890113</v>
      </c>
      <c r="W290" t="str">
        <f>RAW_GAMES!R290</f>
        <v>Machovský</v>
      </c>
      <c r="X290" s="7">
        <f>RAW_GAMES!S290</f>
        <v>27</v>
      </c>
      <c r="Y290">
        <f t="shared" si="29"/>
        <v>1</v>
      </c>
      <c r="Z290" t="str">
        <f>RAW_GAMES!V290</f>
        <v>RS</v>
      </c>
    </row>
    <row r="291" spans="1:26" x14ac:dyDescent="0.25">
      <c r="A291" t="str">
        <f>RAW_GAMES!A291</f>
        <v>25/26</v>
      </c>
      <c r="B291" s="3">
        <f>RAW_GAMES!B291</f>
        <v>45963</v>
      </c>
      <c r="C291" s="3" t="str">
        <f>RAW_GAMES!E291</f>
        <v>PLZ</v>
      </c>
      <c r="D291" s="3" t="str">
        <f>RAW_GAMES!F291</f>
        <v>KLA</v>
      </c>
      <c r="E291" s="7">
        <f>RAW_GAMES!G291</f>
        <v>0</v>
      </c>
      <c r="F291">
        <f>RAW_GAMES!H291</f>
        <v>2</v>
      </c>
      <c r="G291">
        <f>RAW_GAMES!I291</f>
        <v>1</v>
      </c>
      <c r="H291">
        <f t="shared" si="24"/>
        <v>1</v>
      </c>
      <c r="I291">
        <f>RAW_GAMES!J291</f>
        <v>25</v>
      </c>
      <c r="J291">
        <f>RAW_GAMES!K291</f>
        <v>35</v>
      </c>
      <c r="K291">
        <f t="shared" si="25"/>
        <v>-10</v>
      </c>
      <c r="L291" t="str">
        <f>IF(RAW_GAMES!L291="","",RAW_GAMES!L291)</f>
        <v/>
      </c>
      <c r="M291" t="str">
        <f>IF(RAW_GAMES!M291="","",RAW_GAMES!M291)</f>
        <v/>
      </c>
      <c r="N291" t="str">
        <f t="shared" si="26"/>
        <v/>
      </c>
      <c r="O291" s="7">
        <f>RAW_GAMES!O291</f>
        <v>2</v>
      </c>
      <c r="P291">
        <f>RAW_GAMES!N291</f>
        <v>0</v>
      </c>
      <c r="Q291">
        <f t="shared" si="27"/>
        <v>0</v>
      </c>
      <c r="R291" s="7">
        <f>RAW_GAMES!Q291</f>
        <v>5</v>
      </c>
      <c r="S291">
        <f>RAW_GAMES!P291</f>
        <v>0</v>
      </c>
      <c r="T291">
        <f t="shared" si="28"/>
        <v>1</v>
      </c>
      <c r="U291">
        <f>_xlfn.XLOOKUP(C291,
  CALC_TEAMS_SEASON!B:B,
  CALC_TEAMS_SEASON!F:F)</f>
        <v>0.17641178266178262</v>
      </c>
      <c r="V291">
        <f>_xlfn.XLOOKUP(D291,
  CALC_TEAMS_SEASON!B:B,
  CALC_TEAMS_SEASON!F:F)</f>
        <v>0.13120421245421243</v>
      </c>
      <c r="W291" t="str">
        <f>RAW_GAMES!R291</f>
        <v>Malík</v>
      </c>
      <c r="X291" s="7">
        <f>RAW_GAMES!S291</f>
        <v>34</v>
      </c>
      <c r="Y291">
        <f t="shared" si="29"/>
        <v>1</v>
      </c>
      <c r="Z291" t="str">
        <f>RAW_GAMES!V291</f>
        <v>RS</v>
      </c>
    </row>
    <row r="292" spans="1:26" x14ac:dyDescent="0.25">
      <c r="A292" t="str">
        <f>RAW_GAMES!A292</f>
        <v>25/26</v>
      </c>
      <c r="B292" s="3">
        <f>RAW_GAMES!B292</f>
        <v>45970</v>
      </c>
      <c r="C292" s="3" t="str">
        <f>RAW_GAMES!E292</f>
        <v>SPA</v>
      </c>
      <c r="D292" s="3" t="str">
        <f>RAW_GAMES!F292</f>
        <v>LIB</v>
      </c>
      <c r="E292" s="7">
        <f>RAW_GAMES!G292</f>
        <v>1</v>
      </c>
      <c r="F292">
        <f>RAW_GAMES!H292</f>
        <v>4</v>
      </c>
      <c r="G292">
        <f>RAW_GAMES!I292</f>
        <v>3</v>
      </c>
      <c r="H292">
        <f t="shared" si="24"/>
        <v>1</v>
      </c>
      <c r="I292">
        <f>RAW_GAMES!J292</f>
        <v>21</v>
      </c>
      <c r="J292">
        <f>RAW_GAMES!K292</f>
        <v>30</v>
      </c>
      <c r="K292">
        <f t="shared" si="25"/>
        <v>-9</v>
      </c>
      <c r="L292">
        <f>IF(RAW_GAMES!L292="","",RAW_GAMES!L292)</f>
        <v>0.96</v>
      </c>
      <c r="M292">
        <f>IF(RAW_GAMES!M292="","",RAW_GAMES!M292)</f>
        <v>2.95</v>
      </c>
      <c r="N292">
        <f t="shared" si="26"/>
        <v>-1.9900000000000002</v>
      </c>
      <c r="O292" s="7">
        <f>RAW_GAMES!O292</f>
        <v>3</v>
      </c>
      <c r="P292">
        <f>RAW_GAMES!N292</f>
        <v>1</v>
      </c>
      <c r="Q292">
        <f t="shared" si="27"/>
        <v>0.33333333333333331</v>
      </c>
      <c r="R292" s="7">
        <f>RAW_GAMES!Q292</f>
        <v>4</v>
      </c>
      <c r="S292">
        <f>RAW_GAMES!P292</f>
        <v>0</v>
      </c>
      <c r="T292">
        <f t="shared" si="28"/>
        <v>1</v>
      </c>
      <c r="U292">
        <f>_xlfn.XLOOKUP(C292,
  CALC_TEAMS_SEASON!B:B,
  CALC_TEAMS_SEASON!F:F)</f>
        <v>0.22060439560439565</v>
      </c>
      <c r="V292">
        <f>_xlfn.XLOOKUP(D292,
  CALC_TEAMS_SEASON!B:B,
  CALC_TEAMS_SEASON!F:F)</f>
        <v>0.14377289377289379</v>
      </c>
      <c r="W292" t="str">
        <f>RAW_GAMES!R292</f>
        <v>Kovář</v>
      </c>
      <c r="X292" s="7">
        <f>RAW_GAMES!S292</f>
        <v>27</v>
      </c>
      <c r="Y292">
        <f t="shared" si="29"/>
        <v>1</v>
      </c>
      <c r="Z292" t="str">
        <f>RAW_GAMES!V292</f>
        <v>RS</v>
      </c>
    </row>
    <row r="293" spans="1:26" x14ac:dyDescent="0.25">
      <c r="A293" t="str">
        <f>RAW_GAMES!A293</f>
        <v>25/26</v>
      </c>
      <c r="B293" s="3">
        <f>RAW_GAMES!B293</f>
        <v>45970</v>
      </c>
      <c r="C293" s="3" t="str">
        <f>RAW_GAMES!E293</f>
        <v>LIB</v>
      </c>
      <c r="D293" s="3" t="str">
        <f>RAW_GAMES!F293</f>
        <v>SPA</v>
      </c>
      <c r="E293" s="7">
        <f>RAW_GAMES!G293</f>
        <v>0</v>
      </c>
      <c r="F293">
        <f>RAW_GAMES!H293</f>
        <v>3</v>
      </c>
      <c r="G293">
        <f>RAW_GAMES!I293</f>
        <v>4</v>
      </c>
      <c r="H293">
        <f t="shared" si="24"/>
        <v>-1</v>
      </c>
      <c r="I293">
        <f>RAW_GAMES!J293</f>
        <v>30</v>
      </c>
      <c r="J293">
        <f>RAW_GAMES!K293</f>
        <v>21</v>
      </c>
      <c r="K293">
        <f t="shared" si="25"/>
        <v>9</v>
      </c>
      <c r="L293">
        <f>IF(RAW_GAMES!L293="","",RAW_GAMES!L293)</f>
        <v>2.95</v>
      </c>
      <c r="M293">
        <f>IF(RAW_GAMES!M293="","",RAW_GAMES!M293)</f>
        <v>0.96</v>
      </c>
      <c r="N293">
        <f t="shared" si="26"/>
        <v>1.9900000000000002</v>
      </c>
      <c r="O293" s="7">
        <f>RAW_GAMES!O293</f>
        <v>4</v>
      </c>
      <c r="P293">
        <f>RAW_GAMES!N293</f>
        <v>0</v>
      </c>
      <c r="Q293">
        <f t="shared" si="27"/>
        <v>0</v>
      </c>
      <c r="R293" s="7">
        <f>RAW_GAMES!Q293</f>
        <v>3</v>
      </c>
      <c r="S293">
        <f>RAW_GAMES!P293</f>
        <v>1</v>
      </c>
      <c r="T293">
        <f t="shared" si="28"/>
        <v>0.66666666666666674</v>
      </c>
      <c r="U293">
        <f>_xlfn.XLOOKUP(C293,
  CALC_TEAMS_SEASON!B:B,
  CALC_TEAMS_SEASON!F:F)</f>
        <v>0.14377289377289379</v>
      </c>
      <c r="V293">
        <f>_xlfn.XLOOKUP(D293,
  CALC_TEAMS_SEASON!B:B,
  CALC_TEAMS_SEASON!F:F)</f>
        <v>0.22060439560439565</v>
      </c>
      <c r="W293" t="str">
        <f>RAW_GAMES!R293</f>
        <v>Lukeš</v>
      </c>
      <c r="X293" s="7">
        <f>RAW_GAMES!S293</f>
        <v>15</v>
      </c>
      <c r="Y293">
        <f t="shared" si="29"/>
        <v>0</v>
      </c>
      <c r="Z293" t="str">
        <f>RAW_GAMES!V293</f>
        <v>RS</v>
      </c>
    </row>
    <row r="294" spans="1:26" x14ac:dyDescent="0.25">
      <c r="A294" t="str">
        <f>RAW_GAMES!A294</f>
        <v>25/26</v>
      </c>
      <c r="B294" s="3">
        <f>RAW_GAMES!B294</f>
        <v>45973</v>
      </c>
      <c r="C294" s="3" t="str">
        <f>RAW_GAMES!E294</f>
        <v>CEB</v>
      </c>
      <c r="D294" s="3" t="str">
        <f>RAW_GAMES!F294</f>
        <v>VIT</v>
      </c>
      <c r="E294" s="7">
        <f>RAW_GAMES!G294</f>
        <v>0</v>
      </c>
      <c r="F294">
        <f>RAW_GAMES!H294</f>
        <v>2</v>
      </c>
      <c r="G294">
        <f>RAW_GAMES!I294</f>
        <v>4</v>
      </c>
      <c r="H294">
        <f t="shared" si="24"/>
        <v>-2</v>
      </c>
      <c r="I294">
        <f>RAW_GAMES!J294</f>
        <v>27</v>
      </c>
      <c r="J294">
        <f>RAW_GAMES!K294</f>
        <v>26</v>
      </c>
      <c r="K294">
        <f t="shared" si="25"/>
        <v>1</v>
      </c>
      <c r="L294" t="str">
        <f>IF(RAW_GAMES!L294="","",RAW_GAMES!L294)</f>
        <v/>
      </c>
      <c r="M294" t="str">
        <f>IF(RAW_GAMES!M294="","",RAW_GAMES!M294)</f>
        <v/>
      </c>
      <c r="N294" t="str">
        <f t="shared" si="26"/>
        <v/>
      </c>
      <c r="O294" s="7">
        <f>RAW_GAMES!O294</f>
        <v>2</v>
      </c>
      <c r="P294">
        <f>RAW_GAMES!N294</f>
        <v>0</v>
      </c>
      <c r="Q294">
        <f t="shared" si="27"/>
        <v>0</v>
      </c>
      <c r="R294" s="7">
        <f>RAW_GAMES!Q294</f>
        <v>3</v>
      </c>
      <c r="S294">
        <f>RAW_GAMES!P294</f>
        <v>0</v>
      </c>
      <c r="T294">
        <f t="shared" si="28"/>
        <v>1</v>
      </c>
      <c r="U294">
        <f>_xlfn.XLOOKUP(C294,
  CALC_TEAMS_SEASON!B:B,
  CALC_TEAMS_SEASON!F:F)</f>
        <v>0.13021353646353648</v>
      </c>
      <c r="V294">
        <f>_xlfn.XLOOKUP(D294,
  CALC_TEAMS_SEASON!B:B,
  CALC_TEAMS_SEASON!F:F)</f>
        <v>0.16984890109890113</v>
      </c>
      <c r="W294" t="str">
        <f>RAW_GAMES!R294</f>
        <v>Westerholm</v>
      </c>
      <c r="X294" s="7">
        <f>RAW_GAMES!S294</f>
        <v>22</v>
      </c>
      <c r="Y294">
        <f t="shared" si="29"/>
        <v>0</v>
      </c>
      <c r="Z294" t="str">
        <f>RAW_GAMES!V294</f>
        <v>RS</v>
      </c>
    </row>
    <row r="295" spans="1:26" x14ac:dyDescent="0.25">
      <c r="A295" t="str">
        <f>RAW_GAMES!A295</f>
        <v>25/26</v>
      </c>
      <c r="B295" s="3">
        <f>RAW_GAMES!B295</f>
        <v>45973</v>
      </c>
      <c r="C295" s="3" t="str">
        <f>RAW_GAMES!E295</f>
        <v>LIB</v>
      </c>
      <c r="D295" s="3" t="str">
        <f>RAW_GAMES!F295</f>
        <v>OLO</v>
      </c>
      <c r="E295" s="7">
        <f>RAW_GAMES!G295</f>
        <v>1</v>
      </c>
      <c r="F295">
        <f>RAW_GAMES!H295</f>
        <v>4</v>
      </c>
      <c r="G295">
        <f>RAW_GAMES!I295</f>
        <v>2</v>
      </c>
      <c r="H295">
        <f t="shared" si="24"/>
        <v>2</v>
      </c>
      <c r="I295">
        <f>RAW_GAMES!J295</f>
        <v>50</v>
      </c>
      <c r="J295">
        <f>RAW_GAMES!K295</f>
        <v>22</v>
      </c>
      <c r="K295">
        <f t="shared" si="25"/>
        <v>28</v>
      </c>
      <c r="L295" t="str">
        <f>IF(RAW_GAMES!L295="","",RAW_GAMES!L295)</f>
        <v/>
      </c>
      <c r="M295" t="str">
        <f>IF(RAW_GAMES!M295="","",RAW_GAMES!M295)</f>
        <v/>
      </c>
      <c r="N295" t="str">
        <f t="shared" si="26"/>
        <v/>
      </c>
      <c r="O295" s="7">
        <f>RAW_GAMES!O295</f>
        <v>7</v>
      </c>
      <c r="P295">
        <f>RAW_GAMES!N295</f>
        <v>1</v>
      </c>
      <c r="Q295">
        <f t="shared" si="27"/>
        <v>0.14285714285714285</v>
      </c>
      <c r="R295" s="7">
        <f>RAW_GAMES!Q295</f>
        <v>4</v>
      </c>
      <c r="S295">
        <f>RAW_GAMES!P295</f>
        <v>0</v>
      </c>
      <c r="T295">
        <f t="shared" si="28"/>
        <v>1</v>
      </c>
      <c r="U295">
        <f>_xlfn.XLOOKUP(C295,
  CALC_TEAMS_SEASON!B:B,
  CALC_TEAMS_SEASON!F:F)</f>
        <v>0.14377289377289379</v>
      </c>
      <c r="V295">
        <f>_xlfn.XLOOKUP(D295,
  CALC_TEAMS_SEASON!B:B,
  CALC_TEAMS_SEASON!F:F)</f>
        <v>0.14989316239316242</v>
      </c>
      <c r="W295" t="str">
        <f>RAW_GAMES!R295</f>
        <v>Kváča</v>
      </c>
      <c r="X295" s="7">
        <f>RAW_GAMES!S295</f>
        <v>20</v>
      </c>
      <c r="Y295">
        <f t="shared" si="29"/>
        <v>1</v>
      </c>
      <c r="Z295" t="str">
        <f>RAW_GAMES!V295</f>
        <v>RS</v>
      </c>
    </row>
    <row r="296" spans="1:26" x14ac:dyDescent="0.25">
      <c r="A296" t="str">
        <f>RAW_GAMES!A296</f>
        <v>25/26</v>
      </c>
      <c r="B296" s="3">
        <f>RAW_GAMES!B296</f>
        <v>45973</v>
      </c>
      <c r="C296" s="3" t="str">
        <f>RAW_GAMES!E296</f>
        <v>OLO</v>
      </c>
      <c r="D296" s="3" t="str">
        <f>RAW_GAMES!F296</f>
        <v>LIB</v>
      </c>
      <c r="E296" s="7">
        <f>RAW_GAMES!G296</f>
        <v>0</v>
      </c>
      <c r="F296">
        <f>RAW_GAMES!H296</f>
        <v>2</v>
      </c>
      <c r="G296">
        <f>RAW_GAMES!I296</f>
        <v>4</v>
      </c>
      <c r="H296">
        <f t="shared" si="24"/>
        <v>-2</v>
      </c>
      <c r="I296">
        <f>RAW_GAMES!J296</f>
        <v>22</v>
      </c>
      <c r="J296">
        <f>RAW_GAMES!K296</f>
        <v>50</v>
      </c>
      <c r="K296">
        <f t="shared" si="25"/>
        <v>-28</v>
      </c>
      <c r="L296" t="str">
        <f>IF(RAW_GAMES!L296="","",RAW_GAMES!L296)</f>
        <v/>
      </c>
      <c r="M296" t="str">
        <f>IF(RAW_GAMES!M296="","",RAW_GAMES!M296)</f>
        <v/>
      </c>
      <c r="N296" t="str">
        <f t="shared" si="26"/>
        <v/>
      </c>
      <c r="O296" s="7">
        <f>RAW_GAMES!O296</f>
        <v>4</v>
      </c>
      <c r="P296">
        <f>RAW_GAMES!N296</f>
        <v>0</v>
      </c>
      <c r="Q296">
        <f t="shared" si="27"/>
        <v>0</v>
      </c>
      <c r="R296" s="7">
        <f>RAW_GAMES!Q296</f>
        <v>7</v>
      </c>
      <c r="S296">
        <f>RAW_GAMES!P296</f>
        <v>1</v>
      </c>
      <c r="T296">
        <f t="shared" si="28"/>
        <v>0.85714285714285721</v>
      </c>
      <c r="U296">
        <f>_xlfn.XLOOKUP(C296,
  CALC_TEAMS_SEASON!B:B,
  CALC_TEAMS_SEASON!F:F)</f>
        <v>0.14989316239316242</v>
      </c>
      <c r="V296">
        <f>_xlfn.XLOOKUP(D296,
  CALC_TEAMS_SEASON!B:B,
  CALC_TEAMS_SEASON!F:F)</f>
        <v>0.14377289377289379</v>
      </c>
      <c r="W296" t="str">
        <f>RAW_GAMES!R296</f>
        <v>Machovský</v>
      </c>
      <c r="X296" s="7">
        <f>RAW_GAMES!S296</f>
        <v>46</v>
      </c>
      <c r="Y296">
        <f t="shared" si="29"/>
        <v>0</v>
      </c>
      <c r="Z296" t="str">
        <f>RAW_GAMES!V296</f>
        <v>RS</v>
      </c>
    </row>
    <row r="297" spans="1:26" x14ac:dyDescent="0.25">
      <c r="A297" t="str">
        <f>RAW_GAMES!A297</f>
        <v>25/26</v>
      </c>
      <c r="B297" s="3">
        <f>RAW_GAMES!B297</f>
        <v>45973</v>
      </c>
      <c r="C297" s="3" t="str">
        <f>RAW_GAMES!E297</f>
        <v>VIT</v>
      </c>
      <c r="D297" s="3" t="str">
        <f>RAW_GAMES!F297</f>
        <v>CEB</v>
      </c>
      <c r="E297" s="7">
        <f>RAW_GAMES!G297</f>
        <v>1</v>
      </c>
      <c r="F297">
        <f>RAW_GAMES!H297</f>
        <v>4</v>
      </c>
      <c r="G297">
        <f>RAW_GAMES!I297</f>
        <v>2</v>
      </c>
      <c r="H297">
        <f t="shared" si="24"/>
        <v>2</v>
      </c>
      <c r="I297">
        <f>RAW_GAMES!J297</f>
        <v>26</v>
      </c>
      <c r="J297">
        <f>RAW_GAMES!K297</f>
        <v>27</v>
      </c>
      <c r="K297">
        <f t="shared" si="25"/>
        <v>-1</v>
      </c>
      <c r="L297" t="str">
        <f>IF(RAW_GAMES!L297="","",RAW_GAMES!L297)</f>
        <v/>
      </c>
      <c r="M297" t="str">
        <f>IF(RAW_GAMES!M297="","",RAW_GAMES!M297)</f>
        <v/>
      </c>
      <c r="N297" t="str">
        <f t="shared" si="26"/>
        <v/>
      </c>
      <c r="O297" s="7">
        <f>RAW_GAMES!O297</f>
        <v>3</v>
      </c>
      <c r="P297">
        <f>RAW_GAMES!N297</f>
        <v>0</v>
      </c>
      <c r="Q297">
        <f t="shared" si="27"/>
        <v>0</v>
      </c>
      <c r="R297" s="7">
        <f>RAW_GAMES!Q297</f>
        <v>2</v>
      </c>
      <c r="S297">
        <f>RAW_GAMES!P297</f>
        <v>0</v>
      </c>
      <c r="T297">
        <f t="shared" si="28"/>
        <v>1</v>
      </c>
      <c r="U297">
        <f>_xlfn.XLOOKUP(C297,
  CALC_TEAMS_SEASON!B:B,
  CALC_TEAMS_SEASON!F:F)</f>
        <v>0.16984890109890113</v>
      </c>
      <c r="V297">
        <f>_xlfn.XLOOKUP(D297,
  CALC_TEAMS_SEASON!B:B,
  CALC_TEAMS_SEASON!F:F)</f>
        <v>0.13021353646353648</v>
      </c>
      <c r="W297" t="str">
        <f>RAW_GAMES!R297</f>
        <v>Hrachovina</v>
      </c>
      <c r="X297" s="7">
        <f>RAW_GAMES!S297</f>
        <v>25</v>
      </c>
      <c r="Y297">
        <f t="shared" si="29"/>
        <v>1</v>
      </c>
      <c r="Z297" t="str">
        <f>RAW_GAMES!V297</f>
        <v>RS</v>
      </c>
    </row>
    <row r="298" spans="1:26" x14ac:dyDescent="0.25">
      <c r="A298" t="str">
        <f>RAW_GAMES!A298</f>
        <v>25/26</v>
      </c>
      <c r="B298" s="3">
        <f>RAW_GAMES!B298</f>
        <v>45975</v>
      </c>
      <c r="C298" s="3" t="str">
        <f>RAW_GAMES!E298</f>
        <v>TRI</v>
      </c>
      <c r="D298" s="3" t="str">
        <f>RAW_GAMES!F298</f>
        <v>KLA</v>
      </c>
      <c r="E298" s="7">
        <f>RAW_GAMES!G298</f>
        <v>0</v>
      </c>
      <c r="F298">
        <f>RAW_GAMES!H298</f>
        <v>3</v>
      </c>
      <c r="G298">
        <f>RAW_GAMES!I298</f>
        <v>5</v>
      </c>
      <c r="H298">
        <f t="shared" si="24"/>
        <v>-2</v>
      </c>
      <c r="I298">
        <f>RAW_GAMES!J298</f>
        <v>21</v>
      </c>
      <c r="J298">
        <f>RAW_GAMES!K298</f>
        <v>36</v>
      </c>
      <c r="K298">
        <f t="shared" si="25"/>
        <v>-15</v>
      </c>
      <c r="L298">
        <f>IF(RAW_GAMES!L298="","",RAW_GAMES!L298)</f>
        <v>1.81</v>
      </c>
      <c r="M298">
        <f>IF(RAW_GAMES!M298="","",RAW_GAMES!M298)</f>
        <v>4.3600000000000003</v>
      </c>
      <c r="N298">
        <f t="shared" si="26"/>
        <v>-2.5500000000000003</v>
      </c>
      <c r="O298" s="7">
        <f>RAW_GAMES!O298</f>
        <v>2</v>
      </c>
      <c r="P298">
        <f>RAW_GAMES!N298</f>
        <v>0</v>
      </c>
      <c r="Q298">
        <f t="shared" si="27"/>
        <v>0</v>
      </c>
      <c r="R298" s="7">
        <f>RAW_GAMES!Q298</f>
        <v>5</v>
      </c>
      <c r="S298">
        <f>RAW_GAMES!P298</f>
        <v>2</v>
      </c>
      <c r="T298">
        <f t="shared" si="28"/>
        <v>0.6</v>
      </c>
      <c r="U298">
        <f>_xlfn.XLOOKUP(C298,
  CALC_TEAMS_SEASON!B:B,
  CALC_TEAMS_SEASON!F:F)</f>
        <v>0.17437423687423692</v>
      </c>
      <c r="V298">
        <f>_xlfn.XLOOKUP(D298,
  CALC_TEAMS_SEASON!B:B,
  CALC_TEAMS_SEASON!F:F)</f>
        <v>0.13120421245421243</v>
      </c>
      <c r="W298" t="str">
        <f>RAW_GAMES!R298</f>
        <v>Mazanec</v>
      </c>
      <c r="X298" s="7">
        <f>RAW_GAMES!S298</f>
        <v>31</v>
      </c>
      <c r="Y298">
        <f t="shared" si="29"/>
        <v>0</v>
      </c>
      <c r="Z298" t="str">
        <f>RAW_GAMES!V298</f>
        <v>RS</v>
      </c>
    </row>
    <row r="299" spans="1:26" x14ac:dyDescent="0.25">
      <c r="A299" t="str">
        <f>RAW_GAMES!A299</f>
        <v>25/26</v>
      </c>
      <c r="B299" s="3">
        <f>RAW_GAMES!B299</f>
        <v>45975</v>
      </c>
      <c r="C299" s="3" t="str">
        <f>RAW_GAMES!E299</f>
        <v>SPA</v>
      </c>
      <c r="D299" s="3" t="str">
        <f>RAW_GAMES!F299</f>
        <v>LIB</v>
      </c>
      <c r="E299" s="7">
        <f>RAW_GAMES!G299</f>
        <v>0</v>
      </c>
      <c r="F299">
        <f>RAW_GAMES!H299</f>
        <v>0</v>
      </c>
      <c r="G299">
        <f>RAW_GAMES!I299</f>
        <v>3</v>
      </c>
      <c r="H299">
        <f t="shared" si="24"/>
        <v>-3</v>
      </c>
      <c r="I299">
        <f>RAW_GAMES!J299</f>
        <v>17</v>
      </c>
      <c r="J299">
        <f>RAW_GAMES!K299</f>
        <v>31</v>
      </c>
      <c r="K299">
        <f t="shared" si="25"/>
        <v>-14</v>
      </c>
      <c r="L299">
        <f>IF(RAW_GAMES!L299="","",RAW_GAMES!L299)</f>
        <v>1.41</v>
      </c>
      <c r="M299">
        <f>IF(RAW_GAMES!M299="","",RAW_GAMES!M299)</f>
        <v>3.03</v>
      </c>
      <c r="N299">
        <f t="shared" si="26"/>
        <v>-1.6199999999999999</v>
      </c>
      <c r="O299" s="7">
        <f>RAW_GAMES!O299</f>
        <v>4</v>
      </c>
      <c r="P299">
        <f>RAW_GAMES!N299</f>
        <v>0</v>
      </c>
      <c r="Q299">
        <f t="shared" si="27"/>
        <v>0</v>
      </c>
      <c r="R299" s="7">
        <f>RAW_GAMES!Q299</f>
        <v>6</v>
      </c>
      <c r="S299">
        <f>RAW_GAMES!P299</f>
        <v>2</v>
      </c>
      <c r="T299">
        <f t="shared" si="28"/>
        <v>0.66666666666666674</v>
      </c>
      <c r="U299">
        <f>_xlfn.XLOOKUP(C299,
  CALC_TEAMS_SEASON!B:B,
  CALC_TEAMS_SEASON!F:F)</f>
        <v>0.22060439560439565</v>
      </c>
      <c r="V299">
        <f>_xlfn.XLOOKUP(D299,
  CALC_TEAMS_SEASON!B:B,
  CALC_TEAMS_SEASON!F:F)</f>
        <v>0.14377289377289379</v>
      </c>
      <c r="W299" t="str">
        <f>RAW_GAMES!R299</f>
        <v>Kovář</v>
      </c>
      <c r="X299" s="7">
        <f>RAW_GAMES!S299</f>
        <v>28</v>
      </c>
      <c r="Y299">
        <f t="shared" si="29"/>
        <v>0</v>
      </c>
      <c r="Z299" t="str">
        <f>RAW_GAMES!V299</f>
        <v>RS</v>
      </c>
    </row>
    <row r="300" spans="1:26" x14ac:dyDescent="0.25">
      <c r="A300" t="str">
        <f>RAW_GAMES!A300</f>
        <v>25/26</v>
      </c>
      <c r="B300" s="3">
        <f>RAW_GAMES!B300</f>
        <v>45975</v>
      </c>
      <c r="C300" s="3" t="str">
        <f>RAW_GAMES!E300</f>
        <v>CEB</v>
      </c>
      <c r="D300" s="3" t="str">
        <f>RAW_GAMES!F300</f>
        <v>LIT</v>
      </c>
      <c r="E300" s="7">
        <f>RAW_GAMES!G300</f>
        <v>1</v>
      </c>
      <c r="F300">
        <f>RAW_GAMES!H300</f>
        <v>2</v>
      </c>
      <c r="G300">
        <f>RAW_GAMES!I300</f>
        <v>3</v>
      </c>
      <c r="H300">
        <f t="shared" si="24"/>
        <v>-1</v>
      </c>
      <c r="I300">
        <f>RAW_GAMES!J300</f>
        <v>37</v>
      </c>
      <c r="J300">
        <f>RAW_GAMES!K300</f>
        <v>28</v>
      </c>
      <c r="K300">
        <f t="shared" si="25"/>
        <v>9</v>
      </c>
      <c r="L300" t="str">
        <f>IF(RAW_GAMES!L300="","",RAW_GAMES!L300)</f>
        <v/>
      </c>
      <c r="M300" t="str">
        <f>IF(RAW_GAMES!M300="","",RAW_GAMES!M300)</f>
        <v/>
      </c>
      <c r="N300" t="str">
        <f t="shared" si="26"/>
        <v/>
      </c>
      <c r="O300" s="7">
        <f>RAW_GAMES!O300</f>
        <v>5</v>
      </c>
      <c r="P300">
        <f>RAW_GAMES!N300</f>
        <v>0</v>
      </c>
      <c r="Q300">
        <f t="shared" si="27"/>
        <v>0</v>
      </c>
      <c r="R300" s="7">
        <f>RAW_GAMES!Q300</f>
        <v>4</v>
      </c>
      <c r="S300">
        <f>RAW_GAMES!P300</f>
        <v>0</v>
      </c>
      <c r="T300">
        <f t="shared" si="28"/>
        <v>1</v>
      </c>
      <c r="U300">
        <f>_xlfn.XLOOKUP(C300,
  CALC_TEAMS_SEASON!B:B,
  CALC_TEAMS_SEASON!F:F)</f>
        <v>0.13021353646353648</v>
      </c>
      <c r="V300">
        <f>_xlfn.XLOOKUP(D300,
  CALC_TEAMS_SEASON!B:B,
  CALC_TEAMS_SEASON!F:F)</f>
        <v>0.10089285714285713</v>
      </c>
      <c r="W300" t="str">
        <f>RAW_GAMES!R300</f>
        <v>Mařík</v>
      </c>
      <c r="X300" s="7">
        <f>RAW_GAMES!S300</f>
        <v>25</v>
      </c>
      <c r="Y300">
        <f t="shared" si="29"/>
        <v>0</v>
      </c>
      <c r="Z300" t="str">
        <f>RAW_GAMES!V300</f>
        <v>RS</v>
      </c>
    </row>
    <row r="301" spans="1:26" x14ac:dyDescent="0.25">
      <c r="A301" t="str">
        <f>RAW_GAMES!A301</f>
        <v>25/26</v>
      </c>
      <c r="B301" s="3">
        <f>RAW_GAMES!B301</f>
        <v>45975</v>
      </c>
      <c r="C301" s="3" t="str">
        <f>RAW_GAMES!E301</f>
        <v>KLA</v>
      </c>
      <c r="D301" s="3" t="str">
        <f>RAW_GAMES!F301</f>
        <v>TRI</v>
      </c>
      <c r="E301" s="7">
        <f>RAW_GAMES!G301</f>
        <v>1</v>
      </c>
      <c r="F301">
        <f>RAW_GAMES!H301</f>
        <v>5</v>
      </c>
      <c r="G301">
        <f>RAW_GAMES!I301</f>
        <v>3</v>
      </c>
      <c r="H301">
        <f t="shared" si="24"/>
        <v>2</v>
      </c>
      <c r="I301">
        <f>RAW_GAMES!J301</f>
        <v>36</v>
      </c>
      <c r="J301">
        <f>RAW_GAMES!K301</f>
        <v>21</v>
      </c>
      <c r="K301">
        <f t="shared" si="25"/>
        <v>15</v>
      </c>
      <c r="L301">
        <f>IF(RAW_GAMES!L301="","",RAW_GAMES!L301)</f>
        <v>4.3600000000000003</v>
      </c>
      <c r="M301">
        <f>IF(RAW_GAMES!M301="","",RAW_GAMES!M301)</f>
        <v>1.81</v>
      </c>
      <c r="N301">
        <f t="shared" si="26"/>
        <v>2.5500000000000003</v>
      </c>
      <c r="O301" s="7">
        <f>RAW_GAMES!O301</f>
        <v>5</v>
      </c>
      <c r="P301">
        <f>RAW_GAMES!N301</f>
        <v>2</v>
      </c>
      <c r="Q301">
        <f t="shared" si="27"/>
        <v>0.4</v>
      </c>
      <c r="R301" s="7">
        <f>RAW_GAMES!Q301</f>
        <v>2</v>
      </c>
      <c r="S301">
        <f>RAW_GAMES!P301</f>
        <v>0</v>
      </c>
      <c r="T301">
        <f t="shared" si="28"/>
        <v>1</v>
      </c>
      <c r="U301">
        <f>_xlfn.XLOOKUP(C301,
  CALC_TEAMS_SEASON!B:B,
  CALC_TEAMS_SEASON!F:F)</f>
        <v>0.13120421245421243</v>
      </c>
      <c r="V301">
        <f>_xlfn.XLOOKUP(D301,
  CALC_TEAMS_SEASON!B:B,
  CALC_TEAMS_SEASON!F:F)</f>
        <v>0.17437423687423692</v>
      </c>
      <c r="W301" t="str">
        <f>RAW_GAMES!R301</f>
        <v>Brízgala</v>
      </c>
      <c r="X301" s="7">
        <f>RAW_GAMES!S301</f>
        <v>18</v>
      </c>
      <c r="Y301">
        <f t="shared" si="29"/>
        <v>1</v>
      </c>
      <c r="Z301" t="str">
        <f>RAW_GAMES!V301</f>
        <v>RS</v>
      </c>
    </row>
    <row r="302" spans="1:26" x14ac:dyDescent="0.25">
      <c r="A302" t="str">
        <f>RAW_GAMES!A302</f>
        <v>25/26</v>
      </c>
      <c r="B302" s="3">
        <f>RAW_GAMES!B302</f>
        <v>45975</v>
      </c>
      <c r="C302" s="3" t="str">
        <f>RAW_GAMES!E302</f>
        <v>KVA</v>
      </c>
      <c r="D302" s="3" t="str">
        <f>RAW_GAMES!F302</f>
        <v>PLZ</v>
      </c>
      <c r="E302" s="7">
        <f>RAW_GAMES!G302</f>
        <v>1</v>
      </c>
      <c r="F302">
        <f>RAW_GAMES!H302</f>
        <v>4</v>
      </c>
      <c r="G302">
        <f>RAW_GAMES!I302</f>
        <v>2</v>
      </c>
      <c r="H302">
        <f t="shared" si="24"/>
        <v>2</v>
      </c>
      <c r="I302">
        <f>RAW_GAMES!J302</f>
        <v>19</v>
      </c>
      <c r="J302">
        <f>RAW_GAMES!K302</f>
        <v>39</v>
      </c>
      <c r="K302">
        <f t="shared" si="25"/>
        <v>-20</v>
      </c>
      <c r="L302" t="str">
        <f>IF(RAW_GAMES!L302="","",RAW_GAMES!L302)</f>
        <v/>
      </c>
      <c r="M302" t="str">
        <f>IF(RAW_GAMES!M302="","",RAW_GAMES!M302)</f>
        <v/>
      </c>
      <c r="N302" t="str">
        <f t="shared" si="26"/>
        <v/>
      </c>
      <c r="O302" s="7">
        <f>RAW_GAMES!O302</f>
        <v>6</v>
      </c>
      <c r="P302">
        <f>RAW_GAMES!N302</f>
        <v>1</v>
      </c>
      <c r="Q302">
        <f t="shared" si="27"/>
        <v>0.16666666666666666</v>
      </c>
      <c r="R302" s="7">
        <f>RAW_GAMES!Q302</f>
        <v>5</v>
      </c>
      <c r="S302">
        <f>RAW_GAMES!P302</f>
        <v>1</v>
      </c>
      <c r="T302">
        <f t="shared" si="28"/>
        <v>0.8</v>
      </c>
      <c r="U302">
        <f>_xlfn.XLOOKUP(C302,
  CALC_TEAMS_SEASON!B:B,
  CALC_TEAMS_SEASON!F:F)</f>
        <v>0.17387057387057389</v>
      </c>
      <c r="V302">
        <f>_xlfn.XLOOKUP(D302,
  CALC_TEAMS_SEASON!B:B,
  CALC_TEAMS_SEASON!F:F)</f>
        <v>0.17641178266178262</v>
      </c>
      <c r="W302" t="str">
        <f>RAW_GAMES!R302</f>
        <v>Frodl</v>
      </c>
      <c r="X302" s="7">
        <f>RAW_GAMES!S302</f>
        <v>37</v>
      </c>
      <c r="Y302">
        <f t="shared" si="29"/>
        <v>1</v>
      </c>
      <c r="Z302" t="str">
        <f>RAW_GAMES!V302</f>
        <v>RS</v>
      </c>
    </row>
    <row r="303" spans="1:26" x14ac:dyDescent="0.25">
      <c r="A303" t="str">
        <f>RAW_GAMES!A303</f>
        <v>25/26</v>
      </c>
      <c r="B303" s="3">
        <f>RAW_GAMES!B303</f>
        <v>45975</v>
      </c>
      <c r="C303" s="3" t="str">
        <f>RAW_GAMES!E303</f>
        <v>LIB</v>
      </c>
      <c r="D303" s="3" t="str">
        <f>RAW_GAMES!F303</f>
        <v>SPA</v>
      </c>
      <c r="E303" s="7">
        <f>RAW_GAMES!G303</f>
        <v>1</v>
      </c>
      <c r="F303">
        <f>RAW_GAMES!H303</f>
        <v>3</v>
      </c>
      <c r="G303">
        <f>RAW_GAMES!I303</f>
        <v>0</v>
      </c>
      <c r="H303">
        <f t="shared" si="24"/>
        <v>3</v>
      </c>
      <c r="I303">
        <f>RAW_GAMES!J303</f>
        <v>31</v>
      </c>
      <c r="J303">
        <f>RAW_GAMES!K303</f>
        <v>17</v>
      </c>
      <c r="K303">
        <f t="shared" si="25"/>
        <v>14</v>
      </c>
      <c r="L303">
        <f>IF(RAW_GAMES!L303="","",RAW_GAMES!L303)</f>
        <v>3.03</v>
      </c>
      <c r="M303">
        <f>IF(RAW_GAMES!M303="","",RAW_GAMES!M303)</f>
        <v>1.41</v>
      </c>
      <c r="N303">
        <f t="shared" si="26"/>
        <v>1.6199999999999999</v>
      </c>
      <c r="O303" s="7">
        <f>RAW_GAMES!O303</f>
        <v>6</v>
      </c>
      <c r="P303">
        <f>RAW_GAMES!N303</f>
        <v>2</v>
      </c>
      <c r="Q303">
        <f t="shared" si="27"/>
        <v>0.33333333333333331</v>
      </c>
      <c r="R303" s="7">
        <f>RAW_GAMES!Q303</f>
        <v>4</v>
      </c>
      <c r="S303">
        <f>RAW_GAMES!P303</f>
        <v>0</v>
      </c>
      <c r="T303">
        <f t="shared" si="28"/>
        <v>1</v>
      </c>
      <c r="U303">
        <f>_xlfn.XLOOKUP(C303,
  CALC_TEAMS_SEASON!B:B,
  CALC_TEAMS_SEASON!F:F)</f>
        <v>0.14377289377289379</v>
      </c>
      <c r="V303">
        <f>_xlfn.XLOOKUP(D303,
  CALC_TEAMS_SEASON!B:B,
  CALC_TEAMS_SEASON!F:F)</f>
        <v>0.22060439560439565</v>
      </c>
      <c r="W303" t="str">
        <f>RAW_GAMES!R303</f>
        <v>Kváča</v>
      </c>
      <c r="X303" s="7">
        <f>RAW_GAMES!S303</f>
        <v>17</v>
      </c>
      <c r="Y303">
        <f t="shared" si="29"/>
        <v>1</v>
      </c>
      <c r="Z303" t="str">
        <f>RAW_GAMES!V303</f>
        <v>RS</v>
      </c>
    </row>
    <row r="304" spans="1:26" x14ac:dyDescent="0.25">
      <c r="A304" t="str">
        <f>RAW_GAMES!A304</f>
        <v>25/26</v>
      </c>
      <c r="B304" s="3">
        <f>RAW_GAMES!B304</f>
        <v>45975</v>
      </c>
      <c r="C304" s="3" t="str">
        <f>RAW_GAMES!E304</f>
        <v>LIT</v>
      </c>
      <c r="D304" s="3" t="str">
        <f>RAW_GAMES!F304</f>
        <v>CEB</v>
      </c>
      <c r="E304" s="7">
        <f>RAW_GAMES!G304</f>
        <v>0</v>
      </c>
      <c r="F304">
        <f>RAW_GAMES!H304</f>
        <v>3</v>
      </c>
      <c r="G304">
        <f>RAW_GAMES!I304</f>
        <v>2</v>
      </c>
      <c r="H304">
        <f t="shared" si="24"/>
        <v>1</v>
      </c>
      <c r="I304">
        <f>RAW_GAMES!J304</f>
        <v>28</v>
      </c>
      <c r="J304">
        <f>RAW_GAMES!K304</f>
        <v>37</v>
      </c>
      <c r="K304">
        <f t="shared" si="25"/>
        <v>-9</v>
      </c>
      <c r="L304" t="str">
        <f>IF(RAW_GAMES!L304="","",RAW_GAMES!L304)</f>
        <v/>
      </c>
      <c r="M304" t="str">
        <f>IF(RAW_GAMES!M304="","",RAW_GAMES!M304)</f>
        <v/>
      </c>
      <c r="N304" t="str">
        <f t="shared" si="26"/>
        <v/>
      </c>
      <c r="O304" s="7">
        <f>RAW_GAMES!O304</f>
        <v>4</v>
      </c>
      <c r="P304">
        <f>RAW_GAMES!N304</f>
        <v>0</v>
      </c>
      <c r="Q304">
        <f t="shared" si="27"/>
        <v>0</v>
      </c>
      <c r="R304" s="7">
        <f>RAW_GAMES!Q304</f>
        <v>5</v>
      </c>
      <c r="S304">
        <f>RAW_GAMES!P304</f>
        <v>0</v>
      </c>
      <c r="T304">
        <f t="shared" si="28"/>
        <v>1</v>
      </c>
      <c r="U304">
        <f>_xlfn.XLOOKUP(C304,
  CALC_TEAMS_SEASON!B:B,
  CALC_TEAMS_SEASON!F:F)</f>
        <v>0.10089285714285713</v>
      </c>
      <c r="V304">
        <f>_xlfn.XLOOKUP(D304,
  CALC_TEAMS_SEASON!B:B,
  CALC_TEAMS_SEASON!F:F)</f>
        <v>0.13021353646353648</v>
      </c>
      <c r="W304" t="str">
        <f>RAW_GAMES!R304</f>
        <v>Tomek</v>
      </c>
      <c r="X304" s="7">
        <f>RAW_GAMES!S304</f>
        <v>35</v>
      </c>
      <c r="Y304">
        <f t="shared" si="29"/>
        <v>1</v>
      </c>
      <c r="Z304" t="str">
        <f>RAW_GAMES!V304</f>
        <v>RS</v>
      </c>
    </row>
    <row r="305" spans="1:26" x14ac:dyDescent="0.25">
      <c r="A305" t="str">
        <f>RAW_GAMES!A305</f>
        <v>25/26</v>
      </c>
      <c r="B305" s="3">
        <f>RAW_GAMES!B305</f>
        <v>45975</v>
      </c>
      <c r="C305" s="3" t="str">
        <f>RAW_GAMES!E305</f>
        <v>MBL</v>
      </c>
      <c r="D305" s="3" t="str">
        <f>RAW_GAMES!F305</f>
        <v>OLO</v>
      </c>
      <c r="E305" s="7">
        <f>RAW_GAMES!G305</f>
        <v>1</v>
      </c>
      <c r="F305">
        <f>RAW_GAMES!H305</f>
        <v>4</v>
      </c>
      <c r="G305">
        <f>RAW_GAMES!I305</f>
        <v>1</v>
      </c>
      <c r="H305">
        <f t="shared" si="24"/>
        <v>3</v>
      </c>
      <c r="I305">
        <f>RAW_GAMES!J305</f>
        <v>32</v>
      </c>
      <c r="J305">
        <f>RAW_GAMES!K305</f>
        <v>20</v>
      </c>
      <c r="K305">
        <f t="shared" si="25"/>
        <v>12</v>
      </c>
      <c r="L305" t="str">
        <f>IF(RAW_GAMES!L305="","",RAW_GAMES!L305)</f>
        <v/>
      </c>
      <c r="M305" t="str">
        <f>IF(RAW_GAMES!M305="","",RAW_GAMES!M305)</f>
        <v/>
      </c>
      <c r="N305" t="str">
        <f t="shared" si="26"/>
        <v/>
      </c>
      <c r="O305" s="7">
        <f>RAW_GAMES!O305</f>
        <v>3</v>
      </c>
      <c r="P305">
        <f>RAW_GAMES!N305</f>
        <v>1</v>
      </c>
      <c r="Q305">
        <f t="shared" si="27"/>
        <v>0.33333333333333331</v>
      </c>
      <c r="R305" s="7">
        <f>RAW_GAMES!Q305</f>
        <v>4</v>
      </c>
      <c r="S305">
        <f>RAW_GAMES!P305</f>
        <v>1</v>
      </c>
      <c r="T305">
        <f t="shared" si="28"/>
        <v>0.75</v>
      </c>
      <c r="U305">
        <f>_xlfn.XLOOKUP(C305,
  CALC_TEAMS_SEASON!B:B,
  CALC_TEAMS_SEASON!F:F)</f>
        <v>0.11826923076923078</v>
      </c>
      <c r="V305">
        <f>_xlfn.XLOOKUP(D305,
  CALC_TEAMS_SEASON!B:B,
  CALC_TEAMS_SEASON!F:F)</f>
        <v>0.14989316239316242</v>
      </c>
      <c r="W305" t="str">
        <f>RAW_GAMES!R305</f>
        <v>Furch</v>
      </c>
      <c r="X305" s="7">
        <f>RAW_GAMES!S305</f>
        <v>18</v>
      </c>
      <c r="Y305">
        <f t="shared" si="29"/>
        <v>1</v>
      </c>
      <c r="Z305" t="str">
        <f>RAW_GAMES!V305</f>
        <v>RS</v>
      </c>
    </row>
    <row r="306" spans="1:26" x14ac:dyDescent="0.25">
      <c r="A306" t="str">
        <f>RAW_GAMES!A306</f>
        <v>25/26</v>
      </c>
      <c r="B306" s="3">
        <f>RAW_GAMES!B306</f>
        <v>45975</v>
      </c>
      <c r="C306" s="3" t="str">
        <f>RAW_GAMES!E306</f>
        <v>MHK</v>
      </c>
      <c r="D306" s="3" t="str">
        <f>RAW_GAMES!F306</f>
        <v>VIT</v>
      </c>
      <c r="E306" s="7">
        <f>RAW_GAMES!G306</f>
        <v>1</v>
      </c>
      <c r="F306">
        <f>RAW_GAMES!H306</f>
        <v>3</v>
      </c>
      <c r="G306">
        <f>RAW_GAMES!I306</f>
        <v>0</v>
      </c>
      <c r="H306">
        <f t="shared" si="24"/>
        <v>3</v>
      </c>
      <c r="I306">
        <f>RAW_GAMES!J306</f>
        <v>36</v>
      </c>
      <c r="J306">
        <f>RAW_GAMES!K306</f>
        <v>13</v>
      </c>
      <c r="K306">
        <f t="shared" si="25"/>
        <v>23</v>
      </c>
      <c r="L306" t="str">
        <f>IF(RAW_GAMES!L306="","",RAW_GAMES!L306)</f>
        <v/>
      </c>
      <c r="M306" t="str">
        <f>IF(RAW_GAMES!M306="","",RAW_GAMES!M306)</f>
        <v/>
      </c>
      <c r="N306" t="str">
        <f t="shared" si="26"/>
        <v/>
      </c>
      <c r="O306" s="7">
        <f>RAW_GAMES!O306</f>
        <v>5</v>
      </c>
      <c r="P306">
        <f>RAW_GAMES!N306</f>
        <v>0</v>
      </c>
      <c r="Q306">
        <f t="shared" si="27"/>
        <v>0</v>
      </c>
      <c r="R306" s="7">
        <f>RAW_GAMES!Q306</f>
        <v>5</v>
      </c>
      <c r="S306">
        <f>RAW_GAMES!P306</f>
        <v>0</v>
      </c>
      <c r="T306">
        <f t="shared" si="28"/>
        <v>1</v>
      </c>
      <c r="U306">
        <f>_xlfn.XLOOKUP(C306,
  CALC_TEAMS_SEASON!B:B,
  CALC_TEAMS_SEASON!F:F)</f>
        <v>0.14184981684981687</v>
      </c>
      <c r="V306">
        <f>_xlfn.XLOOKUP(D306,
  CALC_TEAMS_SEASON!B:B,
  CALC_TEAMS_SEASON!F:F)</f>
        <v>0.16984890109890113</v>
      </c>
      <c r="W306" t="str">
        <f>RAW_GAMES!R306</f>
        <v>Škorvánek</v>
      </c>
      <c r="X306" s="7">
        <f>RAW_GAMES!S306</f>
        <v>13</v>
      </c>
      <c r="Y306">
        <f t="shared" si="29"/>
        <v>1</v>
      </c>
      <c r="Z306" t="str">
        <f>RAW_GAMES!V306</f>
        <v>RS</v>
      </c>
    </row>
    <row r="307" spans="1:26" x14ac:dyDescent="0.25">
      <c r="A307" t="str">
        <f>RAW_GAMES!A307</f>
        <v>25/26</v>
      </c>
      <c r="B307" s="3">
        <f>RAW_GAMES!B307</f>
        <v>45975</v>
      </c>
      <c r="C307" s="3" t="str">
        <f>RAW_GAMES!E307</f>
        <v>OLO</v>
      </c>
      <c r="D307" s="3" t="str">
        <f>RAW_GAMES!F307</f>
        <v>MBL</v>
      </c>
      <c r="E307" s="7">
        <f>RAW_GAMES!G307</f>
        <v>0</v>
      </c>
      <c r="F307">
        <f>RAW_GAMES!H307</f>
        <v>1</v>
      </c>
      <c r="G307">
        <f>RAW_GAMES!I307</f>
        <v>4</v>
      </c>
      <c r="H307">
        <f t="shared" si="24"/>
        <v>-3</v>
      </c>
      <c r="I307">
        <f>RAW_GAMES!J307</f>
        <v>20</v>
      </c>
      <c r="J307">
        <f>RAW_GAMES!K307</f>
        <v>32</v>
      </c>
      <c r="K307">
        <f t="shared" si="25"/>
        <v>-12</v>
      </c>
      <c r="L307" t="str">
        <f>IF(RAW_GAMES!L307="","",RAW_GAMES!L307)</f>
        <v/>
      </c>
      <c r="M307" t="str">
        <f>IF(RAW_GAMES!M307="","",RAW_GAMES!M307)</f>
        <v/>
      </c>
      <c r="N307" t="str">
        <f t="shared" si="26"/>
        <v/>
      </c>
      <c r="O307" s="7">
        <f>RAW_GAMES!O307</f>
        <v>4</v>
      </c>
      <c r="P307">
        <f>RAW_GAMES!N307</f>
        <v>1</v>
      </c>
      <c r="Q307">
        <f t="shared" si="27"/>
        <v>0.25</v>
      </c>
      <c r="R307" s="7">
        <f>RAW_GAMES!Q307</f>
        <v>3</v>
      </c>
      <c r="S307">
        <f>RAW_GAMES!P307</f>
        <v>1</v>
      </c>
      <c r="T307">
        <f t="shared" si="28"/>
        <v>0.66666666666666674</v>
      </c>
      <c r="U307">
        <f>_xlfn.XLOOKUP(C307,
  CALC_TEAMS_SEASON!B:B,
  CALC_TEAMS_SEASON!F:F)</f>
        <v>0.14989316239316242</v>
      </c>
      <c r="V307">
        <f>_xlfn.XLOOKUP(D307,
  CALC_TEAMS_SEASON!B:B,
  CALC_TEAMS_SEASON!F:F)</f>
        <v>0.11826923076923078</v>
      </c>
      <c r="W307" t="str">
        <f>RAW_GAMES!R307</f>
        <v>Machovský</v>
      </c>
      <c r="X307" s="7">
        <f>RAW_GAMES!S307</f>
        <v>27</v>
      </c>
      <c r="Y307">
        <f t="shared" si="29"/>
        <v>0</v>
      </c>
      <c r="Z307" t="str">
        <f>RAW_GAMES!V307</f>
        <v>RS</v>
      </c>
    </row>
    <row r="308" spans="1:26" x14ac:dyDescent="0.25">
      <c r="A308" t="str">
        <f>RAW_GAMES!A308</f>
        <v>25/26</v>
      </c>
      <c r="B308" s="3">
        <f>RAW_GAMES!B308</f>
        <v>45975</v>
      </c>
      <c r="C308" s="3" t="str">
        <f>RAW_GAMES!E308</f>
        <v>PLZ</v>
      </c>
      <c r="D308" s="3" t="str">
        <f>RAW_GAMES!F308</f>
        <v>KVA</v>
      </c>
      <c r="E308" s="7">
        <f>RAW_GAMES!G308</f>
        <v>0</v>
      </c>
      <c r="F308">
        <f>RAW_GAMES!H308</f>
        <v>2</v>
      </c>
      <c r="G308">
        <f>RAW_GAMES!I308</f>
        <v>4</v>
      </c>
      <c r="H308">
        <f t="shared" si="24"/>
        <v>-2</v>
      </c>
      <c r="I308">
        <f>RAW_GAMES!J308</f>
        <v>39</v>
      </c>
      <c r="J308">
        <f>RAW_GAMES!K308</f>
        <v>19</v>
      </c>
      <c r="K308">
        <f t="shared" si="25"/>
        <v>20</v>
      </c>
      <c r="L308" t="str">
        <f>IF(RAW_GAMES!L308="","",RAW_GAMES!L308)</f>
        <v/>
      </c>
      <c r="M308" t="str">
        <f>IF(RAW_GAMES!M308="","",RAW_GAMES!M308)</f>
        <v/>
      </c>
      <c r="N308" t="str">
        <f t="shared" si="26"/>
        <v/>
      </c>
      <c r="O308" s="7">
        <f>RAW_GAMES!O308</f>
        <v>5</v>
      </c>
      <c r="P308">
        <f>RAW_GAMES!N308</f>
        <v>1</v>
      </c>
      <c r="Q308">
        <f t="shared" si="27"/>
        <v>0.2</v>
      </c>
      <c r="R308" s="7">
        <f>RAW_GAMES!Q308</f>
        <v>6</v>
      </c>
      <c r="S308">
        <f>RAW_GAMES!P308</f>
        <v>1</v>
      </c>
      <c r="T308">
        <f t="shared" si="28"/>
        <v>0.83333333333333337</v>
      </c>
      <c r="U308">
        <f>_xlfn.XLOOKUP(C308,
  CALC_TEAMS_SEASON!B:B,
  CALC_TEAMS_SEASON!F:F)</f>
        <v>0.17641178266178262</v>
      </c>
      <c r="V308">
        <f>_xlfn.XLOOKUP(D308,
  CALC_TEAMS_SEASON!B:B,
  CALC_TEAMS_SEASON!F:F)</f>
        <v>0.17387057387057389</v>
      </c>
      <c r="W308" t="str">
        <f>RAW_GAMES!R308</f>
        <v>Malík</v>
      </c>
      <c r="X308" s="7">
        <f>RAW_GAMES!S308</f>
        <v>15</v>
      </c>
      <c r="Y308">
        <f t="shared" si="29"/>
        <v>0</v>
      </c>
      <c r="Z308" t="str">
        <f>RAW_GAMES!V308</f>
        <v>RS</v>
      </c>
    </row>
    <row r="309" spans="1:26" x14ac:dyDescent="0.25">
      <c r="A309" t="str">
        <f>RAW_GAMES!A309</f>
        <v>25/26</v>
      </c>
      <c r="B309" s="3">
        <f>RAW_GAMES!B309</f>
        <v>45975</v>
      </c>
      <c r="C309" s="3" t="str">
        <f>RAW_GAMES!E309</f>
        <v>VIT</v>
      </c>
      <c r="D309" s="3" t="str">
        <f>RAW_GAMES!F309</f>
        <v>MHK</v>
      </c>
      <c r="E309" s="7">
        <f>RAW_GAMES!G309</f>
        <v>0</v>
      </c>
      <c r="F309">
        <f>RAW_GAMES!H309</f>
        <v>0</v>
      </c>
      <c r="G309">
        <f>RAW_GAMES!I309</f>
        <v>3</v>
      </c>
      <c r="H309">
        <f t="shared" si="24"/>
        <v>-3</v>
      </c>
      <c r="I309">
        <f>RAW_GAMES!J309</f>
        <v>13</v>
      </c>
      <c r="J309">
        <f>RAW_GAMES!K309</f>
        <v>36</v>
      </c>
      <c r="K309">
        <f t="shared" si="25"/>
        <v>-23</v>
      </c>
      <c r="L309" t="str">
        <f>IF(RAW_GAMES!L309="","",RAW_GAMES!L309)</f>
        <v/>
      </c>
      <c r="M309" t="str">
        <f>IF(RAW_GAMES!M309="","",RAW_GAMES!M309)</f>
        <v/>
      </c>
      <c r="N309" t="str">
        <f t="shared" si="26"/>
        <v/>
      </c>
      <c r="O309" s="7">
        <f>RAW_GAMES!O309</f>
        <v>5</v>
      </c>
      <c r="P309">
        <f>RAW_GAMES!N309</f>
        <v>0</v>
      </c>
      <c r="Q309">
        <f t="shared" si="27"/>
        <v>0</v>
      </c>
      <c r="R309" s="7">
        <f>RAW_GAMES!Q309</f>
        <v>5</v>
      </c>
      <c r="S309">
        <f>RAW_GAMES!P309</f>
        <v>0</v>
      </c>
      <c r="T309">
        <f t="shared" si="28"/>
        <v>1</v>
      </c>
      <c r="U309">
        <f>_xlfn.XLOOKUP(C309,
  CALC_TEAMS_SEASON!B:B,
  CALC_TEAMS_SEASON!F:F)</f>
        <v>0.16984890109890113</v>
      </c>
      <c r="V309">
        <f>_xlfn.XLOOKUP(D309,
  CALC_TEAMS_SEASON!B:B,
  CALC_TEAMS_SEASON!F:F)</f>
        <v>0.14184981684981687</v>
      </c>
      <c r="W309" t="str">
        <f>RAW_GAMES!R309</f>
        <v>Hrachovina</v>
      </c>
      <c r="X309" s="7">
        <f>RAW_GAMES!S309</f>
        <v>33</v>
      </c>
      <c r="Y309">
        <f t="shared" si="29"/>
        <v>0</v>
      </c>
      <c r="Z309" t="str">
        <f>RAW_GAMES!V309</f>
        <v>RS</v>
      </c>
    </row>
    <row r="310" spans="1:26" x14ac:dyDescent="0.25">
      <c r="A310" t="str">
        <f>RAW_GAMES!A310</f>
        <v>25/26</v>
      </c>
      <c r="B310" s="3">
        <f>RAW_GAMES!B310</f>
        <v>45977</v>
      </c>
      <c r="C310" s="3" t="str">
        <f>RAW_GAMES!E310</f>
        <v>PCE</v>
      </c>
      <c r="D310" s="3" t="str">
        <f>RAW_GAMES!F310</f>
        <v>LIT</v>
      </c>
      <c r="E310" s="7">
        <f>RAW_GAMES!G310</f>
        <v>0</v>
      </c>
      <c r="F310">
        <f>RAW_GAMES!H310</f>
        <v>4</v>
      </c>
      <c r="G310">
        <f>RAW_GAMES!I310</f>
        <v>1</v>
      </c>
      <c r="H310">
        <f t="shared" si="24"/>
        <v>3</v>
      </c>
      <c r="I310">
        <f>RAW_GAMES!J310</f>
        <v>42</v>
      </c>
      <c r="J310">
        <f>RAW_GAMES!K310</f>
        <v>27</v>
      </c>
      <c r="K310">
        <f t="shared" si="25"/>
        <v>15</v>
      </c>
      <c r="L310">
        <f>IF(RAW_GAMES!L310="","",RAW_GAMES!L310)</f>
        <v>4.0999999999999996</v>
      </c>
      <c r="M310">
        <f>IF(RAW_GAMES!M310="","",RAW_GAMES!M310)</f>
        <v>1.93</v>
      </c>
      <c r="N310">
        <f t="shared" si="26"/>
        <v>2.17</v>
      </c>
      <c r="O310" s="7">
        <f>RAW_GAMES!O310</f>
        <v>4</v>
      </c>
      <c r="P310">
        <f>RAW_GAMES!N310</f>
        <v>1</v>
      </c>
      <c r="Q310">
        <f t="shared" si="27"/>
        <v>0.25</v>
      </c>
      <c r="R310" s="7">
        <f>RAW_GAMES!Q310</f>
        <v>6</v>
      </c>
      <c r="S310">
        <f>RAW_GAMES!P310</f>
        <v>0</v>
      </c>
      <c r="T310">
        <f t="shared" si="28"/>
        <v>1</v>
      </c>
      <c r="U310">
        <f>_xlfn.XLOOKUP(C310,
  CALC_TEAMS_SEASON!B:B,
  CALC_TEAMS_SEASON!F:F)</f>
        <v>0.20297619047619053</v>
      </c>
      <c r="V310">
        <f>_xlfn.XLOOKUP(D310,
  CALC_TEAMS_SEASON!B:B,
  CALC_TEAMS_SEASON!F:F)</f>
        <v>0.10089285714285713</v>
      </c>
      <c r="W310" t="str">
        <f>RAW_GAMES!R310</f>
        <v>Will</v>
      </c>
      <c r="X310" s="7">
        <f>RAW_GAMES!S310</f>
        <v>26</v>
      </c>
      <c r="Y310">
        <f t="shared" si="29"/>
        <v>1</v>
      </c>
      <c r="Z310" t="str">
        <f>RAW_GAMES!V310</f>
        <v>RS</v>
      </c>
    </row>
    <row r="311" spans="1:26" x14ac:dyDescent="0.25">
      <c r="A311" t="str">
        <f>RAW_GAMES!A311</f>
        <v>25/26</v>
      </c>
      <c r="B311" s="3">
        <f>RAW_GAMES!B311</f>
        <v>45977</v>
      </c>
      <c r="C311" s="3" t="str">
        <f>RAW_GAMES!E311</f>
        <v>TRI</v>
      </c>
      <c r="D311" s="3" t="str">
        <f>RAW_GAMES!F311</f>
        <v>KOM</v>
      </c>
      <c r="E311" s="7">
        <f>RAW_GAMES!G311</f>
        <v>0</v>
      </c>
      <c r="F311">
        <f>RAW_GAMES!H311</f>
        <v>3</v>
      </c>
      <c r="G311">
        <f>RAW_GAMES!I311</f>
        <v>4</v>
      </c>
      <c r="H311">
        <f t="shared" si="24"/>
        <v>-1</v>
      </c>
      <c r="I311">
        <f>RAW_GAMES!J311</f>
        <v>32</v>
      </c>
      <c r="J311">
        <f>RAW_GAMES!K311</f>
        <v>41</v>
      </c>
      <c r="K311">
        <f t="shared" si="25"/>
        <v>-9</v>
      </c>
      <c r="L311">
        <f>IF(RAW_GAMES!L311="","",RAW_GAMES!L311)</f>
        <v>2.29</v>
      </c>
      <c r="M311">
        <f>IF(RAW_GAMES!M311="","",RAW_GAMES!M311)</f>
        <v>2.65</v>
      </c>
      <c r="N311">
        <f t="shared" si="26"/>
        <v>-0.35999999999999988</v>
      </c>
      <c r="O311" s="7">
        <f>RAW_GAMES!O311</f>
        <v>2</v>
      </c>
      <c r="P311">
        <f>RAW_GAMES!N311</f>
        <v>0</v>
      </c>
      <c r="Q311">
        <f t="shared" si="27"/>
        <v>0</v>
      </c>
      <c r="R311" s="7">
        <f>RAW_GAMES!Q311</f>
        <v>5</v>
      </c>
      <c r="S311">
        <f>RAW_GAMES!P311</f>
        <v>0</v>
      </c>
      <c r="T311">
        <f t="shared" si="28"/>
        <v>1</v>
      </c>
      <c r="U311">
        <f>_xlfn.XLOOKUP(C311,
  CALC_TEAMS_SEASON!B:B,
  CALC_TEAMS_SEASON!F:F)</f>
        <v>0.17437423687423692</v>
      </c>
      <c r="V311">
        <f>_xlfn.XLOOKUP(D311,
  CALC_TEAMS_SEASON!B:B,
  CALC_TEAMS_SEASON!F:F)</f>
        <v>0.14358974358974358</v>
      </c>
      <c r="W311" t="str">
        <f>RAW_GAMES!R311</f>
        <v>Kacetl</v>
      </c>
      <c r="X311" s="7">
        <f>RAW_GAMES!S311</f>
        <v>37</v>
      </c>
      <c r="Y311">
        <f t="shared" si="29"/>
        <v>0</v>
      </c>
      <c r="Z311" t="str">
        <f>RAW_GAMES!V311</f>
        <v>RS</v>
      </c>
    </row>
    <row r="312" spans="1:26" x14ac:dyDescent="0.25">
      <c r="A312" t="str">
        <f>RAW_GAMES!A312</f>
        <v>25/26</v>
      </c>
      <c r="B312" s="3">
        <f>RAW_GAMES!B312</f>
        <v>45977</v>
      </c>
      <c r="C312" s="3" t="str">
        <f>RAW_GAMES!E312</f>
        <v>SPA</v>
      </c>
      <c r="D312" s="3" t="str">
        <f>RAW_GAMES!F312</f>
        <v>PLZ</v>
      </c>
      <c r="E312" s="7">
        <f>RAW_GAMES!G312</f>
        <v>0</v>
      </c>
      <c r="F312">
        <f>RAW_GAMES!H312</f>
        <v>6</v>
      </c>
      <c r="G312">
        <f>RAW_GAMES!I312</f>
        <v>5</v>
      </c>
      <c r="H312">
        <f t="shared" si="24"/>
        <v>1</v>
      </c>
      <c r="I312">
        <f>RAW_GAMES!J312</f>
        <v>27</v>
      </c>
      <c r="J312">
        <f>RAW_GAMES!K312</f>
        <v>31</v>
      </c>
      <c r="K312">
        <f t="shared" si="25"/>
        <v>-4</v>
      </c>
      <c r="L312">
        <f>IF(RAW_GAMES!L312="","",RAW_GAMES!L312)</f>
        <v>2.59</v>
      </c>
      <c r="M312">
        <f>IF(RAW_GAMES!M312="","",RAW_GAMES!M312)</f>
        <v>3.52</v>
      </c>
      <c r="N312">
        <f t="shared" si="26"/>
        <v>-0.93000000000000016</v>
      </c>
      <c r="O312" s="7">
        <f>RAW_GAMES!O312</f>
        <v>3</v>
      </c>
      <c r="P312">
        <f>RAW_GAMES!N312</f>
        <v>2</v>
      </c>
      <c r="Q312">
        <f t="shared" si="27"/>
        <v>0.66666666666666663</v>
      </c>
      <c r="R312" s="7">
        <f>RAW_GAMES!Q312</f>
        <v>5</v>
      </c>
      <c r="S312">
        <f>RAW_GAMES!P312</f>
        <v>3</v>
      </c>
      <c r="T312">
        <f t="shared" si="28"/>
        <v>0.4</v>
      </c>
      <c r="U312">
        <f>_xlfn.XLOOKUP(C312,
  CALC_TEAMS_SEASON!B:B,
  CALC_TEAMS_SEASON!F:F)</f>
        <v>0.22060439560439565</v>
      </c>
      <c r="V312">
        <f>_xlfn.XLOOKUP(D312,
  CALC_TEAMS_SEASON!B:B,
  CALC_TEAMS_SEASON!F:F)</f>
        <v>0.17641178266178262</v>
      </c>
      <c r="W312" t="str">
        <f>RAW_GAMES!R312</f>
        <v>Kořenář</v>
      </c>
      <c r="X312" s="7">
        <f>RAW_GAMES!S312</f>
        <v>26</v>
      </c>
      <c r="Y312">
        <f t="shared" si="29"/>
        <v>1</v>
      </c>
      <c r="Z312" t="str">
        <f>RAW_GAMES!V312</f>
        <v>RS</v>
      </c>
    </row>
    <row r="313" spans="1:26" x14ac:dyDescent="0.25">
      <c r="A313" t="str">
        <f>RAW_GAMES!A313</f>
        <v>25/26</v>
      </c>
      <c r="B313" s="3">
        <f>RAW_GAMES!B313</f>
        <v>45977</v>
      </c>
      <c r="C313" s="3" t="str">
        <f>RAW_GAMES!E313</f>
        <v>KOM</v>
      </c>
      <c r="D313" s="3" t="str">
        <f>RAW_GAMES!F313</f>
        <v>TRI</v>
      </c>
      <c r="E313" s="7">
        <f>RAW_GAMES!G313</f>
        <v>1</v>
      </c>
      <c r="F313">
        <f>RAW_GAMES!H313</f>
        <v>4</v>
      </c>
      <c r="G313">
        <f>RAW_GAMES!I313</f>
        <v>3</v>
      </c>
      <c r="H313">
        <f t="shared" si="24"/>
        <v>1</v>
      </c>
      <c r="I313">
        <f>RAW_GAMES!J313</f>
        <v>41</v>
      </c>
      <c r="J313">
        <f>RAW_GAMES!K313</f>
        <v>32</v>
      </c>
      <c r="K313">
        <f t="shared" si="25"/>
        <v>9</v>
      </c>
      <c r="L313">
        <f>IF(RAW_GAMES!L313="","",RAW_GAMES!L313)</f>
        <v>2.65</v>
      </c>
      <c r="M313">
        <f>IF(RAW_GAMES!M313="","",RAW_GAMES!M313)</f>
        <v>2.29</v>
      </c>
      <c r="N313">
        <f t="shared" si="26"/>
        <v>0.35999999999999988</v>
      </c>
      <c r="O313" s="7">
        <f>RAW_GAMES!O313</f>
        <v>5</v>
      </c>
      <c r="P313">
        <f>RAW_GAMES!N313</f>
        <v>0</v>
      </c>
      <c r="Q313">
        <f t="shared" si="27"/>
        <v>0</v>
      </c>
      <c r="R313" s="7">
        <f>RAW_GAMES!Q313</f>
        <v>2</v>
      </c>
      <c r="S313">
        <f>RAW_GAMES!P313</f>
        <v>0</v>
      </c>
      <c r="T313">
        <f t="shared" si="28"/>
        <v>1</v>
      </c>
      <c r="U313">
        <f>_xlfn.XLOOKUP(C313,
  CALC_TEAMS_SEASON!B:B,
  CALC_TEAMS_SEASON!F:F)</f>
        <v>0.14358974358974358</v>
      </c>
      <c r="V313">
        <f>_xlfn.XLOOKUP(D313,
  CALC_TEAMS_SEASON!B:B,
  CALC_TEAMS_SEASON!F:F)</f>
        <v>0.17437423687423692</v>
      </c>
      <c r="W313" t="str">
        <f>RAW_GAMES!R313</f>
        <v>Stezka</v>
      </c>
      <c r="X313" s="7">
        <f>RAW_GAMES!S313</f>
        <v>27</v>
      </c>
      <c r="Y313">
        <f t="shared" si="29"/>
        <v>1</v>
      </c>
      <c r="Z313" t="str">
        <f>RAW_GAMES!V313</f>
        <v>RS</v>
      </c>
    </row>
    <row r="314" spans="1:26" x14ac:dyDescent="0.25">
      <c r="A314" t="str">
        <f>RAW_GAMES!A314</f>
        <v>25/26</v>
      </c>
      <c r="B314" s="3">
        <f>RAW_GAMES!B314</f>
        <v>45977</v>
      </c>
      <c r="C314" s="3" t="str">
        <f>RAW_GAMES!E314</f>
        <v>KLA</v>
      </c>
      <c r="D314" s="3" t="str">
        <f>RAW_GAMES!F314</f>
        <v>KVA</v>
      </c>
      <c r="E314" s="7">
        <f>RAW_GAMES!G314</f>
        <v>0</v>
      </c>
      <c r="F314">
        <f>RAW_GAMES!H314</f>
        <v>5</v>
      </c>
      <c r="G314">
        <f>RAW_GAMES!I314</f>
        <v>1</v>
      </c>
      <c r="H314">
        <f t="shared" si="24"/>
        <v>4</v>
      </c>
      <c r="I314">
        <f>RAW_GAMES!J314</f>
        <v>14</v>
      </c>
      <c r="J314">
        <f>RAW_GAMES!K314</f>
        <v>33</v>
      </c>
      <c r="K314">
        <f t="shared" si="25"/>
        <v>-19</v>
      </c>
      <c r="L314" t="str">
        <f>IF(RAW_GAMES!L314="","",RAW_GAMES!L314)</f>
        <v/>
      </c>
      <c r="M314" t="str">
        <f>IF(RAW_GAMES!M314="","",RAW_GAMES!M314)</f>
        <v/>
      </c>
      <c r="N314" t="str">
        <f t="shared" si="26"/>
        <v/>
      </c>
      <c r="O314" s="7">
        <f>RAW_GAMES!O314</f>
        <v>6</v>
      </c>
      <c r="P314">
        <f>RAW_GAMES!N314</f>
        <v>0</v>
      </c>
      <c r="Q314">
        <f t="shared" si="27"/>
        <v>0</v>
      </c>
      <c r="R314" s="7">
        <f>RAW_GAMES!Q314</f>
        <v>4</v>
      </c>
      <c r="S314">
        <f>RAW_GAMES!P314</f>
        <v>1</v>
      </c>
      <c r="T314">
        <f t="shared" si="28"/>
        <v>0.75</v>
      </c>
      <c r="U314">
        <f>_xlfn.XLOOKUP(C314,
  CALC_TEAMS_SEASON!B:B,
  CALC_TEAMS_SEASON!F:F)</f>
        <v>0.13120421245421243</v>
      </c>
      <c r="V314">
        <f>_xlfn.XLOOKUP(D314,
  CALC_TEAMS_SEASON!B:B,
  CALC_TEAMS_SEASON!F:F)</f>
        <v>0.17387057387057389</v>
      </c>
      <c r="W314" t="str">
        <f>RAW_GAMES!R314</f>
        <v>Dansk</v>
      </c>
      <c r="X314" s="7">
        <f>RAW_GAMES!S314</f>
        <v>32</v>
      </c>
      <c r="Y314">
        <f t="shared" si="29"/>
        <v>1</v>
      </c>
      <c r="Z314" t="str">
        <f>RAW_GAMES!V314</f>
        <v>RS</v>
      </c>
    </row>
    <row r="315" spans="1:26" x14ac:dyDescent="0.25">
      <c r="A315" t="str">
        <f>RAW_GAMES!A315</f>
        <v>25/26</v>
      </c>
      <c r="B315" s="3">
        <f>RAW_GAMES!B315</f>
        <v>45977</v>
      </c>
      <c r="C315" s="3" t="str">
        <f>RAW_GAMES!E315</f>
        <v>KVA</v>
      </c>
      <c r="D315" s="3" t="str">
        <f>RAW_GAMES!F315</f>
        <v>KLA</v>
      </c>
      <c r="E315" s="7">
        <f>RAW_GAMES!G315</f>
        <v>1</v>
      </c>
      <c r="F315">
        <f>RAW_GAMES!H315</f>
        <v>1</v>
      </c>
      <c r="G315">
        <f>RAW_GAMES!I315</f>
        <v>5</v>
      </c>
      <c r="H315">
        <f t="shared" si="24"/>
        <v>-4</v>
      </c>
      <c r="I315">
        <f>RAW_GAMES!J315</f>
        <v>33</v>
      </c>
      <c r="J315">
        <f>RAW_GAMES!K315</f>
        <v>14</v>
      </c>
      <c r="K315">
        <f t="shared" si="25"/>
        <v>19</v>
      </c>
      <c r="L315" t="str">
        <f>IF(RAW_GAMES!L315="","",RAW_GAMES!L315)</f>
        <v/>
      </c>
      <c r="M315" t="str">
        <f>IF(RAW_GAMES!M315="","",RAW_GAMES!M315)</f>
        <v/>
      </c>
      <c r="N315" t="str">
        <f t="shared" si="26"/>
        <v/>
      </c>
      <c r="O315" s="7">
        <f>RAW_GAMES!O315</f>
        <v>4</v>
      </c>
      <c r="P315">
        <f>RAW_GAMES!N315</f>
        <v>1</v>
      </c>
      <c r="Q315">
        <f t="shared" si="27"/>
        <v>0.25</v>
      </c>
      <c r="R315" s="7">
        <f>RAW_GAMES!Q315</f>
        <v>6</v>
      </c>
      <c r="S315">
        <f>RAW_GAMES!P315</f>
        <v>0</v>
      </c>
      <c r="T315">
        <f t="shared" si="28"/>
        <v>1</v>
      </c>
      <c r="U315">
        <f>_xlfn.XLOOKUP(C315,
  CALC_TEAMS_SEASON!B:B,
  CALC_TEAMS_SEASON!F:F)</f>
        <v>0.17387057387057389</v>
      </c>
      <c r="V315">
        <f>_xlfn.XLOOKUP(D315,
  CALC_TEAMS_SEASON!B:B,
  CALC_TEAMS_SEASON!F:F)</f>
        <v>0.13120421245421243</v>
      </c>
      <c r="W315" t="str">
        <f>RAW_GAMES!R315</f>
        <v>Frodl</v>
      </c>
      <c r="X315" s="7">
        <f>RAW_GAMES!S315</f>
        <v>9</v>
      </c>
      <c r="Y315">
        <f t="shared" si="29"/>
        <v>0</v>
      </c>
      <c r="Z315" t="str">
        <f>RAW_GAMES!V315</f>
        <v>RS</v>
      </c>
    </row>
    <row r="316" spans="1:26" x14ac:dyDescent="0.25">
      <c r="A316" t="str">
        <f>RAW_GAMES!A316</f>
        <v>25/26</v>
      </c>
      <c r="B316" s="3">
        <f>RAW_GAMES!B316</f>
        <v>45977</v>
      </c>
      <c r="C316" s="3" t="str">
        <f>RAW_GAMES!E316</f>
        <v>LIB</v>
      </c>
      <c r="D316" s="3" t="str">
        <f>RAW_GAMES!F316</f>
        <v>MBL</v>
      </c>
      <c r="E316" s="7">
        <f>RAW_GAMES!G316</f>
        <v>0</v>
      </c>
      <c r="F316">
        <f>RAW_GAMES!H316</f>
        <v>0</v>
      </c>
      <c r="G316">
        <f>RAW_GAMES!I316</f>
        <v>2</v>
      </c>
      <c r="H316">
        <f t="shared" si="24"/>
        <v>-2</v>
      </c>
      <c r="I316">
        <f>RAW_GAMES!J316</f>
        <v>26</v>
      </c>
      <c r="J316">
        <f>RAW_GAMES!K316</f>
        <v>26</v>
      </c>
      <c r="K316">
        <f t="shared" si="25"/>
        <v>0</v>
      </c>
      <c r="L316" t="str">
        <f>IF(RAW_GAMES!L316="","",RAW_GAMES!L316)</f>
        <v/>
      </c>
      <c r="M316" t="str">
        <f>IF(RAW_GAMES!M316="","",RAW_GAMES!M316)</f>
        <v/>
      </c>
      <c r="N316" t="str">
        <f t="shared" si="26"/>
        <v/>
      </c>
      <c r="O316" s="7">
        <f>RAW_GAMES!O316</f>
        <v>5</v>
      </c>
      <c r="P316">
        <f>RAW_GAMES!N316</f>
        <v>0</v>
      </c>
      <c r="Q316">
        <f t="shared" si="27"/>
        <v>0</v>
      </c>
      <c r="R316" s="7">
        <f>RAW_GAMES!Q316</f>
        <v>6</v>
      </c>
      <c r="S316">
        <f>RAW_GAMES!P316</f>
        <v>1</v>
      </c>
      <c r="T316">
        <f t="shared" si="28"/>
        <v>0.83333333333333337</v>
      </c>
      <c r="U316">
        <f>_xlfn.XLOOKUP(C316,
  CALC_TEAMS_SEASON!B:B,
  CALC_TEAMS_SEASON!F:F)</f>
        <v>0.14377289377289379</v>
      </c>
      <c r="V316">
        <f>_xlfn.XLOOKUP(D316,
  CALC_TEAMS_SEASON!B:B,
  CALC_TEAMS_SEASON!F:F)</f>
        <v>0.11826923076923078</v>
      </c>
      <c r="W316" t="str">
        <f>RAW_GAMES!R316</f>
        <v>Kváča</v>
      </c>
      <c r="X316" s="7">
        <f>RAW_GAMES!S316</f>
        <v>23</v>
      </c>
      <c r="Y316">
        <f t="shared" si="29"/>
        <v>0</v>
      </c>
      <c r="Z316" t="str">
        <f>RAW_GAMES!V316</f>
        <v>RS</v>
      </c>
    </row>
    <row r="317" spans="1:26" x14ac:dyDescent="0.25">
      <c r="A317" t="str">
        <f>RAW_GAMES!A317</f>
        <v>25/26</v>
      </c>
      <c r="B317" s="3">
        <f>RAW_GAMES!B317</f>
        <v>45977</v>
      </c>
      <c r="C317" s="3" t="str">
        <f>RAW_GAMES!E317</f>
        <v>LIT</v>
      </c>
      <c r="D317" s="3" t="str">
        <f>RAW_GAMES!F317</f>
        <v>PCE</v>
      </c>
      <c r="E317" s="7">
        <f>RAW_GAMES!G317</f>
        <v>1</v>
      </c>
      <c r="F317">
        <f>RAW_GAMES!H317</f>
        <v>1</v>
      </c>
      <c r="G317">
        <f>RAW_GAMES!I317</f>
        <v>4</v>
      </c>
      <c r="H317">
        <f t="shared" si="24"/>
        <v>-3</v>
      </c>
      <c r="I317">
        <f>RAW_GAMES!J317</f>
        <v>27</v>
      </c>
      <c r="J317">
        <f>RAW_GAMES!K317</f>
        <v>42</v>
      </c>
      <c r="K317">
        <f t="shared" si="25"/>
        <v>-15</v>
      </c>
      <c r="L317">
        <f>IF(RAW_GAMES!L317="","",RAW_GAMES!L317)</f>
        <v>1.93</v>
      </c>
      <c r="M317">
        <f>IF(RAW_GAMES!M317="","",RAW_GAMES!M317)</f>
        <v>4.0999999999999996</v>
      </c>
      <c r="N317">
        <f t="shared" si="26"/>
        <v>-2.17</v>
      </c>
      <c r="O317" s="7">
        <f>RAW_GAMES!O317</f>
        <v>6</v>
      </c>
      <c r="P317">
        <f>RAW_GAMES!N317</f>
        <v>0</v>
      </c>
      <c r="Q317">
        <f t="shared" si="27"/>
        <v>0</v>
      </c>
      <c r="R317" s="7">
        <f>RAW_GAMES!Q317</f>
        <v>4</v>
      </c>
      <c r="S317">
        <f>RAW_GAMES!P317</f>
        <v>1</v>
      </c>
      <c r="T317">
        <f t="shared" si="28"/>
        <v>0.75</v>
      </c>
      <c r="U317">
        <f>_xlfn.XLOOKUP(C317,
  CALC_TEAMS_SEASON!B:B,
  CALC_TEAMS_SEASON!F:F)</f>
        <v>0.10089285714285713</v>
      </c>
      <c r="V317">
        <f>_xlfn.XLOOKUP(D317,
  CALC_TEAMS_SEASON!B:B,
  CALC_TEAMS_SEASON!F:F)</f>
        <v>0.20297619047619053</v>
      </c>
      <c r="W317" t="str">
        <f>RAW_GAMES!R317</f>
        <v>Čajan</v>
      </c>
      <c r="X317" s="7">
        <f>RAW_GAMES!S317</f>
        <v>38</v>
      </c>
      <c r="Y317">
        <f t="shared" si="29"/>
        <v>0</v>
      </c>
      <c r="Z317" t="str">
        <f>RAW_GAMES!V317</f>
        <v>RS</v>
      </c>
    </row>
    <row r="318" spans="1:26" x14ac:dyDescent="0.25">
      <c r="A318" t="str">
        <f>RAW_GAMES!A318</f>
        <v>25/26</v>
      </c>
      <c r="B318" s="3">
        <f>RAW_GAMES!B318</f>
        <v>45977</v>
      </c>
      <c r="C318" s="3" t="str">
        <f>RAW_GAMES!E318</f>
        <v>MBL</v>
      </c>
      <c r="D318" s="3" t="str">
        <f>RAW_GAMES!F318</f>
        <v>LIB</v>
      </c>
      <c r="E318" s="7">
        <f>RAW_GAMES!G318</f>
        <v>1</v>
      </c>
      <c r="F318">
        <f>RAW_GAMES!H318</f>
        <v>2</v>
      </c>
      <c r="G318">
        <f>RAW_GAMES!I318</f>
        <v>0</v>
      </c>
      <c r="H318">
        <f t="shared" si="24"/>
        <v>2</v>
      </c>
      <c r="I318">
        <f>RAW_GAMES!J318</f>
        <v>26</v>
      </c>
      <c r="J318">
        <f>RAW_GAMES!K318</f>
        <v>26</v>
      </c>
      <c r="K318">
        <f t="shared" si="25"/>
        <v>0</v>
      </c>
      <c r="L318" t="str">
        <f>IF(RAW_GAMES!L318="","",RAW_GAMES!L318)</f>
        <v/>
      </c>
      <c r="M318" t="str">
        <f>IF(RAW_GAMES!M318="","",RAW_GAMES!M318)</f>
        <v/>
      </c>
      <c r="N318" t="str">
        <f t="shared" si="26"/>
        <v/>
      </c>
      <c r="O318" s="7">
        <f>RAW_GAMES!O318</f>
        <v>6</v>
      </c>
      <c r="P318">
        <f>RAW_GAMES!N318</f>
        <v>1</v>
      </c>
      <c r="Q318">
        <f t="shared" si="27"/>
        <v>0.16666666666666666</v>
      </c>
      <c r="R318" s="7">
        <f>RAW_GAMES!Q318</f>
        <v>5</v>
      </c>
      <c r="S318">
        <f>RAW_GAMES!P318</f>
        <v>0</v>
      </c>
      <c r="T318">
        <f t="shared" si="28"/>
        <v>1</v>
      </c>
      <c r="U318">
        <f>_xlfn.XLOOKUP(C318,
  CALC_TEAMS_SEASON!B:B,
  CALC_TEAMS_SEASON!F:F)</f>
        <v>0.11826923076923078</v>
      </c>
      <c r="V318">
        <f>_xlfn.XLOOKUP(D318,
  CALC_TEAMS_SEASON!B:B,
  CALC_TEAMS_SEASON!F:F)</f>
        <v>0.14377289377289379</v>
      </c>
      <c r="W318" t="str">
        <f>RAW_GAMES!R318</f>
        <v>Furch</v>
      </c>
      <c r="X318" s="7">
        <f>RAW_GAMES!S318</f>
        <v>27</v>
      </c>
      <c r="Y318">
        <f t="shared" si="29"/>
        <v>1</v>
      </c>
      <c r="Z318" t="str">
        <f>RAW_GAMES!V318</f>
        <v>RS</v>
      </c>
    </row>
    <row r="319" spans="1:26" x14ac:dyDescent="0.25">
      <c r="A319" t="str">
        <f>RAW_GAMES!A319</f>
        <v>25/26</v>
      </c>
      <c r="B319" s="3">
        <f>RAW_GAMES!B319</f>
        <v>45977</v>
      </c>
      <c r="C319" s="3" t="str">
        <f>RAW_GAMES!E319</f>
        <v>PLZ</v>
      </c>
      <c r="D319" s="3" t="str">
        <f>RAW_GAMES!F319</f>
        <v>SPA</v>
      </c>
      <c r="E319" s="7">
        <f>RAW_GAMES!G319</f>
        <v>1</v>
      </c>
      <c r="F319">
        <f>RAW_GAMES!H319</f>
        <v>5</v>
      </c>
      <c r="G319">
        <f>RAW_GAMES!I319</f>
        <v>6</v>
      </c>
      <c r="H319">
        <f t="shared" si="24"/>
        <v>-1</v>
      </c>
      <c r="I319">
        <f>RAW_GAMES!J319</f>
        <v>31</v>
      </c>
      <c r="J319">
        <f>RAW_GAMES!K319</f>
        <v>27</v>
      </c>
      <c r="K319">
        <f t="shared" si="25"/>
        <v>4</v>
      </c>
      <c r="L319">
        <f>IF(RAW_GAMES!L319="","",RAW_GAMES!L319)</f>
        <v>3.52</v>
      </c>
      <c r="M319">
        <f>IF(RAW_GAMES!M319="","",RAW_GAMES!M319)</f>
        <v>2.59</v>
      </c>
      <c r="N319">
        <f t="shared" si="26"/>
        <v>0.93000000000000016</v>
      </c>
      <c r="O319" s="7">
        <f>RAW_GAMES!O319</f>
        <v>5</v>
      </c>
      <c r="P319">
        <f>RAW_GAMES!N319</f>
        <v>3</v>
      </c>
      <c r="Q319">
        <f t="shared" si="27"/>
        <v>0.6</v>
      </c>
      <c r="R319" s="7">
        <f>RAW_GAMES!Q319</f>
        <v>3</v>
      </c>
      <c r="S319">
        <f>RAW_GAMES!P319</f>
        <v>2</v>
      </c>
      <c r="T319">
        <f t="shared" si="28"/>
        <v>0.33333333333333337</v>
      </c>
      <c r="U319">
        <f>_xlfn.XLOOKUP(C319,
  CALC_TEAMS_SEASON!B:B,
  CALC_TEAMS_SEASON!F:F)</f>
        <v>0.17641178266178262</v>
      </c>
      <c r="V319">
        <f>_xlfn.XLOOKUP(D319,
  CALC_TEAMS_SEASON!B:B,
  CALC_TEAMS_SEASON!F:F)</f>
        <v>0.22060439560439565</v>
      </c>
      <c r="W319" t="str">
        <f>RAW_GAMES!R319</f>
        <v>Růžička</v>
      </c>
      <c r="X319" s="7">
        <f>RAW_GAMES!S319</f>
        <v>21</v>
      </c>
      <c r="Y319">
        <f t="shared" si="29"/>
        <v>0</v>
      </c>
      <c r="Z319" t="str">
        <f>RAW_GAMES!V319</f>
        <v>RS</v>
      </c>
    </row>
    <row r="320" spans="1:26" x14ac:dyDescent="0.25">
      <c r="A320" t="str">
        <f>RAW_GAMES!A320</f>
        <v>25/26</v>
      </c>
      <c r="B320" s="3">
        <f>RAW_GAMES!B320</f>
        <v>45978</v>
      </c>
      <c r="C320" s="3" t="str">
        <f>RAW_GAMES!E320</f>
        <v>MHK</v>
      </c>
      <c r="D320" s="3" t="str">
        <f>RAW_GAMES!F320</f>
        <v>OLO</v>
      </c>
      <c r="E320" s="7">
        <f>RAW_GAMES!G320</f>
        <v>0</v>
      </c>
      <c r="F320">
        <f>RAW_GAMES!H320</f>
        <v>7</v>
      </c>
      <c r="G320">
        <f>RAW_GAMES!I320</f>
        <v>1</v>
      </c>
      <c r="H320">
        <f t="shared" si="24"/>
        <v>6</v>
      </c>
      <c r="I320">
        <f>RAW_GAMES!J320</f>
        <v>37</v>
      </c>
      <c r="J320">
        <f>RAW_GAMES!K320</f>
        <v>33</v>
      </c>
      <c r="K320">
        <f t="shared" si="25"/>
        <v>4</v>
      </c>
      <c r="L320" t="str">
        <f>IF(RAW_GAMES!L320="","",RAW_GAMES!L320)</f>
        <v/>
      </c>
      <c r="M320" t="str">
        <f>IF(RAW_GAMES!M320="","",RAW_GAMES!M320)</f>
        <v/>
      </c>
      <c r="N320" t="str">
        <f t="shared" si="26"/>
        <v/>
      </c>
      <c r="O320" s="7">
        <f>RAW_GAMES!O320</f>
        <v>4</v>
      </c>
      <c r="P320">
        <f>RAW_GAMES!N320</f>
        <v>2</v>
      </c>
      <c r="Q320">
        <f t="shared" si="27"/>
        <v>0.5</v>
      </c>
      <c r="R320" s="7">
        <f>RAW_GAMES!Q320</f>
        <v>7</v>
      </c>
      <c r="S320">
        <f>RAW_GAMES!P320</f>
        <v>1</v>
      </c>
      <c r="T320">
        <f t="shared" si="28"/>
        <v>0.85714285714285721</v>
      </c>
      <c r="U320">
        <f>_xlfn.XLOOKUP(C320,
  CALC_TEAMS_SEASON!B:B,
  CALC_TEAMS_SEASON!F:F)</f>
        <v>0.14184981684981687</v>
      </c>
      <c r="V320">
        <f>_xlfn.XLOOKUP(D320,
  CALC_TEAMS_SEASON!B:B,
  CALC_TEAMS_SEASON!F:F)</f>
        <v>0.14989316239316242</v>
      </c>
      <c r="W320" t="str">
        <f>RAW_GAMES!R320</f>
        <v>Škorvánek</v>
      </c>
      <c r="X320" s="7">
        <f>RAW_GAMES!S320</f>
        <v>32</v>
      </c>
      <c r="Y320">
        <f t="shared" si="29"/>
        <v>1</v>
      </c>
      <c r="Z320" t="str">
        <f>RAW_GAMES!V320</f>
        <v>RS</v>
      </c>
    </row>
    <row r="321" spans="1:26" x14ac:dyDescent="0.25">
      <c r="A321" t="str">
        <f>RAW_GAMES!A321</f>
        <v>25/26</v>
      </c>
      <c r="B321" s="3">
        <f>RAW_GAMES!B321</f>
        <v>45978</v>
      </c>
      <c r="C321" s="3" t="str">
        <f>RAW_GAMES!E321</f>
        <v>OLO</v>
      </c>
      <c r="D321" s="3" t="str">
        <f>RAW_GAMES!F321</f>
        <v>MHK</v>
      </c>
      <c r="E321" s="7">
        <f>RAW_GAMES!G321</f>
        <v>1</v>
      </c>
      <c r="F321">
        <f>RAW_GAMES!H321</f>
        <v>1</v>
      </c>
      <c r="G321">
        <f>RAW_GAMES!I321</f>
        <v>7</v>
      </c>
      <c r="H321">
        <f t="shared" si="24"/>
        <v>-6</v>
      </c>
      <c r="I321">
        <f>RAW_GAMES!J321</f>
        <v>33</v>
      </c>
      <c r="J321">
        <f>RAW_GAMES!K321</f>
        <v>37</v>
      </c>
      <c r="K321">
        <f t="shared" si="25"/>
        <v>-4</v>
      </c>
      <c r="L321" t="str">
        <f>IF(RAW_GAMES!L321="","",RAW_GAMES!L321)</f>
        <v/>
      </c>
      <c r="M321" t="str">
        <f>IF(RAW_GAMES!M321="","",RAW_GAMES!M321)</f>
        <v/>
      </c>
      <c r="N321" t="str">
        <f t="shared" si="26"/>
        <v/>
      </c>
      <c r="O321" s="7">
        <f>RAW_GAMES!O321</f>
        <v>7</v>
      </c>
      <c r="P321">
        <f>RAW_GAMES!N321</f>
        <v>1</v>
      </c>
      <c r="Q321">
        <f t="shared" si="27"/>
        <v>0.14285714285714285</v>
      </c>
      <c r="R321" s="7">
        <f>RAW_GAMES!Q321</f>
        <v>4</v>
      </c>
      <c r="S321">
        <f>RAW_GAMES!P321</f>
        <v>2</v>
      </c>
      <c r="T321">
        <f t="shared" si="28"/>
        <v>0.5</v>
      </c>
      <c r="U321">
        <f>_xlfn.XLOOKUP(C321,
  CALC_TEAMS_SEASON!B:B,
  CALC_TEAMS_SEASON!F:F)</f>
        <v>0.14989316239316242</v>
      </c>
      <c r="V321">
        <f>_xlfn.XLOOKUP(D321,
  CALC_TEAMS_SEASON!B:B,
  CALC_TEAMS_SEASON!F:F)</f>
        <v>0.14184981684981687</v>
      </c>
      <c r="W321" t="str">
        <f>RAW_GAMES!R321</f>
        <v>Cichoň</v>
      </c>
      <c r="X321" s="7">
        <f>RAW_GAMES!S321</f>
        <v>30</v>
      </c>
      <c r="Y321">
        <f t="shared" si="29"/>
        <v>0</v>
      </c>
      <c r="Z321" t="str">
        <f>RAW_GAMES!V321</f>
        <v>RS</v>
      </c>
    </row>
    <row r="322" spans="1:26" x14ac:dyDescent="0.25">
      <c r="A322" t="str">
        <f>RAW_GAMES!A322</f>
        <v>25/26</v>
      </c>
      <c r="B322" s="3">
        <f>RAW_GAMES!B322</f>
        <v>45981</v>
      </c>
      <c r="C322" s="3" t="str">
        <f>RAW_GAMES!E322</f>
        <v>PCE</v>
      </c>
      <c r="D322" s="3" t="str">
        <f>RAW_GAMES!F322</f>
        <v>KVA</v>
      </c>
      <c r="E322" s="7">
        <f>RAW_GAMES!G322</f>
        <v>1</v>
      </c>
      <c r="F322">
        <f>RAW_GAMES!H322</f>
        <v>4</v>
      </c>
      <c r="G322">
        <f>RAW_GAMES!I322</f>
        <v>1</v>
      </c>
      <c r="H322">
        <f t="shared" si="24"/>
        <v>3</v>
      </c>
      <c r="I322">
        <f>RAW_GAMES!J322</f>
        <v>26</v>
      </c>
      <c r="J322">
        <f>RAW_GAMES!K322</f>
        <v>22</v>
      </c>
      <c r="K322">
        <f t="shared" si="25"/>
        <v>4</v>
      </c>
      <c r="L322">
        <f>IF(RAW_GAMES!L322="","",RAW_GAMES!L322)</f>
        <v>3.43</v>
      </c>
      <c r="M322">
        <f>IF(RAW_GAMES!M322="","",RAW_GAMES!M322)</f>
        <v>2.38</v>
      </c>
      <c r="N322">
        <f t="shared" si="26"/>
        <v>1.0500000000000003</v>
      </c>
      <c r="O322" s="7">
        <f>RAW_GAMES!O322</f>
        <v>4</v>
      </c>
      <c r="P322">
        <f>RAW_GAMES!N322</f>
        <v>1</v>
      </c>
      <c r="Q322">
        <f t="shared" si="27"/>
        <v>0.25</v>
      </c>
      <c r="R322" s="7">
        <f>RAW_GAMES!Q322</f>
        <v>6</v>
      </c>
      <c r="S322">
        <f>RAW_GAMES!P322</f>
        <v>0</v>
      </c>
      <c r="T322">
        <f t="shared" si="28"/>
        <v>1</v>
      </c>
      <c r="U322">
        <f>_xlfn.XLOOKUP(C322,
  CALC_TEAMS_SEASON!B:B,
  CALC_TEAMS_SEASON!F:F)</f>
        <v>0.20297619047619053</v>
      </c>
      <c r="V322">
        <f>_xlfn.XLOOKUP(D322,
  CALC_TEAMS_SEASON!B:B,
  CALC_TEAMS_SEASON!F:F)</f>
        <v>0.17387057387057389</v>
      </c>
      <c r="W322" t="str">
        <f>RAW_GAMES!R322</f>
        <v>Subban</v>
      </c>
      <c r="X322" s="7">
        <f>RAW_GAMES!S322</f>
        <v>21</v>
      </c>
      <c r="Y322">
        <f t="shared" si="29"/>
        <v>1</v>
      </c>
      <c r="Z322" t="str">
        <f>RAW_GAMES!V322</f>
        <v>RS</v>
      </c>
    </row>
    <row r="323" spans="1:26" x14ac:dyDescent="0.25">
      <c r="A323" t="str">
        <f>RAW_GAMES!A323</f>
        <v>25/26</v>
      </c>
      <c r="B323" s="3">
        <f>RAW_GAMES!B323</f>
        <v>45981</v>
      </c>
      <c r="C323" s="3" t="str">
        <f>RAW_GAMES!E323</f>
        <v>TRI</v>
      </c>
      <c r="D323" s="3" t="str">
        <f>RAW_GAMES!F323</f>
        <v>VIT</v>
      </c>
      <c r="E323" s="7">
        <f>RAW_GAMES!G323</f>
        <v>0</v>
      </c>
      <c r="F323">
        <f>RAW_GAMES!H323</f>
        <v>2</v>
      </c>
      <c r="G323">
        <f>RAW_GAMES!I323</f>
        <v>3</v>
      </c>
      <c r="H323">
        <f t="shared" ref="H323:H386" si="30">F323-G323</f>
        <v>-1</v>
      </c>
      <c r="I323">
        <f>RAW_GAMES!J323</f>
        <v>35</v>
      </c>
      <c r="J323">
        <f>RAW_GAMES!K323</f>
        <v>25</v>
      </c>
      <c r="K323">
        <f t="shared" ref="K323:K386" si="31">I323-J323</f>
        <v>10</v>
      </c>
      <c r="L323">
        <f>IF(RAW_GAMES!L323="","",RAW_GAMES!L323)</f>
        <v>2.4300000000000002</v>
      </c>
      <c r="M323">
        <f>IF(RAW_GAMES!M323="","",RAW_GAMES!M323)</f>
        <v>2.2200000000000002</v>
      </c>
      <c r="N323">
        <f t="shared" ref="N323:N386" si="32">IF(L323="","",L323-M323)</f>
        <v>0.20999999999999996</v>
      </c>
      <c r="O323" s="7">
        <f>RAW_GAMES!O323</f>
        <v>2</v>
      </c>
      <c r="P323">
        <f>RAW_GAMES!N323</f>
        <v>1</v>
      </c>
      <c r="Q323">
        <f t="shared" ref="Q323:Q386" si="33">IF(O323&gt;0,P323/O323,0)</f>
        <v>0.5</v>
      </c>
      <c r="R323" s="7">
        <f>RAW_GAMES!Q323</f>
        <v>2</v>
      </c>
      <c r="S323">
        <f>RAW_GAMES!P323</f>
        <v>1</v>
      </c>
      <c r="T323">
        <f t="shared" ref="T323:T386" si="34">IF(R323&gt;0, 1-(S323/R323),1)</f>
        <v>0.5</v>
      </c>
      <c r="U323">
        <f>_xlfn.XLOOKUP(C323,
  CALC_TEAMS_SEASON!B:B,
  CALC_TEAMS_SEASON!F:F)</f>
        <v>0.17437423687423692</v>
      </c>
      <c r="V323">
        <f>_xlfn.XLOOKUP(D323,
  CALC_TEAMS_SEASON!B:B,
  CALC_TEAMS_SEASON!F:F)</f>
        <v>0.16984890109890113</v>
      </c>
      <c r="W323" t="str">
        <f>RAW_GAMES!R323</f>
        <v>Mazanec</v>
      </c>
      <c r="X323" s="7">
        <f>RAW_GAMES!S323</f>
        <v>22</v>
      </c>
      <c r="Y323">
        <f t="shared" ref="Y323:Y386" si="35">IF(F323&gt;G323,1,0)</f>
        <v>0</v>
      </c>
      <c r="Z323" t="str">
        <f>RAW_GAMES!V323</f>
        <v>RS</v>
      </c>
    </row>
    <row r="324" spans="1:26" x14ac:dyDescent="0.25">
      <c r="A324" t="str">
        <f>RAW_GAMES!A324</f>
        <v>25/26</v>
      </c>
      <c r="B324" s="3">
        <f>RAW_GAMES!B324</f>
        <v>45981</v>
      </c>
      <c r="C324" s="3" t="str">
        <f>RAW_GAMES!E324</f>
        <v>KVA</v>
      </c>
      <c r="D324" s="3" t="str">
        <f>RAW_GAMES!F324</f>
        <v>PCE</v>
      </c>
      <c r="E324" s="7">
        <f>RAW_GAMES!G324</f>
        <v>0</v>
      </c>
      <c r="F324">
        <f>RAW_GAMES!H324</f>
        <v>1</v>
      </c>
      <c r="G324">
        <f>RAW_GAMES!I324</f>
        <v>4</v>
      </c>
      <c r="H324">
        <f t="shared" si="30"/>
        <v>-3</v>
      </c>
      <c r="I324">
        <f>RAW_GAMES!J324</f>
        <v>22</v>
      </c>
      <c r="J324">
        <f>RAW_GAMES!K324</f>
        <v>26</v>
      </c>
      <c r="K324">
        <f t="shared" si="31"/>
        <v>-4</v>
      </c>
      <c r="L324">
        <f>IF(RAW_GAMES!L324="","",RAW_GAMES!L324)</f>
        <v>2.38</v>
      </c>
      <c r="M324">
        <f>IF(RAW_GAMES!M324="","",RAW_GAMES!M324)</f>
        <v>3.43</v>
      </c>
      <c r="N324">
        <f t="shared" si="32"/>
        <v>-1.0500000000000003</v>
      </c>
      <c r="O324" s="7">
        <f>RAW_GAMES!O324</f>
        <v>6</v>
      </c>
      <c r="P324">
        <f>RAW_GAMES!N324</f>
        <v>0</v>
      </c>
      <c r="Q324">
        <f t="shared" si="33"/>
        <v>0</v>
      </c>
      <c r="R324" s="7">
        <f>RAW_GAMES!Q324</f>
        <v>4</v>
      </c>
      <c r="S324">
        <f>RAW_GAMES!P324</f>
        <v>1</v>
      </c>
      <c r="T324">
        <f t="shared" si="34"/>
        <v>0.75</v>
      </c>
      <c r="U324">
        <f>_xlfn.XLOOKUP(C324,
  CALC_TEAMS_SEASON!B:B,
  CALC_TEAMS_SEASON!F:F)</f>
        <v>0.17387057387057389</v>
      </c>
      <c r="V324">
        <f>_xlfn.XLOOKUP(D324,
  CALC_TEAMS_SEASON!B:B,
  CALC_TEAMS_SEASON!F:F)</f>
        <v>0.20297619047619053</v>
      </c>
      <c r="W324" t="str">
        <f>RAW_GAMES!R324</f>
        <v>Král</v>
      </c>
      <c r="X324" s="7">
        <f>RAW_GAMES!S324</f>
        <v>22</v>
      </c>
      <c r="Y324">
        <f t="shared" si="35"/>
        <v>0</v>
      </c>
      <c r="Z324" t="str">
        <f>RAW_GAMES!V324</f>
        <v>RS</v>
      </c>
    </row>
    <row r="325" spans="1:26" x14ac:dyDescent="0.25">
      <c r="A325" t="str">
        <f>RAW_GAMES!A325</f>
        <v>25/26</v>
      </c>
      <c r="B325" s="3">
        <f>RAW_GAMES!B325</f>
        <v>45981</v>
      </c>
      <c r="C325" s="3" t="str">
        <f>RAW_GAMES!E325</f>
        <v>LIT</v>
      </c>
      <c r="D325" s="3" t="str">
        <f>RAW_GAMES!F325</f>
        <v>PLZ</v>
      </c>
      <c r="E325" s="7">
        <f>RAW_GAMES!G325</f>
        <v>0</v>
      </c>
      <c r="F325">
        <f>RAW_GAMES!H325</f>
        <v>2</v>
      </c>
      <c r="G325">
        <f>RAW_GAMES!I325</f>
        <v>7</v>
      </c>
      <c r="H325">
        <f t="shared" si="30"/>
        <v>-5</v>
      </c>
      <c r="I325">
        <f>RAW_GAMES!J325</f>
        <v>15</v>
      </c>
      <c r="J325">
        <f>RAW_GAMES!K325</f>
        <v>32</v>
      </c>
      <c r="K325">
        <f t="shared" si="31"/>
        <v>-17</v>
      </c>
      <c r="L325" t="str">
        <f>IF(RAW_GAMES!L325="","",RAW_GAMES!L325)</f>
        <v/>
      </c>
      <c r="M325" t="str">
        <f>IF(RAW_GAMES!M325="","",RAW_GAMES!M325)</f>
        <v/>
      </c>
      <c r="N325" t="str">
        <f t="shared" si="32"/>
        <v/>
      </c>
      <c r="O325" s="7">
        <f>RAW_GAMES!O325</f>
        <v>1</v>
      </c>
      <c r="P325">
        <f>RAW_GAMES!N325</f>
        <v>0</v>
      </c>
      <c r="Q325">
        <f t="shared" si="33"/>
        <v>0</v>
      </c>
      <c r="R325" s="7">
        <f>RAW_GAMES!Q325</f>
        <v>4</v>
      </c>
      <c r="S325">
        <f>RAW_GAMES!P325</f>
        <v>2</v>
      </c>
      <c r="T325">
        <f t="shared" si="34"/>
        <v>0.5</v>
      </c>
      <c r="U325">
        <f>_xlfn.XLOOKUP(C325,
  CALC_TEAMS_SEASON!B:B,
  CALC_TEAMS_SEASON!F:F)</f>
        <v>0.10089285714285713</v>
      </c>
      <c r="V325">
        <f>_xlfn.XLOOKUP(D325,
  CALC_TEAMS_SEASON!B:B,
  CALC_TEAMS_SEASON!F:F)</f>
        <v>0.17641178266178262</v>
      </c>
      <c r="W325" t="str">
        <f>RAW_GAMES!R325</f>
        <v>Čajan</v>
      </c>
      <c r="X325" s="7">
        <f>RAW_GAMES!S325</f>
        <v>25</v>
      </c>
      <c r="Y325">
        <f t="shared" si="35"/>
        <v>0</v>
      </c>
      <c r="Z325" t="str">
        <f>RAW_GAMES!V325</f>
        <v>RS</v>
      </c>
    </row>
    <row r="326" spans="1:26" x14ac:dyDescent="0.25">
      <c r="A326" t="str">
        <f>RAW_GAMES!A326</f>
        <v>25/26</v>
      </c>
      <c r="B326" s="3">
        <f>RAW_GAMES!B326</f>
        <v>45981</v>
      </c>
      <c r="C326" s="3" t="str">
        <f>RAW_GAMES!E326</f>
        <v>PLZ</v>
      </c>
      <c r="D326" s="3" t="str">
        <f>RAW_GAMES!F326</f>
        <v>LIT</v>
      </c>
      <c r="E326" s="7">
        <f>RAW_GAMES!G326</f>
        <v>1</v>
      </c>
      <c r="F326">
        <f>RAW_GAMES!H326</f>
        <v>7</v>
      </c>
      <c r="G326">
        <f>RAW_GAMES!I326</f>
        <v>2</v>
      </c>
      <c r="H326">
        <f t="shared" si="30"/>
        <v>5</v>
      </c>
      <c r="I326">
        <f>RAW_GAMES!J326</f>
        <v>32</v>
      </c>
      <c r="J326">
        <f>RAW_GAMES!K326</f>
        <v>15</v>
      </c>
      <c r="K326">
        <f t="shared" si="31"/>
        <v>17</v>
      </c>
      <c r="L326" t="str">
        <f>IF(RAW_GAMES!L326="","",RAW_GAMES!L326)</f>
        <v/>
      </c>
      <c r="M326" t="str">
        <f>IF(RAW_GAMES!M326="","",RAW_GAMES!M326)</f>
        <v/>
      </c>
      <c r="N326" t="str">
        <f t="shared" si="32"/>
        <v/>
      </c>
      <c r="O326" s="7">
        <f>RAW_GAMES!O326</f>
        <v>4</v>
      </c>
      <c r="P326">
        <f>RAW_GAMES!N326</f>
        <v>2</v>
      </c>
      <c r="Q326">
        <f t="shared" si="33"/>
        <v>0.5</v>
      </c>
      <c r="R326" s="7">
        <f>RAW_GAMES!Q326</f>
        <v>1</v>
      </c>
      <c r="S326">
        <f>RAW_GAMES!P326</f>
        <v>0</v>
      </c>
      <c r="T326">
        <f t="shared" si="34"/>
        <v>1</v>
      </c>
      <c r="U326">
        <f>_xlfn.XLOOKUP(C326,
  CALC_TEAMS_SEASON!B:B,
  CALC_TEAMS_SEASON!F:F)</f>
        <v>0.17641178266178262</v>
      </c>
      <c r="V326">
        <f>_xlfn.XLOOKUP(D326,
  CALC_TEAMS_SEASON!B:B,
  CALC_TEAMS_SEASON!F:F)</f>
        <v>0.10089285714285713</v>
      </c>
      <c r="W326" t="str">
        <f>RAW_GAMES!R326</f>
        <v>Malík</v>
      </c>
      <c r="X326" s="7">
        <f>RAW_GAMES!S326</f>
        <v>13</v>
      </c>
      <c r="Y326">
        <f t="shared" si="35"/>
        <v>1</v>
      </c>
      <c r="Z326" t="str">
        <f>RAW_GAMES!V326</f>
        <v>RS</v>
      </c>
    </row>
    <row r="327" spans="1:26" x14ac:dyDescent="0.25">
      <c r="A327" t="str">
        <f>RAW_GAMES!A327</f>
        <v>25/26</v>
      </c>
      <c r="B327" s="3">
        <f>RAW_GAMES!B327</f>
        <v>45981</v>
      </c>
      <c r="C327" s="3" t="str">
        <f>RAW_GAMES!E327</f>
        <v>VIT</v>
      </c>
      <c r="D327" s="3" t="str">
        <f>RAW_GAMES!F327</f>
        <v>TRI</v>
      </c>
      <c r="E327" s="7">
        <f>RAW_GAMES!G327</f>
        <v>1</v>
      </c>
      <c r="F327">
        <f>RAW_GAMES!H327</f>
        <v>3</v>
      </c>
      <c r="G327">
        <f>RAW_GAMES!I327</f>
        <v>2</v>
      </c>
      <c r="H327">
        <f t="shared" si="30"/>
        <v>1</v>
      </c>
      <c r="I327">
        <f>RAW_GAMES!J327</f>
        <v>25</v>
      </c>
      <c r="J327">
        <f>RAW_GAMES!K327</f>
        <v>35</v>
      </c>
      <c r="K327">
        <f t="shared" si="31"/>
        <v>-10</v>
      </c>
      <c r="L327">
        <f>IF(RAW_GAMES!L327="","",RAW_GAMES!L327)</f>
        <v>2.2200000000000002</v>
      </c>
      <c r="M327">
        <f>IF(RAW_GAMES!M327="","",RAW_GAMES!M327)</f>
        <v>2.4300000000000002</v>
      </c>
      <c r="N327">
        <f t="shared" si="32"/>
        <v>-0.20999999999999996</v>
      </c>
      <c r="O327" s="7">
        <f>RAW_GAMES!O327</f>
        <v>2</v>
      </c>
      <c r="P327">
        <f>RAW_GAMES!N327</f>
        <v>1</v>
      </c>
      <c r="Q327">
        <f t="shared" si="33"/>
        <v>0.5</v>
      </c>
      <c r="R327" s="7">
        <f>RAW_GAMES!Q327</f>
        <v>2</v>
      </c>
      <c r="S327">
        <f>RAW_GAMES!P327</f>
        <v>1</v>
      </c>
      <c r="T327">
        <f t="shared" si="34"/>
        <v>0.5</v>
      </c>
      <c r="U327">
        <f>_xlfn.XLOOKUP(C327,
  CALC_TEAMS_SEASON!B:B,
  CALC_TEAMS_SEASON!F:F)</f>
        <v>0.16984890109890113</v>
      </c>
      <c r="V327">
        <f>_xlfn.XLOOKUP(D327,
  CALC_TEAMS_SEASON!B:B,
  CALC_TEAMS_SEASON!F:F)</f>
        <v>0.17437423687423692</v>
      </c>
      <c r="W327" t="str">
        <f>RAW_GAMES!R327</f>
        <v>Hrachovina</v>
      </c>
      <c r="X327" s="7">
        <f>RAW_GAMES!S327</f>
        <v>33</v>
      </c>
      <c r="Y327">
        <f t="shared" si="35"/>
        <v>1</v>
      </c>
      <c r="Z327" t="str">
        <f>RAW_GAMES!V327</f>
        <v>RS</v>
      </c>
    </row>
    <row r="328" spans="1:26" x14ac:dyDescent="0.25">
      <c r="A328" t="str">
        <f>RAW_GAMES!A328</f>
        <v>25/26</v>
      </c>
      <c r="B328" s="3">
        <f>RAW_GAMES!B328</f>
        <v>45982</v>
      </c>
      <c r="C328" s="3" t="str">
        <f>RAW_GAMES!E328</f>
        <v>SPA</v>
      </c>
      <c r="D328" s="3" t="str">
        <f>RAW_GAMES!F328</f>
        <v>MHK</v>
      </c>
      <c r="E328" s="7">
        <f>RAW_GAMES!G328</f>
        <v>0</v>
      </c>
      <c r="F328">
        <f>RAW_GAMES!H328</f>
        <v>4</v>
      </c>
      <c r="G328">
        <f>RAW_GAMES!I328</f>
        <v>1</v>
      </c>
      <c r="H328">
        <f t="shared" si="30"/>
        <v>3</v>
      </c>
      <c r="I328">
        <f>RAW_GAMES!J328</f>
        <v>25</v>
      </c>
      <c r="J328">
        <f>RAW_GAMES!K328</f>
        <v>31</v>
      </c>
      <c r="K328">
        <f t="shared" si="31"/>
        <v>-6</v>
      </c>
      <c r="L328">
        <f>IF(RAW_GAMES!L328="","",RAW_GAMES!L328)</f>
        <v>2.91</v>
      </c>
      <c r="M328">
        <f>IF(RAW_GAMES!M328="","",RAW_GAMES!M328)</f>
        <v>3.15</v>
      </c>
      <c r="N328">
        <f t="shared" si="32"/>
        <v>-0.23999999999999977</v>
      </c>
      <c r="O328" s="7">
        <f>RAW_GAMES!O328</f>
        <v>4</v>
      </c>
      <c r="P328">
        <f>RAW_GAMES!N328</f>
        <v>0</v>
      </c>
      <c r="Q328">
        <f t="shared" si="33"/>
        <v>0</v>
      </c>
      <c r="R328" s="7">
        <f>RAW_GAMES!Q328</f>
        <v>7</v>
      </c>
      <c r="S328">
        <f>RAW_GAMES!P328</f>
        <v>0</v>
      </c>
      <c r="T328">
        <f t="shared" si="34"/>
        <v>1</v>
      </c>
      <c r="U328">
        <f>_xlfn.XLOOKUP(C328,
  CALC_TEAMS_SEASON!B:B,
  CALC_TEAMS_SEASON!F:F)</f>
        <v>0.22060439560439565</v>
      </c>
      <c r="V328">
        <f>_xlfn.XLOOKUP(D328,
  CALC_TEAMS_SEASON!B:B,
  CALC_TEAMS_SEASON!F:F)</f>
        <v>0.14184981684981687</v>
      </c>
      <c r="W328" t="str">
        <f>RAW_GAMES!R328</f>
        <v>Kovář</v>
      </c>
      <c r="X328" s="7">
        <f>RAW_GAMES!S328</f>
        <v>30</v>
      </c>
      <c r="Y328">
        <f t="shared" si="35"/>
        <v>1</v>
      </c>
      <c r="Z328" t="str">
        <f>RAW_GAMES!V328</f>
        <v>RS</v>
      </c>
    </row>
    <row r="329" spans="1:26" x14ac:dyDescent="0.25">
      <c r="A329" t="str">
        <f>RAW_GAMES!A329</f>
        <v>25/26</v>
      </c>
      <c r="B329" s="3">
        <f>RAW_GAMES!B329</f>
        <v>45982</v>
      </c>
      <c r="C329" s="3" t="str">
        <f>RAW_GAMES!E329</f>
        <v>KOM</v>
      </c>
      <c r="D329" s="3" t="str">
        <f>RAW_GAMES!F329</f>
        <v>KLA</v>
      </c>
      <c r="E329" s="7">
        <f>RAW_GAMES!G329</f>
        <v>0</v>
      </c>
      <c r="F329">
        <f>RAW_GAMES!H329</f>
        <v>4</v>
      </c>
      <c r="G329">
        <f>RAW_GAMES!I329</f>
        <v>1</v>
      </c>
      <c r="H329">
        <f t="shared" si="30"/>
        <v>3</v>
      </c>
      <c r="I329">
        <f>RAW_GAMES!J329</f>
        <v>42</v>
      </c>
      <c r="J329">
        <f>RAW_GAMES!K329</f>
        <v>22</v>
      </c>
      <c r="K329">
        <f t="shared" si="31"/>
        <v>20</v>
      </c>
      <c r="L329">
        <f>IF(RAW_GAMES!L329="","",RAW_GAMES!L329)</f>
        <v>3.15</v>
      </c>
      <c r="M329">
        <f>IF(RAW_GAMES!M329="","",RAW_GAMES!M329)</f>
        <v>2.23</v>
      </c>
      <c r="N329">
        <f t="shared" si="32"/>
        <v>0.91999999999999993</v>
      </c>
      <c r="O329" s="7">
        <f>RAW_GAMES!O329</f>
        <v>2</v>
      </c>
      <c r="P329">
        <f>RAW_GAMES!N329</f>
        <v>1</v>
      </c>
      <c r="Q329">
        <f t="shared" si="33"/>
        <v>0.5</v>
      </c>
      <c r="R329" s="7">
        <f>RAW_GAMES!Q329</f>
        <v>3</v>
      </c>
      <c r="S329">
        <f>RAW_GAMES!P329</f>
        <v>1</v>
      </c>
      <c r="T329">
        <f t="shared" si="34"/>
        <v>0.66666666666666674</v>
      </c>
      <c r="U329">
        <f>_xlfn.XLOOKUP(C329,
  CALC_TEAMS_SEASON!B:B,
  CALC_TEAMS_SEASON!F:F)</f>
        <v>0.14358974358974358</v>
      </c>
      <c r="V329">
        <f>_xlfn.XLOOKUP(D329,
  CALC_TEAMS_SEASON!B:B,
  CALC_TEAMS_SEASON!F:F)</f>
        <v>0.13120421245421243</v>
      </c>
      <c r="W329" t="str">
        <f>RAW_GAMES!R329</f>
        <v>Stezka</v>
      </c>
      <c r="X329" s="7">
        <f>RAW_GAMES!S329</f>
        <v>21</v>
      </c>
      <c r="Y329">
        <f t="shared" si="35"/>
        <v>1</v>
      </c>
      <c r="Z329" t="str">
        <f>RAW_GAMES!V329</f>
        <v>RS</v>
      </c>
    </row>
    <row r="330" spans="1:26" x14ac:dyDescent="0.25">
      <c r="A330" t="str">
        <f>RAW_GAMES!A330</f>
        <v>25/26</v>
      </c>
      <c r="B330" s="3">
        <f>RAW_GAMES!B330</f>
        <v>45982</v>
      </c>
      <c r="C330" s="3" t="str">
        <f>RAW_GAMES!E330</f>
        <v>CEB</v>
      </c>
      <c r="D330" s="3" t="str">
        <f>RAW_GAMES!F330</f>
        <v>MBL</v>
      </c>
      <c r="E330" s="7">
        <f>RAW_GAMES!G330</f>
        <v>1</v>
      </c>
      <c r="F330">
        <f>RAW_GAMES!H330</f>
        <v>4</v>
      </c>
      <c r="G330">
        <f>RAW_GAMES!I330</f>
        <v>3</v>
      </c>
      <c r="H330">
        <f t="shared" si="30"/>
        <v>1</v>
      </c>
      <c r="I330">
        <f>RAW_GAMES!J330</f>
        <v>32</v>
      </c>
      <c r="J330">
        <f>RAW_GAMES!K330</f>
        <v>30</v>
      </c>
      <c r="K330">
        <f t="shared" si="31"/>
        <v>2</v>
      </c>
      <c r="L330" t="str">
        <f>IF(RAW_GAMES!L330="","",RAW_GAMES!L330)</f>
        <v/>
      </c>
      <c r="M330" t="str">
        <f>IF(RAW_GAMES!M330="","",RAW_GAMES!M330)</f>
        <v/>
      </c>
      <c r="N330" t="str">
        <f t="shared" si="32"/>
        <v/>
      </c>
      <c r="O330" s="7">
        <f>RAW_GAMES!O330</f>
        <v>3</v>
      </c>
      <c r="P330">
        <f>RAW_GAMES!N330</f>
        <v>1</v>
      </c>
      <c r="Q330">
        <f t="shared" si="33"/>
        <v>0.33333333333333331</v>
      </c>
      <c r="R330" s="7">
        <f>RAW_GAMES!Q330</f>
        <v>3</v>
      </c>
      <c r="S330">
        <f>RAW_GAMES!P330</f>
        <v>1</v>
      </c>
      <c r="T330">
        <f t="shared" si="34"/>
        <v>0.66666666666666674</v>
      </c>
      <c r="U330">
        <f>_xlfn.XLOOKUP(C330,
  CALC_TEAMS_SEASON!B:B,
  CALC_TEAMS_SEASON!F:F)</f>
        <v>0.13021353646353648</v>
      </c>
      <c r="V330">
        <f>_xlfn.XLOOKUP(D330,
  CALC_TEAMS_SEASON!B:B,
  CALC_TEAMS_SEASON!F:F)</f>
        <v>0.11826923076923078</v>
      </c>
      <c r="W330" t="str">
        <f>RAW_GAMES!R330</f>
        <v>Mařík</v>
      </c>
      <c r="X330" s="7">
        <f>RAW_GAMES!S330</f>
        <v>27</v>
      </c>
      <c r="Y330">
        <f t="shared" si="35"/>
        <v>1</v>
      </c>
      <c r="Z330" t="str">
        <f>RAW_GAMES!V330</f>
        <v>RS</v>
      </c>
    </row>
    <row r="331" spans="1:26" x14ac:dyDescent="0.25">
      <c r="A331" t="str">
        <f>RAW_GAMES!A331</f>
        <v>25/26</v>
      </c>
      <c r="B331" s="3">
        <f>RAW_GAMES!B331</f>
        <v>45982</v>
      </c>
      <c r="C331" s="3" t="str">
        <f>RAW_GAMES!E331</f>
        <v>KLA</v>
      </c>
      <c r="D331" s="3" t="str">
        <f>RAW_GAMES!F331</f>
        <v>KOM</v>
      </c>
      <c r="E331" s="7">
        <f>RAW_GAMES!G331</f>
        <v>1</v>
      </c>
      <c r="F331">
        <f>RAW_GAMES!H331</f>
        <v>1</v>
      </c>
      <c r="G331">
        <f>RAW_GAMES!I331</f>
        <v>4</v>
      </c>
      <c r="H331">
        <f t="shared" si="30"/>
        <v>-3</v>
      </c>
      <c r="I331">
        <f>RAW_GAMES!J331</f>
        <v>22</v>
      </c>
      <c r="J331">
        <f>RAW_GAMES!K331</f>
        <v>42</v>
      </c>
      <c r="K331">
        <f t="shared" si="31"/>
        <v>-20</v>
      </c>
      <c r="L331">
        <f>IF(RAW_GAMES!L331="","",RAW_GAMES!L331)</f>
        <v>2.23</v>
      </c>
      <c r="M331">
        <f>IF(RAW_GAMES!M331="","",RAW_GAMES!M331)</f>
        <v>3.15</v>
      </c>
      <c r="N331">
        <f t="shared" si="32"/>
        <v>-0.91999999999999993</v>
      </c>
      <c r="O331" s="7">
        <f>RAW_GAMES!O331</f>
        <v>3</v>
      </c>
      <c r="P331">
        <f>RAW_GAMES!N331</f>
        <v>1</v>
      </c>
      <c r="Q331">
        <f t="shared" si="33"/>
        <v>0.33333333333333331</v>
      </c>
      <c r="R331" s="7">
        <f>RAW_GAMES!Q331</f>
        <v>2</v>
      </c>
      <c r="S331">
        <f>RAW_GAMES!P331</f>
        <v>1</v>
      </c>
      <c r="T331">
        <f t="shared" si="34"/>
        <v>0.5</v>
      </c>
      <c r="U331">
        <f>_xlfn.XLOOKUP(C331,
  CALC_TEAMS_SEASON!B:B,
  CALC_TEAMS_SEASON!F:F)</f>
        <v>0.13120421245421243</v>
      </c>
      <c r="V331">
        <f>_xlfn.XLOOKUP(D331,
  CALC_TEAMS_SEASON!B:B,
  CALC_TEAMS_SEASON!F:F)</f>
        <v>0.14358974358974358</v>
      </c>
      <c r="W331" t="str">
        <f>RAW_GAMES!R331</f>
        <v>Brízgala</v>
      </c>
      <c r="X331" s="7">
        <f>RAW_GAMES!S331</f>
        <v>38</v>
      </c>
      <c r="Y331">
        <f t="shared" si="35"/>
        <v>0</v>
      </c>
      <c r="Z331" t="str">
        <f>RAW_GAMES!V331</f>
        <v>RS</v>
      </c>
    </row>
    <row r="332" spans="1:26" x14ac:dyDescent="0.25">
      <c r="A332" t="str">
        <f>RAW_GAMES!A332</f>
        <v>25/26</v>
      </c>
      <c r="B332" s="3">
        <f>RAW_GAMES!B332</f>
        <v>45982</v>
      </c>
      <c r="C332" s="3" t="str">
        <f>RAW_GAMES!E332</f>
        <v>MBL</v>
      </c>
      <c r="D332" s="3" t="str">
        <f>RAW_GAMES!F332</f>
        <v>CEB</v>
      </c>
      <c r="E332" s="7">
        <f>RAW_GAMES!G332</f>
        <v>0</v>
      </c>
      <c r="F332">
        <f>RAW_GAMES!H332</f>
        <v>3</v>
      </c>
      <c r="G332">
        <f>RAW_GAMES!I332</f>
        <v>4</v>
      </c>
      <c r="H332">
        <f t="shared" si="30"/>
        <v>-1</v>
      </c>
      <c r="I332">
        <f>RAW_GAMES!J332</f>
        <v>30</v>
      </c>
      <c r="J332">
        <f>RAW_GAMES!K332</f>
        <v>32</v>
      </c>
      <c r="K332">
        <f t="shared" si="31"/>
        <v>-2</v>
      </c>
      <c r="L332" t="str">
        <f>IF(RAW_GAMES!L332="","",RAW_GAMES!L332)</f>
        <v/>
      </c>
      <c r="M332" t="str">
        <f>IF(RAW_GAMES!M332="","",RAW_GAMES!M332)</f>
        <v/>
      </c>
      <c r="N332" t="str">
        <f t="shared" si="32"/>
        <v/>
      </c>
      <c r="O332" s="7">
        <f>RAW_GAMES!O332</f>
        <v>3</v>
      </c>
      <c r="P332">
        <f>RAW_GAMES!N332</f>
        <v>1</v>
      </c>
      <c r="Q332">
        <f t="shared" si="33"/>
        <v>0.33333333333333331</v>
      </c>
      <c r="R332" s="7">
        <f>RAW_GAMES!Q332</f>
        <v>3</v>
      </c>
      <c r="S332">
        <f>RAW_GAMES!P332</f>
        <v>1</v>
      </c>
      <c r="T332">
        <f t="shared" si="34"/>
        <v>0.66666666666666674</v>
      </c>
      <c r="U332">
        <f>_xlfn.XLOOKUP(C332,
  CALC_TEAMS_SEASON!B:B,
  CALC_TEAMS_SEASON!F:F)</f>
        <v>0.11826923076923078</v>
      </c>
      <c r="V332">
        <f>_xlfn.XLOOKUP(D332,
  CALC_TEAMS_SEASON!B:B,
  CALC_TEAMS_SEASON!F:F)</f>
        <v>0.13021353646353648</v>
      </c>
      <c r="W332" t="str">
        <f>RAW_GAMES!R332</f>
        <v>Furch</v>
      </c>
      <c r="X332" s="7">
        <f>RAW_GAMES!S332</f>
        <v>29</v>
      </c>
      <c r="Y332">
        <f t="shared" si="35"/>
        <v>0</v>
      </c>
      <c r="Z332" t="str">
        <f>RAW_GAMES!V332</f>
        <v>RS</v>
      </c>
    </row>
    <row r="333" spans="1:26" x14ac:dyDescent="0.25">
      <c r="A333" t="str">
        <f>RAW_GAMES!A333</f>
        <v>25/26</v>
      </c>
      <c r="B333" s="3">
        <f>RAW_GAMES!B333</f>
        <v>45982</v>
      </c>
      <c r="C333" s="3" t="str">
        <f>RAW_GAMES!E333</f>
        <v>MHK</v>
      </c>
      <c r="D333" s="3" t="str">
        <f>RAW_GAMES!F333</f>
        <v>SPA</v>
      </c>
      <c r="E333" s="7">
        <f>RAW_GAMES!G333</f>
        <v>1</v>
      </c>
      <c r="F333">
        <f>RAW_GAMES!H333</f>
        <v>1</v>
      </c>
      <c r="G333">
        <f>RAW_GAMES!I333</f>
        <v>4</v>
      </c>
      <c r="H333">
        <f t="shared" si="30"/>
        <v>-3</v>
      </c>
      <c r="I333">
        <f>RAW_GAMES!J333</f>
        <v>31</v>
      </c>
      <c r="J333">
        <f>RAW_GAMES!K333</f>
        <v>25</v>
      </c>
      <c r="K333">
        <f t="shared" si="31"/>
        <v>6</v>
      </c>
      <c r="L333">
        <f>IF(RAW_GAMES!L333="","",RAW_GAMES!L333)</f>
        <v>3.15</v>
      </c>
      <c r="M333">
        <f>IF(RAW_GAMES!M333="","",RAW_GAMES!M333)</f>
        <v>2.91</v>
      </c>
      <c r="N333">
        <f t="shared" si="32"/>
        <v>0.23999999999999977</v>
      </c>
      <c r="O333" s="7">
        <f>RAW_GAMES!O333</f>
        <v>7</v>
      </c>
      <c r="P333">
        <f>RAW_GAMES!N333</f>
        <v>0</v>
      </c>
      <c r="Q333">
        <f t="shared" si="33"/>
        <v>0</v>
      </c>
      <c r="R333" s="7">
        <f>RAW_GAMES!Q333</f>
        <v>4</v>
      </c>
      <c r="S333">
        <f>RAW_GAMES!P333</f>
        <v>0</v>
      </c>
      <c r="T333">
        <f t="shared" si="34"/>
        <v>1</v>
      </c>
      <c r="U333">
        <f>_xlfn.XLOOKUP(C333,
  CALC_TEAMS_SEASON!B:B,
  CALC_TEAMS_SEASON!F:F)</f>
        <v>0.14184981684981687</v>
      </c>
      <c r="V333">
        <f>_xlfn.XLOOKUP(D333,
  CALC_TEAMS_SEASON!B:B,
  CALC_TEAMS_SEASON!F:F)</f>
        <v>0.22060439560439565</v>
      </c>
      <c r="W333" t="str">
        <f>RAW_GAMES!R333</f>
        <v>Škorvánek</v>
      </c>
      <c r="X333" s="7">
        <f>RAW_GAMES!S333</f>
        <v>21</v>
      </c>
      <c r="Y333">
        <f t="shared" si="35"/>
        <v>0</v>
      </c>
      <c r="Z333" t="str">
        <f>RAW_GAMES!V333</f>
        <v>RS</v>
      </c>
    </row>
    <row r="334" spans="1:26" x14ac:dyDescent="0.25">
      <c r="A334" t="str">
        <f>RAW_GAMES!A334</f>
        <v>25/26</v>
      </c>
      <c r="B334" s="3">
        <f>RAW_GAMES!B334</f>
        <v>45984</v>
      </c>
      <c r="C334" s="3" t="str">
        <f>RAW_GAMES!E334</f>
        <v>PCE</v>
      </c>
      <c r="D334" s="3" t="str">
        <f>RAW_GAMES!F334</f>
        <v>VIT</v>
      </c>
      <c r="E334" s="7">
        <f>RAW_GAMES!G334</f>
        <v>0</v>
      </c>
      <c r="F334">
        <f>RAW_GAMES!H334</f>
        <v>2</v>
      </c>
      <c r="G334">
        <f>RAW_GAMES!I334</f>
        <v>3</v>
      </c>
      <c r="H334">
        <f t="shared" si="30"/>
        <v>-1</v>
      </c>
      <c r="I334">
        <f>RAW_GAMES!J334</f>
        <v>36</v>
      </c>
      <c r="J334">
        <f>RAW_GAMES!K334</f>
        <v>14</v>
      </c>
      <c r="K334">
        <f t="shared" si="31"/>
        <v>22</v>
      </c>
      <c r="L334">
        <f>IF(RAW_GAMES!L334="","",RAW_GAMES!L334)</f>
        <v>3.17</v>
      </c>
      <c r="M334">
        <f>IF(RAW_GAMES!M334="","",RAW_GAMES!M334)</f>
        <v>2.15</v>
      </c>
      <c r="N334">
        <f t="shared" si="32"/>
        <v>1.02</v>
      </c>
      <c r="O334" s="7">
        <f>RAW_GAMES!O334</f>
        <v>6</v>
      </c>
      <c r="P334">
        <f>RAW_GAMES!N334</f>
        <v>1</v>
      </c>
      <c r="Q334">
        <f t="shared" si="33"/>
        <v>0.16666666666666666</v>
      </c>
      <c r="R334" s="7">
        <f>RAW_GAMES!Q334</f>
        <v>6</v>
      </c>
      <c r="S334">
        <f>RAW_GAMES!P334</f>
        <v>1</v>
      </c>
      <c r="T334">
        <f t="shared" si="34"/>
        <v>0.83333333333333337</v>
      </c>
      <c r="U334">
        <f>_xlfn.XLOOKUP(C334,
  CALC_TEAMS_SEASON!B:B,
  CALC_TEAMS_SEASON!F:F)</f>
        <v>0.20297619047619053</v>
      </c>
      <c r="V334">
        <f>_xlfn.XLOOKUP(D334,
  CALC_TEAMS_SEASON!B:B,
  CALC_TEAMS_SEASON!F:F)</f>
        <v>0.16984890109890113</v>
      </c>
      <c r="W334" t="str">
        <f>RAW_GAMES!R334</f>
        <v>Subban</v>
      </c>
      <c r="X334" s="7">
        <f>RAW_GAMES!S334</f>
        <v>11</v>
      </c>
      <c r="Y334">
        <f t="shared" si="35"/>
        <v>0</v>
      </c>
      <c r="Z334" t="str">
        <f>RAW_GAMES!V334</f>
        <v>RS</v>
      </c>
    </row>
    <row r="335" spans="1:26" x14ac:dyDescent="0.25">
      <c r="A335" t="str">
        <f>RAW_GAMES!A335</f>
        <v>25/26</v>
      </c>
      <c r="B335" s="3">
        <f>RAW_GAMES!B335</f>
        <v>45984</v>
      </c>
      <c r="C335" s="3" t="str">
        <f>RAW_GAMES!E335</f>
        <v>TRI</v>
      </c>
      <c r="D335" s="3" t="str">
        <f>RAW_GAMES!F335</f>
        <v>LIT</v>
      </c>
      <c r="E335" s="7">
        <f>RAW_GAMES!G335</f>
        <v>0</v>
      </c>
      <c r="F335">
        <f>RAW_GAMES!H335</f>
        <v>2</v>
      </c>
      <c r="G335">
        <f>RAW_GAMES!I335</f>
        <v>5</v>
      </c>
      <c r="H335">
        <f t="shared" si="30"/>
        <v>-3</v>
      </c>
      <c r="I335">
        <f>RAW_GAMES!J335</f>
        <v>46</v>
      </c>
      <c r="J335">
        <f>RAW_GAMES!K335</f>
        <v>24</v>
      </c>
      <c r="K335">
        <f t="shared" si="31"/>
        <v>22</v>
      </c>
      <c r="L335">
        <f>IF(RAW_GAMES!L335="","",RAW_GAMES!L335)</f>
        <v>3.62</v>
      </c>
      <c r="M335">
        <f>IF(RAW_GAMES!M335="","",RAW_GAMES!M335)</f>
        <v>1.66</v>
      </c>
      <c r="N335">
        <f t="shared" si="32"/>
        <v>1.9600000000000002</v>
      </c>
      <c r="O335" s="7">
        <f>RAW_GAMES!O335</f>
        <v>9</v>
      </c>
      <c r="P335">
        <f>RAW_GAMES!N335</f>
        <v>2</v>
      </c>
      <c r="Q335">
        <f t="shared" si="33"/>
        <v>0.22222222222222221</v>
      </c>
      <c r="R335" s="7">
        <f>RAW_GAMES!Q335</f>
        <v>8</v>
      </c>
      <c r="S335">
        <f>RAW_GAMES!P335</f>
        <v>1</v>
      </c>
      <c r="T335">
        <f t="shared" si="34"/>
        <v>0.875</v>
      </c>
      <c r="U335">
        <f>_xlfn.XLOOKUP(C335,
  CALC_TEAMS_SEASON!B:B,
  CALC_TEAMS_SEASON!F:F)</f>
        <v>0.17437423687423692</v>
      </c>
      <c r="V335">
        <f>_xlfn.XLOOKUP(D335,
  CALC_TEAMS_SEASON!B:B,
  CALC_TEAMS_SEASON!F:F)</f>
        <v>0.10089285714285713</v>
      </c>
      <c r="W335" t="str">
        <f>RAW_GAMES!R335</f>
        <v>Mazanec</v>
      </c>
      <c r="X335" s="7">
        <f>RAW_GAMES!S335</f>
        <v>19</v>
      </c>
      <c r="Y335">
        <f t="shared" si="35"/>
        <v>0</v>
      </c>
      <c r="Z335" t="str">
        <f>RAW_GAMES!V335</f>
        <v>RS</v>
      </c>
    </row>
    <row r="336" spans="1:26" x14ac:dyDescent="0.25">
      <c r="A336" t="str">
        <f>RAW_GAMES!A336</f>
        <v>25/26</v>
      </c>
      <c r="B336" s="3">
        <f>RAW_GAMES!B336</f>
        <v>45984</v>
      </c>
      <c r="C336" s="3" t="str">
        <f>RAW_GAMES!E336</f>
        <v>SPA</v>
      </c>
      <c r="D336" s="3" t="str">
        <f>RAW_GAMES!F336</f>
        <v>KLA</v>
      </c>
      <c r="E336" s="7">
        <f>RAW_GAMES!G336</f>
        <v>0</v>
      </c>
      <c r="F336">
        <f>RAW_GAMES!H336</f>
        <v>7</v>
      </c>
      <c r="G336">
        <f>RAW_GAMES!I336</f>
        <v>3</v>
      </c>
      <c r="H336">
        <f t="shared" si="30"/>
        <v>4</v>
      </c>
      <c r="I336">
        <f>RAW_GAMES!J336</f>
        <v>27</v>
      </c>
      <c r="J336">
        <f>RAW_GAMES!K336</f>
        <v>22</v>
      </c>
      <c r="K336">
        <f t="shared" si="31"/>
        <v>5</v>
      </c>
      <c r="L336">
        <f>IF(RAW_GAMES!L336="","",RAW_GAMES!L336)</f>
        <v>2.39</v>
      </c>
      <c r="M336">
        <f>IF(RAW_GAMES!M336="","",RAW_GAMES!M336)</f>
        <v>2.61</v>
      </c>
      <c r="N336">
        <f t="shared" si="32"/>
        <v>-0.21999999999999975</v>
      </c>
      <c r="O336" s="7">
        <f>RAW_GAMES!O336</f>
        <v>3</v>
      </c>
      <c r="P336">
        <f>RAW_GAMES!N336</f>
        <v>2</v>
      </c>
      <c r="Q336">
        <f t="shared" si="33"/>
        <v>0.66666666666666663</v>
      </c>
      <c r="R336" s="7">
        <f>RAW_GAMES!Q336</f>
        <v>7</v>
      </c>
      <c r="S336">
        <f>RAW_GAMES!P336</f>
        <v>1</v>
      </c>
      <c r="T336">
        <f t="shared" si="34"/>
        <v>0.85714285714285721</v>
      </c>
      <c r="U336">
        <f>_xlfn.XLOOKUP(C336,
  CALC_TEAMS_SEASON!B:B,
  CALC_TEAMS_SEASON!F:F)</f>
        <v>0.22060439560439565</v>
      </c>
      <c r="V336">
        <f>_xlfn.XLOOKUP(D336,
  CALC_TEAMS_SEASON!B:B,
  CALC_TEAMS_SEASON!F:F)</f>
        <v>0.13120421245421243</v>
      </c>
      <c r="W336" t="str">
        <f>RAW_GAMES!R336</f>
        <v>Kovář</v>
      </c>
      <c r="X336" s="7">
        <f>RAW_GAMES!S336</f>
        <v>19</v>
      </c>
      <c r="Y336">
        <f t="shared" si="35"/>
        <v>1</v>
      </c>
      <c r="Z336" t="str">
        <f>RAW_GAMES!V336</f>
        <v>RS</v>
      </c>
    </row>
    <row r="337" spans="1:26" x14ac:dyDescent="0.25">
      <c r="A337" t="str">
        <f>RAW_GAMES!A337</f>
        <v>25/26</v>
      </c>
      <c r="B337" s="3">
        <f>RAW_GAMES!B337</f>
        <v>45984</v>
      </c>
      <c r="C337" s="3" t="str">
        <f>RAW_GAMES!E337</f>
        <v>KOM</v>
      </c>
      <c r="D337" s="3" t="str">
        <f>RAW_GAMES!F337</f>
        <v>KVA</v>
      </c>
      <c r="E337" s="7">
        <f>RAW_GAMES!G337</f>
        <v>0</v>
      </c>
      <c r="F337">
        <f>RAW_GAMES!H337</f>
        <v>2</v>
      </c>
      <c r="G337">
        <f>RAW_GAMES!I337</f>
        <v>3</v>
      </c>
      <c r="H337">
        <f t="shared" si="30"/>
        <v>-1</v>
      </c>
      <c r="I337">
        <f>RAW_GAMES!J337</f>
        <v>16</v>
      </c>
      <c r="J337">
        <f>RAW_GAMES!K337</f>
        <v>38</v>
      </c>
      <c r="K337">
        <f t="shared" si="31"/>
        <v>-22</v>
      </c>
      <c r="L337">
        <f>IF(RAW_GAMES!L337="","",RAW_GAMES!L337)</f>
        <v>1.45</v>
      </c>
      <c r="M337">
        <f>IF(RAW_GAMES!M337="","",RAW_GAMES!M337)</f>
        <v>2.4300000000000002</v>
      </c>
      <c r="N337">
        <f t="shared" si="32"/>
        <v>-0.9800000000000002</v>
      </c>
      <c r="O337" s="7">
        <f>RAW_GAMES!O337</f>
        <v>3</v>
      </c>
      <c r="P337">
        <f>RAW_GAMES!N337</f>
        <v>1</v>
      </c>
      <c r="Q337">
        <f t="shared" si="33"/>
        <v>0.33333333333333331</v>
      </c>
      <c r="R337" s="7">
        <f>RAW_GAMES!Q337</f>
        <v>5</v>
      </c>
      <c r="S337">
        <f>RAW_GAMES!P337</f>
        <v>2</v>
      </c>
      <c r="T337">
        <f t="shared" si="34"/>
        <v>0.6</v>
      </c>
      <c r="U337">
        <f>_xlfn.XLOOKUP(C337,
  CALC_TEAMS_SEASON!B:B,
  CALC_TEAMS_SEASON!F:F)</f>
        <v>0.14358974358974358</v>
      </c>
      <c r="V337">
        <f>_xlfn.XLOOKUP(D337,
  CALC_TEAMS_SEASON!B:B,
  CALC_TEAMS_SEASON!F:F)</f>
        <v>0.17387057387057389</v>
      </c>
      <c r="W337" t="str">
        <f>RAW_GAMES!R337</f>
        <v>Stezka</v>
      </c>
      <c r="X337" s="7">
        <f>RAW_GAMES!S337</f>
        <v>35</v>
      </c>
      <c r="Y337">
        <f t="shared" si="35"/>
        <v>0</v>
      </c>
      <c r="Z337" t="str">
        <f>RAW_GAMES!V337</f>
        <v>RS</v>
      </c>
    </row>
    <row r="338" spans="1:26" x14ac:dyDescent="0.25">
      <c r="A338" t="str">
        <f>RAW_GAMES!A338</f>
        <v>25/26</v>
      </c>
      <c r="B338" s="3">
        <f>RAW_GAMES!B338</f>
        <v>45984</v>
      </c>
      <c r="C338" s="3" t="str">
        <f>RAW_GAMES!E338</f>
        <v>CEB</v>
      </c>
      <c r="D338" s="3" t="str">
        <f>RAW_GAMES!F338</f>
        <v>OLO</v>
      </c>
      <c r="E338" s="7">
        <f>RAW_GAMES!G338</f>
        <v>0</v>
      </c>
      <c r="F338">
        <f>RAW_GAMES!H338</f>
        <v>2</v>
      </c>
      <c r="G338">
        <f>RAW_GAMES!I338</f>
        <v>1</v>
      </c>
      <c r="H338">
        <f t="shared" si="30"/>
        <v>1</v>
      </c>
      <c r="I338">
        <f>RAW_GAMES!J338</f>
        <v>33</v>
      </c>
      <c r="J338">
        <f>RAW_GAMES!K338</f>
        <v>25</v>
      </c>
      <c r="K338">
        <f t="shared" si="31"/>
        <v>8</v>
      </c>
      <c r="L338" t="str">
        <f>IF(RAW_GAMES!L338="","",RAW_GAMES!L338)</f>
        <v/>
      </c>
      <c r="M338" t="str">
        <f>IF(RAW_GAMES!M338="","",RAW_GAMES!M338)</f>
        <v/>
      </c>
      <c r="N338" t="str">
        <f t="shared" si="32"/>
        <v/>
      </c>
      <c r="O338" s="7">
        <f>RAW_GAMES!O338</f>
        <v>3</v>
      </c>
      <c r="P338">
        <f>RAW_GAMES!N338</f>
        <v>2</v>
      </c>
      <c r="Q338">
        <f t="shared" si="33"/>
        <v>0.66666666666666663</v>
      </c>
      <c r="R338" s="7">
        <f>RAW_GAMES!Q338</f>
        <v>4</v>
      </c>
      <c r="S338">
        <f>RAW_GAMES!P338</f>
        <v>1</v>
      </c>
      <c r="T338">
        <f t="shared" si="34"/>
        <v>0.75</v>
      </c>
      <c r="U338">
        <f>_xlfn.XLOOKUP(C338,
  CALC_TEAMS_SEASON!B:B,
  CALC_TEAMS_SEASON!F:F)</f>
        <v>0.13021353646353648</v>
      </c>
      <c r="V338">
        <f>_xlfn.XLOOKUP(D338,
  CALC_TEAMS_SEASON!B:B,
  CALC_TEAMS_SEASON!F:F)</f>
        <v>0.14989316239316242</v>
      </c>
      <c r="W338" t="str">
        <f>RAW_GAMES!R338</f>
        <v>Westerholm</v>
      </c>
      <c r="X338" s="7">
        <f>RAW_GAMES!S338</f>
        <v>31</v>
      </c>
      <c r="Y338">
        <f t="shared" si="35"/>
        <v>1</v>
      </c>
      <c r="Z338" t="str">
        <f>RAW_GAMES!V338</f>
        <v>RS</v>
      </c>
    </row>
    <row r="339" spans="1:26" x14ac:dyDescent="0.25">
      <c r="A339" t="str">
        <f>RAW_GAMES!A339</f>
        <v>25/26</v>
      </c>
      <c r="B339" s="3">
        <f>RAW_GAMES!B339</f>
        <v>45984</v>
      </c>
      <c r="C339" s="3" t="str">
        <f>RAW_GAMES!E339</f>
        <v>KLA</v>
      </c>
      <c r="D339" s="3" t="str">
        <f>RAW_GAMES!F339</f>
        <v>SPA</v>
      </c>
      <c r="E339" s="7">
        <f>RAW_GAMES!G339</f>
        <v>1</v>
      </c>
      <c r="F339">
        <f>RAW_GAMES!H339</f>
        <v>3</v>
      </c>
      <c r="G339">
        <f>RAW_GAMES!I339</f>
        <v>7</v>
      </c>
      <c r="H339">
        <f t="shared" si="30"/>
        <v>-4</v>
      </c>
      <c r="I339">
        <f>RAW_GAMES!J339</f>
        <v>22</v>
      </c>
      <c r="J339">
        <f>RAW_GAMES!K339</f>
        <v>27</v>
      </c>
      <c r="K339">
        <f t="shared" si="31"/>
        <v>-5</v>
      </c>
      <c r="L339">
        <f>IF(RAW_GAMES!L339="","",RAW_GAMES!L339)</f>
        <v>2.61</v>
      </c>
      <c r="M339">
        <f>IF(RAW_GAMES!M339="","",RAW_GAMES!M339)</f>
        <v>2.39</v>
      </c>
      <c r="N339">
        <f t="shared" si="32"/>
        <v>0.21999999999999975</v>
      </c>
      <c r="O339" s="7">
        <f>RAW_GAMES!O339</f>
        <v>7</v>
      </c>
      <c r="P339">
        <f>RAW_GAMES!N339</f>
        <v>1</v>
      </c>
      <c r="Q339">
        <f t="shared" si="33"/>
        <v>0.14285714285714285</v>
      </c>
      <c r="R339" s="7">
        <f>RAW_GAMES!Q339</f>
        <v>3</v>
      </c>
      <c r="S339">
        <f>RAW_GAMES!P339</f>
        <v>2</v>
      </c>
      <c r="T339">
        <f t="shared" si="34"/>
        <v>0.33333333333333337</v>
      </c>
      <c r="U339">
        <f>_xlfn.XLOOKUP(C339,
  CALC_TEAMS_SEASON!B:B,
  CALC_TEAMS_SEASON!F:F)</f>
        <v>0.13120421245421243</v>
      </c>
      <c r="V339">
        <f>_xlfn.XLOOKUP(D339,
  CALC_TEAMS_SEASON!B:B,
  CALC_TEAMS_SEASON!F:F)</f>
        <v>0.22060439560439565</v>
      </c>
      <c r="W339" t="str">
        <f>RAW_GAMES!R339</f>
        <v>Dansk</v>
      </c>
      <c r="X339" s="7">
        <f>RAW_GAMES!S339</f>
        <v>20</v>
      </c>
      <c r="Y339">
        <f t="shared" si="35"/>
        <v>0</v>
      </c>
      <c r="Z339" t="str">
        <f>RAW_GAMES!V339</f>
        <v>RS</v>
      </c>
    </row>
    <row r="340" spans="1:26" x14ac:dyDescent="0.25">
      <c r="A340" t="str">
        <f>RAW_GAMES!A340</f>
        <v>25/26</v>
      </c>
      <c r="B340" s="3">
        <f>RAW_GAMES!B340</f>
        <v>45984</v>
      </c>
      <c r="C340" s="3" t="str">
        <f>RAW_GAMES!E340</f>
        <v>KVA</v>
      </c>
      <c r="D340" s="3" t="str">
        <f>RAW_GAMES!F340</f>
        <v>KOM</v>
      </c>
      <c r="E340" s="7">
        <f>RAW_GAMES!G340</f>
        <v>1</v>
      </c>
      <c r="F340">
        <f>RAW_GAMES!H340</f>
        <v>3</v>
      </c>
      <c r="G340">
        <f>RAW_GAMES!I340</f>
        <v>2</v>
      </c>
      <c r="H340">
        <f t="shared" si="30"/>
        <v>1</v>
      </c>
      <c r="I340">
        <f>RAW_GAMES!J340</f>
        <v>38</v>
      </c>
      <c r="J340">
        <f>RAW_GAMES!K340</f>
        <v>16</v>
      </c>
      <c r="K340">
        <f t="shared" si="31"/>
        <v>22</v>
      </c>
      <c r="L340">
        <f>IF(RAW_GAMES!L340="","",RAW_GAMES!L340)</f>
        <v>2.4300000000000002</v>
      </c>
      <c r="M340">
        <f>IF(RAW_GAMES!M340="","",RAW_GAMES!M340)</f>
        <v>1.45</v>
      </c>
      <c r="N340">
        <f t="shared" si="32"/>
        <v>0.9800000000000002</v>
      </c>
      <c r="O340" s="7">
        <f>RAW_GAMES!O340</f>
        <v>5</v>
      </c>
      <c r="P340">
        <f>RAW_GAMES!N340</f>
        <v>2</v>
      </c>
      <c r="Q340">
        <f t="shared" si="33"/>
        <v>0.4</v>
      </c>
      <c r="R340" s="7">
        <f>RAW_GAMES!Q340</f>
        <v>3</v>
      </c>
      <c r="S340">
        <f>RAW_GAMES!P340</f>
        <v>1</v>
      </c>
      <c r="T340">
        <f t="shared" si="34"/>
        <v>0.66666666666666674</v>
      </c>
      <c r="U340">
        <f>_xlfn.XLOOKUP(C340,
  CALC_TEAMS_SEASON!B:B,
  CALC_TEAMS_SEASON!F:F)</f>
        <v>0.17387057387057389</v>
      </c>
      <c r="V340">
        <f>_xlfn.XLOOKUP(D340,
  CALC_TEAMS_SEASON!B:B,
  CALC_TEAMS_SEASON!F:F)</f>
        <v>0.14358974358974358</v>
      </c>
      <c r="W340" t="str">
        <f>RAW_GAMES!R340</f>
        <v>Frodl</v>
      </c>
      <c r="X340" s="7">
        <f>RAW_GAMES!S340</f>
        <v>14</v>
      </c>
      <c r="Y340">
        <f t="shared" si="35"/>
        <v>1</v>
      </c>
      <c r="Z340" t="str">
        <f>RAW_GAMES!V340</f>
        <v>RS</v>
      </c>
    </row>
    <row r="341" spans="1:26" x14ac:dyDescent="0.25">
      <c r="A341" t="str">
        <f>RAW_GAMES!A341</f>
        <v>25/26</v>
      </c>
      <c r="B341" s="3">
        <f>RAW_GAMES!B341</f>
        <v>45984</v>
      </c>
      <c r="C341" s="3" t="str">
        <f>RAW_GAMES!E341</f>
        <v>LIB</v>
      </c>
      <c r="D341" s="3" t="str">
        <f>RAW_GAMES!F341</f>
        <v>MHK</v>
      </c>
      <c r="E341" s="7">
        <f>RAW_GAMES!G341</f>
        <v>1</v>
      </c>
      <c r="F341">
        <f>RAW_GAMES!H341</f>
        <v>3</v>
      </c>
      <c r="G341">
        <f>RAW_GAMES!I341</f>
        <v>2</v>
      </c>
      <c r="H341">
        <f t="shared" si="30"/>
        <v>1</v>
      </c>
      <c r="I341">
        <f>RAW_GAMES!J341</f>
        <v>35</v>
      </c>
      <c r="J341">
        <f>RAW_GAMES!K341</f>
        <v>27</v>
      </c>
      <c r="K341">
        <f t="shared" si="31"/>
        <v>8</v>
      </c>
      <c r="L341" t="str">
        <f>IF(RAW_GAMES!L341="","",RAW_GAMES!L341)</f>
        <v/>
      </c>
      <c r="M341" t="str">
        <f>IF(RAW_GAMES!M341="","",RAW_GAMES!M341)</f>
        <v/>
      </c>
      <c r="N341" t="str">
        <f t="shared" si="32"/>
        <v/>
      </c>
      <c r="O341" s="7">
        <f>RAW_GAMES!O341</f>
        <v>5</v>
      </c>
      <c r="P341">
        <f>RAW_GAMES!N341</f>
        <v>2</v>
      </c>
      <c r="Q341">
        <f t="shared" si="33"/>
        <v>0.4</v>
      </c>
      <c r="R341" s="7">
        <f>RAW_GAMES!Q341</f>
        <v>1</v>
      </c>
      <c r="S341">
        <f>RAW_GAMES!P341</f>
        <v>1</v>
      </c>
      <c r="T341">
        <f t="shared" si="34"/>
        <v>0</v>
      </c>
      <c r="U341">
        <f>_xlfn.XLOOKUP(C341,
  CALC_TEAMS_SEASON!B:B,
  CALC_TEAMS_SEASON!F:F)</f>
        <v>0.14377289377289379</v>
      </c>
      <c r="V341">
        <f>_xlfn.XLOOKUP(D341,
  CALC_TEAMS_SEASON!B:B,
  CALC_TEAMS_SEASON!F:F)</f>
        <v>0.14184981684981687</v>
      </c>
      <c r="W341" t="str">
        <f>RAW_GAMES!R341</f>
        <v>Kváča</v>
      </c>
      <c r="X341" s="7">
        <f>RAW_GAMES!S341</f>
        <v>25</v>
      </c>
      <c r="Y341">
        <f t="shared" si="35"/>
        <v>1</v>
      </c>
      <c r="Z341" t="str">
        <f>RAW_GAMES!V341</f>
        <v>RS</v>
      </c>
    </row>
    <row r="342" spans="1:26" x14ac:dyDescent="0.25">
      <c r="A342" t="str">
        <f>RAW_GAMES!A342</f>
        <v>25/26</v>
      </c>
      <c r="B342" s="3">
        <f>RAW_GAMES!B342</f>
        <v>45984</v>
      </c>
      <c r="C342" s="3" t="str">
        <f>RAW_GAMES!E342</f>
        <v>LIT</v>
      </c>
      <c r="D342" s="3" t="str">
        <f>RAW_GAMES!F342</f>
        <v>TRI</v>
      </c>
      <c r="E342" s="7">
        <f>RAW_GAMES!G342</f>
        <v>1</v>
      </c>
      <c r="F342">
        <f>RAW_GAMES!H342</f>
        <v>5</v>
      </c>
      <c r="G342">
        <f>RAW_GAMES!I342</f>
        <v>2</v>
      </c>
      <c r="H342">
        <f t="shared" si="30"/>
        <v>3</v>
      </c>
      <c r="I342">
        <f>RAW_GAMES!J342</f>
        <v>24</v>
      </c>
      <c r="J342">
        <f>RAW_GAMES!K342</f>
        <v>46</v>
      </c>
      <c r="K342">
        <f t="shared" si="31"/>
        <v>-22</v>
      </c>
      <c r="L342">
        <f>IF(RAW_GAMES!L342="","",RAW_GAMES!L342)</f>
        <v>1.66</v>
      </c>
      <c r="M342">
        <f>IF(RAW_GAMES!M342="","",RAW_GAMES!M342)</f>
        <v>3.62</v>
      </c>
      <c r="N342">
        <f t="shared" si="32"/>
        <v>-1.9600000000000002</v>
      </c>
      <c r="O342" s="7">
        <f>RAW_GAMES!O342</f>
        <v>8</v>
      </c>
      <c r="P342">
        <f>RAW_GAMES!N342</f>
        <v>1</v>
      </c>
      <c r="Q342">
        <f t="shared" si="33"/>
        <v>0.125</v>
      </c>
      <c r="R342" s="7">
        <f>RAW_GAMES!Q342</f>
        <v>9</v>
      </c>
      <c r="S342">
        <f>RAW_GAMES!P342</f>
        <v>2</v>
      </c>
      <c r="T342">
        <f t="shared" si="34"/>
        <v>0.77777777777777779</v>
      </c>
      <c r="U342">
        <f>_xlfn.XLOOKUP(C342,
  CALC_TEAMS_SEASON!B:B,
  CALC_TEAMS_SEASON!F:F)</f>
        <v>0.10089285714285713</v>
      </c>
      <c r="V342">
        <f>_xlfn.XLOOKUP(D342,
  CALC_TEAMS_SEASON!B:B,
  CALC_TEAMS_SEASON!F:F)</f>
        <v>0.17437423687423692</v>
      </c>
      <c r="W342" t="str">
        <f>RAW_GAMES!R342</f>
        <v>Tomek</v>
      </c>
      <c r="X342" s="7">
        <f>RAW_GAMES!S342</f>
        <v>44</v>
      </c>
      <c r="Y342">
        <f t="shared" si="35"/>
        <v>1</v>
      </c>
      <c r="Z342" t="str">
        <f>RAW_GAMES!V342</f>
        <v>RS</v>
      </c>
    </row>
    <row r="343" spans="1:26" x14ac:dyDescent="0.25">
      <c r="A343" t="str">
        <f>RAW_GAMES!A343</f>
        <v>25/26</v>
      </c>
      <c r="B343" s="3">
        <f>RAW_GAMES!B343</f>
        <v>45984</v>
      </c>
      <c r="C343" s="3" t="str">
        <f>RAW_GAMES!E343</f>
        <v>MBL</v>
      </c>
      <c r="D343" s="3" t="str">
        <f>RAW_GAMES!F343</f>
        <v>PLZ</v>
      </c>
      <c r="E343" s="7">
        <f>RAW_GAMES!G343</f>
        <v>1</v>
      </c>
      <c r="F343">
        <f>RAW_GAMES!H343</f>
        <v>2</v>
      </c>
      <c r="G343">
        <f>RAW_GAMES!I343</f>
        <v>1</v>
      </c>
      <c r="H343">
        <f t="shared" si="30"/>
        <v>1</v>
      </c>
      <c r="I343">
        <f>RAW_GAMES!J343</f>
        <v>19</v>
      </c>
      <c r="J343">
        <f>RAW_GAMES!K343</f>
        <v>25</v>
      </c>
      <c r="K343">
        <f t="shared" si="31"/>
        <v>-6</v>
      </c>
      <c r="L343" t="str">
        <f>IF(RAW_GAMES!L343="","",RAW_GAMES!L343)</f>
        <v/>
      </c>
      <c r="M343" t="str">
        <f>IF(RAW_GAMES!M343="","",RAW_GAMES!M343)</f>
        <v/>
      </c>
      <c r="N343" t="str">
        <f t="shared" si="32"/>
        <v/>
      </c>
      <c r="O343" s="7">
        <f>RAW_GAMES!O343</f>
        <v>3</v>
      </c>
      <c r="P343">
        <f>RAW_GAMES!N343</f>
        <v>1</v>
      </c>
      <c r="Q343">
        <f t="shared" si="33"/>
        <v>0.33333333333333331</v>
      </c>
      <c r="R343" s="7">
        <f>RAW_GAMES!Q343</f>
        <v>2</v>
      </c>
      <c r="S343">
        <f>RAW_GAMES!P343</f>
        <v>0</v>
      </c>
      <c r="T343">
        <f t="shared" si="34"/>
        <v>1</v>
      </c>
      <c r="U343">
        <f>_xlfn.XLOOKUP(C343,
  CALC_TEAMS_SEASON!B:B,
  CALC_TEAMS_SEASON!F:F)</f>
        <v>0.11826923076923078</v>
      </c>
      <c r="V343">
        <f>_xlfn.XLOOKUP(D343,
  CALC_TEAMS_SEASON!B:B,
  CALC_TEAMS_SEASON!F:F)</f>
        <v>0.17641178266178262</v>
      </c>
      <c r="W343" t="str">
        <f>RAW_GAMES!R343</f>
        <v>Mokry</v>
      </c>
      <c r="X343" s="7">
        <f>RAW_GAMES!S343</f>
        <v>24</v>
      </c>
      <c r="Y343">
        <f t="shared" si="35"/>
        <v>1</v>
      </c>
      <c r="Z343" t="str">
        <f>RAW_GAMES!V343</f>
        <v>RS</v>
      </c>
    </row>
    <row r="344" spans="1:26" x14ac:dyDescent="0.25">
      <c r="A344" t="str">
        <f>RAW_GAMES!A344</f>
        <v>25/26</v>
      </c>
      <c r="B344" s="3">
        <f>RAW_GAMES!B344</f>
        <v>45984</v>
      </c>
      <c r="C344" s="3" t="str">
        <f>RAW_GAMES!E344</f>
        <v>MHK</v>
      </c>
      <c r="D344" s="3" t="str">
        <f>RAW_GAMES!F344</f>
        <v>LIB</v>
      </c>
      <c r="E344" s="7">
        <f>RAW_GAMES!G344</f>
        <v>0</v>
      </c>
      <c r="F344">
        <f>RAW_GAMES!H344</f>
        <v>2</v>
      </c>
      <c r="G344">
        <f>RAW_GAMES!I344</f>
        <v>3</v>
      </c>
      <c r="H344">
        <f t="shared" si="30"/>
        <v>-1</v>
      </c>
      <c r="I344">
        <f>RAW_GAMES!J344</f>
        <v>27</v>
      </c>
      <c r="J344">
        <f>RAW_GAMES!K344</f>
        <v>35</v>
      </c>
      <c r="K344">
        <f t="shared" si="31"/>
        <v>-8</v>
      </c>
      <c r="L344" t="str">
        <f>IF(RAW_GAMES!L344="","",RAW_GAMES!L344)</f>
        <v/>
      </c>
      <c r="M344" t="str">
        <f>IF(RAW_GAMES!M344="","",RAW_GAMES!M344)</f>
        <v/>
      </c>
      <c r="N344" t="str">
        <f t="shared" si="32"/>
        <v/>
      </c>
      <c r="O344" s="7">
        <f>RAW_GAMES!O344</f>
        <v>1</v>
      </c>
      <c r="P344">
        <f>RAW_GAMES!N344</f>
        <v>1</v>
      </c>
      <c r="Q344">
        <f t="shared" si="33"/>
        <v>1</v>
      </c>
      <c r="R344" s="7">
        <f>RAW_GAMES!Q344</f>
        <v>5</v>
      </c>
      <c r="S344">
        <f>RAW_GAMES!P344</f>
        <v>2</v>
      </c>
      <c r="T344">
        <f t="shared" si="34"/>
        <v>0.6</v>
      </c>
      <c r="U344">
        <f>_xlfn.XLOOKUP(C344,
  CALC_TEAMS_SEASON!B:B,
  CALC_TEAMS_SEASON!F:F)</f>
        <v>0.14184981684981687</v>
      </c>
      <c r="V344">
        <f>_xlfn.XLOOKUP(D344,
  CALC_TEAMS_SEASON!B:B,
  CALC_TEAMS_SEASON!F:F)</f>
        <v>0.14377289377289379</v>
      </c>
      <c r="W344" t="str">
        <f>RAW_GAMES!R344</f>
        <v>Škorvánek</v>
      </c>
      <c r="X344" s="7">
        <f>RAW_GAMES!S344</f>
        <v>32</v>
      </c>
      <c r="Y344">
        <f t="shared" si="35"/>
        <v>0</v>
      </c>
      <c r="Z344" t="str">
        <f>RAW_GAMES!V344</f>
        <v>RS</v>
      </c>
    </row>
    <row r="345" spans="1:26" x14ac:dyDescent="0.25">
      <c r="A345" t="str">
        <f>RAW_GAMES!A345</f>
        <v>25/26</v>
      </c>
      <c r="B345" s="3">
        <f>RAW_GAMES!B345</f>
        <v>45984</v>
      </c>
      <c r="C345" s="3" t="str">
        <f>RAW_GAMES!E345</f>
        <v>OLO</v>
      </c>
      <c r="D345" s="3" t="str">
        <f>RAW_GAMES!F345</f>
        <v>CEB</v>
      </c>
      <c r="E345" s="7">
        <f>RAW_GAMES!G345</f>
        <v>1</v>
      </c>
      <c r="F345">
        <f>RAW_GAMES!H345</f>
        <v>1</v>
      </c>
      <c r="G345">
        <f>RAW_GAMES!I345</f>
        <v>2</v>
      </c>
      <c r="H345">
        <f t="shared" si="30"/>
        <v>-1</v>
      </c>
      <c r="I345">
        <f>RAW_GAMES!J345</f>
        <v>25</v>
      </c>
      <c r="J345">
        <f>RAW_GAMES!K345</f>
        <v>33</v>
      </c>
      <c r="K345">
        <f t="shared" si="31"/>
        <v>-8</v>
      </c>
      <c r="L345" t="str">
        <f>IF(RAW_GAMES!L345="","",RAW_GAMES!L345)</f>
        <v/>
      </c>
      <c r="M345" t="str">
        <f>IF(RAW_GAMES!M345="","",RAW_GAMES!M345)</f>
        <v/>
      </c>
      <c r="N345" t="str">
        <f t="shared" si="32"/>
        <v/>
      </c>
      <c r="O345" s="7">
        <f>RAW_GAMES!O345</f>
        <v>4</v>
      </c>
      <c r="P345">
        <f>RAW_GAMES!N345</f>
        <v>1</v>
      </c>
      <c r="Q345">
        <f t="shared" si="33"/>
        <v>0.25</v>
      </c>
      <c r="R345" s="7">
        <f>RAW_GAMES!Q345</f>
        <v>3</v>
      </c>
      <c r="S345">
        <f>RAW_GAMES!P345</f>
        <v>2</v>
      </c>
      <c r="T345">
        <f t="shared" si="34"/>
        <v>0.33333333333333337</v>
      </c>
      <c r="U345">
        <f>_xlfn.XLOOKUP(C345,
  CALC_TEAMS_SEASON!B:B,
  CALC_TEAMS_SEASON!F:F)</f>
        <v>0.14989316239316242</v>
      </c>
      <c r="V345">
        <f>_xlfn.XLOOKUP(D345,
  CALC_TEAMS_SEASON!B:B,
  CALC_TEAMS_SEASON!F:F)</f>
        <v>0.13021353646353648</v>
      </c>
      <c r="W345" t="str">
        <f>RAW_GAMES!R345</f>
        <v>Machovský</v>
      </c>
      <c r="X345" s="7">
        <f>RAW_GAMES!S345</f>
        <v>31</v>
      </c>
      <c r="Y345">
        <f t="shared" si="35"/>
        <v>0</v>
      </c>
      <c r="Z345" t="str">
        <f>RAW_GAMES!V345</f>
        <v>RS</v>
      </c>
    </row>
    <row r="346" spans="1:26" x14ac:dyDescent="0.25">
      <c r="A346" t="str">
        <f>RAW_GAMES!A346</f>
        <v>25/26</v>
      </c>
      <c r="B346" s="3">
        <f>RAW_GAMES!B346</f>
        <v>45984</v>
      </c>
      <c r="C346" s="3" t="str">
        <f>RAW_GAMES!E346</f>
        <v>PLZ</v>
      </c>
      <c r="D346" s="3" t="str">
        <f>RAW_GAMES!F346</f>
        <v>MBL</v>
      </c>
      <c r="E346" s="7">
        <f>RAW_GAMES!G346</f>
        <v>0</v>
      </c>
      <c r="F346">
        <f>RAW_GAMES!H346</f>
        <v>1</v>
      </c>
      <c r="G346">
        <f>RAW_GAMES!I346</f>
        <v>2</v>
      </c>
      <c r="H346">
        <f t="shared" si="30"/>
        <v>-1</v>
      </c>
      <c r="I346">
        <f>RAW_GAMES!J346</f>
        <v>25</v>
      </c>
      <c r="J346">
        <f>RAW_GAMES!K346</f>
        <v>19</v>
      </c>
      <c r="K346">
        <f t="shared" si="31"/>
        <v>6</v>
      </c>
      <c r="L346" t="str">
        <f>IF(RAW_GAMES!L346="","",RAW_GAMES!L346)</f>
        <v/>
      </c>
      <c r="M346" t="str">
        <f>IF(RAW_GAMES!M346="","",RAW_GAMES!M346)</f>
        <v/>
      </c>
      <c r="N346" t="str">
        <f t="shared" si="32"/>
        <v/>
      </c>
      <c r="O346" s="7">
        <f>RAW_GAMES!O346</f>
        <v>2</v>
      </c>
      <c r="P346">
        <f>RAW_GAMES!N346</f>
        <v>0</v>
      </c>
      <c r="Q346">
        <f t="shared" si="33"/>
        <v>0</v>
      </c>
      <c r="R346" s="7">
        <f>RAW_GAMES!Q346</f>
        <v>3</v>
      </c>
      <c r="S346">
        <f>RAW_GAMES!P346</f>
        <v>1</v>
      </c>
      <c r="T346">
        <f t="shared" si="34"/>
        <v>0.66666666666666674</v>
      </c>
      <c r="U346">
        <f>_xlfn.XLOOKUP(C346,
  CALC_TEAMS_SEASON!B:B,
  CALC_TEAMS_SEASON!F:F)</f>
        <v>0.17641178266178262</v>
      </c>
      <c r="V346">
        <f>_xlfn.XLOOKUP(D346,
  CALC_TEAMS_SEASON!B:B,
  CALC_TEAMS_SEASON!F:F)</f>
        <v>0.11826923076923078</v>
      </c>
      <c r="W346" t="str">
        <f>RAW_GAMES!R346</f>
        <v>Růžička</v>
      </c>
      <c r="X346" s="7">
        <f>RAW_GAMES!S346</f>
        <v>17</v>
      </c>
      <c r="Y346">
        <f t="shared" si="35"/>
        <v>0</v>
      </c>
      <c r="Z346" t="str">
        <f>RAW_GAMES!V346</f>
        <v>RS</v>
      </c>
    </row>
    <row r="347" spans="1:26" x14ac:dyDescent="0.25">
      <c r="A347" t="str">
        <f>RAW_GAMES!A347</f>
        <v>25/26</v>
      </c>
      <c r="B347" s="3">
        <f>RAW_GAMES!B347</f>
        <v>45984</v>
      </c>
      <c r="C347" s="3" t="str">
        <f>RAW_GAMES!E347</f>
        <v>VIT</v>
      </c>
      <c r="D347" s="3" t="str">
        <f>RAW_GAMES!F347</f>
        <v>PCE</v>
      </c>
      <c r="E347" s="7">
        <f>RAW_GAMES!G347</f>
        <v>1</v>
      </c>
      <c r="F347">
        <f>RAW_GAMES!H347</f>
        <v>3</v>
      </c>
      <c r="G347">
        <f>RAW_GAMES!I347</f>
        <v>2</v>
      </c>
      <c r="H347">
        <f t="shared" si="30"/>
        <v>1</v>
      </c>
      <c r="I347">
        <f>RAW_GAMES!J347</f>
        <v>14</v>
      </c>
      <c r="J347">
        <f>RAW_GAMES!K347</f>
        <v>36</v>
      </c>
      <c r="K347">
        <f t="shared" si="31"/>
        <v>-22</v>
      </c>
      <c r="L347">
        <f>IF(RAW_GAMES!L347="","",RAW_GAMES!L347)</f>
        <v>2.15</v>
      </c>
      <c r="M347">
        <f>IF(RAW_GAMES!M347="","",RAW_GAMES!M347)</f>
        <v>3.17</v>
      </c>
      <c r="N347">
        <f t="shared" si="32"/>
        <v>-1.02</v>
      </c>
      <c r="O347" s="7">
        <f>RAW_GAMES!O347</f>
        <v>6</v>
      </c>
      <c r="P347">
        <f>RAW_GAMES!N347</f>
        <v>1</v>
      </c>
      <c r="Q347">
        <f t="shared" si="33"/>
        <v>0.16666666666666666</v>
      </c>
      <c r="R347" s="7">
        <f>RAW_GAMES!Q347</f>
        <v>6</v>
      </c>
      <c r="S347">
        <f>RAW_GAMES!P347</f>
        <v>1</v>
      </c>
      <c r="T347">
        <f t="shared" si="34"/>
        <v>0.83333333333333337</v>
      </c>
      <c r="U347">
        <f>_xlfn.XLOOKUP(C347,
  CALC_TEAMS_SEASON!B:B,
  CALC_TEAMS_SEASON!F:F)</f>
        <v>0.16984890109890113</v>
      </c>
      <c r="V347">
        <f>_xlfn.XLOOKUP(D347,
  CALC_TEAMS_SEASON!B:B,
  CALC_TEAMS_SEASON!F:F)</f>
        <v>0.20297619047619053</v>
      </c>
      <c r="W347" t="str">
        <f>RAW_GAMES!R347</f>
        <v>Hrachovina</v>
      </c>
      <c r="X347" s="7">
        <f>RAW_GAMES!S347</f>
        <v>34</v>
      </c>
      <c r="Y347">
        <f t="shared" si="35"/>
        <v>1</v>
      </c>
      <c r="Z347" t="str">
        <f>RAW_GAMES!V347</f>
        <v>RS</v>
      </c>
    </row>
    <row r="348" spans="1:26" x14ac:dyDescent="0.25">
      <c r="A348" t="str">
        <f>RAW_GAMES!A348</f>
        <v>25/26</v>
      </c>
      <c r="B348" s="3">
        <f>RAW_GAMES!B348</f>
        <v>45986</v>
      </c>
      <c r="C348" s="3" t="str">
        <f>RAW_GAMES!E348</f>
        <v>PCE</v>
      </c>
      <c r="D348" s="3" t="str">
        <f>RAW_GAMES!F348</f>
        <v>SPA</v>
      </c>
      <c r="E348" s="7">
        <f>RAW_GAMES!G348</f>
        <v>1</v>
      </c>
      <c r="F348">
        <f>RAW_GAMES!H348</f>
        <v>1</v>
      </c>
      <c r="G348">
        <f>RAW_GAMES!I348</f>
        <v>2</v>
      </c>
      <c r="H348">
        <f t="shared" si="30"/>
        <v>-1</v>
      </c>
      <c r="I348">
        <f>RAW_GAMES!J348</f>
        <v>37</v>
      </c>
      <c r="J348">
        <f>RAW_GAMES!K348</f>
        <v>19</v>
      </c>
      <c r="K348">
        <f t="shared" si="31"/>
        <v>18</v>
      </c>
      <c r="L348">
        <f>IF(RAW_GAMES!L348="","",RAW_GAMES!L348)</f>
        <v>3.27</v>
      </c>
      <c r="M348">
        <f>IF(RAW_GAMES!M348="","",RAW_GAMES!M348)</f>
        <v>1.73</v>
      </c>
      <c r="N348">
        <f t="shared" si="32"/>
        <v>1.54</v>
      </c>
      <c r="O348" s="7">
        <f>RAW_GAMES!O348</f>
        <v>5</v>
      </c>
      <c r="P348">
        <f>RAW_GAMES!N348</f>
        <v>0</v>
      </c>
      <c r="Q348">
        <f t="shared" si="33"/>
        <v>0</v>
      </c>
      <c r="R348" s="7">
        <f>RAW_GAMES!Q348</f>
        <v>5</v>
      </c>
      <c r="S348">
        <f>RAW_GAMES!P348</f>
        <v>0</v>
      </c>
      <c r="T348">
        <f t="shared" si="34"/>
        <v>1</v>
      </c>
      <c r="U348">
        <f>_xlfn.XLOOKUP(C348,
  CALC_TEAMS_SEASON!B:B,
  CALC_TEAMS_SEASON!F:F)</f>
        <v>0.20297619047619053</v>
      </c>
      <c r="V348">
        <f>_xlfn.XLOOKUP(D348,
  CALC_TEAMS_SEASON!B:B,
  CALC_TEAMS_SEASON!F:F)</f>
        <v>0.22060439560439565</v>
      </c>
      <c r="W348" t="str">
        <f>RAW_GAMES!R348</f>
        <v>Will</v>
      </c>
      <c r="X348" s="7">
        <f>RAW_GAMES!S348</f>
        <v>17</v>
      </c>
      <c r="Y348">
        <f t="shared" si="35"/>
        <v>0</v>
      </c>
      <c r="Z348" t="str">
        <f>RAW_GAMES!V348</f>
        <v>RS</v>
      </c>
    </row>
    <row r="349" spans="1:26" x14ac:dyDescent="0.25">
      <c r="A349" t="str">
        <f>RAW_GAMES!A349</f>
        <v>25/26</v>
      </c>
      <c r="B349" s="3">
        <f>RAW_GAMES!B349</f>
        <v>45986</v>
      </c>
      <c r="C349" s="3" t="str">
        <f>RAW_GAMES!E349</f>
        <v>TRI</v>
      </c>
      <c r="D349" s="3" t="str">
        <f>RAW_GAMES!F349</f>
        <v>KVA</v>
      </c>
      <c r="E349" s="7">
        <f>RAW_GAMES!G349</f>
        <v>0</v>
      </c>
      <c r="F349">
        <f>RAW_GAMES!H349</f>
        <v>1</v>
      </c>
      <c r="G349">
        <f>RAW_GAMES!I349</f>
        <v>2</v>
      </c>
      <c r="H349">
        <f t="shared" si="30"/>
        <v>-1</v>
      </c>
      <c r="I349">
        <f>RAW_GAMES!J349</f>
        <v>26</v>
      </c>
      <c r="J349">
        <f>RAW_GAMES!K349</f>
        <v>24</v>
      </c>
      <c r="K349">
        <f t="shared" si="31"/>
        <v>2</v>
      </c>
      <c r="L349">
        <f>IF(RAW_GAMES!L349="","",RAW_GAMES!L349)</f>
        <v>2.02</v>
      </c>
      <c r="M349">
        <f>IF(RAW_GAMES!M349="","",RAW_GAMES!M349)</f>
        <v>2.29</v>
      </c>
      <c r="N349">
        <f t="shared" si="32"/>
        <v>-0.27</v>
      </c>
      <c r="O349" s="7">
        <f>RAW_GAMES!O349</f>
        <v>5</v>
      </c>
      <c r="P349">
        <f>RAW_GAMES!N349</f>
        <v>0</v>
      </c>
      <c r="Q349">
        <f t="shared" si="33"/>
        <v>0</v>
      </c>
      <c r="R349" s="7">
        <f>RAW_GAMES!Q349</f>
        <v>4</v>
      </c>
      <c r="S349">
        <f>RAW_GAMES!P349</f>
        <v>0</v>
      </c>
      <c r="T349">
        <f t="shared" si="34"/>
        <v>1</v>
      </c>
      <c r="U349">
        <f>_xlfn.XLOOKUP(C349,
  CALC_TEAMS_SEASON!B:B,
  CALC_TEAMS_SEASON!F:F)</f>
        <v>0.17437423687423692</v>
      </c>
      <c r="V349">
        <f>_xlfn.XLOOKUP(D349,
  CALC_TEAMS_SEASON!B:B,
  CALC_TEAMS_SEASON!F:F)</f>
        <v>0.17387057387057389</v>
      </c>
      <c r="W349" t="str">
        <f>RAW_GAMES!R349</f>
        <v>Mazanec</v>
      </c>
      <c r="X349" s="7">
        <f>RAW_GAMES!S349</f>
        <v>22</v>
      </c>
      <c r="Y349">
        <f t="shared" si="35"/>
        <v>0</v>
      </c>
      <c r="Z349" t="str">
        <f>RAW_GAMES!V349</f>
        <v>RS</v>
      </c>
    </row>
    <row r="350" spans="1:26" x14ac:dyDescent="0.25">
      <c r="A350" t="str">
        <f>RAW_GAMES!A350</f>
        <v>25/26</v>
      </c>
      <c r="B350" s="3">
        <f>RAW_GAMES!B350</f>
        <v>45986</v>
      </c>
      <c r="C350" s="3" t="str">
        <f>RAW_GAMES!E350</f>
        <v>SPA</v>
      </c>
      <c r="D350" s="3" t="str">
        <f>RAW_GAMES!F350</f>
        <v>PCE</v>
      </c>
      <c r="E350" s="7">
        <f>RAW_GAMES!G350</f>
        <v>0</v>
      </c>
      <c r="F350">
        <f>RAW_GAMES!H350</f>
        <v>2</v>
      </c>
      <c r="G350">
        <f>RAW_GAMES!I350</f>
        <v>1</v>
      </c>
      <c r="H350">
        <f t="shared" si="30"/>
        <v>1</v>
      </c>
      <c r="I350">
        <f>RAW_GAMES!J350</f>
        <v>37</v>
      </c>
      <c r="J350">
        <f>RAW_GAMES!K350</f>
        <v>19</v>
      </c>
      <c r="K350">
        <f t="shared" si="31"/>
        <v>18</v>
      </c>
      <c r="L350">
        <f>IF(RAW_GAMES!L350="","",RAW_GAMES!L350)</f>
        <v>1.73</v>
      </c>
      <c r="M350">
        <f>IF(RAW_GAMES!M350="","",RAW_GAMES!M350)</f>
        <v>3.27</v>
      </c>
      <c r="N350">
        <f t="shared" si="32"/>
        <v>-1.54</v>
      </c>
      <c r="O350" s="7">
        <f>RAW_GAMES!O350</f>
        <v>5</v>
      </c>
      <c r="P350">
        <f>RAW_GAMES!N350</f>
        <v>0</v>
      </c>
      <c r="Q350">
        <f t="shared" si="33"/>
        <v>0</v>
      </c>
      <c r="R350" s="7">
        <f>RAW_GAMES!Q350</f>
        <v>5</v>
      </c>
      <c r="S350">
        <f>RAW_GAMES!P350</f>
        <v>0</v>
      </c>
      <c r="T350">
        <f t="shared" si="34"/>
        <v>1</v>
      </c>
      <c r="U350">
        <f>_xlfn.XLOOKUP(C350,
  CALC_TEAMS_SEASON!B:B,
  CALC_TEAMS_SEASON!F:F)</f>
        <v>0.22060439560439565</v>
      </c>
      <c r="V350">
        <f>_xlfn.XLOOKUP(D350,
  CALC_TEAMS_SEASON!B:B,
  CALC_TEAMS_SEASON!F:F)</f>
        <v>0.20297619047619053</v>
      </c>
      <c r="W350" t="str">
        <f>RAW_GAMES!R350</f>
        <v>Kořenář</v>
      </c>
      <c r="X350" s="7">
        <f>RAW_GAMES!S350</f>
        <v>36</v>
      </c>
      <c r="Y350">
        <f t="shared" si="35"/>
        <v>1</v>
      </c>
      <c r="Z350" t="str">
        <f>RAW_GAMES!V350</f>
        <v>RS</v>
      </c>
    </row>
    <row r="351" spans="1:26" x14ac:dyDescent="0.25">
      <c r="A351" t="str">
        <f>RAW_GAMES!A351</f>
        <v>25/26</v>
      </c>
      <c r="B351" s="3">
        <f>RAW_GAMES!B351</f>
        <v>45986</v>
      </c>
      <c r="C351" s="3" t="str">
        <f>RAW_GAMES!E351</f>
        <v>KOM</v>
      </c>
      <c r="D351" s="3" t="str">
        <f>RAW_GAMES!F351</f>
        <v>OLO</v>
      </c>
      <c r="E351" s="7">
        <f>RAW_GAMES!G351</f>
        <v>1</v>
      </c>
      <c r="F351">
        <f>RAW_GAMES!H351</f>
        <v>1</v>
      </c>
      <c r="G351">
        <f>RAW_GAMES!I351</f>
        <v>2</v>
      </c>
      <c r="H351">
        <f t="shared" si="30"/>
        <v>-1</v>
      </c>
      <c r="I351">
        <f>RAW_GAMES!J351</f>
        <v>34</v>
      </c>
      <c r="J351">
        <f>RAW_GAMES!K351</f>
        <v>13</v>
      </c>
      <c r="K351">
        <f t="shared" si="31"/>
        <v>21</v>
      </c>
      <c r="L351">
        <f>IF(RAW_GAMES!L351="","",RAW_GAMES!L351)</f>
        <v>3.9</v>
      </c>
      <c r="M351">
        <f>IF(RAW_GAMES!M351="","",RAW_GAMES!M351)</f>
        <v>0.62</v>
      </c>
      <c r="N351">
        <f t="shared" si="32"/>
        <v>3.28</v>
      </c>
      <c r="O351" s="7">
        <f>RAW_GAMES!O351</f>
        <v>7</v>
      </c>
      <c r="P351">
        <f>RAW_GAMES!N351</f>
        <v>0</v>
      </c>
      <c r="Q351">
        <f t="shared" si="33"/>
        <v>0</v>
      </c>
      <c r="R351" s="7">
        <f>RAW_GAMES!Q351</f>
        <v>4</v>
      </c>
      <c r="S351">
        <f>RAW_GAMES!P351</f>
        <v>1</v>
      </c>
      <c r="T351">
        <f t="shared" si="34"/>
        <v>0.75</v>
      </c>
      <c r="U351">
        <f>_xlfn.XLOOKUP(C351,
  CALC_TEAMS_SEASON!B:B,
  CALC_TEAMS_SEASON!F:F)</f>
        <v>0.14358974358974358</v>
      </c>
      <c r="V351">
        <f>_xlfn.XLOOKUP(D351,
  CALC_TEAMS_SEASON!B:B,
  CALC_TEAMS_SEASON!F:F)</f>
        <v>0.14989316239316242</v>
      </c>
      <c r="W351" t="str">
        <f>RAW_GAMES!R351</f>
        <v>Kavan</v>
      </c>
      <c r="X351" s="7">
        <f>RAW_GAMES!S351</f>
        <v>11</v>
      </c>
      <c r="Y351">
        <f t="shared" si="35"/>
        <v>0</v>
      </c>
      <c r="Z351" t="str">
        <f>RAW_GAMES!V351</f>
        <v>RS</v>
      </c>
    </row>
    <row r="352" spans="1:26" x14ac:dyDescent="0.25">
      <c r="A352" t="str">
        <f>RAW_GAMES!A352</f>
        <v>25/26</v>
      </c>
      <c r="B352" s="3">
        <f>RAW_GAMES!B352</f>
        <v>45986</v>
      </c>
      <c r="C352" s="3" t="str">
        <f>RAW_GAMES!E352</f>
        <v>CEB</v>
      </c>
      <c r="D352" s="3" t="str">
        <f>RAW_GAMES!F352</f>
        <v>LIB</v>
      </c>
      <c r="E352" s="7">
        <f>RAW_GAMES!G352</f>
        <v>0</v>
      </c>
      <c r="F352">
        <f>RAW_GAMES!H352</f>
        <v>2</v>
      </c>
      <c r="G352">
        <f>RAW_GAMES!I352</f>
        <v>5</v>
      </c>
      <c r="H352">
        <f t="shared" si="30"/>
        <v>-3</v>
      </c>
      <c r="I352">
        <f>RAW_GAMES!J352</f>
        <v>30</v>
      </c>
      <c r="J352">
        <f>RAW_GAMES!K352</f>
        <v>34</v>
      </c>
      <c r="K352">
        <f t="shared" si="31"/>
        <v>-4</v>
      </c>
      <c r="L352" t="str">
        <f>IF(RAW_GAMES!L352="","",RAW_GAMES!L352)</f>
        <v/>
      </c>
      <c r="M352" t="str">
        <f>IF(RAW_GAMES!M352="","",RAW_GAMES!M352)</f>
        <v/>
      </c>
      <c r="N352" t="str">
        <f t="shared" si="32"/>
        <v/>
      </c>
      <c r="O352" s="7">
        <f>RAW_GAMES!O352</f>
        <v>2</v>
      </c>
      <c r="P352">
        <f>RAW_GAMES!N352</f>
        <v>0</v>
      </c>
      <c r="Q352">
        <f t="shared" si="33"/>
        <v>0</v>
      </c>
      <c r="R352" s="7">
        <f>RAW_GAMES!Q352</f>
        <v>3</v>
      </c>
      <c r="S352">
        <f>RAW_GAMES!P352</f>
        <v>2</v>
      </c>
      <c r="T352">
        <f t="shared" si="34"/>
        <v>0.33333333333333337</v>
      </c>
      <c r="U352">
        <f>_xlfn.XLOOKUP(C352,
  CALC_TEAMS_SEASON!B:B,
  CALC_TEAMS_SEASON!F:F)</f>
        <v>0.13021353646353648</v>
      </c>
      <c r="V352">
        <f>_xlfn.XLOOKUP(D352,
  CALC_TEAMS_SEASON!B:B,
  CALC_TEAMS_SEASON!F:F)</f>
        <v>0.14377289377289379</v>
      </c>
      <c r="W352" t="str">
        <f>RAW_GAMES!R352</f>
        <v>Westerholm</v>
      </c>
      <c r="X352" s="7">
        <f>RAW_GAMES!S352</f>
        <v>29</v>
      </c>
      <c r="Y352">
        <f t="shared" si="35"/>
        <v>0</v>
      </c>
      <c r="Z352" t="str">
        <f>RAW_GAMES!V352</f>
        <v>RS</v>
      </c>
    </row>
    <row r="353" spans="1:26" x14ac:dyDescent="0.25">
      <c r="A353" t="str">
        <f>RAW_GAMES!A353</f>
        <v>25/26</v>
      </c>
      <c r="B353" s="3">
        <f>RAW_GAMES!B353</f>
        <v>45986</v>
      </c>
      <c r="C353" s="3" t="str">
        <f>RAW_GAMES!E353</f>
        <v>KLA</v>
      </c>
      <c r="D353" s="3" t="str">
        <f>RAW_GAMES!F353</f>
        <v>LIT</v>
      </c>
      <c r="E353" s="7">
        <f>RAW_GAMES!G353</f>
        <v>1</v>
      </c>
      <c r="F353">
        <f>RAW_GAMES!H353</f>
        <v>2</v>
      </c>
      <c r="G353">
        <f>RAW_GAMES!I353</f>
        <v>1</v>
      </c>
      <c r="H353">
        <f t="shared" si="30"/>
        <v>1</v>
      </c>
      <c r="I353">
        <f>RAW_GAMES!J353</f>
        <v>32</v>
      </c>
      <c r="J353">
        <f>RAW_GAMES!K353</f>
        <v>38</v>
      </c>
      <c r="K353">
        <f t="shared" si="31"/>
        <v>-6</v>
      </c>
      <c r="L353" t="str">
        <f>IF(RAW_GAMES!L353="","",RAW_GAMES!L353)</f>
        <v/>
      </c>
      <c r="M353" t="str">
        <f>IF(RAW_GAMES!M353="","",RAW_GAMES!M353)</f>
        <v/>
      </c>
      <c r="N353" t="str">
        <f t="shared" si="32"/>
        <v/>
      </c>
      <c r="O353" s="7">
        <f>RAW_GAMES!O353</f>
        <v>3</v>
      </c>
      <c r="P353">
        <f>RAW_GAMES!N353</f>
        <v>0</v>
      </c>
      <c r="Q353">
        <f t="shared" si="33"/>
        <v>0</v>
      </c>
      <c r="R353" s="7">
        <f>RAW_GAMES!Q353</f>
        <v>2</v>
      </c>
      <c r="S353">
        <f>RAW_GAMES!P353</f>
        <v>0</v>
      </c>
      <c r="T353">
        <f t="shared" si="34"/>
        <v>1</v>
      </c>
      <c r="U353">
        <f>_xlfn.XLOOKUP(C353,
  CALC_TEAMS_SEASON!B:B,
  CALC_TEAMS_SEASON!F:F)</f>
        <v>0.13120421245421243</v>
      </c>
      <c r="V353">
        <f>_xlfn.XLOOKUP(D353,
  CALC_TEAMS_SEASON!B:B,
  CALC_TEAMS_SEASON!F:F)</f>
        <v>0.10089285714285713</v>
      </c>
      <c r="W353" t="str">
        <f>RAW_GAMES!R353</f>
        <v>Brízgala</v>
      </c>
      <c r="X353" s="7">
        <f>RAW_GAMES!S353</f>
        <v>37</v>
      </c>
      <c r="Y353">
        <f t="shared" si="35"/>
        <v>1</v>
      </c>
      <c r="Z353" t="str">
        <f>RAW_GAMES!V353</f>
        <v>RS</v>
      </c>
    </row>
    <row r="354" spans="1:26" x14ac:dyDescent="0.25">
      <c r="A354" t="str">
        <f>RAW_GAMES!A354</f>
        <v>25/26</v>
      </c>
      <c r="B354" s="3">
        <f>RAW_GAMES!B354</f>
        <v>45986</v>
      </c>
      <c r="C354" s="3" t="str">
        <f>RAW_GAMES!E354</f>
        <v>KVA</v>
      </c>
      <c r="D354" s="3" t="str">
        <f>RAW_GAMES!F354</f>
        <v>TRI</v>
      </c>
      <c r="E354" s="7">
        <f>RAW_GAMES!G354</f>
        <v>1</v>
      </c>
      <c r="F354">
        <f>RAW_GAMES!H354</f>
        <v>2</v>
      </c>
      <c r="G354">
        <f>RAW_GAMES!I354</f>
        <v>1</v>
      </c>
      <c r="H354">
        <f t="shared" si="30"/>
        <v>1</v>
      </c>
      <c r="I354">
        <f>RAW_GAMES!J354</f>
        <v>24</v>
      </c>
      <c r="J354">
        <f>RAW_GAMES!K354</f>
        <v>26</v>
      </c>
      <c r="K354">
        <f t="shared" si="31"/>
        <v>-2</v>
      </c>
      <c r="L354">
        <f>IF(RAW_GAMES!L354="","",RAW_GAMES!L354)</f>
        <v>2.29</v>
      </c>
      <c r="M354">
        <f>IF(RAW_GAMES!M354="","",RAW_GAMES!M354)</f>
        <v>2.02</v>
      </c>
      <c r="N354">
        <f t="shared" si="32"/>
        <v>0.27</v>
      </c>
      <c r="O354" s="7">
        <f>RAW_GAMES!O354</f>
        <v>4</v>
      </c>
      <c r="P354">
        <f>RAW_GAMES!N354</f>
        <v>0</v>
      </c>
      <c r="Q354">
        <f t="shared" si="33"/>
        <v>0</v>
      </c>
      <c r="R354" s="7">
        <f>RAW_GAMES!Q354</f>
        <v>5</v>
      </c>
      <c r="S354">
        <f>RAW_GAMES!P354</f>
        <v>0</v>
      </c>
      <c r="T354">
        <f t="shared" si="34"/>
        <v>1</v>
      </c>
      <c r="U354">
        <f>_xlfn.XLOOKUP(C354,
  CALC_TEAMS_SEASON!B:B,
  CALC_TEAMS_SEASON!F:F)</f>
        <v>0.17387057387057389</v>
      </c>
      <c r="V354">
        <f>_xlfn.XLOOKUP(D354,
  CALC_TEAMS_SEASON!B:B,
  CALC_TEAMS_SEASON!F:F)</f>
        <v>0.17437423687423692</v>
      </c>
      <c r="W354" t="str">
        <f>RAW_GAMES!R354</f>
        <v>Frodl</v>
      </c>
      <c r="X354" s="7">
        <f>RAW_GAMES!S354</f>
        <v>25</v>
      </c>
      <c r="Y354">
        <f t="shared" si="35"/>
        <v>1</v>
      </c>
      <c r="Z354" t="str">
        <f>RAW_GAMES!V354</f>
        <v>RS</v>
      </c>
    </row>
    <row r="355" spans="1:26" x14ac:dyDescent="0.25">
      <c r="A355" t="str">
        <f>RAW_GAMES!A355</f>
        <v>25/26</v>
      </c>
      <c r="B355" s="3">
        <f>RAW_GAMES!B355</f>
        <v>45986</v>
      </c>
      <c r="C355" s="3" t="str">
        <f>RAW_GAMES!E355</f>
        <v>LIB</v>
      </c>
      <c r="D355" s="3" t="str">
        <f>RAW_GAMES!F355</f>
        <v>CEB</v>
      </c>
      <c r="E355" s="7">
        <f>RAW_GAMES!G355</f>
        <v>1</v>
      </c>
      <c r="F355">
        <f>RAW_GAMES!H355</f>
        <v>5</v>
      </c>
      <c r="G355">
        <f>RAW_GAMES!I355</f>
        <v>2</v>
      </c>
      <c r="H355">
        <f t="shared" si="30"/>
        <v>3</v>
      </c>
      <c r="I355">
        <f>RAW_GAMES!J355</f>
        <v>34</v>
      </c>
      <c r="J355">
        <f>RAW_GAMES!K355</f>
        <v>30</v>
      </c>
      <c r="K355">
        <f t="shared" si="31"/>
        <v>4</v>
      </c>
      <c r="L355" t="str">
        <f>IF(RAW_GAMES!L355="","",RAW_GAMES!L355)</f>
        <v/>
      </c>
      <c r="M355" t="str">
        <f>IF(RAW_GAMES!M355="","",RAW_GAMES!M355)</f>
        <v/>
      </c>
      <c r="N355" t="str">
        <f t="shared" si="32"/>
        <v/>
      </c>
      <c r="O355" s="7">
        <f>RAW_GAMES!O355</f>
        <v>3</v>
      </c>
      <c r="P355">
        <f>RAW_GAMES!N355</f>
        <v>2</v>
      </c>
      <c r="Q355">
        <f t="shared" si="33"/>
        <v>0.66666666666666663</v>
      </c>
      <c r="R355" s="7">
        <f>RAW_GAMES!Q355</f>
        <v>2</v>
      </c>
      <c r="S355">
        <f>RAW_GAMES!P355</f>
        <v>0</v>
      </c>
      <c r="T355">
        <f t="shared" si="34"/>
        <v>1</v>
      </c>
      <c r="U355">
        <f>_xlfn.XLOOKUP(C355,
  CALC_TEAMS_SEASON!B:B,
  CALC_TEAMS_SEASON!F:F)</f>
        <v>0.14377289377289379</v>
      </c>
      <c r="V355">
        <f>_xlfn.XLOOKUP(D355,
  CALC_TEAMS_SEASON!B:B,
  CALC_TEAMS_SEASON!F:F)</f>
        <v>0.13021353646353648</v>
      </c>
      <c r="W355" t="str">
        <f>RAW_GAMES!R355</f>
        <v>Kváča</v>
      </c>
      <c r="X355" s="7">
        <f>RAW_GAMES!S355</f>
        <v>28</v>
      </c>
      <c r="Y355">
        <f t="shared" si="35"/>
        <v>1</v>
      </c>
      <c r="Z355" t="str">
        <f>RAW_GAMES!V355</f>
        <v>RS</v>
      </c>
    </row>
    <row r="356" spans="1:26" x14ac:dyDescent="0.25">
      <c r="A356" t="str">
        <f>RAW_GAMES!A356</f>
        <v>25/26</v>
      </c>
      <c r="B356" s="3">
        <f>RAW_GAMES!B356</f>
        <v>45986</v>
      </c>
      <c r="C356" s="3" t="str">
        <f>RAW_GAMES!E356</f>
        <v>LIT</v>
      </c>
      <c r="D356" s="3" t="str">
        <f>RAW_GAMES!F356</f>
        <v>KLA</v>
      </c>
      <c r="E356" s="7">
        <f>RAW_GAMES!G356</f>
        <v>0</v>
      </c>
      <c r="F356">
        <f>RAW_GAMES!H356</f>
        <v>1</v>
      </c>
      <c r="G356">
        <f>RAW_GAMES!I356</f>
        <v>2</v>
      </c>
      <c r="H356">
        <f t="shared" si="30"/>
        <v>-1</v>
      </c>
      <c r="I356">
        <f>RAW_GAMES!J356</f>
        <v>38</v>
      </c>
      <c r="J356">
        <f>RAW_GAMES!K356</f>
        <v>32</v>
      </c>
      <c r="K356">
        <f t="shared" si="31"/>
        <v>6</v>
      </c>
      <c r="L356" t="str">
        <f>IF(RAW_GAMES!L356="","",RAW_GAMES!L356)</f>
        <v/>
      </c>
      <c r="M356" t="str">
        <f>IF(RAW_GAMES!M356="","",RAW_GAMES!M356)</f>
        <v/>
      </c>
      <c r="N356" t="str">
        <f t="shared" si="32"/>
        <v/>
      </c>
      <c r="O356" s="7">
        <f>RAW_GAMES!O356</f>
        <v>2</v>
      </c>
      <c r="P356">
        <f>RAW_GAMES!N356</f>
        <v>0</v>
      </c>
      <c r="Q356">
        <f t="shared" si="33"/>
        <v>0</v>
      </c>
      <c r="R356" s="7">
        <f>RAW_GAMES!Q356</f>
        <v>3</v>
      </c>
      <c r="S356">
        <f>RAW_GAMES!P356</f>
        <v>0</v>
      </c>
      <c r="T356">
        <f t="shared" si="34"/>
        <v>1</v>
      </c>
      <c r="U356">
        <f>_xlfn.XLOOKUP(C356,
  CALC_TEAMS_SEASON!B:B,
  CALC_TEAMS_SEASON!F:F)</f>
        <v>0.10089285714285713</v>
      </c>
      <c r="V356">
        <f>_xlfn.XLOOKUP(D356,
  CALC_TEAMS_SEASON!B:B,
  CALC_TEAMS_SEASON!F:F)</f>
        <v>0.13120421245421243</v>
      </c>
      <c r="W356" t="str">
        <f>RAW_GAMES!R356</f>
        <v>Tomek</v>
      </c>
      <c r="X356" s="7">
        <f>RAW_GAMES!S356</f>
        <v>32</v>
      </c>
      <c r="Y356">
        <f t="shared" si="35"/>
        <v>0</v>
      </c>
      <c r="Z356" t="str">
        <f>RAW_GAMES!V356</f>
        <v>RS</v>
      </c>
    </row>
    <row r="357" spans="1:26" x14ac:dyDescent="0.25">
      <c r="A357" t="str">
        <f>RAW_GAMES!A357</f>
        <v>25/26</v>
      </c>
      <c r="B357" s="3">
        <f>RAW_GAMES!B357</f>
        <v>45986</v>
      </c>
      <c r="C357" s="3" t="str">
        <f>RAW_GAMES!E357</f>
        <v>MBL</v>
      </c>
      <c r="D357" s="3" t="str">
        <f>RAW_GAMES!F357</f>
        <v>MHK</v>
      </c>
      <c r="E357" s="7">
        <f>RAW_GAMES!G357</f>
        <v>0</v>
      </c>
      <c r="F357">
        <f>RAW_GAMES!H357</f>
        <v>1</v>
      </c>
      <c r="G357">
        <f>RAW_GAMES!I357</f>
        <v>0</v>
      </c>
      <c r="H357">
        <f t="shared" si="30"/>
        <v>1</v>
      </c>
      <c r="I357">
        <f>RAW_GAMES!J357</f>
        <v>13</v>
      </c>
      <c r="J357">
        <f>RAW_GAMES!K357</f>
        <v>23</v>
      </c>
      <c r="K357">
        <f t="shared" si="31"/>
        <v>-10</v>
      </c>
      <c r="L357" t="str">
        <f>IF(RAW_GAMES!L357="","",RAW_GAMES!L357)</f>
        <v/>
      </c>
      <c r="M357" t="str">
        <f>IF(RAW_GAMES!M357="","",RAW_GAMES!M357)</f>
        <v/>
      </c>
      <c r="N357" t="str">
        <f t="shared" si="32"/>
        <v/>
      </c>
      <c r="O357" s="7">
        <f>RAW_GAMES!O357</f>
        <v>6</v>
      </c>
      <c r="P357">
        <f>RAW_GAMES!N357</f>
        <v>0</v>
      </c>
      <c r="Q357">
        <f t="shared" si="33"/>
        <v>0</v>
      </c>
      <c r="R357" s="7">
        <f>RAW_GAMES!Q357</f>
        <v>5</v>
      </c>
      <c r="S357">
        <f>RAW_GAMES!P357</f>
        <v>0</v>
      </c>
      <c r="T357">
        <f t="shared" si="34"/>
        <v>1</v>
      </c>
      <c r="U357">
        <f>_xlfn.XLOOKUP(C357,
  CALC_TEAMS_SEASON!B:B,
  CALC_TEAMS_SEASON!F:F)</f>
        <v>0.11826923076923078</v>
      </c>
      <c r="V357">
        <f>_xlfn.XLOOKUP(D357,
  CALC_TEAMS_SEASON!B:B,
  CALC_TEAMS_SEASON!F:F)</f>
        <v>0.14184981684981687</v>
      </c>
      <c r="W357" t="str">
        <f>RAW_GAMES!R357</f>
        <v>Furch</v>
      </c>
      <c r="X357" s="7">
        <f>RAW_GAMES!S357</f>
        <v>23</v>
      </c>
      <c r="Y357">
        <f t="shared" si="35"/>
        <v>1</v>
      </c>
      <c r="Z357" t="str">
        <f>RAW_GAMES!V357</f>
        <v>RS</v>
      </c>
    </row>
    <row r="358" spans="1:26" x14ac:dyDescent="0.25">
      <c r="A358" t="str">
        <f>RAW_GAMES!A358</f>
        <v>25/26</v>
      </c>
      <c r="B358" s="3">
        <f>RAW_GAMES!B358</f>
        <v>45986</v>
      </c>
      <c r="C358" s="3" t="str">
        <f>RAW_GAMES!E358</f>
        <v>MHK</v>
      </c>
      <c r="D358" s="3" t="str">
        <f>RAW_GAMES!F358</f>
        <v>MBL</v>
      </c>
      <c r="E358" s="7">
        <f>RAW_GAMES!G358</f>
        <v>1</v>
      </c>
      <c r="F358">
        <f>RAW_GAMES!H358</f>
        <v>0</v>
      </c>
      <c r="G358">
        <f>RAW_GAMES!I358</f>
        <v>1</v>
      </c>
      <c r="H358">
        <f t="shared" si="30"/>
        <v>-1</v>
      </c>
      <c r="I358">
        <f>RAW_GAMES!J358</f>
        <v>23</v>
      </c>
      <c r="J358">
        <f>RAW_GAMES!K358</f>
        <v>13</v>
      </c>
      <c r="K358">
        <f t="shared" si="31"/>
        <v>10</v>
      </c>
      <c r="L358" t="str">
        <f>IF(RAW_GAMES!L358="","",RAW_GAMES!L358)</f>
        <v/>
      </c>
      <c r="M358" t="str">
        <f>IF(RAW_GAMES!M358="","",RAW_GAMES!M358)</f>
        <v/>
      </c>
      <c r="N358" t="str">
        <f t="shared" si="32"/>
        <v/>
      </c>
      <c r="O358" s="7">
        <f>RAW_GAMES!O358</f>
        <v>5</v>
      </c>
      <c r="P358">
        <f>RAW_GAMES!N358</f>
        <v>0</v>
      </c>
      <c r="Q358">
        <f t="shared" si="33"/>
        <v>0</v>
      </c>
      <c r="R358" s="7">
        <f>RAW_GAMES!Q358</f>
        <v>6</v>
      </c>
      <c r="S358">
        <f>RAW_GAMES!P358</f>
        <v>0</v>
      </c>
      <c r="T358">
        <f t="shared" si="34"/>
        <v>1</v>
      </c>
      <c r="U358">
        <f>_xlfn.XLOOKUP(C358,
  CALC_TEAMS_SEASON!B:B,
  CALC_TEAMS_SEASON!F:F)</f>
        <v>0.14184981684981687</v>
      </c>
      <c r="V358">
        <f>_xlfn.XLOOKUP(D358,
  CALC_TEAMS_SEASON!B:B,
  CALC_TEAMS_SEASON!F:F)</f>
        <v>0.11826923076923078</v>
      </c>
      <c r="W358" t="str">
        <f>RAW_GAMES!R358</f>
        <v>Škorvánek</v>
      </c>
      <c r="X358" s="7">
        <f>RAW_GAMES!S358</f>
        <v>13</v>
      </c>
      <c r="Y358">
        <f t="shared" si="35"/>
        <v>0</v>
      </c>
      <c r="Z358" t="str">
        <f>RAW_GAMES!V358</f>
        <v>RS</v>
      </c>
    </row>
    <row r="359" spans="1:26" x14ac:dyDescent="0.25">
      <c r="A359" t="str">
        <f>RAW_GAMES!A359</f>
        <v>25/26</v>
      </c>
      <c r="B359" s="3">
        <f>RAW_GAMES!B359</f>
        <v>45986</v>
      </c>
      <c r="C359" s="3" t="str">
        <f>RAW_GAMES!E359</f>
        <v>OLO</v>
      </c>
      <c r="D359" s="3" t="str">
        <f>RAW_GAMES!F359</f>
        <v>KOM</v>
      </c>
      <c r="E359" s="7">
        <f>RAW_GAMES!G359</f>
        <v>0</v>
      </c>
      <c r="F359">
        <f>RAW_GAMES!H359</f>
        <v>2</v>
      </c>
      <c r="G359">
        <f>RAW_GAMES!I359</f>
        <v>1</v>
      </c>
      <c r="H359">
        <f t="shared" si="30"/>
        <v>1</v>
      </c>
      <c r="I359">
        <f>RAW_GAMES!J359</f>
        <v>13</v>
      </c>
      <c r="J359">
        <f>RAW_GAMES!K359</f>
        <v>34</v>
      </c>
      <c r="K359">
        <f t="shared" si="31"/>
        <v>-21</v>
      </c>
      <c r="L359">
        <f>IF(RAW_GAMES!L359="","",RAW_GAMES!L359)</f>
        <v>0.62</v>
      </c>
      <c r="M359">
        <f>IF(RAW_GAMES!M359="","",RAW_GAMES!M359)</f>
        <v>3.9</v>
      </c>
      <c r="N359">
        <f t="shared" si="32"/>
        <v>-3.28</v>
      </c>
      <c r="O359" s="7">
        <f>RAW_GAMES!O359</f>
        <v>4</v>
      </c>
      <c r="P359">
        <f>RAW_GAMES!N359</f>
        <v>1</v>
      </c>
      <c r="Q359">
        <f t="shared" si="33"/>
        <v>0.25</v>
      </c>
      <c r="R359" s="7">
        <f>RAW_GAMES!Q359</f>
        <v>7</v>
      </c>
      <c r="S359">
        <f>RAW_GAMES!P359</f>
        <v>0</v>
      </c>
      <c r="T359">
        <f t="shared" si="34"/>
        <v>1</v>
      </c>
      <c r="U359">
        <f>_xlfn.XLOOKUP(C359,
  CALC_TEAMS_SEASON!B:B,
  CALC_TEAMS_SEASON!F:F)</f>
        <v>0.14989316239316242</v>
      </c>
      <c r="V359">
        <f>_xlfn.XLOOKUP(D359,
  CALC_TEAMS_SEASON!B:B,
  CALC_TEAMS_SEASON!F:F)</f>
        <v>0.14358974358974358</v>
      </c>
      <c r="W359" t="str">
        <f>RAW_GAMES!R359</f>
        <v>Machovský</v>
      </c>
      <c r="X359" s="7">
        <f>RAW_GAMES!S359</f>
        <v>33</v>
      </c>
      <c r="Y359">
        <f t="shared" si="35"/>
        <v>1</v>
      </c>
      <c r="Z359" t="str">
        <f>RAW_GAMES!V359</f>
        <v>RS</v>
      </c>
    </row>
    <row r="360" spans="1:26" x14ac:dyDescent="0.25">
      <c r="A360" t="str">
        <f>RAW_GAMES!A360</f>
        <v>25/26</v>
      </c>
      <c r="B360" s="3">
        <f>RAW_GAMES!B360</f>
        <v>45987</v>
      </c>
      <c r="C360" s="3" t="str">
        <f>RAW_GAMES!E360</f>
        <v>PLZ</v>
      </c>
      <c r="D360" s="3" t="str">
        <f>RAW_GAMES!F360</f>
        <v>VIT</v>
      </c>
      <c r="E360" s="7">
        <f>RAW_GAMES!G360</f>
        <v>1</v>
      </c>
      <c r="F360">
        <f>RAW_GAMES!H360</f>
        <v>7</v>
      </c>
      <c r="G360">
        <f>RAW_GAMES!I360</f>
        <v>0</v>
      </c>
      <c r="H360">
        <f t="shared" si="30"/>
        <v>7</v>
      </c>
      <c r="I360">
        <f>RAW_GAMES!J360</f>
        <v>32</v>
      </c>
      <c r="J360">
        <f>RAW_GAMES!K360</f>
        <v>26</v>
      </c>
      <c r="K360">
        <f t="shared" si="31"/>
        <v>6</v>
      </c>
      <c r="L360" t="str">
        <f>IF(RAW_GAMES!L360="","",RAW_GAMES!L360)</f>
        <v/>
      </c>
      <c r="M360" t="str">
        <f>IF(RAW_GAMES!M360="","",RAW_GAMES!M360)</f>
        <v/>
      </c>
      <c r="N360" t="str">
        <f t="shared" si="32"/>
        <v/>
      </c>
      <c r="O360" s="7">
        <f>RAW_GAMES!O360</f>
        <v>0</v>
      </c>
      <c r="P360">
        <f>RAW_GAMES!N360</f>
        <v>0</v>
      </c>
      <c r="Q360">
        <f t="shared" si="33"/>
        <v>0</v>
      </c>
      <c r="R360" s="7">
        <f>RAW_GAMES!Q360</f>
        <v>2</v>
      </c>
      <c r="S360">
        <f>RAW_GAMES!P360</f>
        <v>0</v>
      </c>
      <c r="T360">
        <f t="shared" si="34"/>
        <v>1</v>
      </c>
      <c r="U360">
        <f>_xlfn.XLOOKUP(C360,
  CALC_TEAMS_SEASON!B:B,
  CALC_TEAMS_SEASON!F:F)</f>
        <v>0.17641178266178262</v>
      </c>
      <c r="V360">
        <f>_xlfn.XLOOKUP(D360,
  CALC_TEAMS_SEASON!B:B,
  CALC_TEAMS_SEASON!F:F)</f>
        <v>0.16984890109890113</v>
      </c>
      <c r="W360" t="str">
        <f>RAW_GAMES!R360</f>
        <v>Růžička</v>
      </c>
      <c r="X360" s="7">
        <f>RAW_GAMES!S360</f>
        <v>25</v>
      </c>
      <c r="Y360">
        <f t="shared" si="35"/>
        <v>1</v>
      </c>
      <c r="Z360" t="str">
        <f>RAW_GAMES!V360</f>
        <v>RS</v>
      </c>
    </row>
    <row r="361" spans="1:26" x14ac:dyDescent="0.25">
      <c r="A361" t="str">
        <f>RAW_GAMES!A361</f>
        <v>25/26</v>
      </c>
      <c r="B361" s="3">
        <f>RAW_GAMES!B361</f>
        <v>45987</v>
      </c>
      <c r="C361" s="3" t="str">
        <f>RAW_GAMES!E361</f>
        <v>VIT</v>
      </c>
      <c r="D361" s="3" t="str">
        <f>RAW_GAMES!F361</f>
        <v>PLZ</v>
      </c>
      <c r="E361" s="7">
        <f>RAW_GAMES!G361</f>
        <v>0</v>
      </c>
      <c r="F361">
        <f>RAW_GAMES!H361</f>
        <v>0</v>
      </c>
      <c r="G361">
        <f>RAW_GAMES!I361</f>
        <v>7</v>
      </c>
      <c r="H361">
        <f t="shared" si="30"/>
        <v>-7</v>
      </c>
      <c r="I361">
        <f>RAW_GAMES!J361</f>
        <v>26</v>
      </c>
      <c r="J361">
        <f>RAW_GAMES!K361</f>
        <v>32</v>
      </c>
      <c r="K361">
        <f t="shared" si="31"/>
        <v>-6</v>
      </c>
      <c r="L361" t="str">
        <f>IF(RAW_GAMES!L361="","",RAW_GAMES!L361)</f>
        <v/>
      </c>
      <c r="M361" t="str">
        <f>IF(RAW_GAMES!M361="","",RAW_GAMES!M361)</f>
        <v/>
      </c>
      <c r="N361" t="str">
        <f t="shared" si="32"/>
        <v/>
      </c>
      <c r="O361" s="7">
        <f>RAW_GAMES!O361</f>
        <v>2</v>
      </c>
      <c r="P361">
        <f>RAW_GAMES!N361</f>
        <v>0</v>
      </c>
      <c r="Q361">
        <f t="shared" si="33"/>
        <v>0</v>
      </c>
      <c r="R361" s="7">
        <f>RAW_GAMES!Q361</f>
        <v>0</v>
      </c>
      <c r="S361">
        <f>RAW_GAMES!P361</f>
        <v>0</v>
      </c>
      <c r="T361">
        <f t="shared" si="34"/>
        <v>1</v>
      </c>
      <c r="U361">
        <f>_xlfn.XLOOKUP(C361,
  CALC_TEAMS_SEASON!B:B,
  CALC_TEAMS_SEASON!F:F)</f>
        <v>0.16984890109890113</v>
      </c>
      <c r="V361">
        <f>_xlfn.XLOOKUP(D361,
  CALC_TEAMS_SEASON!B:B,
  CALC_TEAMS_SEASON!F:F)</f>
        <v>0.17641178266178262</v>
      </c>
      <c r="W361" t="str">
        <f>RAW_GAMES!R361</f>
        <v>Hrachovina</v>
      </c>
      <c r="X361" s="7">
        <f>RAW_GAMES!S361</f>
        <v>29</v>
      </c>
      <c r="Y361">
        <f t="shared" si="35"/>
        <v>0</v>
      </c>
      <c r="Z361" t="str">
        <f>RAW_GAMES!V361</f>
        <v>RS</v>
      </c>
    </row>
    <row r="362" spans="1:26" x14ac:dyDescent="0.25">
      <c r="A362" t="str">
        <f>RAW_GAMES!A362</f>
        <v>25/26</v>
      </c>
      <c r="B362" s="3">
        <f>RAW_GAMES!B362</f>
        <v>45989</v>
      </c>
      <c r="C362" s="3" t="str">
        <f>RAW_GAMES!E362</f>
        <v>PCE</v>
      </c>
      <c r="D362" s="3" t="str">
        <f>RAW_GAMES!F362</f>
        <v>MHK</v>
      </c>
      <c r="E362" s="7">
        <f>RAW_GAMES!G362</f>
        <v>1</v>
      </c>
      <c r="F362">
        <f>RAW_GAMES!H362</f>
        <v>3</v>
      </c>
      <c r="G362">
        <f>RAW_GAMES!I362</f>
        <v>1</v>
      </c>
      <c r="H362">
        <f t="shared" si="30"/>
        <v>2</v>
      </c>
      <c r="I362">
        <f>RAW_GAMES!J362</f>
        <v>33</v>
      </c>
      <c r="J362">
        <f>RAW_GAMES!K362</f>
        <v>21</v>
      </c>
      <c r="K362">
        <f t="shared" si="31"/>
        <v>12</v>
      </c>
      <c r="L362">
        <f>IF(RAW_GAMES!L362="","",RAW_GAMES!L362)</f>
        <v>4.1900000000000004</v>
      </c>
      <c r="M362">
        <f>IF(RAW_GAMES!M362="","",RAW_GAMES!M362)</f>
        <v>1.83</v>
      </c>
      <c r="N362">
        <f t="shared" si="32"/>
        <v>2.3600000000000003</v>
      </c>
      <c r="O362" s="7">
        <f>RAW_GAMES!O362</f>
        <v>4</v>
      </c>
      <c r="P362">
        <f>RAW_GAMES!N362</f>
        <v>1</v>
      </c>
      <c r="Q362">
        <f t="shared" si="33"/>
        <v>0.25</v>
      </c>
      <c r="R362" s="7">
        <f>RAW_GAMES!Q362</f>
        <v>2</v>
      </c>
      <c r="S362">
        <f>RAW_GAMES!P362</f>
        <v>0</v>
      </c>
      <c r="T362">
        <f t="shared" si="34"/>
        <v>1</v>
      </c>
      <c r="U362">
        <f>_xlfn.XLOOKUP(C362,
  CALC_TEAMS_SEASON!B:B,
  CALC_TEAMS_SEASON!F:F)</f>
        <v>0.20297619047619053</v>
      </c>
      <c r="V362">
        <f>_xlfn.XLOOKUP(D362,
  CALC_TEAMS_SEASON!B:B,
  CALC_TEAMS_SEASON!F:F)</f>
        <v>0.14184981684981687</v>
      </c>
      <c r="W362" t="str">
        <f>RAW_GAMES!R362</f>
        <v>Will</v>
      </c>
      <c r="X362" s="7">
        <f>RAW_GAMES!S362</f>
        <v>20</v>
      </c>
      <c r="Y362">
        <f t="shared" si="35"/>
        <v>1</v>
      </c>
      <c r="Z362" t="str">
        <f>RAW_GAMES!V362</f>
        <v>RS</v>
      </c>
    </row>
    <row r="363" spans="1:26" x14ac:dyDescent="0.25">
      <c r="A363" t="str">
        <f>RAW_GAMES!A363</f>
        <v>25/26</v>
      </c>
      <c r="B363" s="3">
        <f>RAW_GAMES!B363</f>
        <v>45989</v>
      </c>
      <c r="C363" s="3" t="str">
        <f>RAW_GAMES!E363</f>
        <v>TRI</v>
      </c>
      <c r="D363" s="3" t="str">
        <f>RAW_GAMES!F363</f>
        <v>OLO</v>
      </c>
      <c r="E363" s="7">
        <f>RAW_GAMES!G363</f>
        <v>1</v>
      </c>
      <c r="F363">
        <f>RAW_GAMES!H363</f>
        <v>5</v>
      </c>
      <c r="G363">
        <f>RAW_GAMES!I363</f>
        <v>2</v>
      </c>
      <c r="H363">
        <f t="shared" si="30"/>
        <v>3</v>
      </c>
      <c r="I363">
        <f>RAW_GAMES!J363</f>
        <v>33</v>
      </c>
      <c r="J363">
        <f>RAW_GAMES!K363</f>
        <v>34</v>
      </c>
      <c r="K363">
        <f t="shared" si="31"/>
        <v>-1</v>
      </c>
      <c r="L363">
        <f>IF(RAW_GAMES!L363="","",RAW_GAMES!L363)</f>
        <v>3.57</v>
      </c>
      <c r="M363">
        <f>IF(RAW_GAMES!M363="","",RAW_GAMES!M363)</f>
        <v>2.7</v>
      </c>
      <c r="N363">
        <f t="shared" si="32"/>
        <v>0.86999999999999966</v>
      </c>
      <c r="O363" s="7">
        <f>RAW_GAMES!O363</f>
        <v>3</v>
      </c>
      <c r="P363">
        <f>RAW_GAMES!N363</f>
        <v>1</v>
      </c>
      <c r="Q363">
        <f t="shared" si="33"/>
        <v>0.33333333333333331</v>
      </c>
      <c r="R363" s="7">
        <f>RAW_GAMES!Q363</f>
        <v>4</v>
      </c>
      <c r="S363">
        <f>RAW_GAMES!P363</f>
        <v>1</v>
      </c>
      <c r="T363">
        <f t="shared" si="34"/>
        <v>0.75</v>
      </c>
      <c r="U363">
        <f>_xlfn.XLOOKUP(C363,
  CALC_TEAMS_SEASON!B:B,
  CALC_TEAMS_SEASON!F:F)</f>
        <v>0.17437423687423692</v>
      </c>
      <c r="V363">
        <f>_xlfn.XLOOKUP(D363,
  CALC_TEAMS_SEASON!B:B,
  CALC_TEAMS_SEASON!F:F)</f>
        <v>0.14989316239316242</v>
      </c>
      <c r="W363" t="str">
        <f>RAW_GAMES!R363</f>
        <v>Kacetl</v>
      </c>
      <c r="X363" s="7">
        <f>RAW_GAMES!S363</f>
        <v>32</v>
      </c>
      <c r="Y363">
        <f t="shared" si="35"/>
        <v>1</v>
      </c>
      <c r="Z363" t="str">
        <f>RAW_GAMES!V363</f>
        <v>RS</v>
      </c>
    </row>
    <row r="364" spans="1:26" x14ac:dyDescent="0.25">
      <c r="A364" t="str">
        <f>RAW_GAMES!A364</f>
        <v>25/26</v>
      </c>
      <c r="B364" s="3">
        <f>RAW_GAMES!B364</f>
        <v>45989</v>
      </c>
      <c r="C364" s="3" t="str">
        <f>RAW_GAMES!E364</f>
        <v>SPA</v>
      </c>
      <c r="D364" s="3" t="str">
        <f>RAW_GAMES!F364</f>
        <v>CEB</v>
      </c>
      <c r="E364" s="7">
        <f>RAW_GAMES!G364</f>
        <v>0</v>
      </c>
      <c r="F364">
        <f>RAW_GAMES!H364</f>
        <v>1</v>
      </c>
      <c r="G364">
        <f>RAW_GAMES!I364</f>
        <v>3</v>
      </c>
      <c r="H364">
        <f t="shared" si="30"/>
        <v>-2</v>
      </c>
      <c r="I364">
        <f>RAW_GAMES!J364</f>
        <v>34</v>
      </c>
      <c r="J364">
        <f>RAW_GAMES!K364</f>
        <v>28</v>
      </c>
      <c r="K364">
        <f t="shared" si="31"/>
        <v>6</v>
      </c>
      <c r="L364">
        <f>IF(RAW_GAMES!L364="","",RAW_GAMES!L364)</f>
        <v>2.64</v>
      </c>
      <c r="M364">
        <f>IF(RAW_GAMES!M364="","",RAW_GAMES!M364)</f>
        <v>2.77</v>
      </c>
      <c r="N364">
        <f t="shared" si="32"/>
        <v>-0.12999999999999989</v>
      </c>
      <c r="O364" s="7">
        <f>RAW_GAMES!O364</f>
        <v>4</v>
      </c>
      <c r="P364">
        <f>RAW_GAMES!N364</f>
        <v>1</v>
      </c>
      <c r="Q364">
        <f t="shared" si="33"/>
        <v>0.25</v>
      </c>
      <c r="R364" s="7">
        <f>RAW_GAMES!Q364</f>
        <v>4</v>
      </c>
      <c r="S364">
        <f>RAW_GAMES!P364</f>
        <v>0</v>
      </c>
      <c r="T364">
        <f t="shared" si="34"/>
        <v>1</v>
      </c>
      <c r="U364">
        <f>_xlfn.XLOOKUP(C364,
  CALC_TEAMS_SEASON!B:B,
  CALC_TEAMS_SEASON!F:F)</f>
        <v>0.22060439560439565</v>
      </c>
      <c r="V364">
        <f>_xlfn.XLOOKUP(D364,
  CALC_TEAMS_SEASON!B:B,
  CALC_TEAMS_SEASON!F:F)</f>
        <v>0.13021353646353648</v>
      </c>
      <c r="W364" t="str">
        <f>RAW_GAMES!R364</f>
        <v>Kořenář</v>
      </c>
      <c r="X364" s="7">
        <f>RAW_GAMES!S364</f>
        <v>25</v>
      </c>
      <c r="Y364">
        <f t="shared" si="35"/>
        <v>0</v>
      </c>
      <c r="Z364" t="str">
        <f>RAW_GAMES!V364</f>
        <v>RS</v>
      </c>
    </row>
    <row r="365" spans="1:26" x14ac:dyDescent="0.25">
      <c r="A365" t="str">
        <f>RAW_GAMES!A365</f>
        <v>25/26</v>
      </c>
      <c r="B365" s="3">
        <f>RAW_GAMES!B365</f>
        <v>45989</v>
      </c>
      <c r="C365" s="3" t="str">
        <f>RAW_GAMES!E365</f>
        <v>KOM</v>
      </c>
      <c r="D365" s="3" t="str">
        <f>RAW_GAMES!F365</f>
        <v>LIT</v>
      </c>
      <c r="E365" s="7">
        <f>RAW_GAMES!G365</f>
        <v>0</v>
      </c>
      <c r="F365">
        <f>RAW_GAMES!H365</f>
        <v>2</v>
      </c>
      <c r="G365">
        <f>RAW_GAMES!I365</f>
        <v>6</v>
      </c>
      <c r="H365">
        <f t="shared" si="30"/>
        <v>-4</v>
      </c>
      <c r="I365">
        <f>RAW_GAMES!J365</f>
        <v>31</v>
      </c>
      <c r="J365">
        <f>RAW_GAMES!K365</f>
        <v>28</v>
      </c>
      <c r="K365">
        <f t="shared" si="31"/>
        <v>3</v>
      </c>
      <c r="L365">
        <f>IF(RAW_GAMES!L365="","",RAW_GAMES!L365)</f>
        <v>2.4</v>
      </c>
      <c r="M365">
        <f>IF(RAW_GAMES!M365="","",RAW_GAMES!M365)</f>
        <v>3.95</v>
      </c>
      <c r="N365">
        <f t="shared" si="32"/>
        <v>-1.5500000000000003</v>
      </c>
      <c r="O365" s="7">
        <f>RAW_GAMES!O365</f>
        <v>2</v>
      </c>
      <c r="P365">
        <f>RAW_GAMES!N365</f>
        <v>0</v>
      </c>
      <c r="Q365">
        <f t="shared" si="33"/>
        <v>0</v>
      </c>
      <c r="R365" s="7">
        <f>RAW_GAMES!Q365</f>
        <v>5</v>
      </c>
      <c r="S365">
        <f>RAW_GAMES!P365</f>
        <v>1</v>
      </c>
      <c r="T365">
        <f t="shared" si="34"/>
        <v>0.8</v>
      </c>
      <c r="U365">
        <f>_xlfn.XLOOKUP(C365,
  CALC_TEAMS_SEASON!B:B,
  CALC_TEAMS_SEASON!F:F)</f>
        <v>0.14358974358974358</v>
      </c>
      <c r="V365">
        <f>_xlfn.XLOOKUP(D365,
  CALC_TEAMS_SEASON!B:B,
  CALC_TEAMS_SEASON!F:F)</f>
        <v>0.10089285714285713</v>
      </c>
      <c r="W365" t="str">
        <f>RAW_GAMES!R365</f>
        <v>Stezka</v>
      </c>
      <c r="X365" s="7">
        <f>RAW_GAMES!S365</f>
        <v>22</v>
      </c>
      <c r="Y365">
        <f t="shared" si="35"/>
        <v>0</v>
      </c>
      <c r="Z365" t="str">
        <f>RAW_GAMES!V365</f>
        <v>RS</v>
      </c>
    </row>
    <row r="366" spans="1:26" x14ac:dyDescent="0.25">
      <c r="A366" t="str">
        <f>RAW_GAMES!A366</f>
        <v>25/26</v>
      </c>
      <c r="B366" s="3">
        <f>RAW_GAMES!B366</f>
        <v>45989</v>
      </c>
      <c r="C366" s="3" t="str">
        <f>RAW_GAMES!E366</f>
        <v>CEB</v>
      </c>
      <c r="D366" s="3" t="str">
        <f>RAW_GAMES!F366</f>
        <v>SPA</v>
      </c>
      <c r="E366" s="7">
        <f>RAW_GAMES!G366</f>
        <v>1</v>
      </c>
      <c r="F366">
        <f>RAW_GAMES!H366</f>
        <v>3</v>
      </c>
      <c r="G366">
        <f>RAW_GAMES!I366</f>
        <v>1</v>
      </c>
      <c r="H366">
        <f t="shared" si="30"/>
        <v>2</v>
      </c>
      <c r="I366">
        <f>RAW_GAMES!J366</f>
        <v>28</v>
      </c>
      <c r="J366">
        <f>RAW_GAMES!K366</f>
        <v>34</v>
      </c>
      <c r="K366">
        <f t="shared" si="31"/>
        <v>-6</v>
      </c>
      <c r="L366">
        <f>IF(RAW_GAMES!L366="","",RAW_GAMES!L366)</f>
        <v>2.77</v>
      </c>
      <c r="M366">
        <f>IF(RAW_GAMES!M366="","",RAW_GAMES!M366)</f>
        <v>2.64</v>
      </c>
      <c r="N366">
        <f t="shared" si="32"/>
        <v>0.12999999999999989</v>
      </c>
      <c r="O366" s="7">
        <f>RAW_GAMES!O366</f>
        <v>4</v>
      </c>
      <c r="P366">
        <f>RAW_GAMES!N366</f>
        <v>0</v>
      </c>
      <c r="Q366">
        <f t="shared" si="33"/>
        <v>0</v>
      </c>
      <c r="R366" s="7">
        <f>RAW_GAMES!Q366</f>
        <v>4</v>
      </c>
      <c r="S366">
        <f>RAW_GAMES!P366</f>
        <v>1</v>
      </c>
      <c r="T366">
        <f t="shared" si="34"/>
        <v>0.75</v>
      </c>
      <c r="U366">
        <f>_xlfn.XLOOKUP(C366,
  CALC_TEAMS_SEASON!B:B,
  CALC_TEAMS_SEASON!F:F)</f>
        <v>0.13021353646353648</v>
      </c>
      <c r="V366">
        <f>_xlfn.XLOOKUP(D366,
  CALC_TEAMS_SEASON!B:B,
  CALC_TEAMS_SEASON!F:F)</f>
        <v>0.22060439560439565</v>
      </c>
      <c r="W366" t="str">
        <f>RAW_GAMES!R366</f>
        <v>Westerholm</v>
      </c>
      <c r="X366" s="7">
        <f>RAW_GAMES!S366</f>
        <v>33</v>
      </c>
      <c r="Y366">
        <f t="shared" si="35"/>
        <v>1</v>
      </c>
      <c r="Z366" t="str">
        <f>RAW_GAMES!V366</f>
        <v>RS</v>
      </c>
    </row>
    <row r="367" spans="1:26" x14ac:dyDescent="0.25">
      <c r="A367" t="str">
        <f>RAW_GAMES!A367</f>
        <v>25/26</v>
      </c>
      <c r="B367" s="3">
        <f>RAW_GAMES!B367</f>
        <v>45989</v>
      </c>
      <c r="C367" s="3" t="str">
        <f>RAW_GAMES!E367</f>
        <v>KLA</v>
      </c>
      <c r="D367" s="3" t="str">
        <f>RAW_GAMES!F367</f>
        <v>MBL</v>
      </c>
      <c r="E367" s="7">
        <f>RAW_GAMES!G367</f>
        <v>1</v>
      </c>
      <c r="F367">
        <f>RAW_GAMES!H367</f>
        <v>5</v>
      </c>
      <c r="G367">
        <f>RAW_GAMES!I367</f>
        <v>0</v>
      </c>
      <c r="H367">
        <f t="shared" si="30"/>
        <v>5</v>
      </c>
      <c r="I367">
        <f>RAW_GAMES!J367</f>
        <v>22</v>
      </c>
      <c r="J367">
        <f>RAW_GAMES!K367</f>
        <v>38</v>
      </c>
      <c r="K367">
        <f t="shared" si="31"/>
        <v>-16</v>
      </c>
      <c r="L367" t="str">
        <f>IF(RAW_GAMES!L367="","",RAW_GAMES!L367)</f>
        <v/>
      </c>
      <c r="M367" t="str">
        <f>IF(RAW_GAMES!M367="","",RAW_GAMES!M367)</f>
        <v/>
      </c>
      <c r="N367" t="str">
        <f t="shared" si="32"/>
        <v/>
      </c>
      <c r="O367" s="7">
        <f>RAW_GAMES!O367</f>
        <v>2</v>
      </c>
      <c r="P367">
        <f>RAW_GAMES!N367</f>
        <v>1</v>
      </c>
      <c r="Q367">
        <f t="shared" si="33"/>
        <v>0.5</v>
      </c>
      <c r="R367" s="7">
        <f>RAW_GAMES!Q367</f>
        <v>4</v>
      </c>
      <c r="S367">
        <f>RAW_GAMES!P367</f>
        <v>0</v>
      </c>
      <c r="T367">
        <f t="shared" si="34"/>
        <v>1</v>
      </c>
      <c r="U367">
        <f>_xlfn.XLOOKUP(C367,
  CALC_TEAMS_SEASON!B:B,
  CALC_TEAMS_SEASON!F:F)</f>
        <v>0.13120421245421243</v>
      </c>
      <c r="V367">
        <f>_xlfn.XLOOKUP(D367,
  CALC_TEAMS_SEASON!B:B,
  CALC_TEAMS_SEASON!F:F)</f>
        <v>0.11826923076923078</v>
      </c>
      <c r="W367" t="str">
        <f>RAW_GAMES!R367</f>
        <v>Brízgala</v>
      </c>
      <c r="X367" s="7">
        <f>RAW_GAMES!S367</f>
        <v>38</v>
      </c>
      <c r="Y367">
        <f t="shared" si="35"/>
        <v>1</v>
      </c>
      <c r="Z367" t="str">
        <f>RAW_GAMES!V367</f>
        <v>RS</v>
      </c>
    </row>
    <row r="368" spans="1:26" x14ac:dyDescent="0.25">
      <c r="A368" t="str">
        <f>RAW_GAMES!A368</f>
        <v>25/26</v>
      </c>
      <c r="B368" s="3">
        <f>RAW_GAMES!B368</f>
        <v>45989</v>
      </c>
      <c r="C368" s="3" t="str">
        <f>RAW_GAMES!E368</f>
        <v>KVA</v>
      </c>
      <c r="D368" s="3" t="str">
        <f>RAW_GAMES!F368</f>
        <v>VIT</v>
      </c>
      <c r="E368" s="7">
        <f>RAW_GAMES!G368</f>
        <v>1</v>
      </c>
      <c r="F368">
        <f>RAW_GAMES!H368</f>
        <v>4</v>
      </c>
      <c r="G368">
        <f>RAW_GAMES!I368</f>
        <v>1</v>
      </c>
      <c r="H368">
        <f t="shared" si="30"/>
        <v>3</v>
      </c>
      <c r="I368">
        <f>RAW_GAMES!J368</f>
        <v>29</v>
      </c>
      <c r="J368">
        <f>RAW_GAMES!K368</f>
        <v>27</v>
      </c>
      <c r="K368">
        <f t="shared" si="31"/>
        <v>2</v>
      </c>
      <c r="L368" t="str">
        <f>IF(RAW_GAMES!L368="","",RAW_GAMES!L368)</f>
        <v/>
      </c>
      <c r="M368" t="str">
        <f>IF(RAW_GAMES!M368="","",RAW_GAMES!M368)</f>
        <v/>
      </c>
      <c r="N368" t="str">
        <f t="shared" si="32"/>
        <v/>
      </c>
      <c r="O368" s="7">
        <f>RAW_GAMES!O368</f>
        <v>5</v>
      </c>
      <c r="P368">
        <f>RAW_GAMES!N368</f>
        <v>1</v>
      </c>
      <c r="Q368">
        <f t="shared" si="33"/>
        <v>0.2</v>
      </c>
      <c r="R368" s="7">
        <f>RAW_GAMES!Q368</f>
        <v>4</v>
      </c>
      <c r="S368">
        <f>RAW_GAMES!P368</f>
        <v>0</v>
      </c>
      <c r="T368">
        <f t="shared" si="34"/>
        <v>1</v>
      </c>
      <c r="U368">
        <f>_xlfn.XLOOKUP(C368,
  CALC_TEAMS_SEASON!B:B,
  CALC_TEAMS_SEASON!F:F)</f>
        <v>0.17387057387057389</v>
      </c>
      <c r="V368">
        <f>_xlfn.XLOOKUP(D368,
  CALC_TEAMS_SEASON!B:B,
  CALC_TEAMS_SEASON!F:F)</f>
        <v>0.16984890109890113</v>
      </c>
      <c r="W368" t="str">
        <f>RAW_GAMES!R368</f>
        <v>Frodl</v>
      </c>
      <c r="X368" s="7">
        <f>RAW_GAMES!S368</f>
        <v>25</v>
      </c>
      <c r="Y368">
        <f t="shared" si="35"/>
        <v>1</v>
      </c>
      <c r="Z368" t="str">
        <f>RAW_GAMES!V368</f>
        <v>RS</v>
      </c>
    </row>
    <row r="369" spans="1:26" x14ac:dyDescent="0.25">
      <c r="A369" t="str">
        <f>RAW_GAMES!A369</f>
        <v>25/26</v>
      </c>
      <c r="B369" s="3">
        <f>RAW_GAMES!B369</f>
        <v>45989</v>
      </c>
      <c r="C369" s="3" t="str">
        <f>RAW_GAMES!E369</f>
        <v>LIB</v>
      </c>
      <c r="D369" s="3" t="str">
        <f>RAW_GAMES!F369</f>
        <v>PLZ</v>
      </c>
      <c r="E369" s="7">
        <f>RAW_GAMES!G369</f>
        <v>0</v>
      </c>
      <c r="F369">
        <f>RAW_GAMES!H369</f>
        <v>1</v>
      </c>
      <c r="G369">
        <f>RAW_GAMES!I369</f>
        <v>2</v>
      </c>
      <c r="H369">
        <f t="shared" si="30"/>
        <v>-1</v>
      </c>
      <c r="I369">
        <f>RAW_GAMES!J369</f>
        <v>19</v>
      </c>
      <c r="J369">
        <f>RAW_GAMES!K369</f>
        <v>24</v>
      </c>
      <c r="K369">
        <f t="shared" si="31"/>
        <v>-5</v>
      </c>
      <c r="L369" t="str">
        <f>IF(RAW_GAMES!L369="","",RAW_GAMES!L369)</f>
        <v/>
      </c>
      <c r="M369" t="str">
        <f>IF(RAW_GAMES!M369="","",RAW_GAMES!M369)</f>
        <v/>
      </c>
      <c r="N369" t="str">
        <f t="shared" si="32"/>
        <v/>
      </c>
      <c r="O369" s="7">
        <f>RAW_GAMES!O369</f>
        <v>6</v>
      </c>
      <c r="P369">
        <f>RAW_GAMES!N369</f>
        <v>0</v>
      </c>
      <c r="Q369">
        <f t="shared" si="33"/>
        <v>0</v>
      </c>
      <c r="R369" s="7">
        <f>RAW_GAMES!Q369</f>
        <v>6</v>
      </c>
      <c r="S369">
        <f>RAW_GAMES!P369</f>
        <v>0</v>
      </c>
      <c r="T369">
        <f t="shared" si="34"/>
        <v>1</v>
      </c>
      <c r="U369">
        <f>_xlfn.XLOOKUP(C369,
  CALC_TEAMS_SEASON!B:B,
  CALC_TEAMS_SEASON!F:F)</f>
        <v>0.14377289377289379</v>
      </c>
      <c r="V369">
        <f>_xlfn.XLOOKUP(D369,
  CALC_TEAMS_SEASON!B:B,
  CALC_TEAMS_SEASON!F:F)</f>
        <v>0.17641178266178262</v>
      </c>
      <c r="W369" t="str">
        <f>RAW_GAMES!R369</f>
        <v>Lukeš</v>
      </c>
      <c r="X369" s="7">
        <f>RAW_GAMES!S369</f>
        <v>22</v>
      </c>
      <c r="Y369">
        <f t="shared" si="35"/>
        <v>0</v>
      </c>
      <c r="Z369" t="str">
        <f>RAW_GAMES!V369</f>
        <v>RS</v>
      </c>
    </row>
    <row r="370" spans="1:26" x14ac:dyDescent="0.25">
      <c r="A370" t="str">
        <f>RAW_GAMES!A370</f>
        <v>25/26</v>
      </c>
      <c r="B370" s="3">
        <f>RAW_GAMES!B370</f>
        <v>45989</v>
      </c>
      <c r="C370" s="3" t="str">
        <f>RAW_GAMES!E370</f>
        <v>LIT</v>
      </c>
      <c r="D370" s="3" t="str">
        <f>RAW_GAMES!F370</f>
        <v>KOM</v>
      </c>
      <c r="E370" s="7">
        <f>RAW_GAMES!G370</f>
        <v>1</v>
      </c>
      <c r="F370">
        <f>RAW_GAMES!H370</f>
        <v>6</v>
      </c>
      <c r="G370">
        <f>RAW_GAMES!I370</f>
        <v>2</v>
      </c>
      <c r="H370">
        <f t="shared" si="30"/>
        <v>4</v>
      </c>
      <c r="I370">
        <f>RAW_GAMES!J370</f>
        <v>28</v>
      </c>
      <c r="J370">
        <f>RAW_GAMES!K370</f>
        <v>31</v>
      </c>
      <c r="K370">
        <f t="shared" si="31"/>
        <v>-3</v>
      </c>
      <c r="L370">
        <f>IF(RAW_GAMES!L370="","",RAW_GAMES!L370)</f>
        <v>3.95</v>
      </c>
      <c r="M370">
        <f>IF(RAW_GAMES!M370="","",RAW_GAMES!M370)</f>
        <v>2.4</v>
      </c>
      <c r="N370">
        <f t="shared" si="32"/>
        <v>1.5500000000000003</v>
      </c>
      <c r="O370" s="7">
        <f>RAW_GAMES!O370</f>
        <v>5</v>
      </c>
      <c r="P370">
        <f>RAW_GAMES!N370</f>
        <v>1</v>
      </c>
      <c r="Q370">
        <f t="shared" si="33"/>
        <v>0.2</v>
      </c>
      <c r="R370" s="7">
        <f>RAW_GAMES!Q370</f>
        <v>2</v>
      </c>
      <c r="S370">
        <f>RAW_GAMES!P370</f>
        <v>0</v>
      </c>
      <c r="T370">
        <f t="shared" si="34"/>
        <v>1</v>
      </c>
      <c r="U370">
        <f>_xlfn.XLOOKUP(C370,
  CALC_TEAMS_SEASON!B:B,
  CALC_TEAMS_SEASON!F:F)</f>
        <v>0.10089285714285713</v>
      </c>
      <c r="V370">
        <f>_xlfn.XLOOKUP(D370,
  CALC_TEAMS_SEASON!B:B,
  CALC_TEAMS_SEASON!F:F)</f>
        <v>0.14358974358974358</v>
      </c>
      <c r="W370" t="str">
        <f>RAW_GAMES!R370</f>
        <v>Tomek</v>
      </c>
      <c r="X370" s="7">
        <f>RAW_GAMES!S370</f>
        <v>29</v>
      </c>
      <c r="Y370">
        <f t="shared" si="35"/>
        <v>1</v>
      </c>
      <c r="Z370" t="str">
        <f>RAW_GAMES!V370</f>
        <v>RS</v>
      </c>
    </row>
    <row r="371" spans="1:26" x14ac:dyDescent="0.25">
      <c r="A371" t="str">
        <f>RAW_GAMES!A371</f>
        <v>25/26</v>
      </c>
      <c r="B371" s="3">
        <f>RAW_GAMES!B371</f>
        <v>45989</v>
      </c>
      <c r="C371" s="3" t="str">
        <f>RAW_GAMES!E371</f>
        <v>MBL</v>
      </c>
      <c r="D371" s="3" t="str">
        <f>RAW_GAMES!F371</f>
        <v>KLA</v>
      </c>
      <c r="E371" s="7">
        <f>RAW_GAMES!G371</f>
        <v>0</v>
      </c>
      <c r="F371">
        <f>RAW_GAMES!H371</f>
        <v>0</v>
      </c>
      <c r="G371">
        <f>RAW_GAMES!I371</f>
        <v>5</v>
      </c>
      <c r="H371">
        <f t="shared" si="30"/>
        <v>-5</v>
      </c>
      <c r="I371">
        <f>RAW_GAMES!J371</f>
        <v>38</v>
      </c>
      <c r="J371">
        <f>RAW_GAMES!K371</f>
        <v>22</v>
      </c>
      <c r="K371">
        <f t="shared" si="31"/>
        <v>16</v>
      </c>
      <c r="L371" t="str">
        <f>IF(RAW_GAMES!L371="","",RAW_GAMES!L371)</f>
        <v/>
      </c>
      <c r="M371" t="str">
        <f>IF(RAW_GAMES!M371="","",RAW_GAMES!M371)</f>
        <v/>
      </c>
      <c r="N371" t="str">
        <f t="shared" si="32"/>
        <v/>
      </c>
      <c r="O371" s="7">
        <f>RAW_GAMES!O371</f>
        <v>4</v>
      </c>
      <c r="P371">
        <f>RAW_GAMES!N371</f>
        <v>0</v>
      </c>
      <c r="Q371">
        <f t="shared" si="33"/>
        <v>0</v>
      </c>
      <c r="R371" s="7">
        <f>RAW_GAMES!Q371</f>
        <v>2</v>
      </c>
      <c r="S371">
        <f>RAW_GAMES!P371</f>
        <v>1</v>
      </c>
      <c r="T371">
        <f t="shared" si="34"/>
        <v>0.5</v>
      </c>
      <c r="U371">
        <f>_xlfn.XLOOKUP(C371,
  CALC_TEAMS_SEASON!B:B,
  CALC_TEAMS_SEASON!F:F)</f>
        <v>0.11826923076923078</v>
      </c>
      <c r="V371">
        <f>_xlfn.XLOOKUP(D371,
  CALC_TEAMS_SEASON!B:B,
  CALC_TEAMS_SEASON!F:F)</f>
        <v>0.13120421245421243</v>
      </c>
      <c r="W371" t="str">
        <f>RAW_GAMES!R371</f>
        <v>Furch</v>
      </c>
      <c r="X371" s="7">
        <f>RAW_GAMES!S371</f>
        <v>17</v>
      </c>
      <c r="Y371">
        <f t="shared" si="35"/>
        <v>0</v>
      </c>
      <c r="Z371" t="str">
        <f>RAW_GAMES!V371</f>
        <v>RS</v>
      </c>
    </row>
    <row r="372" spans="1:26" x14ac:dyDescent="0.25">
      <c r="A372" t="str">
        <f>RAW_GAMES!A372</f>
        <v>25/26</v>
      </c>
      <c r="B372" s="3">
        <f>RAW_GAMES!B372</f>
        <v>45989</v>
      </c>
      <c r="C372" s="3" t="str">
        <f>RAW_GAMES!E372</f>
        <v>MHK</v>
      </c>
      <c r="D372" s="3" t="str">
        <f>RAW_GAMES!F372</f>
        <v>PCE</v>
      </c>
      <c r="E372" s="7">
        <f>RAW_GAMES!G372</f>
        <v>0</v>
      </c>
      <c r="F372">
        <f>RAW_GAMES!H372</f>
        <v>1</v>
      </c>
      <c r="G372">
        <f>RAW_GAMES!I372</f>
        <v>3</v>
      </c>
      <c r="H372">
        <f t="shared" si="30"/>
        <v>-2</v>
      </c>
      <c r="I372">
        <f>RAW_GAMES!J372</f>
        <v>21</v>
      </c>
      <c r="J372">
        <f>RAW_GAMES!K372</f>
        <v>33</v>
      </c>
      <c r="K372">
        <f t="shared" si="31"/>
        <v>-12</v>
      </c>
      <c r="L372">
        <f>IF(RAW_GAMES!L372="","",RAW_GAMES!L372)</f>
        <v>1.83</v>
      </c>
      <c r="M372">
        <f>IF(RAW_GAMES!M372="","",RAW_GAMES!M372)</f>
        <v>4.1900000000000004</v>
      </c>
      <c r="N372">
        <f t="shared" si="32"/>
        <v>-2.3600000000000003</v>
      </c>
      <c r="O372" s="7">
        <f>RAW_GAMES!O372</f>
        <v>2</v>
      </c>
      <c r="P372">
        <f>RAW_GAMES!N372</f>
        <v>0</v>
      </c>
      <c r="Q372">
        <f t="shared" si="33"/>
        <v>0</v>
      </c>
      <c r="R372" s="7">
        <f>RAW_GAMES!Q372</f>
        <v>4</v>
      </c>
      <c r="S372">
        <f>RAW_GAMES!P372</f>
        <v>1</v>
      </c>
      <c r="T372">
        <f t="shared" si="34"/>
        <v>0.75</v>
      </c>
      <c r="U372">
        <f>_xlfn.XLOOKUP(C372,
  CALC_TEAMS_SEASON!B:B,
  CALC_TEAMS_SEASON!F:F)</f>
        <v>0.14184981684981687</v>
      </c>
      <c r="V372">
        <f>_xlfn.XLOOKUP(D372,
  CALC_TEAMS_SEASON!B:B,
  CALC_TEAMS_SEASON!F:F)</f>
        <v>0.20297619047619053</v>
      </c>
      <c r="W372" t="str">
        <f>RAW_GAMES!R372</f>
        <v>Škorvánek</v>
      </c>
      <c r="X372" s="7">
        <f>RAW_GAMES!S372</f>
        <v>30</v>
      </c>
      <c r="Y372">
        <f t="shared" si="35"/>
        <v>0</v>
      </c>
      <c r="Z372" t="str">
        <f>RAW_GAMES!V372</f>
        <v>RS</v>
      </c>
    </row>
    <row r="373" spans="1:26" x14ac:dyDescent="0.25">
      <c r="A373" t="str">
        <f>RAW_GAMES!A373</f>
        <v>25/26</v>
      </c>
      <c r="B373" s="3">
        <f>RAW_GAMES!B373</f>
        <v>45989</v>
      </c>
      <c r="C373" s="3" t="str">
        <f>RAW_GAMES!E373</f>
        <v>OLO</v>
      </c>
      <c r="D373" s="3" t="str">
        <f>RAW_GAMES!F373</f>
        <v>TRI</v>
      </c>
      <c r="E373" s="7">
        <f>RAW_GAMES!G373</f>
        <v>0</v>
      </c>
      <c r="F373">
        <f>RAW_GAMES!H373</f>
        <v>2</v>
      </c>
      <c r="G373">
        <f>RAW_GAMES!I373</f>
        <v>5</v>
      </c>
      <c r="H373">
        <f t="shared" si="30"/>
        <v>-3</v>
      </c>
      <c r="I373">
        <f>RAW_GAMES!J373</f>
        <v>34</v>
      </c>
      <c r="J373">
        <f>RAW_GAMES!K373</f>
        <v>33</v>
      </c>
      <c r="K373">
        <f t="shared" si="31"/>
        <v>1</v>
      </c>
      <c r="L373">
        <f>IF(RAW_GAMES!L373="","",RAW_GAMES!L373)</f>
        <v>2.7</v>
      </c>
      <c r="M373">
        <f>IF(RAW_GAMES!M373="","",RAW_GAMES!M373)</f>
        <v>3.57</v>
      </c>
      <c r="N373">
        <f t="shared" si="32"/>
        <v>-0.86999999999999966</v>
      </c>
      <c r="O373" s="7">
        <f>RAW_GAMES!O373</f>
        <v>4</v>
      </c>
      <c r="P373">
        <f>RAW_GAMES!N373</f>
        <v>1</v>
      </c>
      <c r="Q373">
        <f t="shared" si="33"/>
        <v>0.25</v>
      </c>
      <c r="R373" s="7">
        <f>RAW_GAMES!Q373</f>
        <v>3</v>
      </c>
      <c r="S373">
        <f>RAW_GAMES!P373</f>
        <v>1</v>
      </c>
      <c r="T373">
        <f t="shared" si="34"/>
        <v>0.66666666666666674</v>
      </c>
      <c r="U373">
        <f>_xlfn.XLOOKUP(C373,
  CALC_TEAMS_SEASON!B:B,
  CALC_TEAMS_SEASON!F:F)</f>
        <v>0.14989316239316242</v>
      </c>
      <c r="V373">
        <f>_xlfn.XLOOKUP(D373,
  CALC_TEAMS_SEASON!B:B,
  CALC_TEAMS_SEASON!F:F)</f>
        <v>0.17437423687423692</v>
      </c>
      <c r="W373" t="str">
        <f>RAW_GAMES!R373</f>
        <v>Machovský</v>
      </c>
      <c r="X373" s="7">
        <f>RAW_GAMES!S373</f>
        <v>28</v>
      </c>
      <c r="Y373">
        <f t="shared" si="35"/>
        <v>0</v>
      </c>
      <c r="Z373" t="str">
        <f>RAW_GAMES!V373</f>
        <v>RS</v>
      </c>
    </row>
    <row r="374" spans="1:26" x14ac:dyDescent="0.25">
      <c r="A374" t="str">
        <f>RAW_GAMES!A374</f>
        <v>25/26</v>
      </c>
      <c r="B374" s="3">
        <f>RAW_GAMES!B374</f>
        <v>45989</v>
      </c>
      <c r="C374" s="3" t="str">
        <f>RAW_GAMES!E374</f>
        <v>PLZ</v>
      </c>
      <c r="D374" s="3" t="str">
        <f>RAW_GAMES!F374</f>
        <v>LIB</v>
      </c>
      <c r="E374" s="7">
        <f>RAW_GAMES!G374</f>
        <v>1</v>
      </c>
      <c r="F374">
        <f>RAW_GAMES!H374</f>
        <v>2</v>
      </c>
      <c r="G374">
        <f>RAW_GAMES!I374</f>
        <v>1</v>
      </c>
      <c r="H374">
        <f t="shared" si="30"/>
        <v>1</v>
      </c>
      <c r="I374">
        <f>RAW_GAMES!J374</f>
        <v>24</v>
      </c>
      <c r="J374">
        <f>RAW_GAMES!K374</f>
        <v>19</v>
      </c>
      <c r="K374">
        <f t="shared" si="31"/>
        <v>5</v>
      </c>
      <c r="L374" t="str">
        <f>IF(RAW_GAMES!L374="","",RAW_GAMES!L374)</f>
        <v/>
      </c>
      <c r="M374" t="str">
        <f>IF(RAW_GAMES!M374="","",RAW_GAMES!M374)</f>
        <v/>
      </c>
      <c r="N374" t="str">
        <f t="shared" si="32"/>
        <v/>
      </c>
      <c r="O374" s="7">
        <f>RAW_GAMES!O374</f>
        <v>6</v>
      </c>
      <c r="P374">
        <f>RAW_GAMES!N374</f>
        <v>0</v>
      </c>
      <c r="Q374">
        <f t="shared" si="33"/>
        <v>0</v>
      </c>
      <c r="R374" s="7">
        <f>RAW_GAMES!Q374</f>
        <v>6</v>
      </c>
      <c r="S374">
        <f>RAW_GAMES!P374</f>
        <v>0</v>
      </c>
      <c r="T374">
        <f t="shared" si="34"/>
        <v>1</v>
      </c>
      <c r="U374">
        <f>_xlfn.XLOOKUP(C374,
  CALC_TEAMS_SEASON!B:B,
  CALC_TEAMS_SEASON!F:F)</f>
        <v>0.17641178266178262</v>
      </c>
      <c r="V374">
        <f>_xlfn.XLOOKUP(D374,
  CALC_TEAMS_SEASON!B:B,
  CALC_TEAMS_SEASON!F:F)</f>
        <v>0.14377289377289379</v>
      </c>
      <c r="W374" t="str">
        <f>RAW_GAMES!R374</f>
        <v>Malík</v>
      </c>
      <c r="X374" s="7">
        <f>RAW_GAMES!S374</f>
        <v>18</v>
      </c>
      <c r="Y374">
        <f t="shared" si="35"/>
        <v>1</v>
      </c>
      <c r="Z374" t="str">
        <f>RAW_GAMES!V374</f>
        <v>RS</v>
      </c>
    </row>
    <row r="375" spans="1:26" x14ac:dyDescent="0.25">
      <c r="A375" t="str">
        <f>RAW_GAMES!A375</f>
        <v>25/26</v>
      </c>
      <c r="B375" s="3">
        <f>RAW_GAMES!B375</f>
        <v>45989</v>
      </c>
      <c r="C375" s="3" t="str">
        <f>RAW_GAMES!E375</f>
        <v>VIT</v>
      </c>
      <c r="D375" s="3" t="str">
        <f>RAW_GAMES!F375</f>
        <v>KVA</v>
      </c>
      <c r="E375" s="7">
        <f>RAW_GAMES!G375</f>
        <v>0</v>
      </c>
      <c r="F375">
        <f>RAW_GAMES!H375</f>
        <v>1</v>
      </c>
      <c r="G375">
        <f>RAW_GAMES!I375</f>
        <v>4</v>
      </c>
      <c r="H375">
        <f t="shared" si="30"/>
        <v>-3</v>
      </c>
      <c r="I375">
        <f>RAW_GAMES!J375</f>
        <v>27</v>
      </c>
      <c r="J375">
        <f>RAW_GAMES!K375</f>
        <v>29</v>
      </c>
      <c r="K375">
        <f t="shared" si="31"/>
        <v>-2</v>
      </c>
      <c r="L375" t="str">
        <f>IF(RAW_GAMES!L375="","",RAW_GAMES!L375)</f>
        <v/>
      </c>
      <c r="M375" t="str">
        <f>IF(RAW_GAMES!M375="","",RAW_GAMES!M375)</f>
        <v/>
      </c>
      <c r="N375" t="str">
        <f t="shared" si="32"/>
        <v/>
      </c>
      <c r="O375" s="7">
        <f>RAW_GAMES!O375</f>
        <v>4</v>
      </c>
      <c r="P375">
        <f>RAW_GAMES!N375</f>
        <v>0</v>
      </c>
      <c r="Q375">
        <f t="shared" si="33"/>
        <v>0</v>
      </c>
      <c r="R375" s="7">
        <f>RAW_GAMES!Q375</f>
        <v>5</v>
      </c>
      <c r="S375">
        <f>RAW_GAMES!P375</f>
        <v>1</v>
      </c>
      <c r="T375">
        <f t="shared" si="34"/>
        <v>0.8</v>
      </c>
      <c r="U375">
        <f>_xlfn.XLOOKUP(C375,
  CALC_TEAMS_SEASON!B:B,
  CALC_TEAMS_SEASON!F:F)</f>
        <v>0.16984890109890113</v>
      </c>
      <c r="V375">
        <f>_xlfn.XLOOKUP(D375,
  CALC_TEAMS_SEASON!B:B,
  CALC_TEAMS_SEASON!F:F)</f>
        <v>0.17387057387057389</v>
      </c>
      <c r="W375" t="str">
        <f>RAW_GAMES!R375</f>
        <v>Hrachovina</v>
      </c>
      <c r="X375" s="7">
        <f>RAW_GAMES!S375</f>
        <v>25</v>
      </c>
      <c r="Y375">
        <f t="shared" si="35"/>
        <v>0</v>
      </c>
      <c r="Z375" t="str">
        <f>RAW_GAMES!V375</f>
        <v>RS</v>
      </c>
    </row>
    <row r="376" spans="1:26" x14ac:dyDescent="0.25">
      <c r="A376" t="str">
        <f>RAW_GAMES!A376</f>
        <v>25/26</v>
      </c>
      <c r="B376" s="3">
        <f>RAW_GAMES!B376</f>
        <v>45991</v>
      </c>
      <c r="C376" s="3" t="str">
        <f>RAW_GAMES!E376</f>
        <v>PCE</v>
      </c>
      <c r="D376" s="3" t="str">
        <f>RAW_GAMES!F376</f>
        <v>LIB</v>
      </c>
      <c r="E376" s="7">
        <f>RAW_GAMES!G376</f>
        <v>0</v>
      </c>
      <c r="F376">
        <f>RAW_GAMES!H376</f>
        <v>2</v>
      </c>
      <c r="G376">
        <f>RAW_GAMES!I376</f>
        <v>4</v>
      </c>
      <c r="H376">
        <f t="shared" si="30"/>
        <v>-2</v>
      </c>
      <c r="I376">
        <f>RAW_GAMES!J376</f>
        <v>40</v>
      </c>
      <c r="J376">
        <f>RAW_GAMES!K376</f>
        <v>20</v>
      </c>
      <c r="K376">
        <f t="shared" si="31"/>
        <v>20</v>
      </c>
      <c r="L376">
        <f>IF(RAW_GAMES!L376="","",RAW_GAMES!L376)</f>
        <v>3.8</v>
      </c>
      <c r="M376">
        <f>IF(RAW_GAMES!M376="","",RAW_GAMES!M376)</f>
        <v>2.41</v>
      </c>
      <c r="N376">
        <f t="shared" si="32"/>
        <v>1.3899999999999997</v>
      </c>
      <c r="O376" s="7">
        <f>RAW_GAMES!O376</f>
        <v>5</v>
      </c>
      <c r="P376">
        <f>RAW_GAMES!N376</f>
        <v>0</v>
      </c>
      <c r="Q376">
        <f t="shared" si="33"/>
        <v>0</v>
      </c>
      <c r="R376" s="7">
        <f>RAW_GAMES!Q376</f>
        <v>3</v>
      </c>
      <c r="S376">
        <f>RAW_GAMES!P376</f>
        <v>0</v>
      </c>
      <c r="T376">
        <f t="shared" si="34"/>
        <v>1</v>
      </c>
      <c r="U376">
        <f>_xlfn.XLOOKUP(C376,
  CALC_TEAMS_SEASON!B:B,
  CALC_TEAMS_SEASON!F:F)</f>
        <v>0.20297619047619053</v>
      </c>
      <c r="V376">
        <f>_xlfn.XLOOKUP(D376,
  CALC_TEAMS_SEASON!B:B,
  CALC_TEAMS_SEASON!F:F)</f>
        <v>0.14377289377289379</v>
      </c>
      <c r="W376" t="str">
        <f>RAW_GAMES!R376</f>
        <v>Subban</v>
      </c>
      <c r="X376" s="7">
        <f>RAW_GAMES!S376</f>
        <v>16</v>
      </c>
      <c r="Y376">
        <f t="shared" si="35"/>
        <v>0</v>
      </c>
      <c r="Z376" t="str">
        <f>RAW_GAMES!V376</f>
        <v>RS</v>
      </c>
    </row>
    <row r="377" spans="1:26" x14ac:dyDescent="0.25">
      <c r="A377" t="str">
        <f>RAW_GAMES!A377</f>
        <v>25/26</v>
      </c>
      <c r="B377" s="3">
        <f>RAW_GAMES!B377</f>
        <v>45991</v>
      </c>
      <c r="C377" s="3" t="str">
        <f>RAW_GAMES!E377</f>
        <v>TRI</v>
      </c>
      <c r="D377" s="3" t="str">
        <f>RAW_GAMES!F377</f>
        <v>SPA</v>
      </c>
      <c r="E377" s="7">
        <f>RAW_GAMES!G377</f>
        <v>1</v>
      </c>
      <c r="F377">
        <f>RAW_GAMES!H377</f>
        <v>1</v>
      </c>
      <c r="G377">
        <f>RAW_GAMES!I377</f>
        <v>2</v>
      </c>
      <c r="H377">
        <f t="shared" si="30"/>
        <v>-1</v>
      </c>
      <c r="I377">
        <f>RAW_GAMES!J377</f>
        <v>35</v>
      </c>
      <c r="J377">
        <f>RAW_GAMES!K377</f>
        <v>28</v>
      </c>
      <c r="K377">
        <f t="shared" si="31"/>
        <v>7</v>
      </c>
      <c r="L377">
        <f>IF(RAW_GAMES!L377="","",RAW_GAMES!L377)</f>
        <v>3.12</v>
      </c>
      <c r="M377">
        <f>IF(RAW_GAMES!M377="","",RAW_GAMES!M377)</f>
        <v>2.7</v>
      </c>
      <c r="N377">
        <f t="shared" si="32"/>
        <v>0.41999999999999993</v>
      </c>
      <c r="O377" s="7">
        <f>RAW_GAMES!O377</f>
        <v>6</v>
      </c>
      <c r="P377">
        <f>RAW_GAMES!N377</f>
        <v>1</v>
      </c>
      <c r="Q377">
        <f t="shared" si="33"/>
        <v>0.16666666666666666</v>
      </c>
      <c r="R377" s="7">
        <f>RAW_GAMES!Q377</f>
        <v>4</v>
      </c>
      <c r="S377">
        <f>RAW_GAMES!P377</f>
        <v>2</v>
      </c>
      <c r="T377">
        <f t="shared" si="34"/>
        <v>0.5</v>
      </c>
      <c r="U377">
        <f>_xlfn.XLOOKUP(C377,
  CALC_TEAMS_SEASON!B:B,
  CALC_TEAMS_SEASON!F:F)</f>
        <v>0.17437423687423692</v>
      </c>
      <c r="V377">
        <f>_xlfn.XLOOKUP(D377,
  CALC_TEAMS_SEASON!B:B,
  CALC_TEAMS_SEASON!F:F)</f>
        <v>0.22060439560439565</v>
      </c>
      <c r="W377" t="str">
        <f>RAW_GAMES!R377</f>
        <v>Kacetl</v>
      </c>
      <c r="X377" s="7">
        <f>RAW_GAMES!S377</f>
        <v>26</v>
      </c>
      <c r="Y377">
        <f t="shared" si="35"/>
        <v>0</v>
      </c>
      <c r="Z377" t="str">
        <f>RAW_GAMES!V377</f>
        <v>RS</v>
      </c>
    </row>
    <row r="378" spans="1:26" x14ac:dyDescent="0.25">
      <c r="A378" t="str">
        <f>RAW_GAMES!A378</f>
        <v>25/26</v>
      </c>
      <c r="B378" s="3">
        <f>RAW_GAMES!B378</f>
        <v>45991</v>
      </c>
      <c r="C378" s="3" t="str">
        <f>RAW_GAMES!E378</f>
        <v>SPA</v>
      </c>
      <c r="D378" s="3" t="str">
        <f>RAW_GAMES!F378</f>
        <v>TRI</v>
      </c>
      <c r="E378" s="7">
        <f>RAW_GAMES!G378</f>
        <v>0</v>
      </c>
      <c r="F378">
        <f>RAW_GAMES!H378</f>
        <v>2</v>
      </c>
      <c r="G378">
        <f>RAW_GAMES!I378</f>
        <v>1</v>
      </c>
      <c r="H378">
        <f t="shared" si="30"/>
        <v>1</v>
      </c>
      <c r="I378">
        <f>RAW_GAMES!J378</f>
        <v>28</v>
      </c>
      <c r="J378">
        <f>RAW_GAMES!K378</f>
        <v>35</v>
      </c>
      <c r="K378">
        <f t="shared" si="31"/>
        <v>-7</v>
      </c>
      <c r="L378">
        <f>IF(RAW_GAMES!L378="","",RAW_GAMES!L378)</f>
        <v>2.7</v>
      </c>
      <c r="M378">
        <f>IF(RAW_GAMES!M378="","",RAW_GAMES!M378)</f>
        <v>3.12</v>
      </c>
      <c r="N378">
        <f t="shared" si="32"/>
        <v>-0.41999999999999993</v>
      </c>
      <c r="O378" s="7">
        <f>RAW_GAMES!O378</f>
        <v>4</v>
      </c>
      <c r="P378">
        <f>RAW_GAMES!N378</f>
        <v>2</v>
      </c>
      <c r="Q378">
        <f t="shared" si="33"/>
        <v>0.5</v>
      </c>
      <c r="R378" s="7">
        <f>RAW_GAMES!Q378</f>
        <v>6</v>
      </c>
      <c r="S378">
        <f>RAW_GAMES!P378</f>
        <v>1</v>
      </c>
      <c r="T378">
        <f t="shared" si="34"/>
        <v>0.83333333333333337</v>
      </c>
      <c r="U378">
        <f>_xlfn.XLOOKUP(C378,
  CALC_TEAMS_SEASON!B:B,
  CALC_TEAMS_SEASON!F:F)</f>
        <v>0.22060439560439565</v>
      </c>
      <c r="V378">
        <f>_xlfn.XLOOKUP(D378,
  CALC_TEAMS_SEASON!B:B,
  CALC_TEAMS_SEASON!F:F)</f>
        <v>0.17437423687423692</v>
      </c>
      <c r="W378" t="str">
        <f>RAW_GAMES!R378</f>
        <v>Kovář</v>
      </c>
      <c r="X378" s="7">
        <f>RAW_GAMES!S378</f>
        <v>34</v>
      </c>
      <c r="Y378">
        <f t="shared" si="35"/>
        <v>1</v>
      </c>
      <c r="Z378" t="str">
        <f>RAW_GAMES!V378</f>
        <v>RS</v>
      </c>
    </row>
    <row r="379" spans="1:26" x14ac:dyDescent="0.25">
      <c r="A379" t="str">
        <f>RAW_GAMES!A379</f>
        <v>25/26</v>
      </c>
      <c r="B379" s="3">
        <f>RAW_GAMES!B379</f>
        <v>45991</v>
      </c>
      <c r="C379" s="3" t="str">
        <f>RAW_GAMES!E379</f>
        <v>KOM</v>
      </c>
      <c r="D379" s="3" t="str">
        <f>RAW_GAMES!F379</f>
        <v>MBL</v>
      </c>
      <c r="E379" s="7">
        <f>RAW_GAMES!G379</f>
        <v>0</v>
      </c>
      <c r="F379">
        <f>RAW_GAMES!H379</f>
        <v>4</v>
      </c>
      <c r="G379">
        <f>RAW_GAMES!I379</f>
        <v>3</v>
      </c>
      <c r="H379">
        <f t="shared" si="30"/>
        <v>1</v>
      </c>
      <c r="I379">
        <f>RAW_GAMES!J379</f>
        <v>44</v>
      </c>
      <c r="J379">
        <f>RAW_GAMES!K379</f>
        <v>35</v>
      </c>
      <c r="K379">
        <f t="shared" si="31"/>
        <v>9</v>
      </c>
      <c r="L379">
        <f>IF(RAW_GAMES!L379="","",RAW_GAMES!L379)</f>
        <v>3.7</v>
      </c>
      <c r="M379">
        <f>IF(RAW_GAMES!M379="","",RAW_GAMES!M379)</f>
        <v>2.2999999999999998</v>
      </c>
      <c r="N379">
        <f t="shared" si="32"/>
        <v>1.4000000000000004</v>
      </c>
      <c r="O379" s="7">
        <f>RAW_GAMES!O379</f>
        <v>3</v>
      </c>
      <c r="P379">
        <f>RAW_GAMES!N379</f>
        <v>0</v>
      </c>
      <c r="Q379">
        <f t="shared" si="33"/>
        <v>0</v>
      </c>
      <c r="R379" s="7">
        <f>RAW_GAMES!Q379</f>
        <v>3</v>
      </c>
      <c r="S379">
        <f>RAW_GAMES!P379</f>
        <v>0</v>
      </c>
      <c r="T379">
        <f t="shared" si="34"/>
        <v>1</v>
      </c>
      <c r="U379">
        <f>_xlfn.XLOOKUP(C379,
  CALC_TEAMS_SEASON!B:B,
  CALC_TEAMS_SEASON!F:F)</f>
        <v>0.14358974358974358</v>
      </c>
      <c r="V379">
        <f>_xlfn.XLOOKUP(D379,
  CALC_TEAMS_SEASON!B:B,
  CALC_TEAMS_SEASON!F:F)</f>
        <v>0.11826923076923078</v>
      </c>
      <c r="W379" t="str">
        <f>RAW_GAMES!R379</f>
        <v>Krošelj</v>
      </c>
      <c r="X379" s="7">
        <f>RAW_GAMES!S379</f>
        <v>32</v>
      </c>
      <c r="Y379">
        <f t="shared" si="35"/>
        <v>1</v>
      </c>
      <c r="Z379" t="str">
        <f>RAW_GAMES!V379</f>
        <v>RS</v>
      </c>
    </row>
    <row r="380" spans="1:26" x14ac:dyDescent="0.25">
      <c r="A380" t="str">
        <f>RAW_GAMES!A380</f>
        <v>25/26</v>
      </c>
      <c r="B380" s="3">
        <f>RAW_GAMES!B380</f>
        <v>45991</v>
      </c>
      <c r="C380" s="3" t="str">
        <f>RAW_GAMES!E380</f>
        <v>CEB</v>
      </c>
      <c r="D380" s="3" t="str">
        <f>RAW_GAMES!F380</f>
        <v>MHK</v>
      </c>
      <c r="E380" s="7">
        <f>RAW_GAMES!G380</f>
        <v>0</v>
      </c>
      <c r="F380">
        <f>RAW_GAMES!H380</f>
        <v>2</v>
      </c>
      <c r="G380">
        <f>RAW_GAMES!I380</f>
        <v>4</v>
      </c>
      <c r="H380">
        <f t="shared" si="30"/>
        <v>-2</v>
      </c>
      <c r="I380">
        <f>RAW_GAMES!J380</f>
        <v>17</v>
      </c>
      <c r="J380">
        <f>RAW_GAMES!K380</f>
        <v>30</v>
      </c>
      <c r="K380">
        <f t="shared" si="31"/>
        <v>-13</v>
      </c>
      <c r="L380" t="str">
        <f>IF(RAW_GAMES!L380="","",RAW_GAMES!L380)</f>
        <v/>
      </c>
      <c r="M380" t="str">
        <f>IF(RAW_GAMES!M380="","",RAW_GAMES!M380)</f>
        <v/>
      </c>
      <c r="N380" t="str">
        <f t="shared" si="32"/>
        <v/>
      </c>
      <c r="O380" s="7">
        <f>RAW_GAMES!O380</f>
        <v>2</v>
      </c>
      <c r="P380">
        <f>RAW_GAMES!N380</f>
        <v>0</v>
      </c>
      <c r="Q380">
        <f t="shared" si="33"/>
        <v>0</v>
      </c>
      <c r="R380" s="7">
        <f>RAW_GAMES!Q380</f>
        <v>2</v>
      </c>
      <c r="S380">
        <f>RAW_GAMES!P380</f>
        <v>0</v>
      </c>
      <c r="T380">
        <f t="shared" si="34"/>
        <v>1</v>
      </c>
      <c r="U380">
        <f>_xlfn.XLOOKUP(C380,
  CALC_TEAMS_SEASON!B:B,
  CALC_TEAMS_SEASON!F:F)</f>
        <v>0.13021353646353648</v>
      </c>
      <c r="V380">
        <f>_xlfn.XLOOKUP(D380,
  CALC_TEAMS_SEASON!B:B,
  CALC_TEAMS_SEASON!F:F)</f>
        <v>0.14184981684981687</v>
      </c>
      <c r="W380" t="str">
        <f>RAW_GAMES!R380</f>
        <v>Westerholm</v>
      </c>
      <c r="X380" s="7">
        <f>RAW_GAMES!S380</f>
        <v>26</v>
      </c>
      <c r="Y380">
        <f t="shared" si="35"/>
        <v>0</v>
      </c>
      <c r="Z380" t="str">
        <f>RAW_GAMES!V380</f>
        <v>RS</v>
      </c>
    </row>
    <row r="381" spans="1:26" x14ac:dyDescent="0.25">
      <c r="A381" t="str">
        <f>RAW_GAMES!A381</f>
        <v>25/26</v>
      </c>
      <c r="B381" s="3">
        <f>RAW_GAMES!B381</f>
        <v>45991</v>
      </c>
      <c r="C381" s="3" t="str">
        <f>RAW_GAMES!E381</f>
        <v>KLA</v>
      </c>
      <c r="D381" s="3" t="str">
        <f>RAW_GAMES!F381</f>
        <v>VIT</v>
      </c>
      <c r="E381" s="7">
        <f>RAW_GAMES!G381</f>
        <v>0</v>
      </c>
      <c r="F381">
        <f>RAW_GAMES!H381</f>
        <v>3</v>
      </c>
      <c r="G381">
        <f>RAW_GAMES!I381</f>
        <v>0</v>
      </c>
      <c r="H381">
        <f t="shared" si="30"/>
        <v>3</v>
      </c>
      <c r="I381">
        <f>RAW_GAMES!J381</f>
        <v>22</v>
      </c>
      <c r="J381">
        <f>RAW_GAMES!K381</f>
        <v>39</v>
      </c>
      <c r="K381">
        <f t="shared" si="31"/>
        <v>-17</v>
      </c>
      <c r="L381" t="str">
        <f>IF(RAW_GAMES!L381="","",RAW_GAMES!L381)</f>
        <v/>
      </c>
      <c r="M381" t="str">
        <f>IF(RAW_GAMES!M381="","",RAW_GAMES!M381)</f>
        <v/>
      </c>
      <c r="N381" t="str">
        <f t="shared" si="32"/>
        <v/>
      </c>
      <c r="O381" s="7">
        <f>RAW_GAMES!O381</f>
        <v>4</v>
      </c>
      <c r="P381">
        <f>RAW_GAMES!N381</f>
        <v>2</v>
      </c>
      <c r="Q381">
        <f t="shared" si="33"/>
        <v>0.5</v>
      </c>
      <c r="R381" s="7">
        <f>RAW_GAMES!Q381</f>
        <v>7</v>
      </c>
      <c r="S381">
        <f>RAW_GAMES!P381</f>
        <v>0</v>
      </c>
      <c r="T381">
        <f t="shared" si="34"/>
        <v>1</v>
      </c>
      <c r="U381">
        <f>_xlfn.XLOOKUP(C381,
  CALC_TEAMS_SEASON!B:B,
  CALC_TEAMS_SEASON!F:F)</f>
        <v>0.13120421245421243</v>
      </c>
      <c r="V381">
        <f>_xlfn.XLOOKUP(D381,
  CALC_TEAMS_SEASON!B:B,
  CALC_TEAMS_SEASON!F:F)</f>
        <v>0.16984890109890113</v>
      </c>
      <c r="W381" t="str">
        <f>RAW_GAMES!R381</f>
        <v>Brízgala</v>
      </c>
      <c r="X381" s="7">
        <f>RAW_GAMES!S381</f>
        <v>39</v>
      </c>
      <c r="Y381">
        <f t="shared" si="35"/>
        <v>1</v>
      </c>
      <c r="Z381" t="str">
        <f>RAW_GAMES!V381</f>
        <v>RS</v>
      </c>
    </row>
    <row r="382" spans="1:26" x14ac:dyDescent="0.25">
      <c r="A382" t="str">
        <f>RAW_GAMES!A382</f>
        <v>25/26</v>
      </c>
      <c r="B382" s="3">
        <f>RAW_GAMES!B382</f>
        <v>45991</v>
      </c>
      <c r="C382" s="3" t="str">
        <f>RAW_GAMES!E382</f>
        <v>KVA</v>
      </c>
      <c r="D382" s="3" t="str">
        <f>RAW_GAMES!F382</f>
        <v>LIT</v>
      </c>
      <c r="E382" s="7">
        <f>RAW_GAMES!G382</f>
        <v>0</v>
      </c>
      <c r="F382">
        <f>RAW_GAMES!H382</f>
        <v>2</v>
      </c>
      <c r="G382">
        <f>RAW_GAMES!I382</f>
        <v>1</v>
      </c>
      <c r="H382">
        <f t="shared" si="30"/>
        <v>1</v>
      </c>
      <c r="I382">
        <f>RAW_GAMES!J382</f>
        <v>27</v>
      </c>
      <c r="J382">
        <f>RAW_GAMES!K382</f>
        <v>25</v>
      </c>
      <c r="K382">
        <f t="shared" si="31"/>
        <v>2</v>
      </c>
      <c r="L382" t="str">
        <f>IF(RAW_GAMES!L382="","",RAW_GAMES!L382)</f>
        <v/>
      </c>
      <c r="M382" t="str">
        <f>IF(RAW_GAMES!M382="","",RAW_GAMES!M382)</f>
        <v/>
      </c>
      <c r="N382" t="str">
        <f t="shared" si="32"/>
        <v/>
      </c>
      <c r="O382" s="7">
        <f>RAW_GAMES!O382</f>
        <v>4</v>
      </c>
      <c r="P382">
        <f>RAW_GAMES!N382</f>
        <v>1</v>
      </c>
      <c r="Q382">
        <f t="shared" si="33"/>
        <v>0.25</v>
      </c>
      <c r="R382" s="7">
        <f>RAW_GAMES!Q382</f>
        <v>3</v>
      </c>
      <c r="S382">
        <f>RAW_GAMES!P382</f>
        <v>0</v>
      </c>
      <c r="T382">
        <f t="shared" si="34"/>
        <v>1</v>
      </c>
      <c r="U382">
        <f>_xlfn.XLOOKUP(C382,
  CALC_TEAMS_SEASON!B:B,
  CALC_TEAMS_SEASON!F:F)</f>
        <v>0.17387057387057389</v>
      </c>
      <c r="V382">
        <f>_xlfn.XLOOKUP(D382,
  CALC_TEAMS_SEASON!B:B,
  CALC_TEAMS_SEASON!F:F)</f>
        <v>0.10089285714285713</v>
      </c>
      <c r="W382" t="str">
        <f>RAW_GAMES!R382</f>
        <v>Frodl</v>
      </c>
      <c r="X382" s="7">
        <f>RAW_GAMES!S382</f>
        <v>24</v>
      </c>
      <c r="Y382">
        <f t="shared" si="35"/>
        <v>1</v>
      </c>
      <c r="Z382" t="str">
        <f>RAW_GAMES!V382</f>
        <v>RS</v>
      </c>
    </row>
    <row r="383" spans="1:26" x14ac:dyDescent="0.25">
      <c r="A383" t="str">
        <f>RAW_GAMES!A383</f>
        <v>25/26</v>
      </c>
      <c r="B383" s="3">
        <f>RAW_GAMES!B383</f>
        <v>45991</v>
      </c>
      <c r="C383" s="3" t="str">
        <f>RAW_GAMES!E383</f>
        <v>LIB</v>
      </c>
      <c r="D383" s="3" t="str">
        <f>RAW_GAMES!F383</f>
        <v>PCE</v>
      </c>
      <c r="E383" s="7">
        <f>RAW_GAMES!G383</f>
        <v>1</v>
      </c>
      <c r="F383">
        <f>RAW_GAMES!H383</f>
        <v>4</v>
      </c>
      <c r="G383">
        <f>RAW_GAMES!I383</f>
        <v>2</v>
      </c>
      <c r="H383">
        <f t="shared" si="30"/>
        <v>2</v>
      </c>
      <c r="I383">
        <f>RAW_GAMES!J383</f>
        <v>20</v>
      </c>
      <c r="J383">
        <f>RAW_GAMES!K383</f>
        <v>40</v>
      </c>
      <c r="K383">
        <f t="shared" si="31"/>
        <v>-20</v>
      </c>
      <c r="L383">
        <f>IF(RAW_GAMES!L383="","",RAW_GAMES!L383)</f>
        <v>2.41</v>
      </c>
      <c r="M383">
        <f>IF(RAW_GAMES!M383="","",RAW_GAMES!M383)</f>
        <v>3.8</v>
      </c>
      <c r="N383">
        <f t="shared" si="32"/>
        <v>-1.3899999999999997</v>
      </c>
      <c r="O383" s="7">
        <f>RAW_GAMES!O383</f>
        <v>3</v>
      </c>
      <c r="P383">
        <f>RAW_GAMES!N383</f>
        <v>0</v>
      </c>
      <c r="Q383">
        <f t="shared" si="33"/>
        <v>0</v>
      </c>
      <c r="R383" s="7">
        <f>RAW_GAMES!Q383</f>
        <v>5</v>
      </c>
      <c r="S383">
        <f>RAW_GAMES!P383</f>
        <v>0</v>
      </c>
      <c r="T383">
        <f t="shared" si="34"/>
        <v>1</v>
      </c>
      <c r="U383">
        <f>_xlfn.XLOOKUP(C383,
  CALC_TEAMS_SEASON!B:B,
  CALC_TEAMS_SEASON!F:F)</f>
        <v>0.14377289377289379</v>
      </c>
      <c r="V383">
        <f>_xlfn.XLOOKUP(D383,
  CALC_TEAMS_SEASON!B:B,
  CALC_TEAMS_SEASON!F:F)</f>
        <v>0.20297619047619053</v>
      </c>
      <c r="W383" t="str">
        <f>RAW_GAMES!R383</f>
        <v>Kváča</v>
      </c>
      <c r="X383" s="7">
        <f>RAW_GAMES!S383</f>
        <v>38</v>
      </c>
      <c r="Y383">
        <f t="shared" si="35"/>
        <v>1</v>
      </c>
      <c r="Z383" t="str">
        <f>RAW_GAMES!V383</f>
        <v>RS</v>
      </c>
    </row>
    <row r="384" spans="1:26" x14ac:dyDescent="0.25">
      <c r="A384" t="str">
        <f>RAW_GAMES!A384</f>
        <v>25/26</v>
      </c>
      <c r="B384" s="3">
        <f>RAW_GAMES!B384</f>
        <v>45991</v>
      </c>
      <c r="C384" s="3" t="str">
        <f>RAW_GAMES!E384</f>
        <v>LIT</v>
      </c>
      <c r="D384" s="3" t="str">
        <f>RAW_GAMES!F384</f>
        <v>KVA</v>
      </c>
      <c r="E384" s="7">
        <f>RAW_GAMES!G384</f>
        <v>1</v>
      </c>
      <c r="F384">
        <f>RAW_GAMES!H384</f>
        <v>1</v>
      </c>
      <c r="G384">
        <f>RAW_GAMES!I384</f>
        <v>2</v>
      </c>
      <c r="H384">
        <f t="shared" si="30"/>
        <v>-1</v>
      </c>
      <c r="I384">
        <f>RAW_GAMES!J384</f>
        <v>25</v>
      </c>
      <c r="J384">
        <f>RAW_GAMES!K384</f>
        <v>27</v>
      </c>
      <c r="K384">
        <f t="shared" si="31"/>
        <v>-2</v>
      </c>
      <c r="L384" t="str">
        <f>IF(RAW_GAMES!L384="","",RAW_GAMES!L384)</f>
        <v/>
      </c>
      <c r="M384" t="str">
        <f>IF(RAW_GAMES!M384="","",RAW_GAMES!M384)</f>
        <v/>
      </c>
      <c r="N384" t="str">
        <f t="shared" si="32"/>
        <v/>
      </c>
      <c r="O384" s="7">
        <f>RAW_GAMES!O384</f>
        <v>3</v>
      </c>
      <c r="P384">
        <f>RAW_GAMES!N384</f>
        <v>0</v>
      </c>
      <c r="Q384">
        <f t="shared" si="33"/>
        <v>0</v>
      </c>
      <c r="R384" s="7">
        <f>RAW_GAMES!Q384</f>
        <v>4</v>
      </c>
      <c r="S384">
        <f>RAW_GAMES!P384</f>
        <v>1</v>
      </c>
      <c r="T384">
        <f t="shared" si="34"/>
        <v>0.75</v>
      </c>
      <c r="U384">
        <f>_xlfn.XLOOKUP(C384,
  CALC_TEAMS_SEASON!B:B,
  CALC_TEAMS_SEASON!F:F)</f>
        <v>0.10089285714285713</v>
      </c>
      <c r="V384">
        <f>_xlfn.XLOOKUP(D384,
  CALC_TEAMS_SEASON!B:B,
  CALC_TEAMS_SEASON!F:F)</f>
        <v>0.17387057387057389</v>
      </c>
      <c r="W384" t="str">
        <f>RAW_GAMES!R384</f>
        <v>Tomek</v>
      </c>
      <c r="X384" s="7">
        <f>RAW_GAMES!S384</f>
        <v>25</v>
      </c>
      <c r="Y384">
        <f t="shared" si="35"/>
        <v>0</v>
      </c>
      <c r="Z384" t="str">
        <f>RAW_GAMES!V384</f>
        <v>RS</v>
      </c>
    </row>
    <row r="385" spans="1:26" x14ac:dyDescent="0.25">
      <c r="A385" t="str">
        <f>RAW_GAMES!A385</f>
        <v>25/26</v>
      </c>
      <c r="B385" s="3">
        <f>RAW_GAMES!B385</f>
        <v>45991</v>
      </c>
      <c r="C385" s="3" t="str">
        <f>RAW_GAMES!E385</f>
        <v>MBL</v>
      </c>
      <c r="D385" s="3" t="str">
        <f>RAW_GAMES!F385</f>
        <v>KOM</v>
      </c>
      <c r="E385" s="7">
        <f>RAW_GAMES!G385</f>
        <v>1</v>
      </c>
      <c r="F385">
        <f>RAW_GAMES!H385</f>
        <v>3</v>
      </c>
      <c r="G385">
        <f>RAW_GAMES!I385</f>
        <v>4</v>
      </c>
      <c r="H385">
        <f t="shared" si="30"/>
        <v>-1</v>
      </c>
      <c r="I385">
        <f>RAW_GAMES!J385</f>
        <v>35</v>
      </c>
      <c r="J385">
        <f>RAW_GAMES!K385</f>
        <v>44</v>
      </c>
      <c r="K385">
        <f t="shared" si="31"/>
        <v>-9</v>
      </c>
      <c r="L385">
        <f>IF(RAW_GAMES!L385="","",RAW_GAMES!L385)</f>
        <v>2.2999999999999998</v>
      </c>
      <c r="M385">
        <f>IF(RAW_GAMES!M385="","",RAW_GAMES!M385)</f>
        <v>3.7</v>
      </c>
      <c r="N385">
        <f t="shared" si="32"/>
        <v>-1.4000000000000004</v>
      </c>
      <c r="O385" s="7">
        <f>RAW_GAMES!O385</f>
        <v>3</v>
      </c>
      <c r="P385">
        <f>RAW_GAMES!N385</f>
        <v>0</v>
      </c>
      <c r="Q385">
        <f t="shared" si="33"/>
        <v>0</v>
      </c>
      <c r="R385" s="7">
        <f>RAW_GAMES!Q385</f>
        <v>3</v>
      </c>
      <c r="S385">
        <f>RAW_GAMES!P385</f>
        <v>0</v>
      </c>
      <c r="T385">
        <f t="shared" si="34"/>
        <v>1</v>
      </c>
      <c r="U385">
        <f>_xlfn.XLOOKUP(C385,
  CALC_TEAMS_SEASON!B:B,
  CALC_TEAMS_SEASON!F:F)</f>
        <v>0.11826923076923078</v>
      </c>
      <c r="V385">
        <f>_xlfn.XLOOKUP(D385,
  CALC_TEAMS_SEASON!B:B,
  CALC_TEAMS_SEASON!F:F)</f>
        <v>0.14358974358974358</v>
      </c>
      <c r="W385" t="str">
        <f>RAW_GAMES!R385</f>
        <v>Mokry</v>
      </c>
      <c r="X385" s="7">
        <f>RAW_GAMES!S385</f>
        <v>40</v>
      </c>
      <c r="Y385">
        <f t="shared" si="35"/>
        <v>0</v>
      </c>
      <c r="Z385" t="str">
        <f>RAW_GAMES!V385</f>
        <v>RS</v>
      </c>
    </row>
    <row r="386" spans="1:26" x14ac:dyDescent="0.25">
      <c r="A386" t="str">
        <f>RAW_GAMES!A386</f>
        <v>25/26</v>
      </c>
      <c r="B386" s="3">
        <f>RAW_GAMES!B386</f>
        <v>45991</v>
      </c>
      <c r="C386" s="3" t="str">
        <f>RAW_GAMES!E386</f>
        <v>MHK</v>
      </c>
      <c r="D386" s="3" t="str">
        <f>RAW_GAMES!F386</f>
        <v>CEB</v>
      </c>
      <c r="E386" s="7">
        <f>RAW_GAMES!G386</f>
        <v>1</v>
      </c>
      <c r="F386">
        <f>RAW_GAMES!H386</f>
        <v>4</v>
      </c>
      <c r="G386">
        <f>RAW_GAMES!I386</f>
        <v>2</v>
      </c>
      <c r="H386">
        <f t="shared" si="30"/>
        <v>2</v>
      </c>
      <c r="I386">
        <f>RAW_GAMES!J386</f>
        <v>30</v>
      </c>
      <c r="J386">
        <f>RAW_GAMES!K386</f>
        <v>17</v>
      </c>
      <c r="K386">
        <f t="shared" si="31"/>
        <v>13</v>
      </c>
      <c r="L386" t="str">
        <f>IF(RAW_GAMES!L386="","",RAW_GAMES!L386)</f>
        <v/>
      </c>
      <c r="M386" t="str">
        <f>IF(RAW_GAMES!M386="","",RAW_GAMES!M386)</f>
        <v/>
      </c>
      <c r="N386" t="str">
        <f t="shared" si="32"/>
        <v/>
      </c>
      <c r="O386" s="7">
        <f>RAW_GAMES!O386</f>
        <v>2</v>
      </c>
      <c r="P386">
        <f>RAW_GAMES!N386</f>
        <v>0</v>
      </c>
      <c r="Q386">
        <f t="shared" si="33"/>
        <v>0</v>
      </c>
      <c r="R386" s="7">
        <f>RAW_GAMES!Q386</f>
        <v>2</v>
      </c>
      <c r="S386">
        <f>RAW_GAMES!P386</f>
        <v>0</v>
      </c>
      <c r="T386">
        <f t="shared" si="34"/>
        <v>1</v>
      </c>
      <c r="U386">
        <f>_xlfn.XLOOKUP(C386,
  CALC_TEAMS_SEASON!B:B,
  CALC_TEAMS_SEASON!F:F)</f>
        <v>0.14184981684981687</v>
      </c>
      <c r="V386">
        <f>_xlfn.XLOOKUP(D386,
  CALC_TEAMS_SEASON!B:B,
  CALC_TEAMS_SEASON!F:F)</f>
        <v>0.13021353646353648</v>
      </c>
      <c r="W386" t="str">
        <f>RAW_GAMES!R386</f>
        <v>Novotný</v>
      </c>
      <c r="X386" s="7">
        <f>RAW_GAMES!S386</f>
        <v>15</v>
      </c>
      <c r="Y386">
        <f t="shared" si="35"/>
        <v>1</v>
      </c>
      <c r="Z386" t="str">
        <f>RAW_GAMES!V386</f>
        <v>RS</v>
      </c>
    </row>
    <row r="387" spans="1:26" x14ac:dyDescent="0.25">
      <c r="A387" t="str">
        <f>RAW_GAMES!A387</f>
        <v>25/26</v>
      </c>
      <c r="B387" s="3">
        <f>RAW_GAMES!B387</f>
        <v>45991</v>
      </c>
      <c r="C387" s="3" t="str">
        <f>RAW_GAMES!E387</f>
        <v>OLO</v>
      </c>
      <c r="D387" s="3" t="str">
        <f>RAW_GAMES!F387</f>
        <v>PLZ</v>
      </c>
      <c r="E387" s="7">
        <f>RAW_GAMES!G387</f>
        <v>1</v>
      </c>
      <c r="F387">
        <f>RAW_GAMES!H387</f>
        <v>1</v>
      </c>
      <c r="G387">
        <f>RAW_GAMES!I387</f>
        <v>0</v>
      </c>
      <c r="H387">
        <f t="shared" ref="H387:H450" si="36">F387-G387</f>
        <v>1</v>
      </c>
      <c r="I387">
        <f>RAW_GAMES!J387</f>
        <v>25</v>
      </c>
      <c r="J387">
        <f>RAW_GAMES!K387</f>
        <v>23</v>
      </c>
      <c r="K387">
        <f t="shared" ref="K387:K450" si="37">I387-J387</f>
        <v>2</v>
      </c>
      <c r="L387" t="str">
        <f>IF(RAW_GAMES!L387="","",RAW_GAMES!L387)</f>
        <v/>
      </c>
      <c r="M387" t="str">
        <f>IF(RAW_GAMES!M387="","",RAW_GAMES!M387)</f>
        <v/>
      </c>
      <c r="N387" t="str">
        <f t="shared" ref="N387:N450" si="38">IF(L387="","",L387-M387)</f>
        <v/>
      </c>
      <c r="O387" s="7">
        <f>RAW_GAMES!O387</f>
        <v>5</v>
      </c>
      <c r="P387">
        <f>RAW_GAMES!N387</f>
        <v>0</v>
      </c>
      <c r="Q387">
        <f t="shared" ref="Q387:Q450" si="39">IF(O387&gt;0,P387/O387,0)</f>
        <v>0</v>
      </c>
      <c r="R387" s="7">
        <f>RAW_GAMES!Q387</f>
        <v>2</v>
      </c>
      <c r="S387">
        <f>RAW_GAMES!P387</f>
        <v>0</v>
      </c>
      <c r="T387">
        <f t="shared" ref="T387:T450" si="40">IF(R387&gt;0, 1-(S387/R387),1)</f>
        <v>1</v>
      </c>
      <c r="U387">
        <f>_xlfn.XLOOKUP(C387,
  CALC_TEAMS_SEASON!B:B,
  CALC_TEAMS_SEASON!F:F)</f>
        <v>0.14989316239316242</v>
      </c>
      <c r="V387">
        <f>_xlfn.XLOOKUP(D387,
  CALC_TEAMS_SEASON!B:B,
  CALC_TEAMS_SEASON!F:F)</f>
        <v>0.17641178266178262</v>
      </c>
      <c r="W387" t="str">
        <f>RAW_GAMES!R387</f>
        <v>Machovský</v>
      </c>
      <c r="X387" s="7">
        <f>RAW_GAMES!S387</f>
        <v>22</v>
      </c>
      <c r="Y387">
        <f t="shared" ref="Y387:Y450" si="41">IF(F387&gt;G387,1,0)</f>
        <v>1</v>
      </c>
      <c r="Z387" t="str">
        <f>RAW_GAMES!V387</f>
        <v>RS</v>
      </c>
    </row>
    <row r="388" spans="1:26" x14ac:dyDescent="0.25">
      <c r="A388" t="str">
        <f>RAW_GAMES!A388</f>
        <v>25/26</v>
      </c>
      <c r="B388" s="3">
        <f>RAW_GAMES!B388</f>
        <v>45991</v>
      </c>
      <c r="C388" s="3" t="str">
        <f>RAW_GAMES!E388</f>
        <v>PLZ</v>
      </c>
      <c r="D388" s="3" t="str">
        <f>RAW_GAMES!F388</f>
        <v>OLO</v>
      </c>
      <c r="E388" s="7">
        <f>RAW_GAMES!G388</f>
        <v>0</v>
      </c>
      <c r="F388">
        <f>RAW_GAMES!H388</f>
        <v>0</v>
      </c>
      <c r="G388">
        <f>RAW_GAMES!I388</f>
        <v>1</v>
      </c>
      <c r="H388">
        <f t="shared" si="36"/>
        <v>-1</v>
      </c>
      <c r="I388">
        <f>RAW_GAMES!J388</f>
        <v>23</v>
      </c>
      <c r="J388">
        <f>RAW_GAMES!K388</f>
        <v>25</v>
      </c>
      <c r="K388">
        <f t="shared" si="37"/>
        <v>-2</v>
      </c>
      <c r="L388" t="str">
        <f>IF(RAW_GAMES!L388="","",RAW_GAMES!L388)</f>
        <v/>
      </c>
      <c r="M388" t="str">
        <f>IF(RAW_GAMES!M388="","",RAW_GAMES!M388)</f>
        <v/>
      </c>
      <c r="N388" t="str">
        <f t="shared" si="38"/>
        <v/>
      </c>
      <c r="O388" s="7">
        <f>RAW_GAMES!O388</f>
        <v>2</v>
      </c>
      <c r="P388">
        <f>RAW_GAMES!N388</f>
        <v>0</v>
      </c>
      <c r="Q388">
        <f t="shared" si="39"/>
        <v>0</v>
      </c>
      <c r="R388" s="7">
        <f>RAW_GAMES!Q388</f>
        <v>5</v>
      </c>
      <c r="S388">
        <f>RAW_GAMES!P388</f>
        <v>0</v>
      </c>
      <c r="T388">
        <f t="shared" si="40"/>
        <v>1</v>
      </c>
      <c r="U388">
        <f>_xlfn.XLOOKUP(C388,
  CALC_TEAMS_SEASON!B:B,
  CALC_TEAMS_SEASON!F:F)</f>
        <v>0.17641178266178262</v>
      </c>
      <c r="V388">
        <f>_xlfn.XLOOKUP(D388,
  CALC_TEAMS_SEASON!B:B,
  CALC_TEAMS_SEASON!F:F)</f>
        <v>0.14989316239316242</v>
      </c>
      <c r="W388" t="str">
        <f>RAW_GAMES!R388</f>
        <v>Malík</v>
      </c>
      <c r="X388" s="7">
        <f>RAW_GAMES!S388</f>
        <v>24</v>
      </c>
      <c r="Y388">
        <f t="shared" si="41"/>
        <v>0</v>
      </c>
      <c r="Z388" t="str">
        <f>RAW_GAMES!V388</f>
        <v>RS</v>
      </c>
    </row>
    <row r="389" spans="1:26" x14ac:dyDescent="0.25">
      <c r="A389" t="str">
        <f>RAW_GAMES!A389</f>
        <v>25/26</v>
      </c>
      <c r="B389" s="3">
        <f>RAW_GAMES!B389</f>
        <v>45991</v>
      </c>
      <c r="C389" s="3" t="str">
        <f>RAW_GAMES!E389</f>
        <v>VIT</v>
      </c>
      <c r="D389" s="3" t="str">
        <f>RAW_GAMES!F389</f>
        <v>KLA</v>
      </c>
      <c r="E389" s="7">
        <f>RAW_GAMES!G389</f>
        <v>1</v>
      </c>
      <c r="F389">
        <f>RAW_GAMES!H389</f>
        <v>0</v>
      </c>
      <c r="G389">
        <f>RAW_GAMES!I389</f>
        <v>3</v>
      </c>
      <c r="H389">
        <f t="shared" si="36"/>
        <v>-3</v>
      </c>
      <c r="I389">
        <f>RAW_GAMES!J389</f>
        <v>39</v>
      </c>
      <c r="J389">
        <f>RAW_GAMES!K389</f>
        <v>22</v>
      </c>
      <c r="K389">
        <f t="shared" si="37"/>
        <v>17</v>
      </c>
      <c r="L389" t="str">
        <f>IF(RAW_GAMES!L389="","",RAW_GAMES!L389)</f>
        <v/>
      </c>
      <c r="M389" t="str">
        <f>IF(RAW_GAMES!M389="","",RAW_GAMES!M389)</f>
        <v/>
      </c>
      <c r="N389" t="str">
        <f t="shared" si="38"/>
        <v/>
      </c>
      <c r="O389" s="7">
        <f>RAW_GAMES!O389</f>
        <v>7</v>
      </c>
      <c r="P389">
        <f>RAW_GAMES!N389</f>
        <v>0</v>
      </c>
      <c r="Q389">
        <f t="shared" si="39"/>
        <v>0</v>
      </c>
      <c r="R389" s="7">
        <f>RAW_GAMES!Q389</f>
        <v>4</v>
      </c>
      <c r="S389">
        <f>RAW_GAMES!P389</f>
        <v>2</v>
      </c>
      <c r="T389">
        <f t="shared" si="40"/>
        <v>0.5</v>
      </c>
      <c r="U389">
        <f>_xlfn.XLOOKUP(C389,
  CALC_TEAMS_SEASON!B:B,
  CALC_TEAMS_SEASON!F:F)</f>
        <v>0.16984890109890113</v>
      </c>
      <c r="V389">
        <f>_xlfn.XLOOKUP(D389,
  CALC_TEAMS_SEASON!B:B,
  CALC_TEAMS_SEASON!F:F)</f>
        <v>0.13120421245421243</v>
      </c>
      <c r="W389" t="str">
        <f>RAW_GAMES!R389</f>
        <v>Hrachovina</v>
      </c>
      <c r="X389" s="7">
        <f>RAW_GAMES!S389</f>
        <v>19</v>
      </c>
      <c r="Y389">
        <f t="shared" si="41"/>
        <v>0</v>
      </c>
      <c r="Z389" t="str">
        <f>RAW_GAMES!V389</f>
        <v>RS</v>
      </c>
    </row>
    <row r="390" spans="1:26" x14ac:dyDescent="0.25">
      <c r="A390" t="str">
        <f>RAW_GAMES!A390</f>
        <v>25/26</v>
      </c>
      <c r="B390" s="3">
        <f>RAW_GAMES!B390</f>
        <v>45994</v>
      </c>
      <c r="C390" s="3" t="str">
        <f>RAW_GAMES!E390</f>
        <v>TRI</v>
      </c>
      <c r="D390" s="3" t="str">
        <f>RAW_GAMES!F390</f>
        <v>MHK</v>
      </c>
      <c r="E390" s="7">
        <f>RAW_GAMES!G390</f>
        <v>1</v>
      </c>
      <c r="F390">
        <f>RAW_GAMES!H390</f>
        <v>6</v>
      </c>
      <c r="G390">
        <f>RAW_GAMES!I390</f>
        <v>1</v>
      </c>
      <c r="H390">
        <f t="shared" si="36"/>
        <v>5</v>
      </c>
      <c r="I390">
        <f>RAW_GAMES!J390</f>
        <v>37</v>
      </c>
      <c r="J390">
        <f>RAW_GAMES!K390</f>
        <v>23</v>
      </c>
      <c r="K390">
        <f t="shared" si="37"/>
        <v>14</v>
      </c>
      <c r="L390">
        <f>IF(RAW_GAMES!L390="","",RAW_GAMES!L390)</f>
        <v>2.2599999999999998</v>
      </c>
      <c r="M390">
        <f>IF(RAW_GAMES!M390="","",RAW_GAMES!M390)</f>
        <v>1.67</v>
      </c>
      <c r="N390">
        <f t="shared" si="38"/>
        <v>0.58999999999999986</v>
      </c>
      <c r="O390" s="7">
        <f>RAW_GAMES!O390</f>
        <v>4</v>
      </c>
      <c r="P390">
        <f>RAW_GAMES!N390</f>
        <v>1</v>
      </c>
      <c r="Q390">
        <f t="shared" si="39"/>
        <v>0.25</v>
      </c>
      <c r="R390" s="7">
        <f>RAW_GAMES!Q390</f>
        <v>2</v>
      </c>
      <c r="S390">
        <f>RAW_GAMES!P390</f>
        <v>0</v>
      </c>
      <c r="T390">
        <f t="shared" si="40"/>
        <v>1</v>
      </c>
      <c r="U390">
        <f>_xlfn.XLOOKUP(C390,
  CALC_TEAMS_SEASON!B:B,
  CALC_TEAMS_SEASON!F:F)</f>
        <v>0.17437423687423692</v>
      </c>
      <c r="V390">
        <f>_xlfn.XLOOKUP(D390,
  CALC_TEAMS_SEASON!B:B,
  CALC_TEAMS_SEASON!F:F)</f>
        <v>0.14184981684981687</v>
      </c>
      <c r="W390" t="str">
        <f>RAW_GAMES!R390</f>
        <v>Kacetl</v>
      </c>
      <c r="X390" s="7">
        <f>RAW_GAMES!S390</f>
        <v>22</v>
      </c>
      <c r="Y390">
        <f t="shared" si="41"/>
        <v>1</v>
      </c>
      <c r="Z390" t="str">
        <f>RAW_GAMES!V390</f>
        <v>RS</v>
      </c>
    </row>
    <row r="391" spans="1:26" x14ac:dyDescent="0.25">
      <c r="A391" t="str">
        <f>RAW_GAMES!A391</f>
        <v>25/26</v>
      </c>
      <c r="B391" s="3">
        <f>RAW_GAMES!B391</f>
        <v>45994</v>
      </c>
      <c r="C391" s="3" t="str">
        <f>RAW_GAMES!E391</f>
        <v>MHK</v>
      </c>
      <c r="D391" s="3" t="str">
        <f>RAW_GAMES!F391</f>
        <v>TRI</v>
      </c>
      <c r="E391" s="7">
        <f>RAW_GAMES!G391</f>
        <v>0</v>
      </c>
      <c r="F391">
        <f>RAW_GAMES!H391</f>
        <v>1</v>
      </c>
      <c r="G391">
        <f>RAW_GAMES!I391</f>
        <v>6</v>
      </c>
      <c r="H391">
        <f t="shared" si="36"/>
        <v>-5</v>
      </c>
      <c r="I391">
        <f>RAW_GAMES!J391</f>
        <v>23</v>
      </c>
      <c r="J391">
        <f>RAW_GAMES!K391</f>
        <v>37</v>
      </c>
      <c r="K391">
        <f t="shared" si="37"/>
        <v>-14</v>
      </c>
      <c r="L391">
        <f>IF(RAW_GAMES!L391="","",RAW_GAMES!L391)</f>
        <v>1.67</v>
      </c>
      <c r="M391">
        <f>IF(RAW_GAMES!M391="","",RAW_GAMES!M391)</f>
        <v>2.2599999999999998</v>
      </c>
      <c r="N391">
        <f t="shared" si="38"/>
        <v>-0.58999999999999986</v>
      </c>
      <c r="O391" s="7">
        <f>RAW_GAMES!O391</f>
        <v>2</v>
      </c>
      <c r="P391">
        <f>RAW_GAMES!N391</f>
        <v>0</v>
      </c>
      <c r="Q391">
        <f t="shared" si="39"/>
        <v>0</v>
      </c>
      <c r="R391" s="7">
        <f>RAW_GAMES!Q391</f>
        <v>4</v>
      </c>
      <c r="S391">
        <f>RAW_GAMES!P391</f>
        <v>1</v>
      </c>
      <c r="T391">
        <f t="shared" si="40"/>
        <v>0.75</v>
      </c>
      <c r="U391">
        <f>_xlfn.XLOOKUP(C391,
  CALC_TEAMS_SEASON!B:B,
  CALC_TEAMS_SEASON!F:F)</f>
        <v>0.14184981684981687</v>
      </c>
      <c r="V391">
        <f>_xlfn.XLOOKUP(D391,
  CALC_TEAMS_SEASON!B:B,
  CALC_TEAMS_SEASON!F:F)</f>
        <v>0.17437423687423692</v>
      </c>
      <c r="W391" t="str">
        <f>RAW_GAMES!R391</f>
        <v>Novotný</v>
      </c>
      <c r="X391" s="7">
        <f>RAW_GAMES!S391</f>
        <v>31</v>
      </c>
      <c r="Y391">
        <f t="shared" si="41"/>
        <v>0</v>
      </c>
      <c r="Z391" t="str">
        <f>RAW_GAMES!V391</f>
        <v>RS</v>
      </c>
    </row>
    <row r="392" spans="1:26" x14ac:dyDescent="0.25">
      <c r="A392" t="str">
        <f>RAW_GAMES!A392</f>
        <v>25/26</v>
      </c>
      <c r="B392" s="3">
        <f>RAW_GAMES!B392</f>
        <v>45994</v>
      </c>
      <c r="C392" s="3" t="str">
        <f>RAW_GAMES!E392</f>
        <v>OLO</v>
      </c>
      <c r="D392" s="3" t="str">
        <f>RAW_GAMES!F392</f>
        <v>VIT</v>
      </c>
      <c r="E392" s="7">
        <f>RAW_GAMES!G392</f>
        <v>0</v>
      </c>
      <c r="F392">
        <f>RAW_GAMES!H392</f>
        <v>5</v>
      </c>
      <c r="G392">
        <f>RAW_GAMES!I392</f>
        <v>1</v>
      </c>
      <c r="H392">
        <f t="shared" si="36"/>
        <v>4</v>
      </c>
      <c r="I392">
        <f>RAW_GAMES!J392</f>
        <v>23</v>
      </c>
      <c r="J392">
        <f>RAW_GAMES!K392</f>
        <v>41</v>
      </c>
      <c r="K392">
        <f t="shared" si="37"/>
        <v>-18</v>
      </c>
      <c r="L392" t="str">
        <f>IF(RAW_GAMES!L392="","",RAW_GAMES!L392)</f>
        <v/>
      </c>
      <c r="M392" t="str">
        <f>IF(RAW_GAMES!M392="","",RAW_GAMES!M392)</f>
        <v/>
      </c>
      <c r="N392" t="str">
        <f t="shared" si="38"/>
        <v/>
      </c>
      <c r="O392" s="7">
        <f>RAW_GAMES!O392</f>
        <v>4</v>
      </c>
      <c r="P392">
        <f>RAW_GAMES!N392</f>
        <v>1</v>
      </c>
      <c r="Q392">
        <f t="shared" si="39"/>
        <v>0.25</v>
      </c>
      <c r="R392" s="7">
        <f>RAW_GAMES!Q392</f>
        <v>5</v>
      </c>
      <c r="S392">
        <f>RAW_GAMES!P392</f>
        <v>0</v>
      </c>
      <c r="T392">
        <f t="shared" si="40"/>
        <v>1</v>
      </c>
      <c r="U392">
        <f>_xlfn.XLOOKUP(C392,
  CALC_TEAMS_SEASON!B:B,
  CALC_TEAMS_SEASON!F:F)</f>
        <v>0.14989316239316242</v>
      </c>
      <c r="V392">
        <f>_xlfn.XLOOKUP(D392,
  CALC_TEAMS_SEASON!B:B,
  CALC_TEAMS_SEASON!F:F)</f>
        <v>0.16984890109890113</v>
      </c>
      <c r="W392" t="str">
        <f>RAW_GAMES!R392</f>
        <v>Machovský</v>
      </c>
      <c r="X392" s="7">
        <f>RAW_GAMES!S392</f>
        <v>40</v>
      </c>
      <c r="Y392">
        <f t="shared" si="41"/>
        <v>1</v>
      </c>
      <c r="Z392" t="str">
        <f>RAW_GAMES!V392</f>
        <v>RS</v>
      </c>
    </row>
    <row r="393" spans="1:26" x14ac:dyDescent="0.25">
      <c r="A393" t="str">
        <f>RAW_GAMES!A393</f>
        <v>25/26</v>
      </c>
      <c r="B393" s="3">
        <f>RAW_GAMES!B393</f>
        <v>45994</v>
      </c>
      <c r="C393" s="3" t="str">
        <f>RAW_GAMES!E393</f>
        <v>VIT</v>
      </c>
      <c r="D393" s="3" t="str">
        <f>RAW_GAMES!F393</f>
        <v>OLO</v>
      </c>
      <c r="E393" s="7">
        <f>RAW_GAMES!G393</f>
        <v>1</v>
      </c>
      <c r="F393">
        <f>RAW_GAMES!H393</f>
        <v>1</v>
      </c>
      <c r="G393">
        <f>RAW_GAMES!I393</f>
        <v>5</v>
      </c>
      <c r="H393">
        <f t="shared" si="36"/>
        <v>-4</v>
      </c>
      <c r="I393">
        <f>RAW_GAMES!J393</f>
        <v>41</v>
      </c>
      <c r="J393">
        <f>RAW_GAMES!K393</f>
        <v>23</v>
      </c>
      <c r="K393">
        <f t="shared" si="37"/>
        <v>18</v>
      </c>
      <c r="L393" t="str">
        <f>IF(RAW_GAMES!L393="","",RAW_GAMES!L393)</f>
        <v/>
      </c>
      <c r="M393" t="str">
        <f>IF(RAW_GAMES!M393="","",RAW_GAMES!M393)</f>
        <v/>
      </c>
      <c r="N393" t="str">
        <f t="shared" si="38"/>
        <v/>
      </c>
      <c r="O393" s="7">
        <f>RAW_GAMES!O393</f>
        <v>5</v>
      </c>
      <c r="P393">
        <f>RAW_GAMES!N393</f>
        <v>0</v>
      </c>
      <c r="Q393">
        <f t="shared" si="39"/>
        <v>0</v>
      </c>
      <c r="R393" s="7">
        <f>RAW_GAMES!Q393</f>
        <v>4</v>
      </c>
      <c r="S393">
        <f>RAW_GAMES!P393</f>
        <v>1</v>
      </c>
      <c r="T393">
        <f t="shared" si="40"/>
        <v>0.75</v>
      </c>
      <c r="U393">
        <f>_xlfn.XLOOKUP(C393,
  CALC_TEAMS_SEASON!B:B,
  CALC_TEAMS_SEASON!F:F)</f>
        <v>0.16984890109890113</v>
      </c>
      <c r="V393">
        <f>_xlfn.XLOOKUP(D393,
  CALC_TEAMS_SEASON!B:B,
  CALC_TEAMS_SEASON!F:F)</f>
        <v>0.14989316239316242</v>
      </c>
      <c r="W393" t="str">
        <f>RAW_GAMES!R393</f>
        <v>Klimeš</v>
      </c>
      <c r="X393" s="7">
        <f>RAW_GAMES!S393</f>
        <v>18</v>
      </c>
      <c r="Y393">
        <f t="shared" si="41"/>
        <v>0</v>
      </c>
      <c r="Z393" t="str">
        <f>RAW_GAMES!V393</f>
        <v>RS</v>
      </c>
    </row>
    <row r="394" spans="1:26" x14ac:dyDescent="0.25">
      <c r="A394" t="str">
        <f>RAW_GAMES!A394</f>
        <v>25/26</v>
      </c>
      <c r="B394" s="3">
        <f>RAW_GAMES!B394</f>
        <v>45996</v>
      </c>
      <c r="C394" s="3" t="str">
        <f>RAW_GAMES!E394</f>
        <v>PCE</v>
      </c>
      <c r="D394" s="3" t="str">
        <f>RAW_GAMES!F394</f>
        <v>MBL</v>
      </c>
      <c r="E394" s="7">
        <f>RAW_GAMES!G394</f>
        <v>1</v>
      </c>
      <c r="F394">
        <f>RAW_GAMES!H394</f>
        <v>5</v>
      </c>
      <c r="G394">
        <f>RAW_GAMES!I394</f>
        <v>2</v>
      </c>
      <c r="H394">
        <f t="shared" si="36"/>
        <v>3</v>
      </c>
      <c r="I394">
        <f>RAW_GAMES!J394</f>
        <v>33</v>
      </c>
      <c r="J394">
        <f>RAW_GAMES!K394</f>
        <v>17</v>
      </c>
      <c r="K394">
        <f t="shared" si="37"/>
        <v>16</v>
      </c>
      <c r="L394">
        <f>IF(RAW_GAMES!L394="","",RAW_GAMES!L394)</f>
        <v>2.68</v>
      </c>
      <c r="M394">
        <f>IF(RAW_GAMES!M394="","",RAW_GAMES!M394)</f>
        <v>1.77</v>
      </c>
      <c r="N394">
        <f t="shared" si="38"/>
        <v>0.91000000000000014</v>
      </c>
      <c r="O394" s="7">
        <f>RAW_GAMES!O394</f>
        <v>3</v>
      </c>
      <c r="P394">
        <f>RAW_GAMES!N394</f>
        <v>2</v>
      </c>
      <c r="Q394">
        <f t="shared" si="39"/>
        <v>0.66666666666666663</v>
      </c>
      <c r="R394" s="7">
        <f>RAW_GAMES!Q394</f>
        <v>2</v>
      </c>
      <c r="S394">
        <f>RAW_GAMES!P394</f>
        <v>1</v>
      </c>
      <c r="T394">
        <f t="shared" si="40"/>
        <v>0.5</v>
      </c>
      <c r="U394">
        <f>_xlfn.XLOOKUP(C394,
  CALC_TEAMS_SEASON!B:B,
  CALC_TEAMS_SEASON!F:F)</f>
        <v>0.20297619047619053</v>
      </c>
      <c r="V394">
        <f>_xlfn.XLOOKUP(D394,
  CALC_TEAMS_SEASON!B:B,
  CALC_TEAMS_SEASON!F:F)</f>
        <v>0.11826923076923078</v>
      </c>
      <c r="W394" t="str">
        <f>RAW_GAMES!R394</f>
        <v>Will</v>
      </c>
      <c r="X394" s="7">
        <f>RAW_GAMES!S394</f>
        <v>15</v>
      </c>
      <c r="Y394">
        <f t="shared" si="41"/>
        <v>1</v>
      </c>
      <c r="Z394" t="str">
        <f>RAW_GAMES!V394</f>
        <v>RS</v>
      </c>
    </row>
    <row r="395" spans="1:26" x14ac:dyDescent="0.25">
      <c r="A395" t="str">
        <f>RAW_GAMES!A395</f>
        <v>25/26</v>
      </c>
      <c r="B395" s="3">
        <f>RAW_GAMES!B395</f>
        <v>45996</v>
      </c>
      <c r="C395" s="3" t="str">
        <f>RAW_GAMES!E395</f>
        <v>TRI</v>
      </c>
      <c r="D395" s="3" t="str">
        <f>RAW_GAMES!F395</f>
        <v>LIB</v>
      </c>
      <c r="E395" s="7">
        <f>RAW_GAMES!G395</f>
        <v>1</v>
      </c>
      <c r="F395">
        <f>RAW_GAMES!H395</f>
        <v>3</v>
      </c>
      <c r="G395">
        <f>RAW_GAMES!I395</f>
        <v>5</v>
      </c>
      <c r="H395">
        <f t="shared" si="36"/>
        <v>-2</v>
      </c>
      <c r="I395">
        <f>RAW_GAMES!J395</f>
        <v>38</v>
      </c>
      <c r="J395">
        <f>RAW_GAMES!K395</f>
        <v>34</v>
      </c>
      <c r="K395">
        <f t="shared" si="37"/>
        <v>4</v>
      </c>
      <c r="L395">
        <f>IF(RAW_GAMES!L395="","",RAW_GAMES!L395)</f>
        <v>3.97</v>
      </c>
      <c r="M395">
        <f>IF(RAW_GAMES!M395="","",RAW_GAMES!M395)</f>
        <v>2.84</v>
      </c>
      <c r="N395">
        <f t="shared" si="38"/>
        <v>1.1300000000000003</v>
      </c>
      <c r="O395" s="7">
        <f>RAW_GAMES!O395</f>
        <v>1</v>
      </c>
      <c r="P395">
        <f>RAW_GAMES!N395</f>
        <v>0</v>
      </c>
      <c r="Q395">
        <f t="shared" si="39"/>
        <v>0</v>
      </c>
      <c r="R395" s="7">
        <f>RAW_GAMES!Q395</f>
        <v>2</v>
      </c>
      <c r="S395">
        <f>RAW_GAMES!P395</f>
        <v>1</v>
      </c>
      <c r="T395">
        <f t="shared" si="40"/>
        <v>0.5</v>
      </c>
      <c r="U395">
        <f>_xlfn.XLOOKUP(C395,
  CALC_TEAMS_SEASON!B:B,
  CALC_TEAMS_SEASON!F:F)</f>
        <v>0.17437423687423692</v>
      </c>
      <c r="V395">
        <f>_xlfn.XLOOKUP(D395,
  CALC_TEAMS_SEASON!B:B,
  CALC_TEAMS_SEASON!F:F)</f>
        <v>0.14377289377289379</v>
      </c>
      <c r="W395" t="str">
        <f>RAW_GAMES!R395</f>
        <v>Kacetl</v>
      </c>
      <c r="X395" s="7">
        <f>RAW_GAMES!S395</f>
        <v>29</v>
      </c>
      <c r="Y395">
        <f t="shared" si="41"/>
        <v>0</v>
      </c>
      <c r="Z395" t="str">
        <f>RAW_GAMES!V395</f>
        <v>RS</v>
      </c>
    </row>
    <row r="396" spans="1:26" x14ac:dyDescent="0.25">
      <c r="A396" t="str">
        <f>RAW_GAMES!A396</f>
        <v>25/26</v>
      </c>
      <c r="B396" s="3">
        <f>RAW_GAMES!B396</f>
        <v>45996</v>
      </c>
      <c r="C396" s="3" t="str">
        <f>RAW_GAMES!E396</f>
        <v>SPA</v>
      </c>
      <c r="D396" s="3" t="str">
        <f>RAW_GAMES!F396</f>
        <v>KOM</v>
      </c>
      <c r="E396" s="7">
        <f>RAW_GAMES!G396</f>
        <v>0</v>
      </c>
      <c r="F396">
        <f>RAW_GAMES!H396</f>
        <v>1</v>
      </c>
      <c r="G396">
        <f>RAW_GAMES!I396</f>
        <v>3</v>
      </c>
      <c r="H396">
        <f t="shared" si="36"/>
        <v>-2</v>
      </c>
      <c r="I396">
        <f>RAW_GAMES!J396</f>
        <v>27</v>
      </c>
      <c r="J396">
        <f>RAW_GAMES!K396</f>
        <v>29</v>
      </c>
      <c r="K396">
        <f t="shared" si="37"/>
        <v>-2</v>
      </c>
      <c r="L396">
        <f>IF(RAW_GAMES!L396="","",RAW_GAMES!L396)</f>
        <v>2.2799999999999998</v>
      </c>
      <c r="M396">
        <f>IF(RAW_GAMES!M396="","",RAW_GAMES!M396)</f>
        <v>3.79</v>
      </c>
      <c r="N396">
        <f t="shared" si="38"/>
        <v>-1.5100000000000002</v>
      </c>
      <c r="O396" s="7">
        <f>RAW_GAMES!O396</f>
        <v>0</v>
      </c>
      <c r="P396">
        <f>RAW_GAMES!N396</f>
        <v>0</v>
      </c>
      <c r="Q396">
        <f t="shared" si="39"/>
        <v>0</v>
      </c>
      <c r="R396" s="7">
        <f>RAW_GAMES!Q396</f>
        <v>5</v>
      </c>
      <c r="S396">
        <f>RAW_GAMES!P396</f>
        <v>0</v>
      </c>
      <c r="T396">
        <f t="shared" si="40"/>
        <v>1</v>
      </c>
      <c r="U396">
        <f>_xlfn.XLOOKUP(C396,
  CALC_TEAMS_SEASON!B:B,
  CALC_TEAMS_SEASON!F:F)</f>
        <v>0.22060439560439565</v>
      </c>
      <c r="V396">
        <f>_xlfn.XLOOKUP(D396,
  CALC_TEAMS_SEASON!B:B,
  CALC_TEAMS_SEASON!F:F)</f>
        <v>0.14358974358974358</v>
      </c>
      <c r="W396" t="str">
        <f>RAW_GAMES!R396</f>
        <v>Kovář</v>
      </c>
      <c r="X396" s="7">
        <f>RAW_GAMES!S396</f>
        <v>26</v>
      </c>
      <c r="Y396">
        <f t="shared" si="41"/>
        <v>0</v>
      </c>
      <c r="Z396" t="str">
        <f>RAW_GAMES!V396</f>
        <v>RS</v>
      </c>
    </row>
    <row r="397" spans="1:26" x14ac:dyDescent="0.25">
      <c r="A397" t="str">
        <f>RAW_GAMES!A397</f>
        <v>25/26</v>
      </c>
      <c r="B397" s="3">
        <f>RAW_GAMES!B397</f>
        <v>45996</v>
      </c>
      <c r="C397" s="3" t="str">
        <f>RAW_GAMES!E397</f>
        <v>KOM</v>
      </c>
      <c r="D397" s="3" t="str">
        <f>RAW_GAMES!F397</f>
        <v>SPA</v>
      </c>
      <c r="E397" s="7">
        <f>RAW_GAMES!G397</f>
        <v>1</v>
      </c>
      <c r="F397">
        <f>RAW_GAMES!H397</f>
        <v>3</v>
      </c>
      <c r="G397">
        <f>RAW_GAMES!I397</f>
        <v>1</v>
      </c>
      <c r="H397">
        <f t="shared" si="36"/>
        <v>2</v>
      </c>
      <c r="I397">
        <f>RAW_GAMES!J397</f>
        <v>29</v>
      </c>
      <c r="J397">
        <f>RAW_GAMES!K397</f>
        <v>27</v>
      </c>
      <c r="K397">
        <f t="shared" si="37"/>
        <v>2</v>
      </c>
      <c r="L397">
        <f>IF(RAW_GAMES!L397="","",RAW_GAMES!L397)</f>
        <v>3.79</v>
      </c>
      <c r="M397">
        <f>IF(RAW_GAMES!M397="","",RAW_GAMES!M397)</f>
        <v>2.2799999999999998</v>
      </c>
      <c r="N397">
        <f t="shared" si="38"/>
        <v>1.5100000000000002</v>
      </c>
      <c r="O397" s="7">
        <f>RAW_GAMES!O397</f>
        <v>5</v>
      </c>
      <c r="P397">
        <f>RAW_GAMES!N397</f>
        <v>0</v>
      </c>
      <c r="Q397">
        <f t="shared" si="39"/>
        <v>0</v>
      </c>
      <c r="R397" s="7">
        <f>RAW_GAMES!Q397</f>
        <v>0</v>
      </c>
      <c r="S397">
        <f>RAW_GAMES!P397</f>
        <v>0</v>
      </c>
      <c r="T397">
        <f t="shared" si="40"/>
        <v>1</v>
      </c>
      <c r="U397">
        <f>_xlfn.XLOOKUP(C397,
  CALC_TEAMS_SEASON!B:B,
  CALC_TEAMS_SEASON!F:F)</f>
        <v>0.14358974358974358</v>
      </c>
      <c r="V397">
        <f>_xlfn.XLOOKUP(D397,
  CALC_TEAMS_SEASON!B:B,
  CALC_TEAMS_SEASON!F:F)</f>
        <v>0.22060439560439565</v>
      </c>
      <c r="W397" t="str">
        <f>RAW_GAMES!R397</f>
        <v>Stezka</v>
      </c>
      <c r="X397" s="7">
        <f>RAW_GAMES!S397</f>
        <v>26</v>
      </c>
      <c r="Y397">
        <f t="shared" si="41"/>
        <v>1</v>
      </c>
      <c r="Z397" t="str">
        <f>RAW_GAMES!V397</f>
        <v>RS</v>
      </c>
    </row>
    <row r="398" spans="1:26" x14ac:dyDescent="0.25">
      <c r="A398" t="str">
        <f>RAW_GAMES!A398</f>
        <v>25/26</v>
      </c>
      <c r="B398" s="3">
        <f>RAW_GAMES!B398</f>
        <v>45996</v>
      </c>
      <c r="C398" s="3" t="str">
        <f>RAW_GAMES!E398</f>
        <v>CEB</v>
      </c>
      <c r="D398" s="3" t="str">
        <f>RAW_GAMES!F398</f>
        <v>PLZ</v>
      </c>
      <c r="E398" s="7">
        <f>RAW_GAMES!G398</f>
        <v>0</v>
      </c>
      <c r="F398">
        <f>RAW_GAMES!H398</f>
        <v>3</v>
      </c>
      <c r="G398">
        <f>RAW_GAMES!I398</f>
        <v>2</v>
      </c>
      <c r="H398">
        <f t="shared" si="36"/>
        <v>1</v>
      </c>
      <c r="I398">
        <f>RAW_GAMES!J398</f>
        <v>35</v>
      </c>
      <c r="J398">
        <f>RAW_GAMES!K398</f>
        <v>22</v>
      </c>
      <c r="K398">
        <f t="shared" si="37"/>
        <v>13</v>
      </c>
      <c r="L398" t="str">
        <f>IF(RAW_GAMES!L398="","",RAW_GAMES!L398)</f>
        <v/>
      </c>
      <c r="M398" t="str">
        <f>IF(RAW_GAMES!M398="","",RAW_GAMES!M398)</f>
        <v/>
      </c>
      <c r="N398" t="str">
        <f t="shared" si="38"/>
        <v/>
      </c>
      <c r="O398" s="7">
        <f>RAW_GAMES!O398</f>
        <v>3</v>
      </c>
      <c r="P398">
        <f>RAW_GAMES!N398</f>
        <v>0</v>
      </c>
      <c r="Q398">
        <f t="shared" si="39"/>
        <v>0</v>
      </c>
      <c r="R398" s="7">
        <f>RAW_GAMES!Q398</f>
        <v>6</v>
      </c>
      <c r="S398">
        <f>RAW_GAMES!P398</f>
        <v>1</v>
      </c>
      <c r="T398">
        <f t="shared" si="40"/>
        <v>0.83333333333333337</v>
      </c>
      <c r="U398">
        <f>_xlfn.XLOOKUP(C398,
  CALC_TEAMS_SEASON!B:B,
  CALC_TEAMS_SEASON!F:F)</f>
        <v>0.13021353646353648</v>
      </c>
      <c r="V398">
        <f>_xlfn.XLOOKUP(D398,
  CALC_TEAMS_SEASON!B:B,
  CALC_TEAMS_SEASON!F:F)</f>
        <v>0.17641178266178262</v>
      </c>
      <c r="W398" t="str">
        <f>RAW_GAMES!R398</f>
        <v>Westerholm</v>
      </c>
      <c r="X398" s="7">
        <f>RAW_GAMES!S398</f>
        <v>32</v>
      </c>
      <c r="Y398">
        <f t="shared" si="41"/>
        <v>1</v>
      </c>
      <c r="Z398" t="str">
        <f>RAW_GAMES!V398</f>
        <v>RS</v>
      </c>
    </row>
    <row r="399" spans="1:26" x14ac:dyDescent="0.25">
      <c r="A399" t="str">
        <f>RAW_GAMES!A399</f>
        <v>25/26</v>
      </c>
      <c r="B399" s="3">
        <f>RAW_GAMES!B399</f>
        <v>45996</v>
      </c>
      <c r="C399" s="3" t="str">
        <f>RAW_GAMES!E399</f>
        <v>KLA</v>
      </c>
      <c r="D399" s="3" t="str">
        <f>RAW_GAMES!F399</f>
        <v>MHK</v>
      </c>
      <c r="E399" s="7">
        <f>RAW_GAMES!G399</f>
        <v>1</v>
      </c>
      <c r="F399">
        <f>RAW_GAMES!H399</f>
        <v>2</v>
      </c>
      <c r="G399">
        <f>RAW_GAMES!I399</f>
        <v>3</v>
      </c>
      <c r="H399">
        <f t="shared" si="36"/>
        <v>-1</v>
      </c>
      <c r="I399">
        <f>RAW_GAMES!J399</f>
        <v>33</v>
      </c>
      <c r="J399">
        <f>RAW_GAMES!K399</f>
        <v>22</v>
      </c>
      <c r="K399">
        <f t="shared" si="37"/>
        <v>11</v>
      </c>
      <c r="L399" t="str">
        <f>IF(RAW_GAMES!L399="","",RAW_GAMES!L399)</f>
        <v/>
      </c>
      <c r="M399" t="str">
        <f>IF(RAW_GAMES!M399="","",RAW_GAMES!M399)</f>
        <v/>
      </c>
      <c r="N399" t="str">
        <f t="shared" si="38"/>
        <v/>
      </c>
      <c r="O399" s="7">
        <f>RAW_GAMES!O399</f>
        <v>6</v>
      </c>
      <c r="P399">
        <f>RAW_GAMES!N399</f>
        <v>0</v>
      </c>
      <c r="Q399">
        <f t="shared" si="39"/>
        <v>0</v>
      </c>
      <c r="R399" s="7">
        <f>RAW_GAMES!Q399</f>
        <v>4</v>
      </c>
      <c r="S399">
        <f>RAW_GAMES!P399</f>
        <v>1</v>
      </c>
      <c r="T399">
        <f t="shared" si="40"/>
        <v>0.75</v>
      </c>
      <c r="U399">
        <f>_xlfn.XLOOKUP(C399,
  CALC_TEAMS_SEASON!B:B,
  CALC_TEAMS_SEASON!F:F)</f>
        <v>0.13120421245421243</v>
      </c>
      <c r="V399">
        <f>_xlfn.XLOOKUP(D399,
  CALC_TEAMS_SEASON!B:B,
  CALC_TEAMS_SEASON!F:F)</f>
        <v>0.14184981684981687</v>
      </c>
      <c r="W399" t="str">
        <f>RAW_GAMES!R399</f>
        <v>Brízgala</v>
      </c>
      <c r="X399" s="7">
        <f>RAW_GAMES!S399</f>
        <v>19</v>
      </c>
      <c r="Y399">
        <f t="shared" si="41"/>
        <v>0</v>
      </c>
      <c r="Z399" t="str">
        <f>RAW_GAMES!V399</f>
        <v>RS</v>
      </c>
    </row>
    <row r="400" spans="1:26" x14ac:dyDescent="0.25">
      <c r="A400" t="str">
        <f>RAW_GAMES!A400</f>
        <v>25/26</v>
      </c>
      <c r="B400" s="3">
        <f>RAW_GAMES!B400</f>
        <v>45996</v>
      </c>
      <c r="C400" s="3" t="str">
        <f>RAW_GAMES!E400</f>
        <v>KVA</v>
      </c>
      <c r="D400" s="3" t="str">
        <f>RAW_GAMES!F400</f>
        <v>OLO</v>
      </c>
      <c r="E400" s="7">
        <f>RAW_GAMES!G400</f>
        <v>1</v>
      </c>
      <c r="F400">
        <f>RAW_GAMES!H400</f>
        <v>4</v>
      </c>
      <c r="G400">
        <f>RAW_GAMES!I400</f>
        <v>2</v>
      </c>
      <c r="H400">
        <f t="shared" si="36"/>
        <v>2</v>
      </c>
      <c r="I400">
        <f>RAW_GAMES!J400</f>
        <v>26</v>
      </c>
      <c r="J400">
        <f>RAW_GAMES!K400</f>
        <v>19</v>
      </c>
      <c r="K400">
        <f t="shared" si="37"/>
        <v>7</v>
      </c>
      <c r="L400" t="str">
        <f>IF(RAW_GAMES!L400="","",RAW_GAMES!L400)</f>
        <v/>
      </c>
      <c r="M400" t="str">
        <f>IF(RAW_GAMES!M400="","",RAW_GAMES!M400)</f>
        <v/>
      </c>
      <c r="N400" t="str">
        <f t="shared" si="38"/>
        <v/>
      </c>
      <c r="O400" s="7">
        <f>RAW_GAMES!O400</f>
        <v>3</v>
      </c>
      <c r="P400">
        <f>RAW_GAMES!N400</f>
        <v>0</v>
      </c>
      <c r="Q400">
        <f t="shared" si="39"/>
        <v>0</v>
      </c>
      <c r="R400" s="7">
        <f>RAW_GAMES!Q400</f>
        <v>4</v>
      </c>
      <c r="S400">
        <f>RAW_GAMES!P400</f>
        <v>1</v>
      </c>
      <c r="T400">
        <f t="shared" si="40"/>
        <v>0.75</v>
      </c>
      <c r="U400">
        <f>_xlfn.XLOOKUP(C400,
  CALC_TEAMS_SEASON!B:B,
  CALC_TEAMS_SEASON!F:F)</f>
        <v>0.17387057387057389</v>
      </c>
      <c r="V400">
        <f>_xlfn.XLOOKUP(D400,
  CALC_TEAMS_SEASON!B:B,
  CALC_TEAMS_SEASON!F:F)</f>
        <v>0.14989316239316242</v>
      </c>
      <c r="W400" t="str">
        <f>RAW_GAMES!R400</f>
        <v>Frodl</v>
      </c>
      <c r="X400" s="7">
        <f>RAW_GAMES!S400</f>
        <v>17</v>
      </c>
      <c r="Y400">
        <f t="shared" si="41"/>
        <v>1</v>
      </c>
      <c r="Z400" t="str">
        <f>RAW_GAMES!V400</f>
        <v>RS</v>
      </c>
    </row>
    <row r="401" spans="1:26" x14ac:dyDescent="0.25">
      <c r="A401" t="str">
        <f>RAW_GAMES!A401</f>
        <v>25/26</v>
      </c>
      <c r="B401" s="3">
        <f>RAW_GAMES!B401</f>
        <v>45996</v>
      </c>
      <c r="C401" s="3" t="str">
        <f>RAW_GAMES!E401</f>
        <v>LIB</v>
      </c>
      <c r="D401" s="3" t="str">
        <f>RAW_GAMES!F401</f>
        <v>TRI</v>
      </c>
      <c r="E401" s="7">
        <f>RAW_GAMES!G401</f>
        <v>0</v>
      </c>
      <c r="F401">
        <f>RAW_GAMES!H401</f>
        <v>5</v>
      </c>
      <c r="G401">
        <f>RAW_GAMES!I401</f>
        <v>3</v>
      </c>
      <c r="H401">
        <f t="shared" si="36"/>
        <v>2</v>
      </c>
      <c r="I401">
        <f>RAW_GAMES!J401</f>
        <v>34</v>
      </c>
      <c r="J401">
        <f>RAW_GAMES!K401</f>
        <v>38</v>
      </c>
      <c r="K401">
        <f t="shared" si="37"/>
        <v>-4</v>
      </c>
      <c r="L401">
        <f>IF(RAW_GAMES!L401="","",RAW_GAMES!L401)</f>
        <v>2.84</v>
      </c>
      <c r="M401">
        <f>IF(RAW_GAMES!M401="","",RAW_GAMES!M401)</f>
        <v>3.97</v>
      </c>
      <c r="N401">
        <f t="shared" si="38"/>
        <v>-1.1300000000000003</v>
      </c>
      <c r="O401" s="7">
        <f>RAW_GAMES!O401</f>
        <v>2</v>
      </c>
      <c r="P401">
        <f>RAW_GAMES!N401</f>
        <v>1</v>
      </c>
      <c r="Q401">
        <f t="shared" si="39"/>
        <v>0.5</v>
      </c>
      <c r="R401" s="7">
        <f>RAW_GAMES!Q401</f>
        <v>1</v>
      </c>
      <c r="S401">
        <f>RAW_GAMES!P401</f>
        <v>0</v>
      </c>
      <c r="T401">
        <f t="shared" si="40"/>
        <v>1</v>
      </c>
      <c r="U401">
        <f>_xlfn.XLOOKUP(C401,
  CALC_TEAMS_SEASON!B:B,
  CALC_TEAMS_SEASON!F:F)</f>
        <v>0.14377289377289379</v>
      </c>
      <c r="V401">
        <f>_xlfn.XLOOKUP(D401,
  CALC_TEAMS_SEASON!B:B,
  CALC_TEAMS_SEASON!F:F)</f>
        <v>0.17437423687423692</v>
      </c>
      <c r="W401" t="str">
        <f>RAW_GAMES!R401</f>
        <v>Kváča</v>
      </c>
      <c r="X401" s="7">
        <f>RAW_GAMES!S401</f>
        <v>35</v>
      </c>
      <c r="Y401">
        <f t="shared" si="41"/>
        <v>1</v>
      </c>
      <c r="Z401" t="str">
        <f>RAW_GAMES!V401</f>
        <v>RS</v>
      </c>
    </row>
    <row r="402" spans="1:26" x14ac:dyDescent="0.25">
      <c r="A402" t="str">
        <f>RAW_GAMES!A402</f>
        <v>25/26</v>
      </c>
      <c r="B402" s="3">
        <f>RAW_GAMES!B402</f>
        <v>45996</v>
      </c>
      <c r="C402" s="3" t="str">
        <f>RAW_GAMES!E402</f>
        <v>LIT</v>
      </c>
      <c r="D402" s="3" t="str">
        <f>RAW_GAMES!F402</f>
        <v>VIT</v>
      </c>
      <c r="E402" s="7">
        <f>RAW_GAMES!G402</f>
        <v>1</v>
      </c>
      <c r="F402">
        <f>RAW_GAMES!H402</f>
        <v>2</v>
      </c>
      <c r="G402">
        <f>RAW_GAMES!I402</f>
        <v>5</v>
      </c>
      <c r="H402">
        <f t="shared" si="36"/>
        <v>-3</v>
      </c>
      <c r="I402">
        <f>RAW_GAMES!J402</f>
        <v>23</v>
      </c>
      <c r="J402">
        <f>RAW_GAMES!K402</f>
        <v>27</v>
      </c>
      <c r="K402">
        <f t="shared" si="37"/>
        <v>-4</v>
      </c>
      <c r="L402" t="str">
        <f>IF(RAW_GAMES!L402="","",RAW_GAMES!L402)</f>
        <v/>
      </c>
      <c r="M402" t="str">
        <f>IF(RAW_GAMES!M402="","",RAW_GAMES!M402)</f>
        <v/>
      </c>
      <c r="N402" t="str">
        <f t="shared" si="38"/>
        <v/>
      </c>
      <c r="O402" s="7">
        <f>RAW_GAMES!O402</f>
        <v>2</v>
      </c>
      <c r="P402">
        <f>RAW_GAMES!N402</f>
        <v>0</v>
      </c>
      <c r="Q402">
        <f t="shared" si="39"/>
        <v>0</v>
      </c>
      <c r="R402" s="7">
        <f>RAW_GAMES!Q402</f>
        <v>3</v>
      </c>
      <c r="S402">
        <f>RAW_GAMES!P402</f>
        <v>1</v>
      </c>
      <c r="T402">
        <f t="shared" si="40"/>
        <v>0.66666666666666674</v>
      </c>
      <c r="U402">
        <f>_xlfn.XLOOKUP(C402,
  CALC_TEAMS_SEASON!B:B,
  CALC_TEAMS_SEASON!F:F)</f>
        <v>0.10089285714285713</v>
      </c>
      <c r="V402">
        <f>_xlfn.XLOOKUP(D402,
  CALC_TEAMS_SEASON!B:B,
  CALC_TEAMS_SEASON!F:F)</f>
        <v>0.16984890109890113</v>
      </c>
      <c r="W402" t="str">
        <f>RAW_GAMES!R402</f>
        <v>Čajan</v>
      </c>
      <c r="X402" s="7">
        <f>RAW_GAMES!S402</f>
        <v>22</v>
      </c>
      <c r="Y402">
        <f t="shared" si="41"/>
        <v>0</v>
      </c>
      <c r="Z402" t="str">
        <f>RAW_GAMES!V402</f>
        <v>RS</v>
      </c>
    </row>
    <row r="403" spans="1:26" x14ac:dyDescent="0.25">
      <c r="A403" t="str">
        <f>RAW_GAMES!A403</f>
        <v>25/26</v>
      </c>
      <c r="B403" s="3">
        <f>RAW_GAMES!B403</f>
        <v>45996</v>
      </c>
      <c r="C403" s="3" t="str">
        <f>RAW_GAMES!E403</f>
        <v>MBL</v>
      </c>
      <c r="D403" s="3" t="str">
        <f>RAW_GAMES!F403</f>
        <v>PCE</v>
      </c>
      <c r="E403" s="7">
        <f>RAW_GAMES!G403</f>
        <v>0</v>
      </c>
      <c r="F403">
        <f>RAW_GAMES!H403</f>
        <v>2</v>
      </c>
      <c r="G403">
        <f>RAW_GAMES!I403</f>
        <v>5</v>
      </c>
      <c r="H403">
        <f t="shared" si="36"/>
        <v>-3</v>
      </c>
      <c r="I403">
        <f>RAW_GAMES!J403</f>
        <v>17</v>
      </c>
      <c r="J403">
        <f>RAW_GAMES!K403</f>
        <v>33</v>
      </c>
      <c r="K403">
        <f t="shared" si="37"/>
        <v>-16</v>
      </c>
      <c r="L403">
        <f>IF(RAW_GAMES!L403="","",RAW_GAMES!L403)</f>
        <v>1.77</v>
      </c>
      <c r="M403">
        <f>IF(RAW_GAMES!M403="","",RAW_GAMES!M403)</f>
        <v>2.68</v>
      </c>
      <c r="N403">
        <f t="shared" si="38"/>
        <v>-0.91000000000000014</v>
      </c>
      <c r="O403" s="7">
        <f>RAW_GAMES!O403</f>
        <v>2</v>
      </c>
      <c r="P403">
        <f>RAW_GAMES!N403</f>
        <v>1</v>
      </c>
      <c r="Q403">
        <f t="shared" si="39"/>
        <v>0.5</v>
      </c>
      <c r="R403" s="7">
        <f>RAW_GAMES!Q403</f>
        <v>3</v>
      </c>
      <c r="S403">
        <f>RAW_GAMES!P403</f>
        <v>2</v>
      </c>
      <c r="T403">
        <f t="shared" si="40"/>
        <v>0.33333333333333337</v>
      </c>
      <c r="U403">
        <f>_xlfn.XLOOKUP(C403,
  CALC_TEAMS_SEASON!B:B,
  CALC_TEAMS_SEASON!F:F)</f>
        <v>0.11826923076923078</v>
      </c>
      <c r="V403">
        <f>_xlfn.XLOOKUP(D403,
  CALC_TEAMS_SEASON!B:B,
  CALC_TEAMS_SEASON!F:F)</f>
        <v>0.20297619047619053</v>
      </c>
      <c r="W403" t="str">
        <f>RAW_GAMES!R403</f>
        <v>Furch</v>
      </c>
      <c r="X403" s="7">
        <f>RAW_GAMES!S403</f>
        <v>28</v>
      </c>
      <c r="Y403">
        <f t="shared" si="41"/>
        <v>0</v>
      </c>
      <c r="Z403" t="str">
        <f>RAW_GAMES!V403</f>
        <v>RS</v>
      </c>
    </row>
    <row r="404" spans="1:26" x14ac:dyDescent="0.25">
      <c r="A404" t="str">
        <f>RAW_GAMES!A404</f>
        <v>25/26</v>
      </c>
      <c r="B404" s="3">
        <f>RAW_GAMES!B404</f>
        <v>45996</v>
      </c>
      <c r="C404" s="3" t="str">
        <f>RAW_GAMES!E404</f>
        <v>MHK</v>
      </c>
      <c r="D404" s="3" t="str">
        <f>RAW_GAMES!F404</f>
        <v>KLA</v>
      </c>
      <c r="E404" s="7">
        <f>RAW_GAMES!G404</f>
        <v>0</v>
      </c>
      <c r="F404">
        <f>RAW_GAMES!H404</f>
        <v>3</v>
      </c>
      <c r="G404">
        <f>RAW_GAMES!I404</f>
        <v>2</v>
      </c>
      <c r="H404">
        <f t="shared" si="36"/>
        <v>1</v>
      </c>
      <c r="I404">
        <f>RAW_GAMES!J404</f>
        <v>22</v>
      </c>
      <c r="J404">
        <f>RAW_GAMES!K404</f>
        <v>33</v>
      </c>
      <c r="K404">
        <f t="shared" si="37"/>
        <v>-11</v>
      </c>
      <c r="L404" t="str">
        <f>IF(RAW_GAMES!L404="","",RAW_GAMES!L404)</f>
        <v/>
      </c>
      <c r="M404" t="str">
        <f>IF(RAW_GAMES!M404="","",RAW_GAMES!M404)</f>
        <v/>
      </c>
      <c r="N404" t="str">
        <f t="shared" si="38"/>
        <v/>
      </c>
      <c r="O404" s="7">
        <f>RAW_GAMES!O404</f>
        <v>4</v>
      </c>
      <c r="P404">
        <f>RAW_GAMES!N404</f>
        <v>1</v>
      </c>
      <c r="Q404">
        <f t="shared" si="39"/>
        <v>0.25</v>
      </c>
      <c r="R404" s="7">
        <f>RAW_GAMES!Q404</f>
        <v>6</v>
      </c>
      <c r="S404">
        <f>RAW_GAMES!P404</f>
        <v>0</v>
      </c>
      <c r="T404">
        <f t="shared" si="40"/>
        <v>1</v>
      </c>
      <c r="U404">
        <f>_xlfn.XLOOKUP(C404,
  CALC_TEAMS_SEASON!B:B,
  CALC_TEAMS_SEASON!F:F)</f>
        <v>0.14184981684981687</v>
      </c>
      <c r="V404">
        <f>_xlfn.XLOOKUP(D404,
  CALC_TEAMS_SEASON!B:B,
  CALC_TEAMS_SEASON!F:F)</f>
        <v>0.13120421245421243</v>
      </c>
      <c r="W404" t="str">
        <f>RAW_GAMES!R404</f>
        <v>Soukup</v>
      </c>
      <c r="X404" s="7">
        <f>RAW_GAMES!S404</f>
        <v>31</v>
      </c>
      <c r="Y404">
        <f t="shared" si="41"/>
        <v>1</v>
      </c>
      <c r="Z404" t="str">
        <f>RAW_GAMES!V404</f>
        <v>RS</v>
      </c>
    </row>
    <row r="405" spans="1:26" x14ac:dyDescent="0.25">
      <c r="A405" t="str">
        <f>RAW_GAMES!A405</f>
        <v>25/26</v>
      </c>
      <c r="B405" s="3">
        <f>RAW_GAMES!B405</f>
        <v>45996</v>
      </c>
      <c r="C405" s="3" t="str">
        <f>RAW_GAMES!E405</f>
        <v>OLO</v>
      </c>
      <c r="D405" s="3" t="str">
        <f>RAW_GAMES!F405</f>
        <v>KVA</v>
      </c>
      <c r="E405" s="7">
        <f>RAW_GAMES!G405</f>
        <v>0</v>
      </c>
      <c r="F405">
        <f>RAW_GAMES!H405</f>
        <v>2</v>
      </c>
      <c r="G405">
        <f>RAW_GAMES!I405</f>
        <v>4</v>
      </c>
      <c r="H405">
        <f t="shared" si="36"/>
        <v>-2</v>
      </c>
      <c r="I405">
        <f>RAW_GAMES!J405</f>
        <v>19</v>
      </c>
      <c r="J405">
        <f>RAW_GAMES!K405</f>
        <v>26</v>
      </c>
      <c r="K405">
        <f t="shared" si="37"/>
        <v>-7</v>
      </c>
      <c r="L405" t="str">
        <f>IF(RAW_GAMES!L405="","",RAW_GAMES!L405)</f>
        <v/>
      </c>
      <c r="M405" t="str">
        <f>IF(RAW_GAMES!M405="","",RAW_GAMES!M405)</f>
        <v/>
      </c>
      <c r="N405" t="str">
        <f t="shared" si="38"/>
        <v/>
      </c>
      <c r="O405" s="7">
        <f>RAW_GAMES!O405</f>
        <v>4</v>
      </c>
      <c r="P405">
        <f>RAW_GAMES!N405</f>
        <v>1</v>
      </c>
      <c r="Q405">
        <f t="shared" si="39"/>
        <v>0.25</v>
      </c>
      <c r="R405" s="7">
        <f>RAW_GAMES!Q405</f>
        <v>3</v>
      </c>
      <c r="S405">
        <f>RAW_GAMES!P405</f>
        <v>0</v>
      </c>
      <c r="T405">
        <f t="shared" si="40"/>
        <v>1</v>
      </c>
      <c r="U405">
        <f>_xlfn.XLOOKUP(C405,
  CALC_TEAMS_SEASON!B:B,
  CALC_TEAMS_SEASON!F:F)</f>
        <v>0.14989316239316242</v>
      </c>
      <c r="V405">
        <f>_xlfn.XLOOKUP(D405,
  CALC_TEAMS_SEASON!B:B,
  CALC_TEAMS_SEASON!F:F)</f>
        <v>0.17387057387057389</v>
      </c>
      <c r="W405" t="str">
        <f>RAW_GAMES!R405</f>
        <v>Cichoň</v>
      </c>
      <c r="X405" s="7">
        <f>RAW_GAMES!S405</f>
        <v>22</v>
      </c>
      <c r="Y405">
        <f t="shared" si="41"/>
        <v>0</v>
      </c>
      <c r="Z405" t="str">
        <f>RAW_GAMES!V405</f>
        <v>RS</v>
      </c>
    </row>
    <row r="406" spans="1:26" x14ac:dyDescent="0.25">
      <c r="A406" t="str">
        <f>RAW_GAMES!A406</f>
        <v>25/26</v>
      </c>
      <c r="B406" s="3">
        <f>RAW_GAMES!B406</f>
        <v>45996</v>
      </c>
      <c r="C406" s="3" t="str">
        <f>RAW_GAMES!E406</f>
        <v>PLZ</v>
      </c>
      <c r="D406" s="3" t="str">
        <f>RAW_GAMES!F406</f>
        <v>CEB</v>
      </c>
      <c r="E406" s="7">
        <f>RAW_GAMES!G406</f>
        <v>1</v>
      </c>
      <c r="F406">
        <f>RAW_GAMES!H406</f>
        <v>2</v>
      </c>
      <c r="G406">
        <f>RAW_GAMES!I406</f>
        <v>3</v>
      </c>
      <c r="H406">
        <f t="shared" si="36"/>
        <v>-1</v>
      </c>
      <c r="I406">
        <f>RAW_GAMES!J406</f>
        <v>22</v>
      </c>
      <c r="J406">
        <f>RAW_GAMES!K406</f>
        <v>35</v>
      </c>
      <c r="K406">
        <f t="shared" si="37"/>
        <v>-13</v>
      </c>
      <c r="L406" t="str">
        <f>IF(RAW_GAMES!L406="","",RAW_GAMES!L406)</f>
        <v/>
      </c>
      <c r="M406" t="str">
        <f>IF(RAW_GAMES!M406="","",RAW_GAMES!M406)</f>
        <v/>
      </c>
      <c r="N406" t="str">
        <f t="shared" si="38"/>
        <v/>
      </c>
      <c r="O406" s="7">
        <f>RAW_GAMES!O406</f>
        <v>6</v>
      </c>
      <c r="P406">
        <f>RAW_GAMES!N406</f>
        <v>1</v>
      </c>
      <c r="Q406">
        <f t="shared" si="39"/>
        <v>0.16666666666666666</v>
      </c>
      <c r="R406" s="7">
        <f>RAW_GAMES!Q406</f>
        <v>3</v>
      </c>
      <c r="S406">
        <f>RAW_GAMES!P406</f>
        <v>0</v>
      </c>
      <c r="T406">
        <f t="shared" si="40"/>
        <v>1</v>
      </c>
      <c r="U406">
        <f>_xlfn.XLOOKUP(C406,
  CALC_TEAMS_SEASON!B:B,
  CALC_TEAMS_SEASON!F:F)</f>
        <v>0.17641178266178262</v>
      </c>
      <c r="V406">
        <f>_xlfn.XLOOKUP(D406,
  CALC_TEAMS_SEASON!B:B,
  CALC_TEAMS_SEASON!F:F)</f>
        <v>0.13021353646353648</v>
      </c>
      <c r="W406" t="str">
        <f>RAW_GAMES!R406</f>
        <v>Malík</v>
      </c>
      <c r="X406" s="7">
        <f>RAW_GAMES!S406</f>
        <v>20</v>
      </c>
      <c r="Y406">
        <f t="shared" si="41"/>
        <v>0</v>
      </c>
      <c r="Z406" t="str">
        <f>RAW_GAMES!V406</f>
        <v>RS</v>
      </c>
    </row>
    <row r="407" spans="1:26" x14ac:dyDescent="0.25">
      <c r="A407" t="str">
        <f>RAW_GAMES!A407</f>
        <v>25/26</v>
      </c>
      <c r="B407" s="3">
        <f>RAW_GAMES!B407</f>
        <v>45996</v>
      </c>
      <c r="C407" s="3" t="str">
        <f>RAW_GAMES!E407</f>
        <v>VIT</v>
      </c>
      <c r="D407" s="3" t="str">
        <f>RAW_GAMES!F407</f>
        <v>LIT</v>
      </c>
      <c r="E407" s="7">
        <f>RAW_GAMES!G407</f>
        <v>0</v>
      </c>
      <c r="F407">
        <f>RAW_GAMES!H407</f>
        <v>5</v>
      </c>
      <c r="G407">
        <f>RAW_GAMES!I407</f>
        <v>2</v>
      </c>
      <c r="H407">
        <f t="shared" si="36"/>
        <v>3</v>
      </c>
      <c r="I407">
        <f>RAW_GAMES!J407</f>
        <v>27</v>
      </c>
      <c r="J407">
        <f>RAW_GAMES!K407</f>
        <v>23</v>
      </c>
      <c r="K407">
        <f t="shared" si="37"/>
        <v>4</v>
      </c>
      <c r="L407" t="str">
        <f>IF(RAW_GAMES!L407="","",RAW_GAMES!L407)</f>
        <v/>
      </c>
      <c r="M407" t="str">
        <f>IF(RAW_GAMES!M407="","",RAW_GAMES!M407)</f>
        <v/>
      </c>
      <c r="N407" t="str">
        <f t="shared" si="38"/>
        <v/>
      </c>
      <c r="O407" s="7">
        <f>RAW_GAMES!O407</f>
        <v>3</v>
      </c>
      <c r="P407">
        <f>RAW_GAMES!N407</f>
        <v>1</v>
      </c>
      <c r="Q407">
        <f t="shared" si="39"/>
        <v>0.33333333333333331</v>
      </c>
      <c r="R407" s="7">
        <f>RAW_GAMES!Q407</f>
        <v>2</v>
      </c>
      <c r="S407">
        <f>RAW_GAMES!P407</f>
        <v>0</v>
      </c>
      <c r="T407">
        <f t="shared" si="40"/>
        <v>1</v>
      </c>
      <c r="U407">
        <f>_xlfn.XLOOKUP(C407,
  CALC_TEAMS_SEASON!B:B,
  CALC_TEAMS_SEASON!F:F)</f>
        <v>0.16984890109890113</v>
      </c>
      <c r="V407">
        <f>_xlfn.XLOOKUP(D407,
  CALC_TEAMS_SEASON!B:B,
  CALC_TEAMS_SEASON!F:F)</f>
        <v>0.10089285714285713</v>
      </c>
      <c r="W407" t="str">
        <f>RAW_GAMES!R407</f>
        <v>Hrachovina</v>
      </c>
      <c r="X407" s="7">
        <f>RAW_GAMES!S407</f>
        <v>21</v>
      </c>
      <c r="Y407">
        <f t="shared" si="41"/>
        <v>1</v>
      </c>
      <c r="Z407" t="str">
        <f>RAW_GAMES!V407</f>
        <v>RS</v>
      </c>
    </row>
    <row r="408" spans="1:26" x14ac:dyDescent="0.25">
      <c r="A408" t="str">
        <f>RAW_GAMES!A408</f>
        <v>25/26</v>
      </c>
      <c r="B408" s="3">
        <f>RAW_GAMES!B408</f>
        <v>45998</v>
      </c>
      <c r="C408" s="3" t="str">
        <f>RAW_GAMES!E408</f>
        <v>PCE</v>
      </c>
      <c r="D408" s="3" t="str">
        <f>RAW_GAMES!F408</f>
        <v>CEB</v>
      </c>
      <c r="E408" s="7">
        <f>RAW_GAMES!G408</f>
        <v>0</v>
      </c>
      <c r="F408">
        <f>RAW_GAMES!H408</f>
        <v>6</v>
      </c>
      <c r="G408">
        <f>RAW_GAMES!I408</f>
        <v>3</v>
      </c>
      <c r="H408">
        <f t="shared" si="36"/>
        <v>3</v>
      </c>
      <c r="I408">
        <f>RAW_GAMES!J408</f>
        <v>28</v>
      </c>
      <c r="J408">
        <f>RAW_GAMES!K408</f>
        <v>29</v>
      </c>
      <c r="K408">
        <f t="shared" si="37"/>
        <v>-1</v>
      </c>
      <c r="L408">
        <f>IF(RAW_GAMES!L408="","",RAW_GAMES!L408)</f>
        <v>2.86</v>
      </c>
      <c r="M408">
        <f>IF(RAW_GAMES!M408="","",RAW_GAMES!M408)</f>
        <v>2.82</v>
      </c>
      <c r="N408">
        <f t="shared" si="38"/>
        <v>4.0000000000000036E-2</v>
      </c>
      <c r="O408" s="7">
        <f>RAW_GAMES!O408</f>
        <v>2</v>
      </c>
      <c r="P408">
        <f>RAW_GAMES!N408</f>
        <v>0</v>
      </c>
      <c r="Q408">
        <f t="shared" si="39"/>
        <v>0</v>
      </c>
      <c r="R408" s="7">
        <f>RAW_GAMES!Q408</f>
        <v>6</v>
      </c>
      <c r="S408">
        <f>RAW_GAMES!P408</f>
        <v>0</v>
      </c>
      <c r="T408">
        <f t="shared" si="40"/>
        <v>1</v>
      </c>
      <c r="U408">
        <f>_xlfn.XLOOKUP(C408,
  CALC_TEAMS_SEASON!B:B,
  CALC_TEAMS_SEASON!F:F)</f>
        <v>0.20297619047619053</v>
      </c>
      <c r="V408">
        <f>_xlfn.XLOOKUP(D408,
  CALC_TEAMS_SEASON!B:B,
  CALC_TEAMS_SEASON!F:F)</f>
        <v>0.13021353646353648</v>
      </c>
      <c r="W408" t="str">
        <f>RAW_GAMES!R408</f>
        <v>Will</v>
      </c>
      <c r="X408" s="7">
        <f>RAW_GAMES!S408</f>
        <v>26</v>
      </c>
      <c r="Y408">
        <f t="shared" si="41"/>
        <v>1</v>
      </c>
      <c r="Z408" t="str">
        <f>RAW_GAMES!V408</f>
        <v>RS</v>
      </c>
    </row>
    <row r="409" spans="1:26" x14ac:dyDescent="0.25">
      <c r="A409" t="str">
        <f>RAW_GAMES!A409</f>
        <v>25/26</v>
      </c>
      <c r="B409" s="3">
        <f>RAW_GAMES!B409</f>
        <v>45998</v>
      </c>
      <c r="C409" s="3" t="str">
        <f>RAW_GAMES!E409</f>
        <v>TRI</v>
      </c>
      <c r="D409" s="3" t="str">
        <f>RAW_GAMES!F409</f>
        <v>MBL</v>
      </c>
      <c r="E409" s="7">
        <f>RAW_GAMES!G409</f>
        <v>1</v>
      </c>
      <c r="F409">
        <f>RAW_GAMES!H409</f>
        <v>5</v>
      </c>
      <c r="G409">
        <f>RAW_GAMES!I409</f>
        <v>2</v>
      </c>
      <c r="H409">
        <f t="shared" si="36"/>
        <v>3</v>
      </c>
      <c r="I409">
        <f>RAW_GAMES!J409</f>
        <v>24</v>
      </c>
      <c r="J409">
        <f>RAW_GAMES!K409</f>
        <v>31</v>
      </c>
      <c r="K409">
        <f t="shared" si="37"/>
        <v>-7</v>
      </c>
      <c r="L409">
        <f>IF(RAW_GAMES!L409="","",RAW_GAMES!L409)</f>
        <v>3.12</v>
      </c>
      <c r="M409">
        <f>IF(RAW_GAMES!M409="","",RAW_GAMES!M409)</f>
        <v>2.85</v>
      </c>
      <c r="N409">
        <f t="shared" si="38"/>
        <v>0.27</v>
      </c>
      <c r="O409" s="7">
        <f>RAW_GAMES!O409</f>
        <v>2</v>
      </c>
      <c r="P409">
        <f>RAW_GAMES!N409</f>
        <v>0</v>
      </c>
      <c r="Q409">
        <f t="shared" si="39"/>
        <v>0</v>
      </c>
      <c r="R409" s="7">
        <f>RAW_GAMES!Q409</f>
        <v>0</v>
      </c>
      <c r="S409">
        <f>RAW_GAMES!P409</f>
        <v>0</v>
      </c>
      <c r="T409">
        <f t="shared" si="40"/>
        <v>1</v>
      </c>
      <c r="U409">
        <f>_xlfn.XLOOKUP(C409,
  CALC_TEAMS_SEASON!B:B,
  CALC_TEAMS_SEASON!F:F)</f>
        <v>0.17437423687423692</v>
      </c>
      <c r="V409">
        <f>_xlfn.XLOOKUP(D409,
  CALC_TEAMS_SEASON!B:B,
  CALC_TEAMS_SEASON!F:F)</f>
        <v>0.11826923076923078</v>
      </c>
      <c r="W409" t="str">
        <f>RAW_GAMES!R409</f>
        <v>Mazanec</v>
      </c>
      <c r="X409" s="7">
        <f>RAW_GAMES!S409</f>
        <v>29</v>
      </c>
      <c r="Y409">
        <f t="shared" si="41"/>
        <v>1</v>
      </c>
      <c r="Z409" t="str">
        <f>RAW_GAMES!V409</f>
        <v>RS</v>
      </c>
    </row>
    <row r="410" spans="1:26" x14ac:dyDescent="0.25">
      <c r="A410" t="str">
        <f>RAW_GAMES!A410</f>
        <v>25/26</v>
      </c>
      <c r="B410" s="3">
        <f>RAW_GAMES!B410</f>
        <v>45998</v>
      </c>
      <c r="C410" s="3" t="str">
        <f>RAW_GAMES!E410</f>
        <v>KOM</v>
      </c>
      <c r="D410" s="3" t="str">
        <f>RAW_GAMES!F410</f>
        <v>VIT</v>
      </c>
      <c r="E410" s="7">
        <f>RAW_GAMES!G410</f>
        <v>0</v>
      </c>
      <c r="F410">
        <f>RAW_GAMES!H410</f>
        <v>3</v>
      </c>
      <c r="G410">
        <f>RAW_GAMES!I410</f>
        <v>4</v>
      </c>
      <c r="H410">
        <f t="shared" si="36"/>
        <v>-1</v>
      </c>
      <c r="I410">
        <f>RAW_GAMES!J410</f>
        <v>28</v>
      </c>
      <c r="J410">
        <f>RAW_GAMES!K410</f>
        <v>28</v>
      </c>
      <c r="K410">
        <f t="shared" si="37"/>
        <v>0</v>
      </c>
      <c r="L410">
        <f>IF(RAW_GAMES!L410="","",RAW_GAMES!L410)</f>
        <v>2.84</v>
      </c>
      <c r="M410">
        <f>IF(RAW_GAMES!M410="","",RAW_GAMES!M410)</f>
        <v>2.09</v>
      </c>
      <c r="N410">
        <f t="shared" si="38"/>
        <v>0.75</v>
      </c>
      <c r="O410" s="7">
        <f>RAW_GAMES!O410</f>
        <v>3</v>
      </c>
      <c r="P410">
        <f>RAW_GAMES!N410</f>
        <v>0</v>
      </c>
      <c r="Q410">
        <f t="shared" si="39"/>
        <v>0</v>
      </c>
      <c r="R410" s="7">
        <f>RAW_GAMES!Q410</f>
        <v>4</v>
      </c>
      <c r="S410">
        <f>RAW_GAMES!P410</f>
        <v>1</v>
      </c>
      <c r="T410">
        <f t="shared" si="40"/>
        <v>0.75</v>
      </c>
      <c r="U410">
        <f>_xlfn.XLOOKUP(C410,
  CALC_TEAMS_SEASON!B:B,
  CALC_TEAMS_SEASON!F:F)</f>
        <v>0.14358974358974358</v>
      </c>
      <c r="V410">
        <f>_xlfn.XLOOKUP(D410,
  CALC_TEAMS_SEASON!B:B,
  CALC_TEAMS_SEASON!F:F)</f>
        <v>0.16984890109890113</v>
      </c>
      <c r="W410" t="str">
        <f>RAW_GAMES!R410</f>
        <v>Stezka</v>
      </c>
      <c r="X410" s="7">
        <f>RAW_GAMES!S410</f>
        <v>21</v>
      </c>
      <c r="Y410">
        <f t="shared" si="41"/>
        <v>0</v>
      </c>
      <c r="Z410" t="str">
        <f>RAW_GAMES!V410</f>
        <v>RS</v>
      </c>
    </row>
    <row r="411" spans="1:26" x14ac:dyDescent="0.25">
      <c r="A411" t="str">
        <f>RAW_GAMES!A411</f>
        <v>25/26</v>
      </c>
      <c r="B411" s="3">
        <f>RAW_GAMES!B411</f>
        <v>45998</v>
      </c>
      <c r="C411" s="3" t="str">
        <f>RAW_GAMES!E411</f>
        <v>CEB</v>
      </c>
      <c r="D411" s="3" t="str">
        <f>RAW_GAMES!F411</f>
        <v>PCE</v>
      </c>
      <c r="E411" s="7">
        <f>RAW_GAMES!G411</f>
        <v>1</v>
      </c>
      <c r="F411">
        <f>RAW_GAMES!H411</f>
        <v>3</v>
      </c>
      <c r="G411">
        <f>RAW_GAMES!I411</f>
        <v>6</v>
      </c>
      <c r="H411">
        <f t="shared" si="36"/>
        <v>-3</v>
      </c>
      <c r="I411">
        <f>RAW_GAMES!J411</f>
        <v>29</v>
      </c>
      <c r="J411">
        <f>RAW_GAMES!K411</f>
        <v>28</v>
      </c>
      <c r="K411">
        <f t="shared" si="37"/>
        <v>1</v>
      </c>
      <c r="L411">
        <f>IF(RAW_GAMES!L411="","",RAW_GAMES!L411)</f>
        <v>2.82</v>
      </c>
      <c r="M411">
        <f>IF(RAW_GAMES!M411="","",RAW_GAMES!M411)</f>
        <v>2.86</v>
      </c>
      <c r="N411">
        <f t="shared" si="38"/>
        <v>-4.0000000000000036E-2</v>
      </c>
      <c r="O411" s="7">
        <f>RAW_GAMES!O411</f>
        <v>6</v>
      </c>
      <c r="P411">
        <f>RAW_GAMES!N411</f>
        <v>0</v>
      </c>
      <c r="Q411">
        <f t="shared" si="39"/>
        <v>0</v>
      </c>
      <c r="R411" s="7">
        <f>RAW_GAMES!Q411</f>
        <v>2</v>
      </c>
      <c r="S411">
        <f>RAW_GAMES!P411</f>
        <v>0</v>
      </c>
      <c r="T411">
        <f t="shared" si="40"/>
        <v>1</v>
      </c>
      <c r="U411">
        <f>_xlfn.XLOOKUP(C411,
  CALC_TEAMS_SEASON!B:B,
  CALC_TEAMS_SEASON!F:F)</f>
        <v>0.13021353646353648</v>
      </c>
      <c r="V411">
        <f>_xlfn.XLOOKUP(D411,
  CALC_TEAMS_SEASON!B:B,
  CALC_TEAMS_SEASON!F:F)</f>
        <v>0.20297619047619053</v>
      </c>
      <c r="W411" t="str">
        <f>RAW_GAMES!R411</f>
        <v>Westerholm</v>
      </c>
      <c r="X411" s="7">
        <f>RAW_GAMES!S411</f>
        <v>22</v>
      </c>
      <c r="Y411">
        <f t="shared" si="41"/>
        <v>0</v>
      </c>
      <c r="Z411" t="str">
        <f>RAW_GAMES!V411</f>
        <v>RS</v>
      </c>
    </row>
    <row r="412" spans="1:26" x14ac:dyDescent="0.25">
      <c r="A412" t="str">
        <f>RAW_GAMES!A412</f>
        <v>25/26</v>
      </c>
      <c r="B412" s="3">
        <f>RAW_GAMES!B412</f>
        <v>45998</v>
      </c>
      <c r="C412" s="3" t="str">
        <f>RAW_GAMES!E412</f>
        <v>KLA</v>
      </c>
      <c r="D412" s="3" t="str">
        <f>RAW_GAMES!F412</f>
        <v>OLO</v>
      </c>
      <c r="E412" s="7">
        <f>RAW_GAMES!G412</f>
        <v>0</v>
      </c>
      <c r="F412">
        <f>RAW_GAMES!H412</f>
        <v>1</v>
      </c>
      <c r="G412">
        <f>RAW_GAMES!I412</f>
        <v>4</v>
      </c>
      <c r="H412">
        <f t="shared" si="36"/>
        <v>-3</v>
      </c>
      <c r="I412">
        <f>RAW_GAMES!J412</f>
        <v>28</v>
      </c>
      <c r="J412">
        <f>RAW_GAMES!K412</f>
        <v>25</v>
      </c>
      <c r="K412">
        <f t="shared" si="37"/>
        <v>3</v>
      </c>
      <c r="L412" t="str">
        <f>IF(RAW_GAMES!L412="","",RAW_GAMES!L412)</f>
        <v/>
      </c>
      <c r="M412" t="str">
        <f>IF(RAW_GAMES!M412="","",RAW_GAMES!M412)</f>
        <v/>
      </c>
      <c r="N412" t="str">
        <f t="shared" si="38"/>
        <v/>
      </c>
      <c r="O412" s="7">
        <f>RAW_GAMES!O412</f>
        <v>4</v>
      </c>
      <c r="P412">
        <f>RAW_GAMES!N412</f>
        <v>0</v>
      </c>
      <c r="Q412">
        <f t="shared" si="39"/>
        <v>0</v>
      </c>
      <c r="R412" s="7">
        <f>RAW_GAMES!Q412</f>
        <v>5</v>
      </c>
      <c r="S412">
        <f>RAW_GAMES!P412</f>
        <v>0</v>
      </c>
      <c r="T412">
        <f t="shared" si="40"/>
        <v>1</v>
      </c>
      <c r="U412">
        <f>_xlfn.XLOOKUP(C412,
  CALC_TEAMS_SEASON!B:B,
  CALC_TEAMS_SEASON!F:F)</f>
        <v>0.13120421245421243</v>
      </c>
      <c r="V412">
        <f>_xlfn.XLOOKUP(D412,
  CALC_TEAMS_SEASON!B:B,
  CALC_TEAMS_SEASON!F:F)</f>
        <v>0.14989316239316242</v>
      </c>
      <c r="W412" t="str">
        <f>RAW_GAMES!R412</f>
        <v>Dansk</v>
      </c>
      <c r="X412" s="7">
        <f>RAW_GAMES!S412</f>
        <v>21</v>
      </c>
      <c r="Y412">
        <f t="shared" si="41"/>
        <v>0</v>
      </c>
      <c r="Z412" t="str">
        <f>RAW_GAMES!V412</f>
        <v>RS</v>
      </c>
    </row>
    <row r="413" spans="1:26" x14ac:dyDescent="0.25">
      <c r="A413" t="str">
        <f>RAW_GAMES!A413</f>
        <v>25/26</v>
      </c>
      <c r="B413" s="3">
        <f>RAW_GAMES!B413</f>
        <v>45998</v>
      </c>
      <c r="C413" s="3" t="str">
        <f>RAW_GAMES!E413</f>
        <v>SPA</v>
      </c>
      <c r="D413" s="3" t="str">
        <f>RAW_GAMES!F413</f>
        <v>KVA</v>
      </c>
      <c r="E413" s="7">
        <f>RAW_GAMES!G413</f>
        <v>1</v>
      </c>
      <c r="F413">
        <f>RAW_GAMES!H413</f>
        <v>6</v>
      </c>
      <c r="G413">
        <f>RAW_GAMES!I413</f>
        <v>1</v>
      </c>
      <c r="H413">
        <f t="shared" si="36"/>
        <v>5</v>
      </c>
      <c r="I413">
        <f>RAW_GAMES!J413</f>
        <v>30</v>
      </c>
      <c r="J413">
        <f>RAW_GAMES!K413</f>
        <v>16</v>
      </c>
      <c r="K413">
        <f t="shared" si="37"/>
        <v>14</v>
      </c>
      <c r="L413">
        <f>IF(RAW_GAMES!L413="","",RAW_GAMES!L413)</f>
        <v>1.61</v>
      </c>
      <c r="M413">
        <f>IF(RAW_GAMES!M413="","",RAW_GAMES!M413)</f>
        <v>1.33</v>
      </c>
      <c r="N413">
        <f t="shared" si="38"/>
        <v>0.28000000000000003</v>
      </c>
      <c r="O413" s="7">
        <f>RAW_GAMES!O413</f>
        <v>7</v>
      </c>
      <c r="P413">
        <f>RAW_GAMES!N413</f>
        <v>1</v>
      </c>
      <c r="Q413">
        <f t="shared" si="39"/>
        <v>0.14285714285714285</v>
      </c>
      <c r="R413" s="7">
        <f>RAW_GAMES!Q413</f>
        <v>7</v>
      </c>
      <c r="S413">
        <f>RAW_GAMES!P413</f>
        <v>1</v>
      </c>
      <c r="T413">
        <f t="shared" si="40"/>
        <v>0.85714285714285721</v>
      </c>
      <c r="U413">
        <f>_xlfn.XLOOKUP(C413,
  CALC_TEAMS_SEASON!B:B,
  CALC_TEAMS_SEASON!F:F)</f>
        <v>0.22060439560439565</v>
      </c>
      <c r="V413">
        <f>_xlfn.XLOOKUP(D413,
  CALC_TEAMS_SEASON!B:B,
  CALC_TEAMS_SEASON!F:F)</f>
        <v>0.17387057387057389</v>
      </c>
      <c r="W413" t="str">
        <f>RAW_GAMES!R413</f>
        <v>Kořenář</v>
      </c>
      <c r="X413" s="7">
        <f>RAW_GAMES!S413</f>
        <v>15</v>
      </c>
      <c r="Y413">
        <f t="shared" si="41"/>
        <v>1</v>
      </c>
      <c r="Z413" t="str">
        <f>RAW_GAMES!V413</f>
        <v>RS</v>
      </c>
    </row>
    <row r="414" spans="1:26" x14ac:dyDescent="0.25">
      <c r="A414" t="str">
        <f>RAW_GAMES!A414</f>
        <v>25/26</v>
      </c>
      <c r="B414" s="3">
        <f>RAW_GAMES!B414</f>
        <v>45998</v>
      </c>
      <c r="C414" s="3" t="str">
        <f>RAW_GAMES!E414</f>
        <v>KVA</v>
      </c>
      <c r="D414" s="3" t="str">
        <f>RAW_GAMES!F414</f>
        <v>SPA</v>
      </c>
      <c r="E414" s="7">
        <f>RAW_GAMES!G414</f>
        <v>0</v>
      </c>
      <c r="F414">
        <f>RAW_GAMES!H414</f>
        <v>1</v>
      </c>
      <c r="G414">
        <f>RAW_GAMES!I414</f>
        <v>6</v>
      </c>
      <c r="H414">
        <f t="shared" si="36"/>
        <v>-5</v>
      </c>
      <c r="I414">
        <f>RAW_GAMES!J414</f>
        <v>16</v>
      </c>
      <c r="J414">
        <f>RAW_GAMES!K414</f>
        <v>30</v>
      </c>
      <c r="K414">
        <f t="shared" si="37"/>
        <v>-14</v>
      </c>
      <c r="L414">
        <f>IF(RAW_GAMES!L414="","",RAW_GAMES!L414)</f>
        <v>1.33</v>
      </c>
      <c r="M414">
        <f>IF(RAW_GAMES!M414="","",RAW_GAMES!M414)</f>
        <v>1.61</v>
      </c>
      <c r="N414">
        <f t="shared" si="38"/>
        <v>-0.28000000000000003</v>
      </c>
      <c r="O414" s="7">
        <f>RAW_GAMES!O414</f>
        <v>7</v>
      </c>
      <c r="P414">
        <f>RAW_GAMES!N414</f>
        <v>1</v>
      </c>
      <c r="Q414">
        <f t="shared" si="39"/>
        <v>0.14285714285714285</v>
      </c>
      <c r="R414" s="7">
        <f>RAW_GAMES!Q414</f>
        <v>7</v>
      </c>
      <c r="S414">
        <f>RAW_GAMES!P414</f>
        <v>1</v>
      </c>
      <c r="T414">
        <f t="shared" si="40"/>
        <v>0.85714285714285721</v>
      </c>
      <c r="U414">
        <f>_xlfn.XLOOKUP(C414,
  CALC_TEAMS_SEASON!B:B,
  CALC_TEAMS_SEASON!F:F)</f>
        <v>0.17387057387057389</v>
      </c>
      <c r="V414">
        <f>_xlfn.XLOOKUP(D414,
  CALC_TEAMS_SEASON!B:B,
  CALC_TEAMS_SEASON!F:F)</f>
        <v>0.22060439560439565</v>
      </c>
      <c r="W414" t="str">
        <f>RAW_GAMES!R414</f>
        <v>Frodl</v>
      </c>
      <c r="X414" s="7">
        <f>RAW_GAMES!S414</f>
        <v>24</v>
      </c>
      <c r="Y414">
        <f t="shared" si="41"/>
        <v>0</v>
      </c>
      <c r="Z414" t="str">
        <f>RAW_GAMES!V414</f>
        <v>RS</v>
      </c>
    </row>
    <row r="415" spans="1:26" x14ac:dyDescent="0.25">
      <c r="A415" t="str">
        <f>RAW_GAMES!A415</f>
        <v>25/26</v>
      </c>
      <c r="B415" s="3">
        <f>RAW_GAMES!B415</f>
        <v>45998</v>
      </c>
      <c r="C415" s="3" t="str">
        <f>RAW_GAMES!E415</f>
        <v>LIB</v>
      </c>
      <c r="D415" s="3" t="str">
        <f>RAW_GAMES!F415</f>
        <v>LIT</v>
      </c>
      <c r="E415" s="7">
        <f>RAW_GAMES!G415</f>
        <v>0</v>
      </c>
      <c r="F415">
        <f>RAW_GAMES!H415</f>
        <v>2</v>
      </c>
      <c r="G415">
        <f>RAW_GAMES!I415</f>
        <v>3</v>
      </c>
      <c r="H415">
        <f t="shared" si="36"/>
        <v>-1</v>
      </c>
      <c r="I415">
        <f>RAW_GAMES!J415</f>
        <v>31</v>
      </c>
      <c r="J415">
        <f>RAW_GAMES!K415</f>
        <v>29</v>
      </c>
      <c r="K415">
        <f t="shared" si="37"/>
        <v>2</v>
      </c>
      <c r="L415" t="str">
        <f>IF(RAW_GAMES!L415="","",RAW_GAMES!L415)</f>
        <v/>
      </c>
      <c r="M415" t="str">
        <f>IF(RAW_GAMES!M415="","",RAW_GAMES!M415)</f>
        <v/>
      </c>
      <c r="N415" t="str">
        <f t="shared" si="38"/>
        <v/>
      </c>
      <c r="O415" s="7">
        <f>RAW_GAMES!O415</f>
        <v>4</v>
      </c>
      <c r="P415">
        <f>RAW_GAMES!N415</f>
        <v>0</v>
      </c>
      <c r="Q415">
        <f t="shared" si="39"/>
        <v>0</v>
      </c>
      <c r="R415" s="7">
        <f>RAW_GAMES!Q415</f>
        <v>4</v>
      </c>
      <c r="S415">
        <f>RAW_GAMES!P415</f>
        <v>1</v>
      </c>
      <c r="T415">
        <f t="shared" si="40"/>
        <v>0.75</v>
      </c>
      <c r="U415">
        <f>_xlfn.XLOOKUP(C415,
  CALC_TEAMS_SEASON!B:B,
  CALC_TEAMS_SEASON!F:F)</f>
        <v>0.14377289377289379</v>
      </c>
      <c r="V415">
        <f>_xlfn.XLOOKUP(D415,
  CALC_TEAMS_SEASON!B:B,
  CALC_TEAMS_SEASON!F:F)</f>
        <v>0.10089285714285713</v>
      </c>
      <c r="W415" t="str">
        <f>RAW_GAMES!R415</f>
        <v>Kváča</v>
      </c>
      <c r="X415" s="7">
        <f>RAW_GAMES!S415</f>
        <v>20</v>
      </c>
      <c r="Y415">
        <f t="shared" si="41"/>
        <v>0</v>
      </c>
      <c r="Z415" t="str">
        <f>RAW_GAMES!V415</f>
        <v>RS</v>
      </c>
    </row>
    <row r="416" spans="1:26" x14ac:dyDescent="0.25">
      <c r="A416" t="str">
        <f>RAW_GAMES!A416</f>
        <v>25/26</v>
      </c>
      <c r="B416" s="3">
        <f>RAW_GAMES!B416</f>
        <v>45998</v>
      </c>
      <c r="C416" s="3" t="str">
        <f>RAW_GAMES!E416</f>
        <v>LIT</v>
      </c>
      <c r="D416" s="3" t="str">
        <f>RAW_GAMES!F416</f>
        <v>LIB</v>
      </c>
      <c r="E416" s="7">
        <f>RAW_GAMES!G416</f>
        <v>1</v>
      </c>
      <c r="F416">
        <f>RAW_GAMES!H416</f>
        <v>3</v>
      </c>
      <c r="G416">
        <f>RAW_GAMES!I416</f>
        <v>2</v>
      </c>
      <c r="H416">
        <f t="shared" si="36"/>
        <v>1</v>
      </c>
      <c r="I416">
        <f>RAW_GAMES!J416</f>
        <v>29</v>
      </c>
      <c r="J416">
        <f>RAW_GAMES!K416</f>
        <v>31</v>
      </c>
      <c r="K416">
        <f t="shared" si="37"/>
        <v>-2</v>
      </c>
      <c r="L416" t="str">
        <f>IF(RAW_GAMES!L416="","",RAW_GAMES!L416)</f>
        <v/>
      </c>
      <c r="M416" t="str">
        <f>IF(RAW_GAMES!M416="","",RAW_GAMES!M416)</f>
        <v/>
      </c>
      <c r="N416" t="str">
        <f t="shared" si="38"/>
        <v/>
      </c>
      <c r="O416" s="7">
        <f>RAW_GAMES!O416</f>
        <v>4</v>
      </c>
      <c r="P416">
        <f>RAW_GAMES!N416</f>
        <v>1</v>
      </c>
      <c r="Q416">
        <f t="shared" si="39"/>
        <v>0.25</v>
      </c>
      <c r="R416" s="7">
        <f>RAW_GAMES!Q416</f>
        <v>4</v>
      </c>
      <c r="S416">
        <f>RAW_GAMES!P416</f>
        <v>0</v>
      </c>
      <c r="T416">
        <f t="shared" si="40"/>
        <v>1</v>
      </c>
      <c r="U416">
        <f>_xlfn.XLOOKUP(C416,
  CALC_TEAMS_SEASON!B:B,
  CALC_TEAMS_SEASON!F:F)</f>
        <v>0.10089285714285713</v>
      </c>
      <c r="V416">
        <f>_xlfn.XLOOKUP(D416,
  CALC_TEAMS_SEASON!B:B,
  CALC_TEAMS_SEASON!F:F)</f>
        <v>0.14377289377289379</v>
      </c>
      <c r="W416" t="str">
        <f>RAW_GAMES!R416</f>
        <v>Čajan</v>
      </c>
      <c r="X416" s="7">
        <f>RAW_GAMES!S416</f>
        <v>30</v>
      </c>
      <c r="Y416">
        <f t="shared" si="41"/>
        <v>1</v>
      </c>
      <c r="Z416" t="str">
        <f>RAW_GAMES!V416</f>
        <v>RS</v>
      </c>
    </row>
    <row r="417" spans="1:26" x14ac:dyDescent="0.25">
      <c r="A417" t="str">
        <f>RAW_GAMES!A417</f>
        <v>25/26</v>
      </c>
      <c r="B417" s="3">
        <f>RAW_GAMES!B417</f>
        <v>45998</v>
      </c>
      <c r="C417" s="3" t="str">
        <f>RAW_GAMES!E417</f>
        <v>MBL</v>
      </c>
      <c r="D417" s="3" t="str">
        <f>RAW_GAMES!F417</f>
        <v>TRI</v>
      </c>
      <c r="E417" s="7">
        <f>RAW_GAMES!G417</f>
        <v>0</v>
      </c>
      <c r="F417">
        <f>RAW_GAMES!H417</f>
        <v>2</v>
      </c>
      <c r="G417">
        <f>RAW_GAMES!I417</f>
        <v>5</v>
      </c>
      <c r="H417">
        <f t="shared" si="36"/>
        <v>-3</v>
      </c>
      <c r="I417">
        <f>RAW_GAMES!J417</f>
        <v>31</v>
      </c>
      <c r="J417">
        <f>RAW_GAMES!K417</f>
        <v>24</v>
      </c>
      <c r="K417">
        <f t="shared" si="37"/>
        <v>7</v>
      </c>
      <c r="L417">
        <f>IF(RAW_GAMES!L417="","",RAW_GAMES!L417)</f>
        <v>2.85</v>
      </c>
      <c r="M417">
        <f>IF(RAW_GAMES!M417="","",RAW_GAMES!M417)</f>
        <v>3.12</v>
      </c>
      <c r="N417">
        <f t="shared" si="38"/>
        <v>-0.27</v>
      </c>
      <c r="O417" s="7">
        <f>RAW_GAMES!O417</f>
        <v>0</v>
      </c>
      <c r="P417">
        <f>RAW_GAMES!N417</f>
        <v>0</v>
      </c>
      <c r="Q417">
        <f t="shared" si="39"/>
        <v>0</v>
      </c>
      <c r="R417" s="7">
        <f>RAW_GAMES!Q417</f>
        <v>2</v>
      </c>
      <c r="S417">
        <f>RAW_GAMES!P417</f>
        <v>0</v>
      </c>
      <c r="T417">
        <f t="shared" si="40"/>
        <v>1</v>
      </c>
      <c r="U417">
        <f>_xlfn.XLOOKUP(C417,
  CALC_TEAMS_SEASON!B:B,
  CALC_TEAMS_SEASON!F:F)</f>
        <v>0.11826923076923078</v>
      </c>
      <c r="V417">
        <f>_xlfn.XLOOKUP(D417,
  CALC_TEAMS_SEASON!B:B,
  CALC_TEAMS_SEASON!F:F)</f>
        <v>0.17437423687423692</v>
      </c>
      <c r="W417" t="str">
        <f>RAW_GAMES!R417</f>
        <v>Furch</v>
      </c>
      <c r="X417" s="7">
        <f>RAW_GAMES!S417</f>
        <v>20</v>
      </c>
      <c r="Y417">
        <f t="shared" si="41"/>
        <v>0</v>
      </c>
      <c r="Z417" t="str">
        <f>RAW_GAMES!V417</f>
        <v>RS</v>
      </c>
    </row>
    <row r="418" spans="1:26" x14ac:dyDescent="0.25">
      <c r="A418" t="str">
        <f>RAW_GAMES!A418</f>
        <v>25/26</v>
      </c>
      <c r="B418" s="3">
        <f>RAW_GAMES!B418</f>
        <v>45998</v>
      </c>
      <c r="C418" s="3" t="str">
        <f>RAW_GAMES!E418</f>
        <v>MHK</v>
      </c>
      <c r="D418" s="3" t="str">
        <f>RAW_GAMES!F418</f>
        <v>PLZ</v>
      </c>
      <c r="E418" s="7">
        <f>RAW_GAMES!G418</f>
        <v>1</v>
      </c>
      <c r="F418">
        <f>RAW_GAMES!H418</f>
        <v>5</v>
      </c>
      <c r="G418">
        <f>RAW_GAMES!I418</f>
        <v>4</v>
      </c>
      <c r="H418">
        <f t="shared" si="36"/>
        <v>1</v>
      </c>
      <c r="I418">
        <f>RAW_GAMES!J418</f>
        <v>32</v>
      </c>
      <c r="J418">
        <f>RAW_GAMES!K418</f>
        <v>29</v>
      </c>
      <c r="K418">
        <f t="shared" si="37"/>
        <v>3</v>
      </c>
      <c r="L418" t="str">
        <f>IF(RAW_GAMES!L418="","",RAW_GAMES!L418)</f>
        <v/>
      </c>
      <c r="M418" t="str">
        <f>IF(RAW_GAMES!M418="","",RAW_GAMES!M418)</f>
        <v/>
      </c>
      <c r="N418" t="str">
        <f t="shared" si="38"/>
        <v/>
      </c>
      <c r="O418" s="7">
        <f>RAW_GAMES!O418</f>
        <v>5</v>
      </c>
      <c r="P418">
        <f>RAW_GAMES!N418</f>
        <v>2</v>
      </c>
      <c r="Q418">
        <f t="shared" si="39"/>
        <v>0.4</v>
      </c>
      <c r="R418" s="7">
        <f>RAW_GAMES!Q418</f>
        <v>8</v>
      </c>
      <c r="S418">
        <f>RAW_GAMES!P418</f>
        <v>1</v>
      </c>
      <c r="T418">
        <f t="shared" si="40"/>
        <v>0.875</v>
      </c>
      <c r="U418">
        <f>_xlfn.XLOOKUP(C418,
  CALC_TEAMS_SEASON!B:B,
  CALC_TEAMS_SEASON!F:F)</f>
        <v>0.14184981684981687</v>
      </c>
      <c r="V418">
        <f>_xlfn.XLOOKUP(D418,
  CALC_TEAMS_SEASON!B:B,
  CALC_TEAMS_SEASON!F:F)</f>
        <v>0.17641178266178262</v>
      </c>
      <c r="W418" t="str">
        <f>RAW_GAMES!R418</f>
        <v>Soukup</v>
      </c>
      <c r="X418" s="7">
        <f>RAW_GAMES!S418</f>
        <v>25</v>
      </c>
      <c r="Y418">
        <f t="shared" si="41"/>
        <v>1</v>
      </c>
      <c r="Z418" t="str">
        <f>RAW_GAMES!V418</f>
        <v>RS</v>
      </c>
    </row>
    <row r="419" spans="1:26" x14ac:dyDescent="0.25">
      <c r="A419" t="str">
        <f>RAW_GAMES!A419</f>
        <v>25/26</v>
      </c>
      <c r="B419" s="3">
        <f>RAW_GAMES!B419</f>
        <v>45998</v>
      </c>
      <c r="C419" s="3" t="str">
        <f>RAW_GAMES!E419</f>
        <v>OLO</v>
      </c>
      <c r="D419" s="3" t="str">
        <f>RAW_GAMES!F419</f>
        <v>KLA</v>
      </c>
      <c r="E419" s="7">
        <f>RAW_GAMES!G419</f>
        <v>1</v>
      </c>
      <c r="F419">
        <f>RAW_GAMES!H419</f>
        <v>4</v>
      </c>
      <c r="G419">
        <f>RAW_GAMES!I419</f>
        <v>1</v>
      </c>
      <c r="H419">
        <f t="shared" si="36"/>
        <v>3</v>
      </c>
      <c r="I419">
        <f>RAW_GAMES!J419</f>
        <v>25</v>
      </c>
      <c r="J419">
        <f>RAW_GAMES!K419</f>
        <v>28</v>
      </c>
      <c r="K419">
        <f t="shared" si="37"/>
        <v>-3</v>
      </c>
      <c r="L419" t="str">
        <f>IF(RAW_GAMES!L419="","",RAW_GAMES!L419)</f>
        <v/>
      </c>
      <c r="M419" t="str">
        <f>IF(RAW_GAMES!M419="","",RAW_GAMES!M419)</f>
        <v/>
      </c>
      <c r="N419" t="str">
        <f t="shared" si="38"/>
        <v/>
      </c>
      <c r="O419" s="7">
        <f>RAW_GAMES!O419</f>
        <v>5</v>
      </c>
      <c r="P419">
        <f>RAW_GAMES!N419</f>
        <v>0</v>
      </c>
      <c r="Q419">
        <f t="shared" si="39"/>
        <v>0</v>
      </c>
      <c r="R419" s="7">
        <f>RAW_GAMES!Q419</f>
        <v>4</v>
      </c>
      <c r="S419">
        <f>RAW_GAMES!P419</f>
        <v>0</v>
      </c>
      <c r="T419">
        <f t="shared" si="40"/>
        <v>1</v>
      </c>
      <c r="U419">
        <f>_xlfn.XLOOKUP(C419,
  CALC_TEAMS_SEASON!B:B,
  CALC_TEAMS_SEASON!F:F)</f>
        <v>0.14989316239316242</v>
      </c>
      <c r="V419">
        <f>_xlfn.XLOOKUP(D419,
  CALC_TEAMS_SEASON!B:B,
  CALC_TEAMS_SEASON!F:F)</f>
        <v>0.13120421245421243</v>
      </c>
      <c r="W419" t="str">
        <f>RAW_GAMES!R419</f>
        <v>Machovský</v>
      </c>
      <c r="X419" s="7">
        <f>RAW_GAMES!S419</f>
        <v>29</v>
      </c>
      <c r="Y419">
        <f t="shared" si="41"/>
        <v>1</v>
      </c>
      <c r="Z419" t="str">
        <f>RAW_GAMES!V419</f>
        <v>RS</v>
      </c>
    </row>
    <row r="420" spans="1:26" x14ac:dyDescent="0.25">
      <c r="A420" t="str">
        <f>RAW_GAMES!A420</f>
        <v>25/26</v>
      </c>
      <c r="B420" s="3">
        <f>RAW_GAMES!B420</f>
        <v>45998</v>
      </c>
      <c r="C420" s="3" t="str">
        <f>RAW_GAMES!E420</f>
        <v>PLZ</v>
      </c>
      <c r="D420" s="3" t="str">
        <f>RAW_GAMES!F420</f>
        <v>MHK</v>
      </c>
      <c r="E420" s="7">
        <f>RAW_GAMES!G420</f>
        <v>0</v>
      </c>
      <c r="F420">
        <f>RAW_GAMES!H420</f>
        <v>4</v>
      </c>
      <c r="G420">
        <f>RAW_GAMES!I420</f>
        <v>5</v>
      </c>
      <c r="H420">
        <f t="shared" si="36"/>
        <v>-1</v>
      </c>
      <c r="I420">
        <f>RAW_GAMES!J420</f>
        <v>29</v>
      </c>
      <c r="J420">
        <f>RAW_GAMES!K420</f>
        <v>32</v>
      </c>
      <c r="K420">
        <f t="shared" si="37"/>
        <v>-3</v>
      </c>
      <c r="L420" t="str">
        <f>IF(RAW_GAMES!L420="","",RAW_GAMES!L420)</f>
        <v/>
      </c>
      <c r="M420" t="str">
        <f>IF(RAW_GAMES!M420="","",RAW_GAMES!M420)</f>
        <v/>
      </c>
      <c r="N420" t="str">
        <f t="shared" si="38"/>
        <v/>
      </c>
      <c r="O420" s="7">
        <f>RAW_GAMES!O420</f>
        <v>8</v>
      </c>
      <c r="P420">
        <f>RAW_GAMES!N420</f>
        <v>1</v>
      </c>
      <c r="Q420">
        <f t="shared" si="39"/>
        <v>0.125</v>
      </c>
      <c r="R420" s="7">
        <f>RAW_GAMES!Q420</f>
        <v>5</v>
      </c>
      <c r="S420">
        <f>RAW_GAMES!P420</f>
        <v>2</v>
      </c>
      <c r="T420">
        <f t="shared" si="40"/>
        <v>0.6</v>
      </c>
      <c r="U420">
        <f>_xlfn.XLOOKUP(C420,
  CALC_TEAMS_SEASON!B:B,
  CALC_TEAMS_SEASON!F:F)</f>
        <v>0.17641178266178262</v>
      </c>
      <c r="V420">
        <f>_xlfn.XLOOKUP(D420,
  CALC_TEAMS_SEASON!B:B,
  CALC_TEAMS_SEASON!F:F)</f>
        <v>0.14184981684981687</v>
      </c>
      <c r="W420" t="str">
        <f>RAW_GAMES!R420</f>
        <v>Růžička</v>
      </c>
      <c r="X420" s="7">
        <f>RAW_GAMES!S420</f>
        <v>26</v>
      </c>
      <c r="Y420">
        <f t="shared" si="41"/>
        <v>0</v>
      </c>
      <c r="Z420" t="str">
        <f>RAW_GAMES!V420</f>
        <v>RS</v>
      </c>
    </row>
    <row r="421" spans="1:26" x14ac:dyDescent="0.25">
      <c r="A421" t="str">
        <f>RAW_GAMES!A421</f>
        <v>25/26</v>
      </c>
      <c r="B421" s="3">
        <f>RAW_GAMES!B421</f>
        <v>45998</v>
      </c>
      <c r="C421" s="3" t="str">
        <f>RAW_GAMES!E421</f>
        <v>VIT</v>
      </c>
      <c r="D421" s="3" t="str">
        <f>RAW_GAMES!F421</f>
        <v>KOM</v>
      </c>
      <c r="E421" s="7">
        <f>RAW_GAMES!G421</f>
        <v>1</v>
      </c>
      <c r="F421">
        <f>RAW_GAMES!H421</f>
        <v>4</v>
      </c>
      <c r="G421">
        <f>RAW_GAMES!I421</f>
        <v>3</v>
      </c>
      <c r="H421">
        <f t="shared" si="36"/>
        <v>1</v>
      </c>
      <c r="I421">
        <f>RAW_GAMES!J421</f>
        <v>28</v>
      </c>
      <c r="J421">
        <f>RAW_GAMES!K421</f>
        <v>28</v>
      </c>
      <c r="K421">
        <f t="shared" si="37"/>
        <v>0</v>
      </c>
      <c r="L421">
        <f>IF(RAW_GAMES!L421="","",RAW_GAMES!L421)</f>
        <v>2.09</v>
      </c>
      <c r="M421">
        <f>IF(RAW_GAMES!M421="","",RAW_GAMES!M421)</f>
        <v>2.84</v>
      </c>
      <c r="N421">
        <f t="shared" si="38"/>
        <v>-0.75</v>
      </c>
      <c r="O421" s="7">
        <f>RAW_GAMES!O421</f>
        <v>4</v>
      </c>
      <c r="P421">
        <f>RAW_GAMES!N421</f>
        <v>1</v>
      </c>
      <c r="Q421">
        <f t="shared" si="39"/>
        <v>0.25</v>
      </c>
      <c r="R421" s="7">
        <f>RAW_GAMES!Q421</f>
        <v>3</v>
      </c>
      <c r="S421">
        <f>RAW_GAMES!P421</f>
        <v>0</v>
      </c>
      <c r="T421">
        <f t="shared" si="40"/>
        <v>1</v>
      </c>
      <c r="U421">
        <f>_xlfn.XLOOKUP(C421,
  CALC_TEAMS_SEASON!B:B,
  CALC_TEAMS_SEASON!F:F)</f>
        <v>0.16984890109890113</v>
      </c>
      <c r="V421">
        <f>_xlfn.XLOOKUP(D421,
  CALC_TEAMS_SEASON!B:B,
  CALC_TEAMS_SEASON!F:F)</f>
        <v>0.14358974358974358</v>
      </c>
      <c r="W421" t="str">
        <f>RAW_GAMES!R421</f>
        <v>Hrachovina</v>
      </c>
      <c r="X421" s="7">
        <f>RAW_GAMES!S421</f>
        <v>23</v>
      </c>
      <c r="Y421">
        <f t="shared" si="41"/>
        <v>1</v>
      </c>
      <c r="Z421" t="str">
        <f>RAW_GAMES!V421</f>
        <v>RS</v>
      </c>
    </row>
    <row r="422" spans="1:26" x14ac:dyDescent="0.25">
      <c r="A422" t="str">
        <f>RAW_GAMES!A422</f>
        <v>25/26</v>
      </c>
      <c r="B422" s="3">
        <f>RAW_GAMES!B422</f>
        <v>46008</v>
      </c>
      <c r="C422" s="3" t="str">
        <f>RAW_GAMES!E422</f>
        <v>PCE</v>
      </c>
      <c r="D422" s="3" t="str">
        <f>RAW_GAMES!F422</f>
        <v>OLO</v>
      </c>
      <c r="E422" s="7">
        <f>RAW_GAMES!G422</f>
        <v>1</v>
      </c>
      <c r="F422">
        <f>RAW_GAMES!H422</f>
        <v>4</v>
      </c>
      <c r="G422">
        <f>RAW_GAMES!I422</f>
        <v>5</v>
      </c>
      <c r="H422">
        <f t="shared" si="36"/>
        <v>-1</v>
      </c>
      <c r="I422">
        <f>RAW_GAMES!J422</f>
        <v>37</v>
      </c>
      <c r="J422">
        <f>RAW_GAMES!K422</f>
        <v>29</v>
      </c>
      <c r="K422">
        <f t="shared" si="37"/>
        <v>8</v>
      </c>
      <c r="L422">
        <f>IF(RAW_GAMES!L422="","",RAW_GAMES!L422)</f>
        <v>4.9800000000000004</v>
      </c>
      <c r="M422">
        <f>IF(RAW_GAMES!M422="","",RAW_GAMES!M422)</f>
        <v>2.83</v>
      </c>
      <c r="N422">
        <f t="shared" si="38"/>
        <v>2.1500000000000004</v>
      </c>
      <c r="O422" s="7">
        <f>RAW_GAMES!O422</f>
        <v>4</v>
      </c>
      <c r="P422">
        <f>RAW_GAMES!N422</f>
        <v>1</v>
      </c>
      <c r="Q422">
        <f t="shared" si="39"/>
        <v>0.25</v>
      </c>
      <c r="R422" s="7">
        <f>RAW_GAMES!Q422</f>
        <v>4</v>
      </c>
      <c r="S422">
        <f>RAW_GAMES!P422</f>
        <v>1</v>
      </c>
      <c r="T422">
        <f t="shared" si="40"/>
        <v>0.75</v>
      </c>
      <c r="U422">
        <f>_xlfn.XLOOKUP(C422,
  CALC_TEAMS_SEASON!B:B,
  CALC_TEAMS_SEASON!F:F)</f>
        <v>0.20297619047619053</v>
      </c>
      <c r="V422">
        <f>_xlfn.XLOOKUP(D422,
  CALC_TEAMS_SEASON!B:B,
  CALC_TEAMS_SEASON!F:F)</f>
        <v>0.14989316239316242</v>
      </c>
      <c r="W422" t="str">
        <f>RAW_GAMES!R422</f>
        <v>Subban</v>
      </c>
      <c r="X422" s="7">
        <f>RAW_GAMES!S422</f>
        <v>24</v>
      </c>
      <c r="Y422">
        <f t="shared" si="41"/>
        <v>0</v>
      </c>
      <c r="Z422" t="str">
        <f>RAW_GAMES!V422</f>
        <v>RS</v>
      </c>
    </row>
    <row r="423" spans="1:26" x14ac:dyDescent="0.25">
      <c r="A423" t="str">
        <f>RAW_GAMES!A423</f>
        <v>25/26</v>
      </c>
      <c r="B423" s="3">
        <f>RAW_GAMES!B423</f>
        <v>46008</v>
      </c>
      <c r="C423" s="3" t="str">
        <f>RAW_GAMES!E423</f>
        <v>TRI</v>
      </c>
      <c r="D423" s="3" t="str">
        <f>RAW_GAMES!F423</f>
        <v>MHK</v>
      </c>
      <c r="E423" s="7">
        <f>RAW_GAMES!G423</f>
        <v>1</v>
      </c>
      <c r="F423">
        <f>RAW_GAMES!H423</f>
        <v>2</v>
      </c>
      <c r="G423">
        <f>RAW_GAMES!I423</f>
        <v>5</v>
      </c>
      <c r="H423">
        <f t="shared" si="36"/>
        <v>-3</v>
      </c>
      <c r="I423">
        <f>RAW_GAMES!J423</f>
        <v>28</v>
      </c>
      <c r="J423">
        <f>RAW_GAMES!K423</f>
        <v>30</v>
      </c>
      <c r="K423">
        <f t="shared" si="37"/>
        <v>-2</v>
      </c>
      <c r="L423">
        <f>IF(RAW_GAMES!L423="","",RAW_GAMES!L423)</f>
        <v>2.0299999999999998</v>
      </c>
      <c r="M423">
        <f>IF(RAW_GAMES!M423="","",RAW_GAMES!M423)</f>
        <v>3.92</v>
      </c>
      <c r="N423">
        <f t="shared" si="38"/>
        <v>-1.8900000000000001</v>
      </c>
      <c r="O423" s="7">
        <f>RAW_GAMES!O423</f>
        <v>4</v>
      </c>
      <c r="P423">
        <f>RAW_GAMES!N423</f>
        <v>0</v>
      </c>
      <c r="Q423">
        <f t="shared" si="39"/>
        <v>0</v>
      </c>
      <c r="R423" s="7">
        <f>RAW_GAMES!Q423</f>
        <v>6</v>
      </c>
      <c r="S423">
        <f>RAW_GAMES!P423</f>
        <v>1</v>
      </c>
      <c r="T423">
        <f t="shared" si="40"/>
        <v>0.83333333333333337</v>
      </c>
      <c r="U423">
        <f>_xlfn.XLOOKUP(C423,
  CALC_TEAMS_SEASON!B:B,
  CALC_TEAMS_SEASON!F:F)</f>
        <v>0.17437423687423692</v>
      </c>
      <c r="V423">
        <f>_xlfn.XLOOKUP(D423,
  CALC_TEAMS_SEASON!B:B,
  CALC_TEAMS_SEASON!F:F)</f>
        <v>0.14184981684981687</v>
      </c>
      <c r="W423" t="str">
        <f>RAW_GAMES!R423</f>
        <v>Kacetl</v>
      </c>
      <c r="X423" s="7">
        <f>RAW_GAMES!S423</f>
        <v>25</v>
      </c>
      <c r="Y423">
        <f t="shared" si="41"/>
        <v>0</v>
      </c>
      <c r="Z423" t="str">
        <f>RAW_GAMES!V423</f>
        <v>RS</v>
      </c>
    </row>
    <row r="424" spans="1:26" x14ac:dyDescent="0.25">
      <c r="A424" t="str">
        <f>RAW_GAMES!A424</f>
        <v>25/26</v>
      </c>
      <c r="B424" s="3">
        <f>RAW_GAMES!B424</f>
        <v>46008</v>
      </c>
      <c r="C424" s="3" t="str">
        <f>RAW_GAMES!E424</f>
        <v>MHK</v>
      </c>
      <c r="D424" s="3" t="str">
        <f>RAW_GAMES!F424</f>
        <v>TRI</v>
      </c>
      <c r="E424" s="7">
        <f>RAW_GAMES!G424</f>
        <v>0</v>
      </c>
      <c r="F424">
        <f>RAW_GAMES!H424</f>
        <v>5</v>
      </c>
      <c r="G424">
        <f>RAW_GAMES!I424</f>
        <v>2</v>
      </c>
      <c r="H424">
        <f t="shared" si="36"/>
        <v>3</v>
      </c>
      <c r="I424">
        <f>RAW_GAMES!J424</f>
        <v>30</v>
      </c>
      <c r="J424">
        <f>RAW_GAMES!K424</f>
        <v>28</v>
      </c>
      <c r="K424">
        <f t="shared" si="37"/>
        <v>2</v>
      </c>
      <c r="L424">
        <f>IF(RAW_GAMES!L424="","",RAW_GAMES!L424)</f>
        <v>3.92</v>
      </c>
      <c r="M424">
        <f>IF(RAW_GAMES!M424="","",RAW_GAMES!M424)</f>
        <v>2.0299999999999998</v>
      </c>
      <c r="N424">
        <f t="shared" si="38"/>
        <v>1.8900000000000001</v>
      </c>
      <c r="O424" s="7">
        <f>RAW_GAMES!O424</f>
        <v>6</v>
      </c>
      <c r="P424">
        <f>RAW_GAMES!N424</f>
        <v>1</v>
      </c>
      <c r="Q424">
        <f t="shared" si="39"/>
        <v>0.16666666666666666</v>
      </c>
      <c r="R424" s="7">
        <f>RAW_GAMES!Q424</f>
        <v>4</v>
      </c>
      <c r="S424">
        <f>RAW_GAMES!P424</f>
        <v>0</v>
      </c>
      <c r="T424">
        <f t="shared" si="40"/>
        <v>1</v>
      </c>
      <c r="U424">
        <f>_xlfn.XLOOKUP(C424,
  CALC_TEAMS_SEASON!B:B,
  CALC_TEAMS_SEASON!F:F)</f>
        <v>0.14184981684981687</v>
      </c>
      <c r="V424">
        <f>_xlfn.XLOOKUP(D424,
  CALC_TEAMS_SEASON!B:B,
  CALC_TEAMS_SEASON!F:F)</f>
        <v>0.17437423687423692</v>
      </c>
      <c r="W424" t="str">
        <f>RAW_GAMES!R424</f>
        <v>Škorvánek</v>
      </c>
      <c r="X424" s="7">
        <f>RAW_GAMES!S424</f>
        <v>26</v>
      </c>
      <c r="Y424">
        <f t="shared" si="41"/>
        <v>1</v>
      </c>
      <c r="Z424" t="str">
        <f>RAW_GAMES!V424</f>
        <v>RS</v>
      </c>
    </row>
    <row r="425" spans="1:26" x14ac:dyDescent="0.25">
      <c r="A425" t="str">
        <f>RAW_GAMES!A425</f>
        <v>25/26</v>
      </c>
      <c r="B425" s="3">
        <f>RAW_GAMES!B425</f>
        <v>46008</v>
      </c>
      <c r="C425" s="3" t="str">
        <f>RAW_GAMES!E425</f>
        <v>OLO</v>
      </c>
      <c r="D425" s="3" t="str">
        <f>RAW_GAMES!F425</f>
        <v>PCE</v>
      </c>
      <c r="E425" s="7">
        <f>RAW_GAMES!G425</f>
        <v>0</v>
      </c>
      <c r="F425">
        <f>RAW_GAMES!H425</f>
        <v>5</v>
      </c>
      <c r="G425">
        <f>RAW_GAMES!I425</f>
        <v>4</v>
      </c>
      <c r="H425">
        <f t="shared" si="36"/>
        <v>1</v>
      </c>
      <c r="I425">
        <f>RAW_GAMES!J425</f>
        <v>29</v>
      </c>
      <c r="J425">
        <f>RAW_GAMES!K425</f>
        <v>37</v>
      </c>
      <c r="K425">
        <f t="shared" si="37"/>
        <v>-8</v>
      </c>
      <c r="L425">
        <f>IF(RAW_GAMES!L425="","",RAW_GAMES!L425)</f>
        <v>2.83</v>
      </c>
      <c r="M425">
        <f>IF(RAW_GAMES!M425="","",RAW_GAMES!M425)</f>
        <v>4.9800000000000004</v>
      </c>
      <c r="N425">
        <f t="shared" si="38"/>
        <v>-2.1500000000000004</v>
      </c>
      <c r="O425" s="7">
        <f>RAW_GAMES!O425</f>
        <v>4</v>
      </c>
      <c r="P425">
        <f>RAW_GAMES!N425</f>
        <v>1</v>
      </c>
      <c r="Q425">
        <f t="shared" si="39"/>
        <v>0.25</v>
      </c>
      <c r="R425" s="7">
        <f>RAW_GAMES!Q425</f>
        <v>4</v>
      </c>
      <c r="S425">
        <f>RAW_GAMES!P425</f>
        <v>1</v>
      </c>
      <c r="T425">
        <f t="shared" si="40"/>
        <v>0.75</v>
      </c>
      <c r="U425">
        <f>_xlfn.XLOOKUP(C425,
  CALC_TEAMS_SEASON!B:B,
  CALC_TEAMS_SEASON!F:F)</f>
        <v>0.14989316239316242</v>
      </c>
      <c r="V425">
        <f>_xlfn.XLOOKUP(D425,
  CALC_TEAMS_SEASON!B:B,
  CALC_TEAMS_SEASON!F:F)</f>
        <v>0.20297619047619053</v>
      </c>
      <c r="W425" t="str">
        <f>RAW_GAMES!R425</f>
        <v>Machovský</v>
      </c>
      <c r="X425" s="7">
        <f>RAW_GAMES!S425</f>
        <v>33</v>
      </c>
      <c r="Y425">
        <f t="shared" si="41"/>
        <v>1</v>
      </c>
      <c r="Z425" t="str">
        <f>RAW_GAMES!V425</f>
        <v>RS</v>
      </c>
    </row>
    <row r="426" spans="1:26" x14ac:dyDescent="0.25">
      <c r="A426" t="str">
        <f>RAW_GAMES!A426</f>
        <v>25/26</v>
      </c>
      <c r="B426" s="3">
        <f>RAW_GAMES!B426</f>
        <v>46008</v>
      </c>
      <c r="C426" s="3" t="str">
        <f>RAW_GAMES!E426</f>
        <v>PLZ</v>
      </c>
      <c r="D426" s="3" t="str">
        <f>RAW_GAMES!F426</f>
        <v>VIT</v>
      </c>
      <c r="E426" s="7">
        <f>RAW_GAMES!G426</f>
        <v>0</v>
      </c>
      <c r="F426">
        <f>RAW_GAMES!H426</f>
        <v>3</v>
      </c>
      <c r="G426">
        <f>RAW_GAMES!I426</f>
        <v>1</v>
      </c>
      <c r="H426">
        <f t="shared" si="36"/>
        <v>2</v>
      </c>
      <c r="I426">
        <f>RAW_GAMES!J426</f>
        <v>32</v>
      </c>
      <c r="J426">
        <f>RAW_GAMES!K426</f>
        <v>26</v>
      </c>
      <c r="K426">
        <f t="shared" si="37"/>
        <v>6</v>
      </c>
      <c r="L426" t="str">
        <f>IF(RAW_GAMES!L426="","",RAW_GAMES!L426)</f>
        <v/>
      </c>
      <c r="M426" t="str">
        <f>IF(RAW_GAMES!M426="","",RAW_GAMES!M426)</f>
        <v/>
      </c>
      <c r="N426" t="str">
        <f t="shared" si="38"/>
        <v/>
      </c>
      <c r="O426" s="7">
        <f>RAW_GAMES!O426</f>
        <v>0</v>
      </c>
      <c r="P426">
        <f>RAW_GAMES!N426</f>
        <v>0</v>
      </c>
      <c r="Q426">
        <f t="shared" si="39"/>
        <v>0</v>
      </c>
      <c r="R426" s="7">
        <f>RAW_GAMES!Q426</f>
        <v>2</v>
      </c>
      <c r="S426">
        <f>RAW_GAMES!P426</f>
        <v>0</v>
      </c>
      <c r="T426">
        <f t="shared" si="40"/>
        <v>1</v>
      </c>
      <c r="U426">
        <f>_xlfn.XLOOKUP(C426,
  CALC_TEAMS_SEASON!B:B,
  CALC_TEAMS_SEASON!F:F)</f>
        <v>0.17641178266178262</v>
      </c>
      <c r="V426">
        <f>_xlfn.XLOOKUP(D426,
  CALC_TEAMS_SEASON!B:B,
  CALC_TEAMS_SEASON!F:F)</f>
        <v>0.16984890109890113</v>
      </c>
      <c r="W426" t="str">
        <f>RAW_GAMES!R426</f>
        <v>Růžička</v>
      </c>
      <c r="X426" s="7">
        <f>RAW_GAMES!S426</f>
        <v>25</v>
      </c>
      <c r="Y426">
        <f t="shared" si="41"/>
        <v>1</v>
      </c>
      <c r="Z426" t="str">
        <f>RAW_GAMES!V426</f>
        <v>RS</v>
      </c>
    </row>
    <row r="427" spans="1:26" x14ac:dyDescent="0.25">
      <c r="A427" t="str">
        <f>RAW_GAMES!A427</f>
        <v>25/26</v>
      </c>
      <c r="B427" s="3">
        <f>RAW_GAMES!B427</f>
        <v>46008</v>
      </c>
      <c r="C427" s="3" t="str">
        <f>RAW_GAMES!E427</f>
        <v>VIT</v>
      </c>
      <c r="D427" s="3" t="str">
        <f>RAW_GAMES!F427</f>
        <v>PLZ</v>
      </c>
      <c r="E427" s="7">
        <f>RAW_GAMES!G427</f>
        <v>1</v>
      </c>
      <c r="F427">
        <f>RAW_GAMES!H427</f>
        <v>1</v>
      </c>
      <c r="G427">
        <f>RAW_GAMES!I427</f>
        <v>3</v>
      </c>
      <c r="H427">
        <f t="shared" si="36"/>
        <v>-2</v>
      </c>
      <c r="I427">
        <f>RAW_GAMES!J427</f>
        <v>26</v>
      </c>
      <c r="J427">
        <f>RAW_GAMES!K427</f>
        <v>32</v>
      </c>
      <c r="K427">
        <f t="shared" si="37"/>
        <v>-6</v>
      </c>
      <c r="L427" t="str">
        <f>IF(RAW_GAMES!L427="","",RAW_GAMES!L427)</f>
        <v/>
      </c>
      <c r="M427" t="str">
        <f>IF(RAW_GAMES!M427="","",RAW_GAMES!M427)</f>
        <v/>
      </c>
      <c r="N427" t="str">
        <f t="shared" si="38"/>
        <v/>
      </c>
      <c r="O427" s="7">
        <f>RAW_GAMES!O427</f>
        <v>2</v>
      </c>
      <c r="P427">
        <f>RAW_GAMES!N427</f>
        <v>0</v>
      </c>
      <c r="Q427">
        <f t="shared" si="39"/>
        <v>0</v>
      </c>
      <c r="R427" s="7">
        <f>RAW_GAMES!Q427</f>
        <v>0</v>
      </c>
      <c r="S427">
        <f>RAW_GAMES!P427</f>
        <v>0</v>
      </c>
      <c r="T427">
        <f t="shared" si="40"/>
        <v>1</v>
      </c>
      <c r="U427">
        <f>_xlfn.XLOOKUP(C427,
  CALC_TEAMS_SEASON!B:B,
  CALC_TEAMS_SEASON!F:F)</f>
        <v>0.16984890109890113</v>
      </c>
      <c r="V427">
        <f>_xlfn.XLOOKUP(D427,
  CALC_TEAMS_SEASON!B:B,
  CALC_TEAMS_SEASON!F:F)</f>
        <v>0.17641178266178262</v>
      </c>
      <c r="W427" t="str">
        <f>RAW_GAMES!R427</f>
        <v>Hrachovina</v>
      </c>
      <c r="X427" s="7">
        <f>RAW_GAMES!S427</f>
        <v>30</v>
      </c>
      <c r="Y427">
        <f t="shared" si="41"/>
        <v>0</v>
      </c>
      <c r="Z427" t="str">
        <f>RAW_GAMES!V427</f>
        <v>RS</v>
      </c>
    </row>
    <row r="428" spans="1:26" x14ac:dyDescent="0.25">
      <c r="A428" t="str">
        <f>RAW_GAMES!A428</f>
        <v>25/26</v>
      </c>
      <c r="B428" s="3">
        <f>RAW_GAMES!B428</f>
        <v>46010</v>
      </c>
      <c r="C428" s="3" t="str">
        <f>RAW_GAMES!E428</f>
        <v>TRI</v>
      </c>
      <c r="D428" s="3" t="str">
        <f>RAW_GAMES!F428</f>
        <v>PLZ</v>
      </c>
      <c r="E428" s="7">
        <f>RAW_GAMES!G428</f>
        <v>1</v>
      </c>
      <c r="F428">
        <f>RAW_GAMES!H428</f>
        <v>2</v>
      </c>
      <c r="G428">
        <f>RAW_GAMES!I428</f>
        <v>1</v>
      </c>
      <c r="H428">
        <f t="shared" si="36"/>
        <v>1</v>
      </c>
      <c r="I428">
        <f>RAW_GAMES!J428</f>
        <v>32</v>
      </c>
      <c r="J428">
        <f>RAW_GAMES!K428</f>
        <v>26</v>
      </c>
      <c r="K428">
        <f t="shared" si="37"/>
        <v>6</v>
      </c>
      <c r="L428">
        <f>IF(RAW_GAMES!L428="","",RAW_GAMES!L428)</f>
        <v>3.63</v>
      </c>
      <c r="M428">
        <f>IF(RAW_GAMES!M428="","",RAW_GAMES!M428)</f>
        <v>2.88</v>
      </c>
      <c r="N428">
        <f t="shared" si="38"/>
        <v>0.75</v>
      </c>
      <c r="O428" s="7">
        <f>RAW_GAMES!O428</f>
        <v>6</v>
      </c>
      <c r="P428">
        <f>RAW_GAMES!N428</f>
        <v>0</v>
      </c>
      <c r="Q428">
        <f t="shared" si="39"/>
        <v>0</v>
      </c>
      <c r="R428" s="7">
        <f>RAW_GAMES!Q428</f>
        <v>6</v>
      </c>
      <c r="S428">
        <f>RAW_GAMES!P428</f>
        <v>0</v>
      </c>
      <c r="T428">
        <f t="shared" si="40"/>
        <v>1</v>
      </c>
      <c r="U428">
        <f>_xlfn.XLOOKUP(C428,
  CALC_TEAMS_SEASON!B:B,
  CALC_TEAMS_SEASON!F:F)</f>
        <v>0.17437423687423692</v>
      </c>
      <c r="V428">
        <f>_xlfn.XLOOKUP(D428,
  CALC_TEAMS_SEASON!B:B,
  CALC_TEAMS_SEASON!F:F)</f>
        <v>0.17641178266178262</v>
      </c>
      <c r="W428" t="str">
        <f>RAW_GAMES!R428</f>
        <v>Mazanec</v>
      </c>
      <c r="X428" s="7">
        <f>RAW_GAMES!S428</f>
        <v>25</v>
      </c>
      <c r="Y428">
        <f t="shared" si="41"/>
        <v>1</v>
      </c>
      <c r="Z428" t="str">
        <f>RAW_GAMES!V428</f>
        <v>RS</v>
      </c>
    </row>
    <row r="429" spans="1:26" x14ac:dyDescent="0.25">
      <c r="A429" t="str">
        <f>RAW_GAMES!A429</f>
        <v>25/26</v>
      </c>
      <c r="B429" s="3">
        <f>RAW_GAMES!B429</f>
        <v>46010</v>
      </c>
      <c r="C429" s="3" t="str">
        <f>RAW_GAMES!E429</f>
        <v>SPA</v>
      </c>
      <c r="D429" s="3" t="str">
        <f>RAW_GAMES!F429</f>
        <v>LIT</v>
      </c>
      <c r="E429" s="7">
        <f>RAW_GAMES!G429</f>
        <v>0</v>
      </c>
      <c r="F429">
        <f>RAW_GAMES!H429</f>
        <v>2</v>
      </c>
      <c r="G429">
        <f>RAW_GAMES!I429</f>
        <v>3</v>
      </c>
      <c r="H429">
        <f t="shared" si="36"/>
        <v>-1</v>
      </c>
      <c r="I429">
        <f>RAW_GAMES!J429</f>
        <v>26</v>
      </c>
      <c r="J429">
        <f>RAW_GAMES!K429</f>
        <v>26</v>
      </c>
      <c r="K429">
        <f t="shared" si="37"/>
        <v>0</v>
      </c>
      <c r="L429">
        <f>IF(RAW_GAMES!L429="","",RAW_GAMES!L429)</f>
        <v>2.4300000000000002</v>
      </c>
      <c r="M429">
        <f>IF(RAW_GAMES!M429="","",RAW_GAMES!M429)</f>
        <v>4.47</v>
      </c>
      <c r="N429">
        <f t="shared" si="38"/>
        <v>-2.0399999999999996</v>
      </c>
      <c r="O429" s="7">
        <f>RAW_GAMES!O429</f>
        <v>4</v>
      </c>
      <c r="P429">
        <f>RAW_GAMES!N429</f>
        <v>1</v>
      </c>
      <c r="Q429">
        <f t="shared" si="39"/>
        <v>0.25</v>
      </c>
      <c r="R429" s="7">
        <f>RAW_GAMES!Q429</f>
        <v>6</v>
      </c>
      <c r="S429">
        <f>RAW_GAMES!P429</f>
        <v>0</v>
      </c>
      <c r="T429">
        <f t="shared" si="40"/>
        <v>1</v>
      </c>
      <c r="U429">
        <f>_xlfn.XLOOKUP(C429,
  CALC_TEAMS_SEASON!B:B,
  CALC_TEAMS_SEASON!F:F)</f>
        <v>0.22060439560439565</v>
      </c>
      <c r="V429">
        <f>_xlfn.XLOOKUP(D429,
  CALC_TEAMS_SEASON!B:B,
  CALC_TEAMS_SEASON!F:F)</f>
        <v>0.10089285714285713</v>
      </c>
      <c r="W429" t="str">
        <f>RAW_GAMES!R429</f>
        <v>Kovář</v>
      </c>
      <c r="X429" s="7">
        <f>RAW_GAMES!S429</f>
        <v>23</v>
      </c>
      <c r="Y429">
        <f t="shared" si="41"/>
        <v>0</v>
      </c>
      <c r="Z429" t="str">
        <f>RAW_GAMES!V429</f>
        <v>RS</v>
      </c>
    </row>
    <row r="430" spans="1:26" x14ac:dyDescent="0.25">
      <c r="A430" t="str">
        <f>RAW_GAMES!A430</f>
        <v>25/26</v>
      </c>
      <c r="B430" s="3">
        <f>RAW_GAMES!B430</f>
        <v>46010</v>
      </c>
      <c r="C430" s="3" t="str">
        <f>RAW_GAMES!E430</f>
        <v>KOM</v>
      </c>
      <c r="D430" s="3" t="str">
        <f>RAW_GAMES!F430</f>
        <v>LIB</v>
      </c>
      <c r="E430" s="7">
        <f>RAW_GAMES!G430</f>
        <v>1</v>
      </c>
      <c r="F430">
        <f>RAW_GAMES!H430</f>
        <v>3</v>
      </c>
      <c r="G430">
        <f>RAW_GAMES!I430</f>
        <v>1</v>
      </c>
      <c r="H430">
        <f t="shared" si="36"/>
        <v>2</v>
      </c>
      <c r="I430">
        <f>RAW_GAMES!J430</f>
        <v>35</v>
      </c>
      <c r="J430">
        <f>RAW_GAMES!K430</f>
        <v>34</v>
      </c>
      <c r="K430">
        <f t="shared" si="37"/>
        <v>1</v>
      </c>
      <c r="L430">
        <f>IF(RAW_GAMES!L430="","",RAW_GAMES!L430)</f>
        <v>4.17</v>
      </c>
      <c r="M430">
        <f>IF(RAW_GAMES!M430="","",RAW_GAMES!M430)</f>
        <v>2.56</v>
      </c>
      <c r="N430">
        <f t="shared" si="38"/>
        <v>1.6099999999999999</v>
      </c>
      <c r="O430" s="7">
        <f>RAW_GAMES!O430</f>
        <v>2</v>
      </c>
      <c r="P430">
        <f>RAW_GAMES!N430</f>
        <v>0</v>
      </c>
      <c r="Q430">
        <f t="shared" si="39"/>
        <v>0</v>
      </c>
      <c r="R430" s="7">
        <f>RAW_GAMES!Q430</f>
        <v>4</v>
      </c>
      <c r="S430">
        <f>RAW_GAMES!P430</f>
        <v>0</v>
      </c>
      <c r="T430">
        <f t="shared" si="40"/>
        <v>1</v>
      </c>
      <c r="U430">
        <f>_xlfn.XLOOKUP(C430,
  CALC_TEAMS_SEASON!B:B,
  CALC_TEAMS_SEASON!F:F)</f>
        <v>0.14358974358974358</v>
      </c>
      <c r="V430">
        <f>_xlfn.XLOOKUP(D430,
  CALC_TEAMS_SEASON!B:B,
  CALC_TEAMS_SEASON!F:F)</f>
        <v>0.14377289377289379</v>
      </c>
      <c r="W430" t="str">
        <f>RAW_GAMES!R430</f>
        <v>Stezka</v>
      </c>
      <c r="X430" s="7">
        <f>RAW_GAMES!S430</f>
        <v>32</v>
      </c>
      <c r="Y430">
        <f t="shared" si="41"/>
        <v>1</v>
      </c>
      <c r="Z430" t="str">
        <f>RAW_GAMES!V430</f>
        <v>RS</v>
      </c>
    </row>
    <row r="431" spans="1:26" x14ac:dyDescent="0.25">
      <c r="A431" t="str">
        <f>RAW_GAMES!A431</f>
        <v>25/26</v>
      </c>
      <c r="B431" s="3">
        <f>RAW_GAMES!B431</f>
        <v>46010</v>
      </c>
      <c r="C431" s="3" t="str">
        <f>RAW_GAMES!E431</f>
        <v>CEB</v>
      </c>
      <c r="D431" s="3" t="str">
        <f>RAW_GAMES!F431</f>
        <v>KLA</v>
      </c>
      <c r="E431" s="7">
        <f>RAW_GAMES!G431</f>
        <v>0</v>
      </c>
      <c r="F431">
        <f>RAW_GAMES!H431</f>
        <v>3</v>
      </c>
      <c r="G431">
        <f>RAW_GAMES!I431</f>
        <v>2</v>
      </c>
      <c r="H431">
        <f t="shared" si="36"/>
        <v>1</v>
      </c>
      <c r="I431">
        <f>RAW_GAMES!J431</f>
        <v>37</v>
      </c>
      <c r="J431">
        <f>RAW_GAMES!K431</f>
        <v>20</v>
      </c>
      <c r="K431">
        <f t="shared" si="37"/>
        <v>17</v>
      </c>
      <c r="L431" t="str">
        <f>IF(RAW_GAMES!L431="","",RAW_GAMES!L431)</f>
        <v/>
      </c>
      <c r="M431" t="str">
        <f>IF(RAW_GAMES!M431="","",RAW_GAMES!M431)</f>
        <v/>
      </c>
      <c r="N431" t="str">
        <f t="shared" si="38"/>
        <v/>
      </c>
      <c r="O431" s="7">
        <f>RAW_GAMES!O431</f>
        <v>6</v>
      </c>
      <c r="P431">
        <f>RAW_GAMES!N431</f>
        <v>0</v>
      </c>
      <c r="Q431">
        <f t="shared" si="39"/>
        <v>0</v>
      </c>
      <c r="R431" s="7">
        <f>RAW_GAMES!Q431</f>
        <v>3</v>
      </c>
      <c r="S431">
        <f>RAW_GAMES!P431</f>
        <v>0</v>
      </c>
      <c r="T431">
        <f t="shared" si="40"/>
        <v>1</v>
      </c>
      <c r="U431">
        <f>_xlfn.XLOOKUP(C431,
  CALC_TEAMS_SEASON!B:B,
  CALC_TEAMS_SEASON!F:F)</f>
        <v>0.13021353646353648</v>
      </c>
      <c r="V431">
        <f>_xlfn.XLOOKUP(D431,
  CALC_TEAMS_SEASON!B:B,
  CALC_TEAMS_SEASON!F:F)</f>
        <v>0.13120421245421243</v>
      </c>
      <c r="W431" t="str">
        <f>RAW_GAMES!R431</f>
        <v>Klouček</v>
      </c>
      <c r="X431" s="7">
        <f>RAW_GAMES!S431</f>
        <v>18</v>
      </c>
      <c r="Y431">
        <f t="shared" si="41"/>
        <v>1</v>
      </c>
      <c r="Z431" t="str">
        <f>RAW_GAMES!V431</f>
        <v>RS</v>
      </c>
    </row>
    <row r="432" spans="1:26" x14ac:dyDescent="0.25">
      <c r="A432" t="str">
        <f>RAW_GAMES!A432</f>
        <v>25/26</v>
      </c>
      <c r="B432" s="3">
        <f>RAW_GAMES!B432</f>
        <v>46010</v>
      </c>
      <c r="C432" s="3" t="str">
        <f>RAW_GAMES!E432</f>
        <v>KLA</v>
      </c>
      <c r="D432" s="3" t="str">
        <f>RAW_GAMES!F432</f>
        <v>CEB</v>
      </c>
      <c r="E432" s="7">
        <f>RAW_GAMES!G432</f>
        <v>1</v>
      </c>
      <c r="F432">
        <f>RAW_GAMES!H432</f>
        <v>2</v>
      </c>
      <c r="G432">
        <f>RAW_GAMES!I432</f>
        <v>3</v>
      </c>
      <c r="H432">
        <f t="shared" si="36"/>
        <v>-1</v>
      </c>
      <c r="I432">
        <f>RAW_GAMES!J432</f>
        <v>20</v>
      </c>
      <c r="J432">
        <f>RAW_GAMES!K432</f>
        <v>37</v>
      </c>
      <c r="K432">
        <f t="shared" si="37"/>
        <v>-17</v>
      </c>
      <c r="L432" t="str">
        <f>IF(RAW_GAMES!L432="","",RAW_GAMES!L432)</f>
        <v/>
      </c>
      <c r="M432" t="str">
        <f>IF(RAW_GAMES!M432="","",RAW_GAMES!M432)</f>
        <v/>
      </c>
      <c r="N432" t="str">
        <f t="shared" si="38"/>
        <v/>
      </c>
      <c r="O432" s="7">
        <f>RAW_GAMES!O432</f>
        <v>3</v>
      </c>
      <c r="P432">
        <f>RAW_GAMES!N432</f>
        <v>0</v>
      </c>
      <c r="Q432">
        <f t="shared" si="39"/>
        <v>0</v>
      </c>
      <c r="R432" s="7">
        <f>RAW_GAMES!Q432</f>
        <v>6</v>
      </c>
      <c r="S432">
        <f>RAW_GAMES!P432</f>
        <v>0</v>
      </c>
      <c r="T432">
        <f t="shared" si="40"/>
        <v>1</v>
      </c>
      <c r="U432">
        <f>_xlfn.XLOOKUP(C432,
  CALC_TEAMS_SEASON!B:B,
  CALC_TEAMS_SEASON!F:F)</f>
        <v>0.13120421245421243</v>
      </c>
      <c r="V432">
        <f>_xlfn.XLOOKUP(D432,
  CALC_TEAMS_SEASON!B:B,
  CALC_TEAMS_SEASON!F:F)</f>
        <v>0.13021353646353648</v>
      </c>
      <c r="W432" t="str">
        <f>RAW_GAMES!R432</f>
        <v>Brízgala</v>
      </c>
      <c r="X432" s="7">
        <f>RAW_GAMES!S432</f>
        <v>34</v>
      </c>
      <c r="Y432">
        <f t="shared" si="41"/>
        <v>0</v>
      </c>
      <c r="Z432" t="str">
        <f>RAW_GAMES!V432</f>
        <v>RS</v>
      </c>
    </row>
    <row r="433" spans="1:26" x14ac:dyDescent="0.25">
      <c r="A433" t="str">
        <f>RAW_GAMES!A433</f>
        <v>25/26</v>
      </c>
      <c r="B433" s="3">
        <f>RAW_GAMES!B433</f>
        <v>46010</v>
      </c>
      <c r="C433" s="3" t="str">
        <f>RAW_GAMES!E433</f>
        <v>KVA</v>
      </c>
      <c r="D433" s="3" t="str">
        <f>RAW_GAMES!F433</f>
        <v>MHK</v>
      </c>
      <c r="E433" s="7">
        <f>RAW_GAMES!G433</f>
        <v>1</v>
      </c>
      <c r="F433">
        <f>RAW_GAMES!H433</f>
        <v>4</v>
      </c>
      <c r="G433">
        <f>RAW_GAMES!I433</f>
        <v>1</v>
      </c>
      <c r="H433">
        <f t="shared" si="36"/>
        <v>3</v>
      </c>
      <c r="I433">
        <f>RAW_GAMES!J433</f>
        <v>32</v>
      </c>
      <c r="J433">
        <f>RAW_GAMES!K433</f>
        <v>24</v>
      </c>
      <c r="K433">
        <f t="shared" si="37"/>
        <v>8</v>
      </c>
      <c r="L433" t="str">
        <f>IF(RAW_GAMES!L433="","",RAW_GAMES!L433)</f>
        <v/>
      </c>
      <c r="M433" t="str">
        <f>IF(RAW_GAMES!M433="","",RAW_GAMES!M433)</f>
        <v/>
      </c>
      <c r="N433" t="str">
        <f t="shared" si="38"/>
        <v/>
      </c>
      <c r="O433" s="7">
        <f>RAW_GAMES!O433</f>
        <v>2</v>
      </c>
      <c r="P433">
        <f>RAW_GAMES!N433</f>
        <v>1</v>
      </c>
      <c r="Q433">
        <f t="shared" si="39"/>
        <v>0.5</v>
      </c>
      <c r="R433" s="7">
        <f>RAW_GAMES!Q433</f>
        <v>2</v>
      </c>
      <c r="S433">
        <f>RAW_GAMES!P433</f>
        <v>0</v>
      </c>
      <c r="T433">
        <f t="shared" si="40"/>
        <v>1</v>
      </c>
      <c r="U433">
        <f>_xlfn.XLOOKUP(C433,
  CALC_TEAMS_SEASON!B:B,
  CALC_TEAMS_SEASON!F:F)</f>
        <v>0.17387057387057389</v>
      </c>
      <c r="V433">
        <f>_xlfn.XLOOKUP(D433,
  CALC_TEAMS_SEASON!B:B,
  CALC_TEAMS_SEASON!F:F)</f>
        <v>0.14184981684981687</v>
      </c>
      <c r="W433" t="str">
        <f>RAW_GAMES!R433</f>
        <v>Frodl</v>
      </c>
      <c r="X433" s="7">
        <f>RAW_GAMES!S433</f>
        <v>22</v>
      </c>
      <c r="Y433">
        <f t="shared" si="41"/>
        <v>1</v>
      </c>
      <c r="Z433" t="str">
        <f>RAW_GAMES!V433</f>
        <v>RS</v>
      </c>
    </row>
    <row r="434" spans="1:26" x14ac:dyDescent="0.25">
      <c r="A434" t="str">
        <f>RAW_GAMES!A434</f>
        <v>25/26</v>
      </c>
      <c r="B434" s="3">
        <f>RAW_GAMES!B434</f>
        <v>46010</v>
      </c>
      <c r="C434" s="3" t="str">
        <f>RAW_GAMES!E434</f>
        <v>LIB</v>
      </c>
      <c r="D434" s="3" t="str">
        <f>RAW_GAMES!F434</f>
        <v>KOM</v>
      </c>
      <c r="E434" s="7">
        <f>RAW_GAMES!G434</f>
        <v>0</v>
      </c>
      <c r="F434">
        <f>RAW_GAMES!H434</f>
        <v>1</v>
      </c>
      <c r="G434">
        <f>RAW_GAMES!I434</f>
        <v>3</v>
      </c>
      <c r="H434">
        <f t="shared" si="36"/>
        <v>-2</v>
      </c>
      <c r="I434">
        <f>RAW_GAMES!J434</f>
        <v>34</v>
      </c>
      <c r="J434">
        <f>RAW_GAMES!K434</f>
        <v>35</v>
      </c>
      <c r="K434">
        <f t="shared" si="37"/>
        <v>-1</v>
      </c>
      <c r="L434">
        <f>IF(RAW_GAMES!L434="","",RAW_GAMES!L434)</f>
        <v>2.56</v>
      </c>
      <c r="M434">
        <f>IF(RAW_GAMES!M434="","",RAW_GAMES!M434)</f>
        <v>4.17</v>
      </c>
      <c r="N434">
        <f t="shared" si="38"/>
        <v>-1.6099999999999999</v>
      </c>
      <c r="O434" s="7">
        <f>RAW_GAMES!O434</f>
        <v>4</v>
      </c>
      <c r="P434">
        <f>RAW_GAMES!N434</f>
        <v>0</v>
      </c>
      <c r="Q434">
        <f t="shared" si="39"/>
        <v>0</v>
      </c>
      <c r="R434" s="7">
        <f>RAW_GAMES!Q434</f>
        <v>2</v>
      </c>
      <c r="S434">
        <f>RAW_GAMES!P434</f>
        <v>0</v>
      </c>
      <c r="T434">
        <f t="shared" si="40"/>
        <v>1</v>
      </c>
      <c r="U434">
        <f>_xlfn.XLOOKUP(C434,
  CALC_TEAMS_SEASON!B:B,
  CALC_TEAMS_SEASON!F:F)</f>
        <v>0.14377289377289379</v>
      </c>
      <c r="V434">
        <f>_xlfn.XLOOKUP(D434,
  CALC_TEAMS_SEASON!B:B,
  CALC_TEAMS_SEASON!F:F)</f>
        <v>0.14358974358974358</v>
      </c>
      <c r="W434" t="str">
        <f>RAW_GAMES!R434</f>
        <v>Kváča</v>
      </c>
      <c r="X434" s="7">
        <f>RAW_GAMES!S434</f>
        <v>32</v>
      </c>
      <c r="Y434">
        <f t="shared" si="41"/>
        <v>0</v>
      </c>
      <c r="Z434" t="str">
        <f>RAW_GAMES!V434</f>
        <v>RS</v>
      </c>
    </row>
    <row r="435" spans="1:26" x14ac:dyDescent="0.25">
      <c r="A435" t="str">
        <f>RAW_GAMES!A435</f>
        <v>25/26</v>
      </c>
      <c r="B435" s="3">
        <f>RAW_GAMES!B435</f>
        <v>46010</v>
      </c>
      <c r="C435" s="3" t="str">
        <f>RAW_GAMES!E435</f>
        <v>LIT</v>
      </c>
      <c r="D435" s="3" t="str">
        <f>RAW_GAMES!F435</f>
        <v>SPA</v>
      </c>
      <c r="E435" s="7">
        <f>RAW_GAMES!G435</f>
        <v>1</v>
      </c>
      <c r="F435">
        <f>RAW_GAMES!H435</f>
        <v>3</v>
      </c>
      <c r="G435">
        <f>RAW_GAMES!I435</f>
        <v>2</v>
      </c>
      <c r="H435">
        <f t="shared" si="36"/>
        <v>1</v>
      </c>
      <c r="I435">
        <f>RAW_GAMES!J435</f>
        <v>26</v>
      </c>
      <c r="J435">
        <f>RAW_GAMES!K435</f>
        <v>26</v>
      </c>
      <c r="K435">
        <f t="shared" si="37"/>
        <v>0</v>
      </c>
      <c r="L435">
        <f>IF(RAW_GAMES!L435="","",RAW_GAMES!L435)</f>
        <v>4.47</v>
      </c>
      <c r="M435">
        <f>IF(RAW_GAMES!M435="","",RAW_GAMES!M435)</f>
        <v>2.4300000000000002</v>
      </c>
      <c r="N435">
        <f t="shared" si="38"/>
        <v>2.0399999999999996</v>
      </c>
      <c r="O435" s="7">
        <f>RAW_GAMES!O435</f>
        <v>6</v>
      </c>
      <c r="P435">
        <f>RAW_GAMES!N435</f>
        <v>0</v>
      </c>
      <c r="Q435">
        <f t="shared" si="39"/>
        <v>0</v>
      </c>
      <c r="R435" s="7">
        <f>RAW_GAMES!Q435</f>
        <v>4</v>
      </c>
      <c r="S435">
        <f>RAW_GAMES!P435</f>
        <v>1</v>
      </c>
      <c r="T435">
        <f t="shared" si="40"/>
        <v>0.75</v>
      </c>
      <c r="U435">
        <f>_xlfn.XLOOKUP(C435,
  CALC_TEAMS_SEASON!B:B,
  CALC_TEAMS_SEASON!F:F)</f>
        <v>0.10089285714285713</v>
      </c>
      <c r="V435">
        <f>_xlfn.XLOOKUP(D435,
  CALC_TEAMS_SEASON!B:B,
  CALC_TEAMS_SEASON!F:F)</f>
        <v>0.22060439560439565</v>
      </c>
      <c r="W435" t="str">
        <f>RAW_GAMES!R435</f>
        <v>Čajan</v>
      </c>
      <c r="X435" s="7">
        <f>RAW_GAMES!S435</f>
        <v>22</v>
      </c>
      <c r="Y435">
        <f t="shared" si="41"/>
        <v>1</v>
      </c>
      <c r="Z435" t="str">
        <f>RAW_GAMES!V435</f>
        <v>RS</v>
      </c>
    </row>
    <row r="436" spans="1:26" x14ac:dyDescent="0.25">
      <c r="A436" t="str">
        <f>RAW_GAMES!A436</f>
        <v>25/26</v>
      </c>
      <c r="B436" s="3">
        <f>RAW_GAMES!B436</f>
        <v>46010</v>
      </c>
      <c r="C436" s="3" t="str">
        <f>RAW_GAMES!E436</f>
        <v>MBL</v>
      </c>
      <c r="D436" s="3" t="str">
        <f>RAW_GAMES!F436</f>
        <v>VIT</v>
      </c>
      <c r="E436" s="7">
        <f>RAW_GAMES!G436</f>
        <v>0</v>
      </c>
      <c r="F436">
        <f>RAW_GAMES!H436</f>
        <v>2</v>
      </c>
      <c r="G436">
        <f>RAW_GAMES!I436</f>
        <v>1</v>
      </c>
      <c r="H436">
        <f t="shared" si="36"/>
        <v>1</v>
      </c>
      <c r="I436">
        <f>RAW_GAMES!J436</f>
        <v>24</v>
      </c>
      <c r="J436">
        <f>RAW_GAMES!K436</f>
        <v>16</v>
      </c>
      <c r="K436">
        <f t="shared" si="37"/>
        <v>8</v>
      </c>
      <c r="L436" t="str">
        <f>IF(RAW_GAMES!L436="","",RAW_GAMES!L436)</f>
        <v/>
      </c>
      <c r="M436" t="str">
        <f>IF(RAW_GAMES!M436="","",RAW_GAMES!M436)</f>
        <v/>
      </c>
      <c r="N436" t="str">
        <f t="shared" si="38"/>
        <v/>
      </c>
      <c r="O436" s="7">
        <f>RAW_GAMES!O436</f>
        <v>2</v>
      </c>
      <c r="P436">
        <f>RAW_GAMES!N436</f>
        <v>1</v>
      </c>
      <c r="Q436">
        <f t="shared" si="39"/>
        <v>0.5</v>
      </c>
      <c r="R436" s="7">
        <f>RAW_GAMES!Q436</f>
        <v>3</v>
      </c>
      <c r="S436">
        <f>RAW_GAMES!P436</f>
        <v>0</v>
      </c>
      <c r="T436">
        <f t="shared" si="40"/>
        <v>1</v>
      </c>
      <c r="U436">
        <f>_xlfn.XLOOKUP(C436,
  CALC_TEAMS_SEASON!B:B,
  CALC_TEAMS_SEASON!F:F)</f>
        <v>0.11826923076923078</v>
      </c>
      <c r="V436">
        <f>_xlfn.XLOOKUP(D436,
  CALC_TEAMS_SEASON!B:B,
  CALC_TEAMS_SEASON!F:F)</f>
        <v>0.16984890109890113</v>
      </c>
      <c r="W436" t="str">
        <f>RAW_GAMES!R436</f>
        <v>Furch</v>
      </c>
      <c r="X436" s="7">
        <f>RAW_GAMES!S436</f>
        <v>15</v>
      </c>
      <c r="Y436">
        <f t="shared" si="41"/>
        <v>1</v>
      </c>
      <c r="Z436" t="str">
        <f>RAW_GAMES!V436</f>
        <v>RS</v>
      </c>
    </row>
    <row r="437" spans="1:26" x14ac:dyDescent="0.25">
      <c r="A437" t="str">
        <f>RAW_GAMES!A437</f>
        <v>25/26</v>
      </c>
      <c r="B437" s="3">
        <f>RAW_GAMES!B437</f>
        <v>46010</v>
      </c>
      <c r="C437" s="3" t="str">
        <f>RAW_GAMES!E437</f>
        <v>MHK</v>
      </c>
      <c r="D437" s="3" t="str">
        <f>RAW_GAMES!F437</f>
        <v>KVA</v>
      </c>
      <c r="E437" s="7">
        <f>RAW_GAMES!G437</f>
        <v>0</v>
      </c>
      <c r="F437">
        <f>RAW_GAMES!H437</f>
        <v>1</v>
      </c>
      <c r="G437">
        <f>RAW_GAMES!I437</f>
        <v>4</v>
      </c>
      <c r="H437">
        <f t="shared" si="36"/>
        <v>-3</v>
      </c>
      <c r="I437">
        <f>RAW_GAMES!J437</f>
        <v>24</v>
      </c>
      <c r="J437">
        <f>RAW_GAMES!K437</f>
        <v>32</v>
      </c>
      <c r="K437">
        <f t="shared" si="37"/>
        <v>-8</v>
      </c>
      <c r="L437" t="str">
        <f>IF(RAW_GAMES!L437="","",RAW_GAMES!L437)</f>
        <v/>
      </c>
      <c r="M437" t="str">
        <f>IF(RAW_GAMES!M437="","",RAW_GAMES!M437)</f>
        <v/>
      </c>
      <c r="N437" t="str">
        <f t="shared" si="38"/>
        <v/>
      </c>
      <c r="O437" s="7">
        <f>RAW_GAMES!O437</f>
        <v>2</v>
      </c>
      <c r="P437">
        <f>RAW_GAMES!N437</f>
        <v>0</v>
      </c>
      <c r="Q437">
        <f t="shared" si="39"/>
        <v>0</v>
      </c>
      <c r="R437" s="7">
        <f>RAW_GAMES!Q437</f>
        <v>2</v>
      </c>
      <c r="S437">
        <f>RAW_GAMES!P437</f>
        <v>1</v>
      </c>
      <c r="T437">
        <f t="shared" si="40"/>
        <v>0.5</v>
      </c>
      <c r="U437">
        <f>_xlfn.XLOOKUP(C437,
  CALC_TEAMS_SEASON!B:B,
  CALC_TEAMS_SEASON!F:F)</f>
        <v>0.14184981684981687</v>
      </c>
      <c r="V437">
        <f>_xlfn.XLOOKUP(D437,
  CALC_TEAMS_SEASON!B:B,
  CALC_TEAMS_SEASON!F:F)</f>
        <v>0.17387057387057389</v>
      </c>
      <c r="W437" t="str">
        <f>RAW_GAMES!R437</f>
        <v>Škorvánek</v>
      </c>
      <c r="X437" s="7">
        <f>RAW_GAMES!S437</f>
        <v>28</v>
      </c>
      <c r="Y437">
        <f t="shared" si="41"/>
        <v>0</v>
      </c>
      <c r="Z437" t="str">
        <f>RAW_GAMES!V437</f>
        <v>RS</v>
      </c>
    </row>
    <row r="438" spans="1:26" x14ac:dyDescent="0.25">
      <c r="A438" t="str">
        <f>RAW_GAMES!A438</f>
        <v>25/26</v>
      </c>
      <c r="B438" s="3">
        <f>RAW_GAMES!B438</f>
        <v>46010</v>
      </c>
      <c r="C438" s="3" t="str">
        <f>RAW_GAMES!E438</f>
        <v>PLZ</v>
      </c>
      <c r="D438" s="3" t="str">
        <f>RAW_GAMES!F438</f>
        <v>TRI</v>
      </c>
      <c r="E438" s="7">
        <f>RAW_GAMES!G438</f>
        <v>0</v>
      </c>
      <c r="F438">
        <f>RAW_GAMES!H438</f>
        <v>1</v>
      </c>
      <c r="G438">
        <f>RAW_GAMES!I438</f>
        <v>2</v>
      </c>
      <c r="H438">
        <f t="shared" si="36"/>
        <v>-1</v>
      </c>
      <c r="I438">
        <f>RAW_GAMES!J438</f>
        <v>26</v>
      </c>
      <c r="J438">
        <f>RAW_GAMES!K438</f>
        <v>32</v>
      </c>
      <c r="K438">
        <f t="shared" si="37"/>
        <v>-6</v>
      </c>
      <c r="L438">
        <f>IF(RAW_GAMES!L438="","",RAW_GAMES!L438)</f>
        <v>2.88</v>
      </c>
      <c r="M438">
        <f>IF(RAW_GAMES!M438="","",RAW_GAMES!M438)</f>
        <v>3.63</v>
      </c>
      <c r="N438">
        <f t="shared" si="38"/>
        <v>-0.75</v>
      </c>
      <c r="O438" s="7">
        <f>RAW_GAMES!O438</f>
        <v>6</v>
      </c>
      <c r="P438">
        <f>RAW_GAMES!N438</f>
        <v>0</v>
      </c>
      <c r="Q438">
        <f t="shared" si="39"/>
        <v>0</v>
      </c>
      <c r="R438" s="7">
        <f>RAW_GAMES!Q438</f>
        <v>6</v>
      </c>
      <c r="S438">
        <f>RAW_GAMES!P438</f>
        <v>0</v>
      </c>
      <c r="T438">
        <f t="shared" si="40"/>
        <v>1</v>
      </c>
      <c r="U438">
        <f>_xlfn.XLOOKUP(C438,
  CALC_TEAMS_SEASON!B:B,
  CALC_TEAMS_SEASON!F:F)</f>
        <v>0.17641178266178262</v>
      </c>
      <c r="V438">
        <f>_xlfn.XLOOKUP(D438,
  CALC_TEAMS_SEASON!B:B,
  CALC_TEAMS_SEASON!F:F)</f>
        <v>0.17437423687423692</v>
      </c>
      <c r="W438" t="str">
        <f>RAW_GAMES!R438</f>
        <v>Růžička</v>
      </c>
      <c r="X438" s="7">
        <f>RAW_GAMES!S438</f>
        <v>28</v>
      </c>
      <c r="Y438">
        <f t="shared" si="41"/>
        <v>0</v>
      </c>
      <c r="Z438" t="str">
        <f>RAW_GAMES!V438</f>
        <v>RS</v>
      </c>
    </row>
    <row r="439" spans="1:26" x14ac:dyDescent="0.25">
      <c r="A439" t="str">
        <f>RAW_GAMES!A439</f>
        <v>25/26</v>
      </c>
      <c r="B439" s="3">
        <f>RAW_GAMES!B439</f>
        <v>46010</v>
      </c>
      <c r="C439" s="3" t="str">
        <f>RAW_GAMES!E439</f>
        <v>VIT</v>
      </c>
      <c r="D439" s="3" t="str">
        <f>RAW_GAMES!F439</f>
        <v>MBL</v>
      </c>
      <c r="E439" s="7">
        <f>RAW_GAMES!G439</f>
        <v>1</v>
      </c>
      <c r="F439">
        <f>RAW_GAMES!H439</f>
        <v>1</v>
      </c>
      <c r="G439">
        <f>RAW_GAMES!I439</f>
        <v>2</v>
      </c>
      <c r="H439">
        <f t="shared" si="36"/>
        <v>-1</v>
      </c>
      <c r="I439">
        <f>RAW_GAMES!J439</f>
        <v>16</v>
      </c>
      <c r="J439">
        <f>RAW_GAMES!K439</f>
        <v>24</v>
      </c>
      <c r="K439">
        <f t="shared" si="37"/>
        <v>-8</v>
      </c>
      <c r="L439" t="str">
        <f>IF(RAW_GAMES!L439="","",RAW_GAMES!L439)</f>
        <v/>
      </c>
      <c r="M439" t="str">
        <f>IF(RAW_GAMES!M439="","",RAW_GAMES!M439)</f>
        <v/>
      </c>
      <c r="N439" t="str">
        <f t="shared" si="38"/>
        <v/>
      </c>
      <c r="O439" s="7">
        <f>RAW_GAMES!O439</f>
        <v>3</v>
      </c>
      <c r="P439">
        <f>RAW_GAMES!N439</f>
        <v>0</v>
      </c>
      <c r="Q439">
        <f t="shared" si="39"/>
        <v>0</v>
      </c>
      <c r="R439" s="7">
        <f>RAW_GAMES!Q439</f>
        <v>2</v>
      </c>
      <c r="S439">
        <f>RAW_GAMES!P439</f>
        <v>1</v>
      </c>
      <c r="T439">
        <f t="shared" si="40"/>
        <v>0.5</v>
      </c>
      <c r="U439">
        <f>_xlfn.XLOOKUP(C439,
  CALC_TEAMS_SEASON!B:B,
  CALC_TEAMS_SEASON!F:F)</f>
        <v>0.16984890109890113</v>
      </c>
      <c r="V439">
        <f>_xlfn.XLOOKUP(D439,
  CALC_TEAMS_SEASON!B:B,
  CALC_TEAMS_SEASON!F:F)</f>
        <v>0.11826923076923078</v>
      </c>
      <c r="W439" t="str">
        <f>RAW_GAMES!R439</f>
        <v>Hrachovina</v>
      </c>
      <c r="X439" s="7">
        <f>RAW_GAMES!S439</f>
        <v>22</v>
      </c>
      <c r="Y439">
        <f t="shared" si="41"/>
        <v>0</v>
      </c>
      <c r="Z439" t="str">
        <f>RAW_GAMES!V439</f>
        <v>RS</v>
      </c>
    </row>
    <row r="440" spans="1:26" x14ac:dyDescent="0.25">
      <c r="A440" t="str">
        <f>RAW_GAMES!A440</f>
        <v>25/26</v>
      </c>
      <c r="B440" s="3">
        <f>RAW_GAMES!B440</f>
        <v>46012</v>
      </c>
      <c r="C440" s="3" t="str">
        <f>RAW_GAMES!E440</f>
        <v>PCE</v>
      </c>
      <c r="D440" s="3" t="str">
        <f>RAW_GAMES!F440</f>
        <v>PLZ</v>
      </c>
      <c r="E440" s="7">
        <f>RAW_GAMES!G440</f>
        <v>0</v>
      </c>
      <c r="F440">
        <f>RAW_GAMES!H440</f>
        <v>2</v>
      </c>
      <c r="G440">
        <f>RAW_GAMES!I440</f>
        <v>1</v>
      </c>
      <c r="H440">
        <f t="shared" si="36"/>
        <v>1</v>
      </c>
      <c r="I440">
        <f>RAW_GAMES!J440</f>
        <v>31</v>
      </c>
      <c r="J440">
        <f>RAW_GAMES!K440</f>
        <v>22</v>
      </c>
      <c r="K440">
        <f t="shared" si="37"/>
        <v>9</v>
      </c>
      <c r="L440">
        <f>IF(RAW_GAMES!L440="","",RAW_GAMES!L440)</f>
        <v>2.1800000000000002</v>
      </c>
      <c r="M440">
        <f>IF(RAW_GAMES!M440="","",RAW_GAMES!M440)</f>
        <v>2.13</v>
      </c>
      <c r="N440">
        <f t="shared" si="38"/>
        <v>5.0000000000000266E-2</v>
      </c>
      <c r="O440" s="7">
        <f>RAW_GAMES!O440</f>
        <v>3</v>
      </c>
      <c r="P440">
        <f>RAW_GAMES!N440</f>
        <v>1</v>
      </c>
      <c r="Q440">
        <f t="shared" si="39"/>
        <v>0.33333333333333331</v>
      </c>
      <c r="R440" s="7">
        <f>RAW_GAMES!Q440</f>
        <v>6</v>
      </c>
      <c r="S440">
        <f>RAW_GAMES!P440</f>
        <v>0</v>
      </c>
      <c r="T440">
        <f t="shared" si="40"/>
        <v>1</v>
      </c>
      <c r="U440">
        <f>_xlfn.XLOOKUP(C440,
  CALC_TEAMS_SEASON!B:B,
  CALC_TEAMS_SEASON!F:F)</f>
        <v>0.20297619047619053</v>
      </c>
      <c r="V440">
        <f>_xlfn.XLOOKUP(D440,
  CALC_TEAMS_SEASON!B:B,
  CALC_TEAMS_SEASON!F:F)</f>
        <v>0.17641178266178262</v>
      </c>
      <c r="W440" t="str">
        <f>RAW_GAMES!R440</f>
        <v>Will</v>
      </c>
      <c r="X440" s="7">
        <f>RAW_GAMES!S440</f>
        <v>21</v>
      </c>
      <c r="Y440">
        <f t="shared" si="41"/>
        <v>1</v>
      </c>
      <c r="Z440" t="str">
        <f>RAW_GAMES!V440</f>
        <v>RS</v>
      </c>
    </row>
    <row r="441" spans="1:26" x14ac:dyDescent="0.25">
      <c r="A441" t="str">
        <f>RAW_GAMES!A441</f>
        <v>25/26</v>
      </c>
      <c r="B441" s="3">
        <f>RAW_GAMES!B441</f>
        <v>46012</v>
      </c>
      <c r="C441" s="3" t="str">
        <f>RAW_GAMES!E441</f>
        <v>TRI</v>
      </c>
      <c r="D441" s="3" t="str">
        <f>RAW_GAMES!F441</f>
        <v>CEB</v>
      </c>
      <c r="E441" s="7">
        <f>RAW_GAMES!G441</f>
        <v>0</v>
      </c>
      <c r="F441">
        <f>RAW_GAMES!H441</f>
        <v>0</v>
      </c>
      <c r="G441">
        <f>RAW_GAMES!I441</f>
        <v>1</v>
      </c>
      <c r="H441">
        <f t="shared" si="36"/>
        <v>-1</v>
      </c>
      <c r="I441">
        <f>RAW_GAMES!J441</f>
        <v>25</v>
      </c>
      <c r="J441">
        <f>RAW_GAMES!K441</f>
        <v>18</v>
      </c>
      <c r="K441">
        <f t="shared" si="37"/>
        <v>7</v>
      </c>
      <c r="L441">
        <f>IF(RAW_GAMES!L441="","",RAW_GAMES!L441)</f>
        <v>3.12</v>
      </c>
      <c r="M441">
        <f>IF(RAW_GAMES!M441="","",RAW_GAMES!M441)</f>
        <v>1.79</v>
      </c>
      <c r="N441">
        <f t="shared" si="38"/>
        <v>1.33</v>
      </c>
      <c r="O441" s="7">
        <f>RAW_GAMES!O441</f>
        <v>5</v>
      </c>
      <c r="P441">
        <f>RAW_GAMES!N441</f>
        <v>0</v>
      </c>
      <c r="Q441">
        <f t="shared" si="39"/>
        <v>0</v>
      </c>
      <c r="R441" s="7">
        <f>RAW_GAMES!Q441</f>
        <v>2</v>
      </c>
      <c r="S441">
        <f>RAW_GAMES!P441</f>
        <v>0</v>
      </c>
      <c r="T441">
        <f t="shared" si="40"/>
        <v>1</v>
      </c>
      <c r="U441">
        <f>_xlfn.XLOOKUP(C441,
  CALC_TEAMS_SEASON!B:B,
  CALC_TEAMS_SEASON!F:F)</f>
        <v>0.17437423687423692</v>
      </c>
      <c r="V441">
        <f>_xlfn.XLOOKUP(D441,
  CALC_TEAMS_SEASON!B:B,
  CALC_TEAMS_SEASON!F:F)</f>
        <v>0.13021353646353648</v>
      </c>
      <c r="W441" t="str">
        <f>RAW_GAMES!R441</f>
        <v>Mazanec</v>
      </c>
      <c r="X441" s="7">
        <f>RAW_GAMES!S441</f>
        <v>17</v>
      </c>
      <c r="Y441">
        <f t="shared" si="41"/>
        <v>0</v>
      </c>
      <c r="Z441" t="str">
        <f>RAW_GAMES!V441</f>
        <v>RS</v>
      </c>
    </row>
    <row r="442" spans="1:26" x14ac:dyDescent="0.25">
      <c r="A442" t="str">
        <f>RAW_GAMES!A442</f>
        <v>25/26</v>
      </c>
      <c r="B442" s="3">
        <f>RAW_GAMES!B442</f>
        <v>46012</v>
      </c>
      <c r="C442" s="3" t="str">
        <f>RAW_GAMES!E442</f>
        <v>SPA</v>
      </c>
      <c r="D442" s="3" t="str">
        <f>RAW_GAMES!F442</f>
        <v>VIT</v>
      </c>
      <c r="E442" s="7">
        <f>RAW_GAMES!G442</f>
        <v>1</v>
      </c>
      <c r="F442">
        <f>RAW_GAMES!H442</f>
        <v>3</v>
      </c>
      <c r="G442">
        <f>RAW_GAMES!I442</f>
        <v>6</v>
      </c>
      <c r="H442">
        <f t="shared" si="36"/>
        <v>-3</v>
      </c>
      <c r="I442">
        <f>RAW_GAMES!J442</f>
        <v>43</v>
      </c>
      <c r="J442">
        <f>RAW_GAMES!K442</f>
        <v>21</v>
      </c>
      <c r="K442">
        <f t="shared" si="37"/>
        <v>22</v>
      </c>
      <c r="L442">
        <f>IF(RAW_GAMES!L442="","",RAW_GAMES!L442)</f>
        <v>2.4900000000000002</v>
      </c>
      <c r="M442">
        <f>IF(RAW_GAMES!M442="","",RAW_GAMES!M442)</f>
        <v>2.35</v>
      </c>
      <c r="N442">
        <f t="shared" si="38"/>
        <v>0.14000000000000012</v>
      </c>
      <c r="O442" s="7">
        <f>RAW_GAMES!O442</f>
        <v>6</v>
      </c>
      <c r="P442">
        <f>RAW_GAMES!N442</f>
        <v>2</v>
      </c>
      <c r="Q442">
        <f t="shared" si="39"/>
        <v>0.33333333333333331</v>
      </c>
      <c r="R442" s="7">
        <f>RAW_GAMES!Q442</f>
        <v>3</v>
      </c>
      <c r="S442">
        <f>RAW_GAMES!P442</f>
        <v>3</v>
      </c>
      <c r="T442">
        <f t="shared" si="40"/>
        <v>0</v>
      </c>
      <c r="U442">
        <f>_xlfn.XLOOKUP(C442,
  CALC_TEAMS_SEASON!B:B,
  CALC_TEAMS_SEASON!F:F)</f>
        <v>0.22060439560439565</v>
      </c>
      <c r="V442">
        <f>_xlfn.XLOOKUP(D442,
  CALC_TEAMS_SEASON!B:B,
  CALC_TEAMS_SEASON!F:F)</f>
        <v>0.16984890109890113</v>
      </c>
      <c r="W442" t="str">
        <f>RAW_GAMES!R442</f>
        <v>Kovář</v>
      </c>
      <c r="X442" s="7">
        <f>RAW_GAMES!S442</f>
        <v>15</v>
      </c>
      <c r="Y442">
        <f t="shared" si="41"/>
        <v>0</v>
      </c>
      <c r="Z442" t="str">
        <f>RAW_GAMES!V442</f>
        <v>RS</v>
      </c>
    </row>
    <row r="443" spans="1:26" x14ac:dyDescent="0.25">
      <c r="A443" t="str">
        <f>RAW_GAMES!A443</f>
        <v>25/26</v>
      </c>
      <c r="B443" s="3">
        <f>RAW_GAMES!B443</f>
        <v>46012</v>
      </c>
      <c r="C443" s="3" t="str">
        <f>RAW_GAMES!E443</f>
        <v>KOM</v>
      </c>
      <c r="D443" s="3" t="str">
        <f>RAW_GAMES!F443</f>
        <v>MHK</v>
      </c>
      <c r="E443" s="7">
        <f>RAW_GAMES!G443</f>
        <v>0</v>
      </c>
      <c r="F443">
        <f>RAW_GAMES!H443</f>
        <v>1</v>
      </c>
      <c r="G443">
        <f>RAW_GAMES!I443</f>
        <v>2</v>
      </c>
      <c r="H443">
        <f t="shared" si="36"/>
        <v>-1</v>
      </c>
      <c r="I443">
        <f>RAW_GAMES!J443</f>
        <v>22</v>
      </c>
      <c r="J443">
        <f>RAW_GAMES!K443</f>
        <v>45</v>
      </c>
      <c r="K443">
        <f t="shared" si="37"/>
        <v>-23</v>
      </c>
      <c r="L443">
        <f>IF(RAW_GAMES!L443="","",RAW_GAMES!L443)</f>
        <v>2.1</v>
      </c>
      <c r="M443">
        <f>IF(RAW_GAMES!M443="","",RAW_GAMES!M443)</f>
        <v>5.14</v>
      </c>
      <c r="N443">
        <f t="shared" si="38"/>
        <v>-3.0399999999999996</v>
      </c>
      <c r="O443" s="7">
        <f>RAW_GAMES!O443</f>
        <v>2</v>
      </c>
      <c r="P443">
        <f>RAW_GAMES!N443</f>
        <v>0</v>
      </c>
      <c r="Q443">
        <f t="shared" si="39"/>
        <v>0</v>
      </c>
      <c r="R443" s="7">
        <f>RAW_GAMES!Q443</f>
        <v>4</v>
      </c>
      <c r="S443">
        <f>RAW_GAMES!P443</f>
        <v>0</v>
      </c>
      <c r="T443">
        <f t="shared" si="40"/>
        <v>1</v>
      </c>
      <c r="U443">
        <f>_xlfn.XLOOKUP(C443,
  CALC_TEAMS_SEASON!B:B,
  CALC_TEAMS_SEASON!F:F)</f>
        <v>0.14358974358974358</v>
      </c>
      <c r="V443">
        <f>_xlfn.XLOOKUP(D443,
  CALC_TEAMS_SEASON!B:B,
  CALC_TEAMS_SEASON!F:F)</f>
        <v>0.14184981684981687</v>
      </c>
      <c r="W443" t="str">
        <f>RAW_GAMES!R443</f>
        <v>Stezka</v>
      </c>
      <c r="X443" s="7">
        <f>RAW_GAMES!S443</f>
        <v>43</v>
      </c>
      <c r="Y443">
        <f t="shared" si="41"/>
        <v>0</v>
      </c>
      <c r="Z443" t="str">
        <f>RAW_GAMES!V443</f>
        <v>RS</v>
      </c>
    </row>
    <row r="444" spans="1:26" x14ac:dyDescent="0.25">
      <c r="A444" t="str">
        <f>RAW_GAMES!A444</f>
        <v>25/26</v>
      </c>
      <c r="B444" s="3">
        <f>RAW_GAMES!B444</f>
        <v>46012</v>
      </c>
      <c r="C444" s="3" t="str">
        <f>RAW_GAMES!E444</f>
        <v>CEB</v>
      </c>
      <c r="D444" s="3" t="str">
        <f>RAW_GAMES!F444</f>
        <v>TRI</v>
      </c>
      <c r="E444" s="7">
        <f>RAW_GAMES!G444</f>
        <v>1</v>
      </c>
      <c r="F444">
        <f>RAW_GAMES!H444</f>
        <v>1</v>
      </c>
      <c r="G444">
        <f>RAW_GAMES!I444</f>
        <v>0</v>
      </c>
      <c r="H444">
        <f t="shared" si="36"/>
        <v>1</v>
      </c>
      <c r="I444">
        <f>RAW_GAMES!J444</f>
        <v>18</v>
      </c>
      <c r="J444">
        <f>RAW_GAMES!K444</f>
        <v>25</v>
      </c>
      <c r="K444">
        <f t="shared" si="37"/>
        <v>-7</v>
      </c>
      <c r="L444">
        <f>IF(RAW_GAMES!L444="","",RAW_GAMES!L444)</f>
        <v>1.79</v>
      </c>
      <c r="M444">
        <f>IF(RAW_GAMES!M444="","",RAW_GAMES!M444)</f>
        <v>3.12</v>
      </c>
      <c r="N444">
        <f t="shared" si="38"/>
        <v>-1.33</v>
      </c>
      <c r="O444" s="7">
        <f>RAW_GAMES!O444</f>
        <v>2</v>
      </c>
      <c r="P444">
        <f>RAW_GAMES!N444</f>
        <v>0</v>
      </c>
      <c r="Q444">
        <f t="shared" si="39"/>
        <v>0</v>
      </c>
      <c r="R444" s="7">
        <f>RAW_GAMES!Q444</f>
        <v>5</v>
      </c>
      <c r="S444">
        <f>RAW_GAMES!P444</f>
        <v>0</v>
      </c>
      <c r="T444">
        <f t="shared" si="40"/>
        <v>1</v>
      </c>
      <c r="U444">
        <f>_xlfn.XLOOKUP(C444,
  CALC_TEAMS_SEASON!B:B,
  CALC_TEAMS_SEASON!F:F)</f>
        <v>0.13021353646353648</v>
      </c>
      <c r="V444">
        <f>_xlfn.XLOOKUP(D444,
  CALC_TEAMS_SEASON!B:B,
  CALC_TEAMS_SEASON!F:F)</f>
        <v>0.17437423687423692</v>
      </c>
      <c r="W444" t="str">
        <f>RAW_GAMES!R444</f>
        <v>Strmeň</v>
      </c>
      <c r="X444" s="7">
        <f>RAW_GAMES!S444</f>
        <v>25</v>
      </c>
      <c r="Y444">
        <f t="shared" si="41"/>
        <v>1</v>
      </c>
      <c r="Z444" t="str">
        <f>RAW_GAMES!V444</f>
        <v>RS</v>
      </c>
    </row>
    <row r="445" spans="1:26" x14ac:dyDescent="0.25">
      <c r="A445" t="str">
        <f>RAW_GAMES!A445</f>
        <v>25/26</v>
      </c>
      <c r="B445" s="3">
        <f>RAW_GAMES!B445</f>
        <v>46012</v>
      </c>
      <c r="C445" s="3" t="str">
        <f>RAW_GAMES!E445</f>
        <v>KLA</v>
      </c>
      <c r="D445" s="3" t="str">
        <f>RAW_GAMES!F445</f>
        <v>LIB</v>
      </c>
      <c r="E445" s="7">
        <f>RAW_GAMES!G445</f>
        <v>0</v>
      </c>
      <c r="F445">
        <f>RAW_GAMES!H445</f>
        <v>1</v>
      </c>
      <c r="G445">
        <f>RAW_GAMES!I445</f>
        <v>4</v>
      </c>
      <c r="H445">
        <f t="shared" si="36"/>
        <v>-3</v>
      </c>
      <c r="I445">
        <f>RAW_GAMES!J445</f>
        <v>23</v>
      </c>
      <c r="J445">
        <f>RAW_GAMES!K445</f>
        <v>39</v>
      </c>
      <c r="K445">
        <f t="shared" si="37"/>
        <v>-16</v>
      </c>
      <c r="L445" t="str">
        <f>IF(RAW_GAMES!L445="","",RAW_GAMES!L445)</f>
        <v/>
      </c>
      <c r="M445" t="str">
        <f>IF(RAW_GAMES!M445="","",RAW_GAMES!M445)</f>
        <v/>
      </c>
      <c r="N445" t="str">
        <f t="shared" si="38"/>
        <v/>
      </c>
      <c r="O445" s="7">
        <f>RAW_GAMES!O445</f>
        <v>3</v>
      </c>
      <c r="P445">
        <f>RAW_GAMES!N445</f>
        <v>0</v>
      </c>
      <c r="Q445">
        <f t="shared" si="39"/>
        <v>0</v>
      </c>
      <c r="R445" s="7">
        <f>RAW_GAMES!Q445</f>
        <v>4</v>
      </c>
      <c r="S445">
        <f>RAW_GAMES!P445</f>
        <v>0</v>
      </c>
      <c r="T445">
        <f t="shared" si="40"/>
        <v>1</v>
      </c>
      <c r="U445">
        <f>_xlfn.XLOOKUP(C445,
  CALC_TEAMS_SEASON!B:B,
  CALC_TEAMS_SEASON!F:F)</f>
        <v>0.13120421245421243</v>
      </c>
      <c r="V445">
        <f>_xlfn.XLOOKUP(D445,
  CALC_TEAMS_SEASON!B:B,
  CALC_TEAMS_SEASON!F:F)</f>
        <v>0.14377289377289379</v>
      </c>
      <c r="W445" t="str">
        <f>RAW_GAMES!R445</f>
        <v>Dansk</v>
      </c>
      <c r="X445" s="7">
        <f>RAW_GAMES!S445</f>
        <v>35</v>
      </c>
      <c r="Y445">
        <f t="shared" si="41"/>
        <v>0</v>
      </c>
      <c r="Z445" t="str">
        <f>RAW_GAMES!V445</f>
        <v>RS</v>
      </c>
    </row>
    <row r="446" spans="1:26" x14ac:dyDescent="0.25">
      <c r="A446" t="str">
        <f>RAW_GAMES!A446</f>
        <v>25/26</v>
      </c>
      <c r="B446" s="3">
        <f>RAW_GAMES!B446</f>
        <v>46012</v>
      </c>
      <c r="C446" s="3" t="str">
        <f>RAW_GAMES!E446</f>
        <v>KVA</v>
      </c>
      <c r="D446" s="3" t="str">
        <f>RAW_GAMES!F446</f>
        <v>MBL</v>
      </c>
      <c r="E446" s="7">
        <f>RAW_GAMES!G446</f>
        <v>0</v>
      </c>
      <c r="F446">
        <f>RAW_GAMES!H446</f>
        <v>3</v>
      </c>
      <c r="G446">
        <f>RAW_GAMES!I446</f>
        <v>0</v>
      </c>
      <c r="H446">
        <f t="shared" si="36"/>
        <v>3</v>
      </c>
      <c r="I446">
        <f>RAW_GAMES!J446</f>
        <v>23</v>
      </c>
      <c r="J446">
        <f>RAW_GAMES!K446</f>
        <v>35</v>
      </c>
      <c r="K446">
        <f t="shared" si="37"/>
        <v>-12</v>
      </c>
      <c r="L446" t="str">
        <f>IF(RAW_GAMES!L446="","",RAW_GAMES!L446)</f>
        <v/>
      </c>
      <c r="M446" t="str">
        <f>IF(RAW_GAMES!M446="","",RAW_GAMES!M446)</f>
        <v/>
      </c>
      <c r="N446" t="str">
        <f t="shared" si="38"/>
        <v/>
      </c>
      <c r="O446" s="7">
        <f>RAW_GAMES!O446</f>
        <v>4</v>
      </c>
      <c r="P446">
        <f>RAW_GAMES!N446</f>
        <v>1</v>
      </c>
      <c r="Q446">
        <f t="shared" si="39"/>
        <v>0.25</v>
      </c>
      <c r="R446" s="7">
        <f>RAW_GAMES!Q446</f>
        <v>7</v>
      </c>
      <c r="S446">
        <f>RAW_GAMES!P446</f>
        <v>0</v>
      </c>
      <c r="T446">
        <f t="shared" si="40"/>
        <v>1</v>
      </c>
      <c r="U446">
        <f>_xlfn.XLOOKUP(C446,
  CALC_TEAMS_SEASON!B:B,
  CALC_TEAMS_SEASON!F:F)</f>
        <v>0.17387057387057389</v>
      </c>
      <c r="V446">
        <f>_xlfn.XLOOKUP(D446,
  CALC_TEAMS_SEASON!B:B,
  CALC_TEAMS_SEASON!F:F)</f>
        <v>0.11826923076923078</v>
      </c>
      <c r="W446" t="str">
        <f>RAW_GAMES!R446</f>
        <v>Frodl</v>
      </c>
      <c r="X446" s="7">
        <f>RAW_GAMES!S446</f>
        <v>35</v>
      </c>
      <c r="Y446">
        <f t="shared" si="41"/>
        <v>1</v>
      </c>
      <c r="Z446" t="str">
        <f>RAW_GAMES!V446</f>
        <v>RS</v>
      </c>
    </row>
    <row r="447" spans="1:26" x14ac:dyDescent="0.25">
      <c r="A447" t="str">
        <f>RAW_GAMES!A447</f>
        <v>25/26</v>
      </c>
      <c r="B447" s="3">
        <f>RAW_GAMES!B447</f>
        <v>46012</v>
      </c>
      <c r="C447" s="3" t="str">
        <f>RAW_GAMES!E447</f>
        <v>LIB</v>
      </c>
      <c r="D447" s="3" t="str">
        <f>RAW_GAMES!F447</f>
        <v>KLA</v>
      </c>
      <c r="E447" s="7">
        <f>RAW_GAMES!G447</f>
        <v>1</v>
      </c>
      <c r="F447">
        <f>RAW_GAMES!H447</f>
        <v>4</v>
      </c>
      <c r="G447">
        <f>RAW_GAMES!I447</f>
        <v>1</v>
      </c>
      <c r="H447">
        <f t="shared" si="36"/>
        <v>3</v>
      </c>
      <c r="I447">
        <f>RAW_GAMES!J447</f>
        <v>39</v>
      </c>
      <c r="J447">
        <f>RAW_GAMES!K447</f>
        <v>23</v>
      </c>
      <c r="K447">
        <f t="shared" si="37"/>
        <v>16</v>
      </c>
      <c r="L447" t="str">
        <f>IF(RAW_GAMES!L447="","",RAW_GAMES!L447)</f>
        <v/>
      </c>
      <c r="M447" t="str">
        <f>IF(RAW_GAMES!M447="","",RAW_GAMES!M447)</f>
        <v/>
      </c>
      <c r="N447" t="str">
        <f t="shared" si="38"/>
        <v/>
      </c>
      <c r="O447" s="7">
        <f>RAW_GAMES!O447</f>
        <v>4</v>
      </c>
      <c r="P447">
        <f>RAW_GAMES!N447</f>
        <v>0</v>
      </c>
      <c r="Q447">
        <f t="shared" si="39"/>
        <v>0</v>
      </c>
      <c r="R447" s="7">
        <f>RAW_GAMES!Q447</f>
        <v>3</v>
      </c>
      <c r="S447">
        <f>RAW_GAMES!P447</f>
        <v>0</v>
      </c>
      <c r="T447">
        <f t="shared" si="40"/>
        <v>1</v>
      </c>
      <c r="U447">
        <f>_xlfn.XLOOKUP(C447,
  CALC_TEAMS_SEASON!B:B,
  CALC_TEAMS_SEASON!F:F)</f>
        <v>0.14377289377289379</v>
      </c>
      <c r="V447">
        <f>_xlfn.XLOOKUP(D447,
  CALC_TEAMS_SEASON!B:B,
  CALC_TEAMS_SEASON!F:F)</f>
        <v>0.13120421245421243</v>
      </c>
      <c r="W447" t="str">
        <f>RAW_GAMES!R447</f>
        <v>Kváča</v>
      </c>
      <c r="X447" s="7">
        <f>RAW_GAMES!S447</f>
        <v>21</v>
      </c>
      <c r="Y447">
        <f t="shared" si="41"/>
        <v>1</v>
      </c>
      <c r="Z447" t="str">
        <f>RAW_GAMES!V447</f>
        <v>RS</v>
      </c>
    </row>
    <row r="448" spans="1:26" x14ac:dyDescent="0.25">
      <c r="A448" t="str">
        <f>RAW_GAMES!A448</f>
        <v>25/26</v>
      </c>
      <c r="B448" s="3">
        <f>RAW_GAMES!B448</f>
        <v>46012</v>
      </c>
      <c r="C448" s="3" t="str">
        <f>RAW_GAMES!E448</f>
        <v>LIT</v>
      </c>
      <c r="D448" s="3" t="str">
        <f>RAW_GAMES!F448</f>
        <v>OLO</v>
      </c>
      <c r="E448" s="7">
        <f>RAW_GAMES!G448</f>
        <v>0</v>
      </c>
      <c r="F448">
        <f>RAW_GAMES!H448</f>
        <v>3</v>
      </c>
      <c r="G448">
        <f>RAW_GAMES!I448</f>
        <v>4</v>
      </c>
      <c r="H448">
        <f t="shared" si="36"/>
        <v>-1</v>
      </c>
      <c r="I448">
        <f>RAW_GAMES!J448</f>
        <v>32</v>
      </c>
      <c r="J448">
        <f>RAW_GAMES!K448</f>
        <v>37</v>
      </c>
      <c r="K448">
        <f t="shared" si="37"/>
        <v>-5</v>
      </c>
      <c r="L448" t="str">
        <f>IF(RAW_GAMES!L448="","",RAW_GAMES!L448)</f>
        <v/>
      </c>
      <c r="M448" t="str">
        <f>IF(RAW_GAMES!M448="","",RAW_GAMES!M448)</f>
        <v/>
      </c>
      <c r="N448" t="str">
        <f t="shared" si="38"/>
        <v/>
      </c>
      <c r="O448" s="7">
        <f>RAW_GAMES!O448</f>
        <v>3</v>
      </c>
      <c r="P448">
        <f>RAW_GAMES!N448</f>
        <v>0</v>
      </c>
      <c r="Q448">
        <f t="shared" si="39"/>
        <v>0</v>
      </c>
      <c r="R448" s="7">
        <f>RAW_GAMES!Q448</f>
        <v>2</v>
      </c>
      <c r="S448">
        <f>RAW_GAMES!P448</f>
        <v>0</v>
      </c>
      <c r="T448">
        <f t="shared" si="40"/>
        <v>1</v>
      </c>
      <c r="U448">
        <f>_xlfn.XLOOKUP(C448,
  CALC_TEAMS_SEASON!B:B,
  CALC_TEAMS_SEASON!F:F)</f>
        <v>0.10089285714285713</v>
      </c>
      <c r="V448">
        <f>_xlfn.XLOOKUP(D448,
  CALC_TEAMS_SEASON!B:B,
  CALC_TEAMS_SEASON!F:F)</f>
        <v>0.14989316239316242</v>
      </c>
      <c r="W448" t="str">
        <f>RAW_GAMES!R448</f>
        <v>Čajan</v>
      </c>
      <c r="X448" s="7">
        <f>RAW_GAMES!S448</f>
        <v>34</v>
      </c>
      <c r="Y448">
        <f t="shared" si="41"/>
        <v>0</v>
      </c>
      <c r="Z448" t="str">
        <f>RAW_GAMES!V448</f>
        <v>RS</v>
      </c>
    </row>
    <row r="449" spans="1:26" x14ac:dyDescent="0.25">
      <c r="A449" t="str">
        <f>RAW_GAMES!A449</f>
        <v>25/26</v>
      </c>
      <c r="B449" s="3">
        <f>RAW_GAMES!B449</f>
        <v>46012</v>
      </c>
      <c r="C449" s="3" t="str">
        <f>RAW_GAMES!E449</f>
        <v>MBL</v>
      </c>
      <c r="D449" s="3" t="str">
        <f>RAW_GAMES!F449</f>
        <v>KVA</v>
      </c>
      <c r="E449" s="7">
        <f>RAW_GAMES!G449</f>
        <v>1</v>
      </c>
      <c r="F449">
        <f>RAW_GAMES!H449</f>
        <v>0</v>
      </c>
      <c r="G449">
        <f>RAW_GAMES!I449</f>
        <v>3</v>
      </c>
      <c r="H449">
        <f t="shared" si="36"/>
        <v>-3</v>
      </c>
      <c r="I449">
        <f>RAW_GAMES!J449</f>
        <v>35</v>
      </c>
      <c r="J449">
        <f>RAW_GAMES!K449</f>
        <v>23</v>
      </c>
      <c r="K449">
        <f t="shared" si="37"/>
        <v>12</v>
      </c>
      <c r="L449" t="str">
        <f>IF(RAW_GAMES!L449="","",RAW_GAMES!L449)</f>
        <v/>
      </c>
      <c r="M449" t="str">
        <f>IF(RAW_GAMES!M449="","",RAW_GAMES!M449)</f>
        <v/>
      </c>
      <c r="N449" t="str">
        <f t="shared" si="38"/>
        <v/>
      </c>
      <c r="O449" s="7">
        <f>RAW_GAMES!O449</f>
        <v>7</v>
      </c>
      <c r="P449">
        <f>RAW_GAMES!N449</f>
        <v>0</v>
      </c>
      <c r="Q449">
        <f t="shared" si="39"/>
        <v>0</v>
      </c>
      <c r="R449" s="7">
        <f>RAW_GAMES!Q449</f>
        <v>4</v>
      </c>
      <c r="S449">
        <f>RAW_GAMES!P449</f>
        <v>1</v>
      </c>
      <c r="T449">
        <f t="shared" si="40"/>
        <v>0.75</v>
      </c>
      <c r="U449">
        <f>_xlfn.XLOOKUP(C449,
  CALC_TEAMS_SEASON!B:B,
  CALC_TEAMS_SEASON!F:F)</f>
        <v>0.11826923076923078</v>
      </c>
      <c r="V449">
        <f>_xlfn.XLOOKUP(D449,
  CALC_TEAMS_SEASON!B:B,
  CALC_TEAMS_SEASON!F:F)</f>
        <v>0.17387057387057389</v>
      </c>
      <c r="W449" t="str">
        <f>RAW_GAMES!R449</f>
        <v>Furch</v>
      </c>
      <c r="X449" s="7">
        <f>RAW_GAMES!S449</f>
        <v>20</v>
      </c>
      <c r="Y449">
        <f t="shared" si="41"/>
        <v>0</v>
      </c>
      <c r="Z449" t="str">
        <f>RAW_GAMES!V449</f>
        <v>RS</v>
      </c>
    </row>
    <row r="450" spans="1:26" x14ac:dyDescent="0.25">
      <c r="A450" t="str">
        <f>RAW_GAMES!A450</f>
        <v>25/26</v>
      </c>
      <c r="B450" s="3">
        <f>RAW_GAMES!B450</f>
        <v>46012</v>
      </c>
      <c r="C450" s="3" t="str">
        <f>RAW_GAMES!E450</f>
        <v>MHK</v>
      </c>
      <c r="D450" s="3" t="str">
        <f>RAW_GAMES!F450</f>
        <v>KOM</v>
      </c>
      <c r="E450" s="7">
        <f>RAW_GAMES!G450</f>
        <v>1</v>
      </c>
      <c r="F450">
        <f>RAW_GAMES!H450</f>
        <v>2</v>
      </c>
      <c r="G450">
        <f>RAW_GAMES!I450</f>
        <v>1</v>
      </c>
      <c r="H450">
        <f t="shared" si="36"/>
        <v>1</v>
      </c>
      <c r="I450">
        <f>RAW_GAMES!J450</f>
        <v>45</v>
      </c>
      <c r="J450">
        <f>RAW_GAMES!K450</f>
        <v>22</v>
      </c>
      <c r="K450">
        <f t="shared" si="37"/>
        <v>23</v>
      </c>
      <c r="L450">
        <f>IF(RAW_GAMES!L450="","",RAW_GAMES!L450)</f>
        <v>5.14</v>
      </c>
      <c r="M450">
        <f>IF(RAW_GAMES!M450="","",RAW_GAMES!M450)</f>
        <v>2.1</v>
      </c>
      <c r="N450">
        <f t="shared" si="38"/>
        <v>3.0399999999999996</v>
      </c>
      <c r="O450" s="7">
        <f>RAW_GAMES!O450</f>
        <v>4</v>
      </c>
      <c r="P450">
        <f>RAW_GAMES!N450</f>
        <v>0</v>
      </c>
      <c r="Q450">
        <f t="shared" si="39"/>
        <v>0</v>
      </c>
      <c r="R450" s="7">
        <f>RAW_GAMES!Q450</f>
        <v>2</v>
      </c>
      <c r="S450">
        <f>RAW_GAMES!P450</f>
        <v>0</v>
      </c>
      <c r="T450">
        <f t="shared" si="40"/>
        <v>1</v>
      </c>
      <c r="U450">
        <f>_xlfn.XLOOKUP(C450,
  CALC_TEAMS_SEASON!B:B,
  CALC_TEAMS_SEASON!F:F)</f>
        <v>0.14184981684981687</v>
      </c>
      <c r="V450">
        <f>_xlfn.XLOOKUP(D450,
  CALC_TEAMS_SEASON!B:B,
  CALC_TEAMS_SEASON!F:F)</f>
        <v>0.14358974358974358</v>
      </c>
      <c r="W450" t="str">
        <f>RAW_GAMES!R450</f>
        <v>Škorvánek</v>
      </c>
      <c r="X450" s="7">
        <f>RAW_GAMES!S450</f>
        <v>20</v>
      </c>
      <c r="Y450">
        <f t="shared" si="41"/>
        <v>1</v>
      </c>
      <c r="Z450" t="str">
        <f>RAW_GAMES!V450</f>
        <v>RS</v>
      </c>
    </row>
    <row r="451" spans="1:26" x14ac:dyDescent="0.25">
      <c r="A451" t="str">
        <f>RAW_GAMES!A451</f>
        <v>25/26</v>
      </c>
      <c r="B451" s="3">
        <f>RAW_GAMES!B451</f>
        <v>46012</v>
      </c>
      <c r="C451" s="3" t="str">
        <f>RAW_GAMES!E451</f>
        <v>OLO</v>
      </c>
      <c r="D451" s="3" t="str">
        <f>RAW_GAMES!F451</f>
        <v>LIT</v>
      </c>
      <c r="E451" s="7">
        <f>RAW_GAMES!G451</f>
        <v>1</v>
      </c>
      <c r="F451">
        <f>RAW_GAMES!H451</f>
        <v>4</v>
      </c>
      <c r="G451">
        <f>RAW_GAMES!I451</f>
        <v>3</v>
      </c>
      <c r="H451">
        <f t="shared" ref="H451:H514" si="42">F451-G451</f>
        <v>1</v>
      </c>
      <c r="I451">
        <f>RAW_GAMES!J451</f>
        <v>37</v>
      </c>
      <c r="J451">
        <f>RAW_GAMES!K451</f>
        <v>32</v>
      </c>
      <c r="K451">
        <f t="shared" ref="K451:K514" si="43">I451-J451</f>
        <v>5</v>
      </c>
      <c r="L451" t="str">
        <f>IF(RAW_GAMES!L451="","",RAW_GAMES!L451)</f>
        <v/>
      </c>
      <c r="M451" t="str">
        <f>IF(RAW_GAMES!M451="","",RAW_GAMES!M451)</f>
        <v/>
      </c>
      <c r="N451" t="str">
        <f t="shared" ref="N451:N514" si="44">IF(L451="","",L451-M451)</f>
        <v/>
      </c>
      <c r="O451" s="7">
        <f>RAW_GAMES!O451</f>
        <v>2</v>
      </c>
      <c r="P451">
        <f>RAW_GAMES!N451</f>
        <v>0</v>
      </c>
      <c r="Q451">
        <f t="shared" ref="Q451:Q514" si="45">IF(O451&gt;0,P451/O451,0)</f>
        <v>0</v>
      </c>
      <c r="R451" s="7">
        <f>RAW_GAMES!Q451</f>
        <v>3</v>
      </c>
      <c r="S451">
        <f>RAW_GAMES!P451</f>
        <v>0</v>
      </c>
      <c r="T451">
        <f t="shared" ref="T451:T514" si="46">IF(R451&gt;0, 1-(S451/R451),1)</f>
        <v>1</v>
      </c>
      <c r="U451">
        <f>_xlfn.XLOOKUP(C451,
  CALC_TEAMS_SEASON!B:B,
  CALC_TEAMS_SEASON!F:F)</f>
        <v>0.14989316239316242</v>
      </c>
      <c r="V451">
        <f>_xlfn.XLOOKUP(D451,
  CALC_TEAMS_SEASON!B:B,
  CALC_TEAMS_SEASON!F:F)</f>
        <v>0.10089285714285713</v>
      </c>
      <c r="W451" t="str">
        <f>RAW_GAMES!R451</f>
        <v>Machovský</v>
      </c>
      <c r="X451" s="7">
        <f>RAW_GAMES!S451</f>
        <v>27</v>
      </c>
      <c r="Y451">
        <f t="shared" ref="Y451:Y514" si="47">IF(F451&gt;G451,1,0)</f>
        <v>1</v>
      </c>
      <c r="Z451" t="str">
        <f>RAW_GAMES!V451</f>
        <v>RS</v>
      </c>
    </row>
    <row r="452" spans="1:26" x14ac:dyDescent="0.25">
      <c r="A452" t="str">
        <f>RAW_GAMES!A452</f>
        <v>25/26</v>
      </c>
      <c r="B452" s="3">
        <f>RAW_GAMES!B452</f>
        <v>46012</v>
      </c>
      <c r="C452" s="3" t="str">
        <f>RAW_GAMES!E452</f>
        <v>PLZ</v>
      </c>
      <c r="D452" s="3" t="str">
        <f>RAW_GAMES!F452</f>
        <v>PCE</v>
      </c>
      <c r="E452" s="7">
        <f>RAW_GAMES!G452</f>
        <v>1</v>
      </c>
      <c r="F452">
        <f>RAW_GAMES!H452</f>
        <v>1</v>
      </c>
      <c r="G452">
        <f>RAW_GAMES!I452</f>
        <v>2</v>
      </c>
      <c r="H452">
        <f t="shared" si="42"/>
        <v>-1</v>
      </c>
      <c r="I452">
        <f>RAW_GAMES!J452</f>
        <v>22</v>
      </c>
      <c r="J452">
        <f>RAW_GAMES!K452</f>
        <v>31</v>
      </c>
      <c r="K452">
        <f t="shared" si="43"/>
        <v>-9</v>
      </c>
      <c r="L452">
        <f>IF(RAW_GAMES!L452="","",RAW_GAMES!L452)</f>
        <v>2.13</v>
      </c>
      <c r="M452">
        <f>IF(RAW_GAMES!M452="","",RAW_GAMES!M452)</f>
        <v>2.1800000000000002</v>
      </c>
      <c r="N452">
        <f t="shared" si="44"/>
        <v>-5.0000000000000266E-2</v>
      </c>
      <c r="O452" s="7">
        <f>RAW_GAMES!O452</f>
        <v>6</v>
      </c>
      <c r="P452">
        <f>RAW_GAMES!N452</f>
        <v>0</v>
      </c>
      <c r="Q452">
        <f t="shared" si="45"/>
        <v>0</v>
      </c>
      <c r="R452" s="7">
        <f>RAW_GAMES!Q452</f>
        <v>3</v>
      </c>
      <c r="S452">
        <f>RAW_GAMES!P452</f>
        <v>1</v>
      </c>
      <c r="T452">
        <f t="shared" si="46"/>
        <v>0.66666666666666674</v>
      </c>
      <c r="U452">
        <f>_xlfn.XLOOKUP(C452,
  CALC_TEAMS_SEASON!B:B,
  CALC_TEAMS_SEASON!F:F)</f>
        <v>0.17641178266178262</v>
      </c>
      <c r="V452">
        <f>_xlfn.XLOOKUP(D452,
  CALC_TEAMS_SEASON!B:B,
  CALC_TEAMS_SEASON!F:F)</f>
        <v>0.20297619047619053</v>
      </c>
      <c r="W452" t="str">
        <f>RAW_GAMES!R452</f>
        <v>Malík</v>
      </c>
      <c r="X452" s="7">
        <f>RAW_GAMES!S452</f>
        <v>28</v>
      </c>
      <c r="Y452">
        <f t="shared" si="47"/>
        <v>0</v>
      </c>
      <c r="Z452" t="str">
        <f>RAW_GAMES!V452</f>
        <v>RS</v>
      </c>
    </row>
    <row r="453" spans="1:26" x14ac:dyDescent="0.25">
      <c r="A453" t="str">
        <f>RAW_GAMES!A453</f>
        <v>25/26</v>
      </c>
      <c r="B453" s="3">
        <f>RAW_GAMES!B453</f>
        <v>46012</v>
      </c>
      <c r="C453" s="3" t="str">
        <f>RAW_GAMES!E453</f>
        <v>VIT</v>
      </c>
      <c r="D453" s="3" t="str">
        <f>RAW_GAMES!F453</f>
        <v>SPA</v>
      </c>
      <c r="E453" s="7">
        <f>RAW_GAMES!G453</f>
        <v>0</v>
      </c>
      <c r="F453">
        <f>RAW_GAMES!H453</f>
        <v>6</v>
      </c>
      <c r="G453">
        <f>RAW_GAMES!I453</f>
        <v>3</v>
      </c>
      <c r="H453">
        <f t="shared" si="42"/>
        <v>3</v>
      </c>
      <c r="I453">
        <f>RAW_GAMES!J453</f>
        <v>21</v>
      </c>
      <c r="J453">
        <f>RAW_GAMES!K453</f>
        <v>43</v>
      </c>
      <c r="K453">
        <f t="shared" si="43"/>
        <v>-22</v>
      </c>
      <c r="L453">
        <f>IF(RAW_GAMES!L453="","",RAW_GAMES!L453)</f>
        <v>2.35</v>
      </c>
      <c r="M453">
        <f>IF(RAW_GAMES!M453="","",RAW_GAMES!M453)</f>
        <v>2.4900000000000002</v>
      </c>
      <c r="N453">
        <f t="shared" si="44"/>
        <v>-0.14000000000000012</v>
      </c>
      <c r="O453" s="7">
        <f>RAW_GAMES!O453</f>
        <v>3</v>
      </c>
      <c r="P453">
        <f>RAW_GAMES!N453</f>
        <v>3</v>
      </c>
      <c r="Q453">
        <f t="shared" si="45"/>
        <v>1</v>
      </c>
      <c r="R453" s="7">
        <f>RAW_GAMES!Q453</f>
        <v>6</v>
      </c>
      <c r="S453">
        <f>RAW_GAMES!P453</f>
        <v>2</v>
      </c>
      <c r="T453">
        <f t="shared" si="46"/>
        <v>0.66666666666666674</v>
      </c>
      <c r="U453">
        <f>_xlfn.XLOOKUP(C453,
  CALC_TEAMS_SEASON!B:B,
  CALC_TEAMS_SEASON!F:F)</f>
        <v>0.16984890109890113</v>
      </c>
      <c r="V453">
        <f>_xlfn.XLOOKUP(D453,
  CALC_TEAMS_SEASON!B:B,
  CALC_TEAMS_SEASON!F:F)</f>
        <v>0.22060439560439565</v>
      </c>
      <c r="W453" t="str">
        <f>RAW_GAMES!R453</f>
        <v>Hrachovina</v>
      </c>
      <c r="X453" s="7">
        <f>RAW_GAMES!S453</f>
        <v>39</v>
      </c>
      <c r="Y453">
        <f t="shared" si="47"/>
        <v>1</v>
      </c>
      <c r="Z453" t="str">
        <f>RAW_GAMES!V453</f>
        <v>RS</v>
      </c>
    </row>
    <row r="454" spans="1:26" x14ac:dyDescent="0.25">
      <c r="A454" t="str">
        <f>RAW_GAMES!A454</f>
        <v>25/26</v>
      </c>
      <c r="B454" s="3">
        <f>RAW_GAMES!B454</f>
        <v>46014</v>
      </c>
      <c r="C454" s="3" t="str">
        <f>RAW_GAMES!E454</f>
        <v>PCE</v>
      </c>
      <c r="D454" s="3" t="str">
        <f>RAW_GAMES!F454</f>
        <v>KLA</v>
      </c>
      <c r="E454" s="7">
        <f>RAW_GAMES!G454</f>
        <v>0</v>
      </c>
      <c r="F454">
        <f>RAW_GAMES!H454</f>
        <v>1</v>
      </c>
      <c r="G454">
        <f>RAW_GAMES!I454</f>
        <v>0</v>
      </c>
      <c r="H454">
        <f t="shared" si="42"/>
        <v>1</v>
      </c>
      <c r="I454">
        <f>RAW_GAMES!J454</f>
        <v>25</v>
      </c>
      <c r="J454">
        <f>RAW_GAMES!K454</f>
        <v>27</v>
      </c>
      <c r="K454">
        <f t="shared" si="43"/>
        <v>-2</v>
      </c>
      <c r="L454">
        <f>IF(RAW_GAMES!L454="","",RAW_GAMES!L454)</f>
        <v>2.4900000000000002</v>
      </c>
      <c r="M454">
        <f>IF(RAW_GAMES!M454="","",RAW_GAMES!M454)</f>
        <v>2.0099999999999998</v>
      </c>
      <c r="N454">
        <f t="shared" si="44"/>
        <v>0.48000000000000043</v>
      </c>
      <c r="O454" s="7">
        <f>RAW_GAMES!O454</f>
        <v>5</v>
      </c>
      <c r="P454">
        <f>RAW_GAMES!N454</f>
        <v>1</v>
      </c>
      <c r="Q454">
        <f t="shared" si="45"/>
        <v>0.2</v>
      </c>
      <c r="R454" s="7">
        <f>RAW_GAMES!Q454</f>
        <v>4</v>
      </c>
      <c r="S454">
        <f>RAW_GAMES!P454</f>
        <v>0</v>
      </c>
      <c r="T454">
        <f t="shared" si="46"/>
        <v>1</v>
      </c>
      <c r="U454">
        <f>_xlfn.XLOOKUP(C454,
  CALC_TEAMS_SEASON!B:B,
  CALC_TEAMS_SEASON!F:F)</f>
        <v>0.20297619047619053</v>
      </c>
      <c r="V454">
        <f>_xlfn.XLOOKUP(D454,
  CALC_TEAMS_SEASON!B:B,
  CALC_TEAMS_SEASON!F:F)</f>
        <v>0.13120421245421243</v>
      </c>
      <c r="W454" t="str">
        <f>RAW_GAMES!R454</f>
        <v>Subban</v>
      </c>
      <c r="X454" s="7">
        <f>RAW_GAMES!S454</f>
        <v>27</v>
      </c>
      <c r="Y454">
        <f t="shared" si="47"/>
        <v>1</v>
      </c>
      <c r="Z454" t="str">
        <f>RAW_GAMES!V454</f>
        <v>RS</v>
      </c>
    </row>
    <row r="455" spans="1:26" x14ac:dyDescent="0.25">
      <c r="A455" t="str">
        <f>RAW_GAMES!A455</f>
        <v>25/26</v>
      </c>
      <c r="B455" s="3">
        <f>RAW_GAMES!B455</f>
        <v>46014</v>
      </c>
      <c r="C455" s="3" t="str">
        <f>RAW_GAMES!E455</f>
        <v>SPA</v>
      </c>
      <c r="D455" s="3" t="str">
        <f>RAW_GAMES!F455</f>
        <v>OLO</v>
      </c>
      <c r="E455" s="7">
        <f>RAW_GAMES!G455</f>
        <v>1</v>
      </c>
      <c r="F455">
        <f>RAW_GAMES!H455</f>
        <v>7</v>
      </c>
      <c r="G455">
        <f>RAW_GAMES!I455</f>
        <v>2</v>
      </c>
      <c r="H455">
        <f t="shared" si="42"/>
        <v>5</v>
      </c>
      <c r="I455">
        <f>RAW_GAMES!J455</f>
        <v>44</v>
      </c>
      <c r="J455">
        <f>RAW_GAMES!K455</f>
        <v>21</v>
      </c>
      <c r="K455">
        <f t="shared" si="43"/>
        <v>23</v>
      </c>
      <c r="L455">
        <f>IF(RAW_GAMES!L455="","",RAW_GAMES!L455)</f>
        <v>4.2699999999999996</v>
      </c>
      <c r="M455">
        <f>IF(RAW_GAMES!M455="","",RAW_GAMES!M455)</f>
        <v>1.66</v>
      </c>
      <c r="N455">
        <f t="shared" si="44"/>
        <v>2.6099999999999994</v>
      </c>
      <c r="O455" s="7">
        <f>RAW_GAMES!O455</f>
        <v>3</v>
      </c>
      <c r="P455">
        <f>RAW_GAMES!N455</f>
        <v>1</v>
      </c>
      <c r="Q455">
        <f t="shared" si="45"/>
        <v>0.33333333333333331</v>
      </c>
      <c r="R455" s="7">
        <f>RAW_GAMES!Q455</f>
        <v>2</v>
      </c>
      <c r="S455">
        <f>RAW_GAMES!P455</f>
        <v>0</v>
      </c>
      <c r="T455">
        <f t="shared" si="46"/>
        <v>1</v>
      </c>
      <c r="U455">
        <f>_xlfn.XLOOKUP(C455,
  CALC_TEAMS_SEASON!B:B,
  CALC_TEAMS_SEASON!F:F)</f>
        <v>0.22060439560439565</v>
      </c>
      <c r="V455">
        <f>_xlfn.XLOOKUP(D455,
  CALC_TEAMS_SEASON!B:B,
  CALC_TEAMS_SEASON!F:F)</f>
        <v>0.14989316239316242</v>
      </c>
      <c r="W455" t="str">
        <f>RAW_GAMES!R455</f>
        <v>Kořenář</v>
      </c>
      <c r="X455" s="7">
        <f>RAW_GAMES!S455</f>
        <v>19</v>
      </c>
      <c r="Y455">
        <f t="shared" si="47"/>
        <v>1</v>
      </c>
      <c r="Z455" t="str">
        <f>RAW_GAMES!V455</f>
        <v>RS</v>
      </c>
    </row>
    <row r="456" spans="1:26" x14ac:dyDescent="0.25">
      <c r="A456" t="str">
        <f>RAW_GAMES!A456</f>
        <v>25/26</v>
      </c>
      <c r="B456" s="3">
        <f>RAW_GAMES!B456</f>
        <v>46014</v>
      </c>
      <c r="C456" s="3" t="str">
        <f>RAW_GAMES!E456</f>
        <v>KOM</v>
      </c>
      <c r="D456" s="3" t="str">
        <f>RAW_GAMES!F456</f>
        <v>PLZ</v>
      </c>
      <c r="E456" s="7">
        <f>RAW_GAMES!G456</f>
        <v>1</v>
      </c>
      <c r="F456">
        <f>RAW_GAMES!H456</f>
        <v>3</v>
      </c>
      <c r="G456">
        <f>RAW_GAMES!I456</f>
        <v>2</v>
      </c>
      <c r="H456">
        <f t="shared" si="42"/>
        <v>1</v>
      </c>
      <c r="I456">
        <f>RAW_GAMES!J456</f>
        <v>25</v>
      </c>
      <c r="J456">
        <f>RAW_GAMES!K456</f>
        <v>31</v>
      </c>
      <c r="K456">
        <f t="shared" si="43"/>
        <v>-6</v>
      </c>
      <c r="L456">
        <f>IF(RAW_GAMES!L456="","",RAW_GAMES!L456)</f>
        <v>2.34</v>
      </c>
      <c r="M456">
        <f>IF(RAW_GAMES!M456="","",RAW_GAMES!M456)</f>
        <v>2.5299999999999998</v>
      </c>
      <c r="N456">
        <f t="shared" si="44"/>
        <v>-0.18999999999999995</v>
      </c>
      <c r="O456" s="7">
        <f>RAW_GAMES!O456</f>
        <v>3</v>
      </c>
      <c r="P456">
        <f>RAW_GAMES!N456</f>
        <v>0</v>
      </c>
      <c r="Q456">
        <f t="shared" si="45"/>
        <v>0</v>
      </c>
      <c r="R456" s="7">
        <f>RAW_GAMES!Q456</f>
        <v>2</v>
      </c>
      <c r="S456">
        <f>RAW_GAMES!P456</f>
        <v>1</v>
      </c>
      <c r="T456">
        <f t="shared" si="46"/>
        <v>0.5</v>
      </c>
      <c r="U456">
        <f>_xlfn.XLOOKUP(C456,
  CALC_TEAMS_SEASON!B:B,
  CALC_TEAMS_SEASON!F:F)</f>
        <v>0.14358974358974358</v>
      </c>
      <c r="V456">
        <f>_xlfn.XLOOKUP(D456,
  CALC_TEAMS_SEASON!B:B,
  CALC_TEAMS_SEASON!F:F)</f>
        <v>0.17641178266178262</v>
      </c>
      <c r="W456" t="str">
        <f>RAW_GAMES!R456</f>
        <v>Stezka</v>
      </c>
      <c r="X456" s="7">
        <f>RAW_GAMES!S456</f>
        <v>29</v>
      </c>
      <c r="Y456">
        <f t="shared" si="47"/>
        <v>1</v>
      </c>
      <c r="Z456" t="str">
        <f>RAW_GAMES!V456</f>
        <v>RS</v>
      </c>
    </row>
    <row r="457" spans="1:26" x14ac:dyDescent="0.25">
      <c r="A457" t="str">
        <f>RAW_GAMES!A457</f>
        <v>25/26</v>
      </c>
      <c r="B457" s="3">
        <f>RAW_GAMES!B457</f>
        <v>46014</v>
      </c>
      <c r="C457" s="3" t="str">
        <f>RAW_GAMES!E457</f>
        <v>CEB</v>
      </c>
      <c r="D457" s="3" t="str">
        <f>RAW_GAMES!F457</f>
        <v>KVA</v>
      </c>
      <c r="E457" s="7">
        <f>RAW_GAMES!G457</f>
        <v>0</v>
      </c>
      <c r="F457">
        <f>RAW_GAMES!H457</f>
        <v>0</v>
      </c>
      <c r="G457">
        <f>RAW_GAMES!I457</f>
        <v>1</v>
      </c>
      <c r="H457">
        <f t="shared" si="42"/>
        <v>-1</v>
      </c>
      <c r="I457">
        <f>RAW_GAMES!J457</f>
        <v>25</v>
      </c>
      <c r="J457">
        <f>RAW_GAMES!K457</f>
        <v>25</v>
      </c>
      <c r="K457">
        <f t="shared" si="43"/>
        <v>0</v>
      </c>
      <c r="L457" t="str">
        <f>IF(RAW_GAMES!L457="","",RAW_GAMES!L457)</f>
        <v/>
      </c>
      <c r="M457" t="str">
        <f>IF(RAW_GAMES!M457="","",RAW_GAMES!M457)</f>
        <v/>
      </c>
      <c r="N457" t="str">
        <f t="shared" si="44"/>
        <v/>
      </c>
      <c r="O457" s="7">
        <f>RAW_GAMES!O457</f>
        <v>4</v>
      </c>
      <c r="P457">
        <f>RAW_GAMES!N457</f>
        <v>0</v>
      </c>
      <c r="Q457">
        <f t="shared" si="45"/>
        <v>0</v>
      </c>
      <c r="R457" s="7">
        <f>RAW_GAMES!Q457</f>
        <v>6</v>
      </c>
      <c r="S457">
        <f>RAW_GAMES!P457</f>
        <v>0</v>
      </c>
      <c r="T457">
        <f t="shared" si="46"/>
        <v>1</v>
      </c>
      <c r="U457">
        <f>_xlfn.XLOOKUP(C457,
  CALC_TEAMS_SEASON!B:B,
  CALC_TEAMS_SEASON!F:F)</f>
        <v>0.13021353646353648</v>
      </c>
      <c r="V457">
        <f>_xlfn.XLOOKUP(D457,
  CALC_TEAMS_SEASON!B:B,
  CALC_TEAMS_SEASON!F:F)</f>
        <v>0.17387057387057389</v>
      </c>
      <c r="W457" t="str">
        <f>RAW_GAMES!R457</f>
        <v>Strmeň</v>
      </c>
      <c r="X457" s="7">
        <f>RAW_GAMES!S457</f>
        <v>24</v>
      </c>
      <c r="Y457">
        <f t="shared" si="47"/>
        <v>0</v>
      </c>
      <c r="Z457" t="str">
        <f>RAW_GAMES!V457</f>
        <v>RS</v>
      </c>
    </row>
    <row r="458" spans="1:26" x14ac:dyDescent="0.25">
      <c r="A458" t="str">
        <f>RAW_GAMES!A458</f>
        <v>25/26</v>
      </c>
      <c r="B458" s="3">
        <f>RAW_GAMES!B458</f>
        <v>46014</v>
      </c>
      <c r="C458" s="3" t="str">
        <f>RAW_GAMES!E458</f>
        <v>KLA</v>
      </c>
      <c r="D458" s="3" t="str">
        <f>RAW_GAMES!F458</f>
        <v>PCE</v>
      </c>
      <c r="E458" s="7">
        <f>RAW_GAMES!G458</f>
        <v>1</v>
      </c>
      <c r="F458">
        <f>RAW_GAMES!H458</f>
        <v>0</v>
      </c>
      <c r="G458">
        <f>RAW_GAMES!I458</f>
        <v>1</v>
      </c>
      <c r="H458">
        <f t="shared" si="42"/>
        <v>-1</v>
      </c>
      <c r="I458">
        <f>RAW_GAMES!J458</f>
        <v>27</v>
      </c>
      <c r="J458">
        <f>RAW_GAMES!K458</f>
        <v>25</v>
      </c>
      <c r="K458">
        <f t="shared" si="43"/>
        <v>2</v>
      </c>
      <c r="L458">
        <f>IF(RAW_GAMES!L458="","",RAW_GAMES!L458)</f>
        <v>2.0099999999999998</v>
      </c>
      <c r="M458">
        <f>IF(RAW_GAMES!M458="","",RAW_GAMES!M458)</f>
        <v>2.4900000000000002</v>
      </c>
      <c r="N458">
        <f t="shared" si="44"/>
        <v>-0.48000000000000043</v>
      </c>
      <c r="O458" s="7">
        <f>RAW_GAMES!O458</f>
        <v>4</v>
      </c>
      <c r="P458">
        <f>RAW_GAMES!N458</f>
        <v>0</v>
      </c>
      <c r="Q458">
        <f t="shared" si="45"/>
        <v>0</v>
      </c>
      <c r="R458" s="7">
        <f>RAW_GAMES!Q458</f>
        <v>5</v>
      </c>
      <c r="S458">
        <f>RAW_GAMES!P458</f>
        <v>1</v>
      </c>
      <c r="T458">
        <f t="shared" si="46"/>
        <v>0.8</v>
      </c>
      <c r="U458">
        <f>_xlfn.XLOOKUP(C458,
  CALC_TEAMS_SEASON!B:B,
  CALC_TEAMS_SEASON!F:F)</f>
        <v>0.13120421245421243</v>
      </c>
      <c r="V458">
        <f>_xlfn.XLOOKUP(D458,
  CALC_TEAMS_SEASON!B:B,
  CALC_TEAMS_SEASON!F:F)</f>
        <v>0.20297619047619053</v>
      </c>
      <c r="W458" t="str">
        <f>RAW_GAMES!R458</f>
        <v>Dansk</v>
      </c>
      <c r="X458" s="7">
        <f>RAW_GAMES!S458</f>
        <v>24</v>
      </c>
      <c r="Y458">
        <f t="shared" si="47"/>
        <v>0</v>
      </c>
      <c r="Z458" t="str">
        <f>RAW_GAMES!V458</f>
        <v>RS</v>
      </c>
    </row>
    <row r="459" spans="1:26" x14ac:dyDescent="0.25">
      <c r="A459" t="str">
        <f>RAW_GAMES!A459</f>
        <v>25/26</v>
      </c>
      <c r="B459" s="3">
        <f>RAW_GAMES!B459</f>
        <v>46014</v>
      </c>
      <c r="C459" s="3" t="str">
        <f>RAW_GAMES!E459</f>
        <v>KVA</v>
      </c>
      <c r="D459" s="3" t="str">
        <f>RAW_GAMES!F459</f>
        <v>CEB</v>
      </c>
      <c r="E459" s="7">
        <f>RAW_GAMES!G459</f>
        <v>1</v>
      </c>
      <c r="F459">
        <f>RAW_GAMES!H459</f>
        <v>1</v>
      </c>
      <c r="G459">
        <f>RAW_GAMES!I459</f>
        <v>0</v>
      </c>
      <c r="H459">
        <f t="shared" si="42"/>
        <v>1</v>
      </c>
      <c r="I459">
        <f>RAW_GAMES!J459</f>
        <v>25</v>
      </c>
      <c r="J459">
        <f>RAW_GAMES!K459</f>
        <v>25</v>
      </c>
      <c r="K459">
        <f t="shared" si="43"/>
        <v>0</v>
      </c>
      <c r="L459" t="str">
        <f>IF(RAW_GAMES!L459="","",RAW_GAMES!L459)</f>
        <v/>
      </c>
      <c r="M459" t="str">
        <f>IF(RAW_GAMES!M459="","",RAW_GAMES!M459)</f>
        <v/>
      </c>
      <c r="N459" t="str">
        <f t="shared" si="44"/>
        <v/>
      </c>
      <c r="O459" s="7">
        <f>RAW_GAMES!O459</f>
        <v>6</v>
      </c>
      <c r="P459">
        <f>RAW_GAMES!N459</f>
        <v>0</v>
      </c>
      <c r="Q459">
        <f t="shared" si="45"/>
        <v>0</v>
      </c>
      <c r="R459" s="7">
        <f>RAW_GAMES!Q459</f>
        <v>4</v>
      </c>
      <c r="S459">
        <f>RAW_GAMES!P459</f>
        <v>0</v>
      </c>
      <c r="T459">
        <f t="shared" si="46"/>
        <v>1</v>
      </c>
      <c r="U459">
        <f>_xlfn.XLOOKUP(C459,
  CALC_TEAMS_SEASON!B:B,
  CALC_TEAMS_SEASON!F:F)</f>
        <v>0.17387057387057389</v>
      </c>
      <c r="V459">
        <f>_xlfn.XLOOKUP(D459,
  CALC_TEAMS_SEASON!B:B,
  CALC_TEAMS_SEASON!F:F)</f>
        <v>0.13021353646353648</v>
      </c>
      <c r="W459" t="str">
        <f>RAW_GAMES!R459</f>
        <v>Frodl</v>
      </c>
      <c r="X459" s="7">
        <f>RAW_GAMES!S459</f>
        <v>25</v>
      </c>
      <c r="Y459">
        <f t="shared" si="47"/>
        <v>1</v>
      </c>
      <c r="Z459" t="str">
        <f>RAW_GAMES!V459</f>
        <v>RS</v>
      </c>
    </row>
    <row r="460" spans="1:26" x14ac:dyDescent="0.25">
      <c r="A460" t="str">
        <f>RAW_GAMES!A460</f>
        <v>25/26</v>
      </c>
      <c r="B460" s="3">
        <f>RAW_GAMES!B460</f>
        <v>46014</v>
      </c>
      <c r="C460" s="3" t="str">
        <f>RAW_GAMES!E460</f>
        <v>LIB</v>
      </c>
      <c r="D460" s="3" t="str">
        <f>RAW_GAMES!F460</f>
        <v>VIT</v>
      </c>
      <c r="E460" s="7">
        <f>RAW_GAMES!G460</f>
        <v>0</v>
      </c>
      <c r="F460">
        <f>RAW_GAMES!H460</f>
        <v>1</v>
      </c>
      <c r="G460">
        <f>RAW_GAMES!I460</f>
        <v>4</v>
      </c>
      <c r="H460">
        <f t="shared" si="42"/>
        <v>-3</v>
      </c>
      <c r="I460">
        <f>RAW_GAMES!J460</f>
        <v>30</v>
      </c>
      <c r="J460">
        <f>RAW_GAMES!K460</f>
        <v>18</v>
      </c>
      <c r="K460">
        <f t="shared" si="43"/>
        <v>12</v>
      </c>
      <c r="L460" t="str">
        <f>IF(RAW_GAMES!L460="","",RAW_GAMES!L460)</f>
        <v/>
      </c>
      <c r="M460" t="str">
        <f>IF(RAW_GAMES!M460="","",RAW_GAMES!M460)</f>
        <v/>
      </c>
      <c r="N460" t="str">
        <f t="shared" si="44"/>
        <v/>
      </c>
      <c r="O460" s="7">
        <f>RAW_GAMES!O460</f>
        <v>2</v>
      </c>
      <c r="P460">
        <f>RAW_GAMES!N460</f>
        <v>0</v>
      </c>
      <c r="Q460">
        <f t="shared" si="45"/>
        <v>0</v>
      </c>
      <c r="R460" s="7">
        <f>RAW_GAMES!Q460</f>
        <v>4</v>
      </c>
      <c r="S460">
        <f>RAW_GAMES!P460</f>
        <v>1</v>
      </c>
      <c r="T460">
        <f t="shared" si="46"/>
        <v>0.75</v>
      </c>
      <c r="U460">
        <f>_xlfn.XLOOKUP(C460,
  CALC_TEAMS_SEASON!B:B,
  CALC_TEAMS_SEASON!F:F)</f>
        <v>0.14377289377289379</v>
      </c>
      <c r="V460">
        <f>_xlfn.XLOOKUP(D460,
  CALC_TEAMS_SEASON!B:B,
  CALC_TEAMS_SEASON!F:F)</f>
        <v>0.16984890109890113</v>
      </c>
      <c r="W460" t="str">
        <f>RAW_GAMES!R460</f>
        <v>Lukeš</v>
      </c>
      <c r="X460" s="7">
        <f>RAW_GAMES!S460</f>
        <v>14</v>
      </c>
      <c r="Y460">
        <f t="shared" si="47"/>
        <v>0</v>
      </c>
      <c r="Z460" t="str">
        <f>RAW_GAMES!V460</f>
        <v>RS</v>
      </c>
    </row>
    <row r="461" spans="1:26" x14ac:dyDescent="0.25">
      <c r="A461" t="str">
        <f>RAW_GAMES!A461</f>
        <v>25/26</v>
      </c>
      <c r="B461" s="3">
        <f>RAW_GAMES!B461</f>
        <v>46014</v>
      </c>
      <c r="C461" s="3" t="str">
        <f>RAW_GAMES!E461</f>
        <v>LIT</v>
      </c>
      <c r="D461" s="3" t="str">
        <f>RAW_GAMES!F461</f>
        <v>MBL</v>
      </c>
      <c r="E461" s="7">
        <f>RAW_GAMES!G461</f>
        <v>1</v>
      </c>
      <c r="F461">
        <f>RAW_GAMES!H461</f>
        <v>6</v>
      </c>
      <c r="G461">
        <f>RAW_GAMES!I461</f>
        <v>1</v>
      </c>
      <c r="H461">
        <f t="shared" si="42"/>
        <v>5</v>
      </c>
      <c r="I461">
        <f>RAW_GAMES!J461</f>
        <v>26</v>
      </c>
      <c r="J461">
        <f>RAW_GAMES!K461</f>
        <v>25</v>
      </c>
      <c r="K461">
        <f t="shared" si="43"/>
        <v>1</v>
      </c>
      <c r="L461" t="str">
        <f>IF(RAW_GAMES!L461="","",RAW_GAMES!L461)</f>
        <v/>
      </c>
      <c r="M461" t="str">
        <f>IF(RAW_GAMES!M461="","",RAW_GAMES!M461)</f>
        <v/>
      </c>
      <c r="N461" t="str">
        <f t="shared" si="44"/>
        <v/>
      </c>
      <c r="O461" s="7">
        <f>RAW_GAMES!O461</f>
        <v>5</v>
      </c>
      <c r="P461">
        <f>RAW_GAMES!N461</f>
        <v>0</v>
      </c>
      <c r="Q461">
        <f t="shared" si="45"/>
        <v>0</v>
      </c>
      <c r="R461" s="7">
        <f>RAW_GAMES!Q461</f>
        <v>4</v>
      </c>
      <c r="S461">
        <f>RAW_GAMES!P461</f>
        <v>0</v>
      </c>
      <c r="T461">
        <f t="shared" si="46"/>
        <v>1</v>
      </c>
      <c r="U461">
        <f>_xlfn.XLOOKUP(C461,
  CALC_TEAMS_SEASON!B:B,
  CALC_TEAMS_SEASON!F:F)</f>
        <v>0.10089285714285713</v>
      </c>
      <c r="V461">
        <f>_xlfn.XLOOKUP(D461,
  CALC_TEAMS_SEASON!B:B,
  CALC_TEAMS_SEASON!F:F)</f>
        <v>0.11826923076923078</v>
      </c>
      <c r="W461" t="str">
        <f>RAW_GAMES!R461</f>
        <v>Tomek</v>
      </c>
      <c r="X461" s="7">
        <f>RAW_GAMES!S461</f>
        <v>24</v>
      </c>
      <c r="Y461">
        <f t="shared" si="47"/>
        <v>1</v>
      </c>
      <c r="Z461" t="str">
        <f>RAW_GAMES!V461</f>
        <v>RS</v>
      </c>
    </row>
    <row r="462" spans="1:26" x14ac:dyDescent="0.25">
      <c r="A462" t="str">
        <f>RAW_GAMES!A462</f>
        <v>25/26</v>
      </c>
      <c r="B462" s="3">
        <f>RAW_GAMES!B462</f>
        <v>46014</v>
      </c>
      <c r="C462" s="3" t="str">
        <f>RAW_GAMES!E462</f>
        <v>MBL</v>
      </c>
      <c r="D462" s="3" t="str">
        <f>RAW_GAMES!F462</f>
        <v>LIT</v>
      </c>
      <c r="E462" s="7">
        <f>RAW_GAMES!G462</f>
        <v>0</v>
      </c>
      <c r="F462">
        <f>RAW_GAMES!H462</f>
        <v>1</v>
      </c>
      <c r="G462">
        <f>RAW_GAMES!I462</f>
        <v>6</v>
      </c>
      <c r="H462">
        <f t="shared" si="42"/>
        <v>-5</v>
      </c>
      <c r="I462">
        <f>RAW_GAMES!J462</f>
        <v>25</v>
      </c>
      <c r="J462">
        <f>RAW_GAMES!K462</f>
        <v>26</v>
      </c>
      <c r="K462">
        <f t="shared" si="43"/>
        <v>-1</v>
      </c>
      <c r="L462" t="str">
        <f>IF(RAW_GAMES!L462="","",RAW_GAMES!L462)</f>
        <v/>
      </c>
      <c r="M462" t="str">
        <f>IF(RAW_GAMES!M462="","",RAW_GAMES!M462)</f>
        <v/>
      </c>
      <c r="N462" t="str">
        <f t="shared" si="44"/>
        <v/>
      </c>
      <c r="O462" s="7">
        <f>RAW_GAMES!O462</f>
        <v>4</v>
      </c>
      <c r="P462">
        <f>RAW_GAMES!N462</f>
        <v>0</v>
      </c>
      <c r="Q462">
        <f t="shared" si="45"/>
        <v>0</v>
      </c>
      <c r="R462" s="7">
        <f>RAW_GAMES!Q462</f>
        <v>5</v>
      </c>
      <c r="S462">
        <f>RAW_GAMES!P462</f>
        <v>0</v>
      </c>
      <c r="T462">
        <f t="shared" si="46"/>
        <v>1</v>
      </c>
      <c r="U462">
        <f>_xlfn.XLOOKUP(C462,
  CALC_TEAMS_SEASON!B:B,
  CALC_TEAMS_SEASON!F:F)</f>
        <v>0.11826923076923078</v>
      </c>
      <c r="V462">
        <f>_xlfn.XLOOKUP(D462,
  CALC_TEAMS_SEASON!B:B,
  CALC_TEAMS_SEASON!F:F)</f>
        <v>0.10089285714285713</v>
      </c>
      <c r="W462" t="str">
        <f>RAW_GAMES!R462</f>
        <v>Furch</v>
      </c>
      <c r="X462" s="7">
        <f>RAW_GAMES!S462</f>
        <v>20</v>
      </c>
      <c r="Y462">
        <f t="shared" si="47"/>
        <v>0</v>
      </c>
      <c r="Z462" t="str">
        <f>RAW_GAMES!V462</f>
        <v>RS</v>
      </c>
    </row>
    <row r="463" spans="1:26" x14ac:dyDescent="0.25">
      <c r="A463" t="str">
        <f>RAW_GAMES!A463</f>
        <v>25/26</v>
      </c>
      <c r="B463" s="3">
        <f>RAW_GAMES!B463</f>
        <v>46014</v>
      </c>
      <c r="C463" s="3" t="str">
        <f>RAW_GAMES!E463</f>
        <v>OLO</v>
      </c>
      <c r="D463" s="3" t="str">
        <f>RAW_GAMES!F463</f>
        <v>SPA</v>
      </c>
      <c r="E463" s="7">
        <f>RAW_GAMES!G463</f>
        <v>0</v>
      </c>
      <c r="F463">
        <f>RAW_GAMES!H463</f>
        <v>2</v>
      </c>
      <c r="G463">
        <f>RAW_GAMES!I463</f>
        <v>7</v>
      </c>
      <c r="H463">
        <f t="shared" si="42"/>
        <v>-5</v>
      </c>
      <c r="I463">
        <f>RAW_GAMES!J463</f>
        <v>21</v>
      </c>
      <c r="J463">
        <f>RAW_GAMES!K463</f>
        <v>44</v>
      </c>
      <c r="K463">
        <f t="shared" si="43"/>
        <v>-23</v>
      </c>
      <c r="L463">
        <f>IF(RAW_GAMES!L463="","",RAW_GAMES!L463)</f>
        <v>2.66</v>
      </c>
      <c r="M463">
        <f>IF(RAW_GAMES!M463="","",RAW_GAMES!M463)</f>
        <v>4.2699999999999996</v>
      </c>
      <c r="N463">
        <f t="shared" si="44"/>
        <v>-1.6099999999999994</v>
      </c>
      <c r="O463" s="7">
        <f>RAW_GAMES!O463</f>
        <v>2</v>
      </c>
      <c r="P463">
        <f>RAW_GAMES!N463</f>
        <v>0</v>
      </c>
      <c r="Q463">
        <f t="shared" si="45"/>
        <v>0</v>
      </c>
      <c r="R463" s="7">
        <f>RAW_GAMES!Q463</f>
        <v>3</v>
      </c>
      <c r="S463">
        <f>RAW_GAMES!P463</f>
        <v>1</v>
      </c>
      <c r="T463">
        <f t="shared" si="46"/>
        <v>0.66666666666666674</v>
      </c>
      <c r="U463">
        <f>_xlfn.XLOOKUP(C463,
  CALC_TEAMS_SEASON!B:B,
  CALC_TEAMS_SEASON!F:F)</f>
        <v>0.14989316239316242</v>
      </c>
      <c r="V463">
        <f>_xlfn.XLOOKUP(D463,
  CALC_TEAMS_SEASON!B:B,
  CALC_TEAMS_SEASON!F:F)</f>
        <v>0.22060439560439565</v>
      </c>
      <c r="W463" t="str">
        <f>RAW_GAMES!R463</f>
        <v>Cichoň</v>
      </c>
      <c r="X463" s="7">
        <f>RAW_GAMES!S463</f>
        <v>37</v>
      </c>
      <c r="Y463">
        <f t="shared" si="47"/>
        <v>0</v>
      </c>
      <c r="Z463" t="str">
        <f>RAW_GAMES!V463</f>
        <v>RS</v>
      </c>
    </row>
    <row r="464" spans="1:26" x14ac:dyDescent="0.25">
      <c r="A464" t="str">
        <f>RAW_GAMES!A464</f>
        <v>25/26</v>
      </c>
      <c r="B464" s="3">
        <f>RAW_GAMES!B464</f>
        <v>46014</v>
      </c>
      <c r="C464" s="3" t="str">
        <f>RAW_GAMES!E464</f>
        <v>PLZ</v>
      </c>
      <c r="D464" s="3" t="str">
        <f>RAW_GAMES!F464</f>
        <v>KOM</v>
      </c>
      <c r="E464" s="7">
        <f>RAW_GAMES!G464</f>
        <v>0</v>
      </c>
      <c r="F464">
        <f>RAW_GAMES!H464</f>
        <v>2</v>
      </c>
      <c r="G464">
        <f>RAW_GAMES!I464</f>
        <v>3</v>
      </c>
      <c r="H464">
        <f t="shared" si="42"/>
        <v>-1</v>
      </c>
      <c r="I464">
        <f>RAW_GAMES!J464</f>
        <v>31</v>
      </c>
      <c r="J464">
        <f>RAW_GAMES!K464</f>
        <v>25</v>
      </c>
      <c r="K464">
        <f t="shared" si="43"/>
        <v>6</v>
      </c>
      <c r="L464">
        <f>IF(RAW_GAMES!L464="","",RAW_GAMES!L464)</f>
        <v>2.5299999999999998</v>
      </c>
      <c r="M464">
        <f>IF(RAW_GAMES!M464="","",RAW_GAMES!M464)</f>
        <v>2.34</v>
      </c>
      <c r="N464">
        <f t="shared" si="44"/>
        <v>0.18999999999999995</v>
      </c>
      <c r="O464" s="7">
        <f>RAW_GAMES!O464</f>
        <v>2</v>
      </c>
      <c r="P464">
        <f>RAW_GAMES!N464</f>
        <v>1</v>
      </c>
      <c r="Q464">
        <f t="shared" si="45"/>
        <v>0.5</v>
      </c>
      <c r="R464" s="7">
        <f>RAW_GAMES!Q464</f>
        <v>3</v>
      </c>
      <c r="S464">
        <f>RAW_GAMES!P464</f>
        <v>0</v>
      </c>
      <c r="T464">
        <f t="shared" si="46"/>
        <v>1</v>
      </c>
      <c r="U464">
        <f>_xlfn.XLOOKUP(C464,
  CALC_TEAMS_SEASON!B:B,
  CALC_TEAMS_SEASON!F:F)</f>
        <v>0.17641178266178262</v>
      </c>
      <c r="V464">
        <f>_xlfn.XLOOKUP(D464,
  CALC_TEAMS_SEASON!B:B,
  CALC_TEAMS_SEASON!F:F)</f>
        <v>0.14358974358974358</v>
      </c>
      <c r="W464" t="str">
        <f>RAW_GAMES!R464</f>
        <v>Malík</v>
      </c>
      <c r="X464" s="7">
        <f>RAW_GAMES!S464</f>
        <v>22</v>
      </c>
      <c r="Y464">
        <f t="shared" si="47"/>
        <v>0</v>
      </c>
      <c r="Z464" t="str">
        <f>RAW_GAMES!V464</f>
        <v>RS</v>
      </c>
    </row>
    <row r="465" spans="1:26" x14ac:dyDescent="0.25">
      <c r="A465" t="str">
        <f>RAW_GAMES!A465</f>
        <v>25/26</v>
      </c>
      <c r="B465" s="3">
        <f>RAW_GAMES!B465</f>
        <v>46014</v>
      </c>
      <c r="C465" s="3" t="str">
        <f>RAW_GAMES!E465</f>
        <v>VIT</v>
      </c>
      <c r="D465" s="3" t="str">
        <f>RAW_GAMES!F465</f>
        <v>LIB</v>
      </c>
      <c r="E465" s="7">
        <f>RAW_GAMES!G465</f>
        <v>1</v>
      </c>
      <c r="F465">
        <f>RAW_GAMES!H465</f>
        <v>4</v>
      </c>
      <c r="G465">
        <f>RAW_GAMES!I465</f>
        <v>1</v>
      </c>
      <c r="H465">
        <f t="shared" si="42"/>
        <v>3</v>
      </c>
      <c r="I465">
        <f>RAW_GAMES!J465</f>
        <v>18</v>
      </c>
      <c r="J465">
        <f>RAW_GAMES!K465</f>
        <v>30</v>
      </c>
      <c r="K465">
        <f t="shared" si="43"/>
        <v>-12</v>
      </c>
      <c r="L465" t="str">
        <f>IF(RAW_GAMES!L465="","",RAW_GAMES!L465)</f>
        <v/>
      </c>
      <c r="M465" t="str">
        <f>IF(RAW_GAMES!M465="","",RAW_GAMES!M465)</f>
        <v/>
      </c>
      <c r="N465" t="str">
        <f t="shared" si="44"/>
        <v/>
      </c>
      <c r="O465" s="7">
        <f>RAW_GAMES!O465</f>
        <v>4</v>
      </c>
      <c r="P465">
        <f>RAW_GAMES!N465</f>
        <v>1</v>
      </c>
      <c r="Q465">
        <f t="shared" si="45"/>
        <v>0.25</v>
      </c>
      <c r="R465" s="7">
        <f>RAW_GAMES!Q465</f>
        <v>2</v>
      </c>
      <c r="S465">
        <f>RAW_GAMES!P465</f>
        <v>0</v>
      </c>
      <c r="T465">
        <f t="shared" si="46"/>
        <v>1</v>
      </c>
      <c r="U465">
        <f>_xlfn.XLOOKUP(C465,
  CALC_TEAMS_SEASON!B:B,
  CALC_TEAMS_SEASON!F:F)</f>
        <v>0.16984890109890113</v>
      </c>
      <c r="V465">
        <f>_xlfn.XLOOKUP(D465,
  CALC_TEAMS_SEASON!B:B,
  CALC_TEAMS_SEASON!F:F)</f>
        <v>0.14377289377289379</v>
      </c>
      <c r="W465" t="str">
        <f>RAW_GAMES!R465</f>
        <v>Hrachovina</v>
      </c>
      <c r="X465" s="7">
        <f>RAW_GAMES!S465</f>
        <v>29</v>
      </c>
      <c r="Y465">
        <f t="shared" si="47"/>
        <v>1</v>
      </c>
      <c r="Z465" t="str">
        <f>RAW_GAMES!V465</f>
        <v>RS</v>
      </c>
    </row>
    <row r="466" spans="1:26" x14ac:dyDescent="0.25">
      <c r="A466" t="str">
        <f>RAW_GAMES!A466</f>
        <v>25/26</v>
      </c>
      <c r="B466" s="3">
        <f>RAW_GAMES!B466</f>
        <v>46017</v>
      </c>
      <c r="C466" s="3" t="str">
        <f>RAW_GAMES!E466</f>
        <v>PCE</v>
      </c>
      <c r="D466" s="3" t="str">
        <f>RAW_GAMES!F466</f>
        <v>TRI</v>
      </c>
      <c r="E466" s="7">
        <f>RAW_GAMES!G466</f>
        <v>1</v>
      </c>
      <c r="F466">
        <f>RAW_GAMES!H466</f>
        <v>5</v>
      </c>
      <c r="G466">
        <f>RAW_GAMES!I466</f>
        <v>3</v>
      </c>
      <c r="H466">
        <f t="shared" si="42"/>
        <v>2</v>
      </c>
      <c r="I466">
        <f>RAW_GAMES!J466</f>
        <v>52</v>
      </c>
      <c r="J466">
        <f>RAW_GAMES!K466</f>
        <v>17</v>
      </c>
      <c r="K466">
        <f t="shared" si="43"/>
        <v>35</v>
      </c>
      <c r="L466">
        <f>IF(RAW_GAMES!L466="","",RAW_GAMES!L466)</f>
        <v>4.91</v>
      </c>
      <c r="M466">
        <f>IF(RAW_GAMES!M466="","",RAW_GAMES!M466)</f>
        <v>1.61</v>
      </c>
      <c r="N466">
        <f t="shared" si="44"/>
        <v>3.3</v>
      </c>
      <c r="O466" s="7">
        <f>RAW_GAMES!O466</f>
        <v>5</v>
      </c>
      <c r="P466">
        <f>RAW_GAMES!N466</f>
        <v>2</v>
      </c>
      <c r="Q466">
        <f t="shared" si="45"/>
        <v>0.4</v>
      </c>
      <c r="R466" s="7">
        <f>RAW_GAMES!Q466</f>
        <v>1</v>
      </c>
      <c r="S466">
        <f>RAW_GAMES!P466</f>
        <v>0</v>
      </c>
      <c r="T466">
        <f t="shared" si="46"/>
        <v>1</v>
      </c>
      <c r="U466">
        <f>_xlfn.XLOOKUP(C466,
  CALC_TEAMS_SEASON!B:B,
  CALC_TEAMS_SEASON!F:F)</f>
        <v>0.20297619047619053</v>
      </c>
      <c r="V466">
        <f>_xlfn.XLOOKUP(D466,
  CALC_TEAMS_SEASON!B:B,
  CALC_TEAMS_SEASON!F:F)</f>
        <v>0.17437423687423692</v>
      </c>
      <c r="W466" t="str">
        <f>RAW_GAMES!R466</f>
        <v>Will</v>
      </c>
      <c r="X466" s="7">
        <f>RAW_GAMES!S466</f>
        <v>14</v>
      </c>
      <c r="Y466">
        <f t="shared" si="47"/>
        <v>1</v>
      </c>
      <c r="Z466" t="str">
        <f>RAW_GAMES!V466</f>
        <v>RS</v>
      </c>
    </row>
    <row r="467" spans="1:26" x14ac:dyDescent="0.25">
      <c r="A467" t="str">
        <f>RAW_GAMES!A467</f>
        <v>25/26</v>
      </c>
      <c r="B467" s="3">
        <f>RAW_GAMES!B467</f>
        <v>46017</v>
      </c>
      <c r="C467" s="3" t="str">
        <f>RAW_GAMES!E467</f>
        <v>TRI</v>
      </c>
      <c r="D467" s="3" t="str">
        <f>RAW_GAMES!F467</f>
        <v>PCE</v>
      </c>
      <c r="E467" s="7">
        <f>RAW_GAMES!G467</f>
        <v>0</v>
      </c>
      <c r="F467">
        <f>RAW_GAMES!H467</f>
        <v>3</v>
      </c>
      <c r="G467">
        <f>RAW_GAMES!I467</f>
        <v>5</v>
      </c>
      <c r="H467">
        <f t="shared" si="42"/>
        <v>-2</v>
      </c>
      <c r="I467">
        <f>RAW_GAMES!J467</f>
        <v>17</v>
      </c>
      <c r="J467">
        <f>RAW_GAMES!K467</f>
        <v>52</v>
      </c>
      <c r="K467">
        <f t="shared" si="43"/>
        <v>-35</v>
      </c>
      <c r="L467">
        <f>IF(RAW_GAMES!L467="","",RAW_GAMES!L467)</f>
        <v>1.61</v>
      </c>
      <c r="M467">
        <f>IF(RAW_GAMES!M467="","",RAW_GAMES!M467)</f>
        <v>4.91</v>
      </c>
      <c r="N467">
        <f t="shared" si="44"/>
        <v>-3.3</v>
      </c>
      <c r="O467" s="7">
        <f>RAW_GAMES!O467</f>
        <v>1</v>
      </c>
      <c r="P467">
        <f>RAW_GAMES!N467</f>
        <v>0</v>
      </c>
      <c r="Q467">
        <f t="shared" si="45"/>
        <v>0</v>
      </c>
      <c r="R467" s="7">
        <f>RAW_GAMES!Q467</f>
        <v>5</v>
      </c>
      <c r="S467">
        <f>RAW_GAMES!P467</f>
        <v>2</v>
      </c>
      <c r="T467">
        <f t="shared" si="46"/>
        <v>0.6</v>
      </c>
      <c r="U467">
        <f>_xlfn.XLOOKUP(C467,
  CALC_TEAMS_SEASON!B:B,
  CALC_TEAMS_SEASON!F:F)</f>
        <v>0.17437423687423692</v>
      </c>
      <c r="V467">
        <f>_xlfn.XLOOKUP(D467,
  CALC_TEAMS_SEASON!B:B,
  CALC_TEAMS_SEASON!F:F)</f>
        <v>0.20297619047619053</v>
      </c>
      <c r="W467" t="str">
        <f>RAW_GAMES!R467</f>
        <v>Mazanec</v>
      </c>
      <c r="X467" s="7">
        <f>RAW_GAMES!S467</f>
        <v>47</v>
      </c>
      <c r="Y467">
        <f t="shared" si="47"/>
        <v>0</v>
      </c>
      <c r="Z467" t="str">
        <f>RAW_GAMES!V467</f>
        <v>RS</v>
      </c>
    </row>
    <row r="468" spans="1:26" x14ac:dyDescent="0.25">
      <c r="A468" t="str">
        <f>RAW_GAMES!A468</f>
        <v>25/26</v>
      </c>
      <c r="B468" s="3">
        <f>RAW_GAMES!B468</f>
        <v>46017</v>
      </c>
      <c r="C468" s="3" t="str">
        <f>RAW_GAMES!E468</f>
        <v>KOM</v>
      </c>
      <c r="D468" s="3" t="str">
        <f>RAW_GAMES!F468</f>
        <v>CEB</v>
      </c>
      <c r="E468" s="7">
        <f>RAW_GAMES!G468</f>
        <v>0</v>
      </c>
      <c r="F468">
        <f>RAW_GAMES!H468</f>
        <v>2</v>
      </c>
      <c r="G468">
        <f>RAW_GAMES!I468</f>
        <v>3</v>
      </c>
      <c r="H468">
        <f t="shared" si="42"/>
        <v>-1</v>
      </c>
      <c r="I468">
        <f>RAW_GAMES!J468</f>
        <v>27</v>
      </c>
      <c r="J468">
        <f>RAW_GAMES!K468</f>
        <v>35</v>
      </c>
      <c r="K468">
        <f t="shared" si="43"/>
        <v>-8</v>
      </c>
      <c r="L468">
        <f>IF(RAW_GAMES!L468="","",RAW_GAMES!L468)</f>
        <v>3.44</v>
      </c>
      <c r="M468">
        <f>IF(RAW_GAMES!M468="","",RAW_GAMES!M468)</f>
        <v>2.79</v>
      </c>
      <c r="N468">
        <f t="shared" si="44"/>
        <v>0.64999999999999991</v>
      </c>
      <c r="O468" s="7">
        <f>RAW_GAMES!O468</f>
        <v>5</v>
      </c>
      <c r="P468">
        <f>RAW_GAMES!N468</f>
        <v>1</v>
      </c>
      <c r="Q468">
        <f t="shared" si="45"/>
        <v>0.2</v>
      </c>
      <c r="R468" s="7">
        <f>RAW_GAMES!Q468</f>
        <v>4</v>
      </c>
      <c r="S468">
        <f>RAW_GAMES!P468</f>
        <v>1</v>
      </c>
      <c r="T468">
        <f t="shared" si="46"/>
        <v>0.75</v>
      </c>
      <c r="U468">
        <f>_xlfn.XLOOKUP(C468,
  CALC_TEAMS_SEASON!B:B,
  CALC_TEAMS_SEASON!F:F)</f>
        <v>0.14358974358974358</v>
      </c>
      <c r="V468">
        <f>_xlfn.XLOOKUP(D468,
  CALC_TEAMS_SEASON!B:B,
  CALC_TEAMS_SEASON!F:F)</f>
        <v>0.13021353646353648</v>
      </c>
      <c r="W468" t="str">
        <f>RAW_GAMES!R468</f>
        <v>Stezka</v>
      </c>
      <c r="X468" s="7">
        <f>RAW_GAMES!S468</f>
        <v>25</v>
      </c>
      <c r="Y468">
        <f t="shared" si="47"/>
        <v>0</v>
      </c>
      <c r="Z468" t="str">
        <f>RAW_GAMES!V468</f>
        <v>RS</v>
      </c>
    </row>
    <row r="469" spans="1:26" x14ac:dyDescent="0.25">
      <c r="A469" t="str">
        <f>RAW_GAMES!A469</f>
        <v>25/26</v>
      </c>
      <c r="B469" s="3">
        <f>RAW_GAMES!B469</f>
        <v>46017</v>
      </c>
      <c r="C469" s="3" t="str">
        <f>RAW_GAMES!E469</f>
        <v>CEB</v>
      </c>
      <c r="D469" s="3" t="str">
        <f>RAW_GAMES!F469</f>
        <v>KOM</v>
      </c>
      <c r="E469" s="7">
        <f>RAW_GAMES!G469</f>
        <v>1</v>
      </c>
      <c r="F469">
        <f>RAW_GAMES!H469</f>
        <v>3</v>
      </c>
      <c r="G469">
        <f>RAW_GAMES!I469</f>
        <v>2</v>
      </c>
      <c r="H469">
        <f t="shared" si="42"/>
        <v>1</v>
      </c>
      <c r="I469">
        <f>RAW_GAMES!J469</f>
        <v>35</v>
      </c>
      <c r="J469">
        <f>RAW_GAMES!K469</f>
        <v>27</v>
      </c>
      <c r="K469">
        <f t="shared" si="43"/>
        <v>8</v>
      </c>
      <c r="L469">
        <f>IF(RAW_GAMES!L469="","",RAW_GAMES!L469)</f>
        <v>2.79</v>
      </c>
      <c r="M469">
        <f>IF(RAW_GAMES!M469="","",RAW_GAMES!M469)</f>
        <v>3.44</v>
      </c>
      <c r="N469">
        <f t="shared" si="44"/>
        <v>-0.64999999999999991</v>
      </c>
      <c r="O469" s="7">
        <f>RAW_GAMES!O469</f>
        <v>4</v>
      </c>
      <c r="P469">
        <f>RAW_GAMES!N469</f>
        <v>1</v>
      </c>
      <c r="Q469">
        <f t="shared" si="45"/>
        <v>0.25</v>
      </c>
      <c r="R469" s="7">
        <f>RAW_GAMES!Q469</f>
        <v>5</v>
      </c>
      <c r="S469">
        <f>RAW_GAMES!P469</f>
        <v>1</v>
      </c>
      <c r="T469">
        <f t="shared" si="46"/>
        <v>0.8</v>
      </c>
      <c r="U469">
        <f>_xlfn.XLOOKUP(C469,
  CALC_TEAMS_SEASON!B:B,
  CALC_TEAMS_SEASON!F:F)</f>
        <v>0.13021353646353648</v>
      </c>
      <c r="V469">
        <f>_xlfn.XLOOKUP(D469,
  CALC_TEAMS_SEASON!B:B,
  CALC_TEAMS_SEASON!F:F)</f>
        <v>0.14358974358974358</v>
      </c>
      <c r="W469" t="str">
        <f>RAW_GAMES!R469</f>
        <v>Strmeň</v>
      </c>
      <c r="X469" s="7">
        <f>RAW_GAMES!S469</f>
        <v>33</v>
      </c>
      <c r="Y469">
        <f t="shared" si="47"/>
        <v>1</v>
      </c>
      <c r="Z469" t="str">
        <f>RAW_GAMES!V469</f>
        <v>RS</v>
      </c>
    </row>
    <row r="470" spans="1:26" x14ac:dyDescent="0.25">
      <c r="A470" t="str">
        <f>RAW_GAMES!A470</f>
        <v>25/26</v>
      </c>
      <c r="B470" s="3">
        <f>RAW_GAMES!B470</f>
        <v>46017</v>
      </c>
      <c r="C470" s="3" t="str">
        <f>RAW_GAMES!E470</f>
        <v>KLA</v>
      </c>
      <c r="D470" s="3" t="str">
        <f>RAW_GAMES!F470</f>
        <v>PLZ</v>
      </c>
      <c r="E470" s="7">
        <f>RAW_GAMES!G470</f>
        <v>0</v>
      </c>
      <c r="F470">
        <f>RAW_GAMES!H470</f>
        <v>0</v>
      </c>
      <c r="G470">
        <f>RAW_GAMES!I470</f>
        <v>3</v>
      </c>
      <c r="H470">
        <f t="shared" si="42"/>
        <v>-3</v>
      </c>
      <c r="I470">
        <f>RAW_GAMES!J470</f>
        <v>21</v>
      </c>
      <c r="J470">
        <f>RAW_GAMES!K470</f>
        <v>29</v>
      </c>
      <c r="K470">
        <f t="shared" si="43"/>
        <v>-8</v>
      </c>
      <c r="L470" t="str">
        <f>IF(RAW_GAMES!L470="","",RAW_GAMES!L470)</f>
        <v/>
      </c>
      <c r="M470" t="str">
        <f>IF(RAW_GAMES!M470="","",RAW_GAMES!M470)</f>
        <v/>
      </c>
      <c r="N470" t="str">
        <f t="shared" si="44"/>
        <v/>
      </c>
      <c r="O470" s="7">
        <f>RAW_GAMES!O470</f>
        <v>3</v>
      </c>
      <c r="P470">
        <f>RAW_GAMES!N470</f>
        <v>0</v>
      </c>
      <c r="Q470">
        <f t="shared" si="45"/>
        <v>0</v>
      </c>
      <c r="R470" s="7">
        <f>RAW_GAMES!Q470</f>
        <v>4</v>
      </c>
      <c r="S470">
        <f>RAW_GAMES!P470</f>
        <v>0</v>
      </c>
      <c r="T470">
        <f t="shared" si="46"/>
        <v>1</v>
      </c>
      <c r="U470">
        <f>_xlfn.XLOOKUP(C470,
  CALC_TEAMS_SEASON!B:B,
  CALC_TEAMS_SEASON!F:F)</f>
        <v>0.13120421245421243</v>
      </c>
      <c r="V470">
        <f>_xlfn.XLOOKUP(D470,
  CALC_TEAMS_SEASON!B:B,
  CALC_TEAMS_SEASON!F:F)</f>
        <v>0.17641178266178262</v>
      </c>
      <c r="W470" t="str">
        <f>RAW_GAMES!R470</f>
        <v>Dansk</v>
      </c>
      <c r="X470" s="7">
        <f>RAW_GAMES!S470</f>
        <v>26</v>
      </c>
      <c r="Y470">
        <f t="shared" si="47"/>
        <v>0</v>
      </c>
      <c r="Z470" t="str">
        <f>RAW_GAMES!V470</f>
        <v>RS</v>
      </c>
    </row>
    <row r="471" spans="1:26" x14ac:dyDescent="0.25">
      <c r="A471" t="str">
        <f>RAW_GAMES!A471</f>
        <v>25/26</v>
      </c>
      <c r="B471" s="3">
        <f>RAW_GAMES!B471</f>
        <v>46017</v>
      </c>
      <c r="C471" s="3" t="str">
        <f>RAW_GAMES!E471</f>
        <v>KVA</v>
      </c>
      <c r="D471" s="3" t="str">
        <f>RAW_GAMES!F471</f>
        <v>LIB</v>
      </c>
      <c r="E471" s="7">
        <f>RAW_GAMES!G471</f>
        <v>0</v>
      </c>
      <c r="F471">
        <f>RAW_GAMES!H471</f>
        <v>3</v>
      </c>
      <c r="G471">
        <f>RAW_GAMES!I471</f>
        <v>2</v>
      </c>
      <c r="H471">
        <f t="shared" si="42"/>
        <v>1</v>
      </c>
      <c r="I471">
        <f>RAW_GAMES!J471</f>
        <v>32</v>
      </c>
      <c r="J471">
        <f>RAW_GAMES!K471</f>
        <v>37</v>
      </c>
      <c r="K471">
        <f t="shared" si="43"/>
        <v>-5</v>
      </c>
      <c r="L471" t="str">
        <f>IF(RAW_GAMES!L471="","",RAW_GAMES!L471)</f>
        <v/>
      </c>
      <c r="M471" t="str">
        <f>IF(RAW_GAMES!M471="","",RAW_GAMES!M471)</f>
        <v/>
      </c>
      <c r="N471" t="str">
        <f t="shared" si="44"/>
        <v/>
      </c>
      <c r="O471" s="7">
        <f>RAW_GAMES!O471</f>
        <v>4</v>
      </c>
      <c r="P471">
        <f>RAW_GAMES!N471</f>
        <v>1</v>
      </c>
      <c r="Q471">
        <f t="shared" si="45"/>
        <v>0.25</v>
      </c>
      <c r="R471" s="7">
        <f>RAW_GAMES!Q471</f>
        <v>4</v>
      </c>
      <c r="S471">
        <f>RAW_GAMES!P471</f>
        <v>0</v>
      </c>
      <c r="T471">
        <f t="shared" si="46"/>
        <v>1</v>
      </c>
      <c r="U471">
        <f>_xlfn.XLOOKUP(C471,
  CALC_TEAMS_SEASON!B:B,
  CALC_TEAMS_SEASON!F:F)</f>
        <v>0.17387057387057389</v>
      </c>
      <c r="V471">
        <f>_xlfn.XLOOKUP(D471,
  CALC_TEAMS_SEASON!B:B,
  CALC_TEAMS_SEASON!F:F)</f>
        <v>0.14377289377289379</v>
      </c>
      <c r="W471" t="str">
        <f>RAW_GAMES!R471</f>
        <v>Král</v>
      </c>
      <c r="X471" s="7">
        <f>RAW_GAMES!S471</f>
        <v>35</v>
      </c>
      <c r="Y471">
        <f t="shared" si="47"/>
        <v>1</v>
      </c>
      <c r="Z471" t="str">
        <f>RAW_GAMES!V471</f>
        <v>RS</v>
      </c>
    </row>
    <row r="472" spans="1:26" x14ac:dyDescent="0.25">
      <c r="A472" t="str">
        <f>RAW_GAMES!A472</f>
        <v>25/26</v>
      </c>
      <c r="B472" s="3">
        <f>RAW_GAMES!B472</f>
        <v>46017</v>
      </c>
      <c r="C472" s="3" t="str">
        <f>RAW_GAMES!E472</f>
        <v>LIB</v>
      </c>
      <c r="D472" s="3" t="str">
        <f>RAW_GAMES!F472</f>
        <v>KVA</v>
      </c>
      <c r="E472" s="7">
        <f>RAW_GAMES!G472</f>
        <v>1</v>
      </c>
      <c r="F472">
        <f>RAW_GAMES!H472</f>
        <v>2</v>
      </c>
      <c r="G472">
        <f>RAW_GAMES!I472</f>
        <v>3</v>
      </c>
      <c r="H472">
        <f t="shared" si="42"/>
        <v>-1</v>
      </c>
      <c r="I472">
        <f>RAW_GAMES!J472</f>
        <v>37</v>
      </c>
      <c r="J472">
        <f>RAW_GAMES!K472</f>
        <v>32</v>
      </c>
      <c r="K472">
        <f t="shared" si="43"/>
        <v>5</v>
      </c>
      <c r="L472" t="str">
        <f>IF(RAW_GAMES!L472="","",RAW_GAMES!L472)</f>
        <v/>
      </c>
      <c r="M472" t="str">
        <f>IF(RAW_GAMES!M472="","",RAW_GAMES!M472)</f>
        <v/>
      </c>
      <c r="N472" t="str">
        <f t="shared" si="44"/>
        <v/>
      </c>
      <c r="O472" s="7">
        <f>RAW_GAMES!O472</f>
        <v>4</v>
      </c>
      <c r="P472">
        <f>RAW_GAMES!N472</f>
        <v>0</v>
      </c>
      <c r="Q472">
        <f t="shared" si="45"/>
        <v>0</v>
      </c>
      <c r="R472" s="7">
        <f>RAW_GAMES!Q472</f>
        <v>4</v>
      </c>
      <c r="S472">
        <f>RAW_GAMES!P472</f>
        <v>1</v>
      </c>
      <c r="T472">
        <f t="shared" si="46"/>
        <v>0.75</v>
      </c>
      <c r="U472">
        <f>_xlfn.XLOOKUP(C472,
  CALC_TEAMS_SEASON!B:B,
  CALC_TEAMS_SEASON!F:F)</f>
        <v>0.14377289377289379</v>
      </c>
      <c r="V472">
        <f>_xlfn.XLOOKUP(D472,
  CALC_TEAMS_SEASON!B:B,
  CALC_TEAMS_SEASON!F:F)</f>
        <v>0.17387057387057389</v>
      </c>
      <c r="W472" t="str">
        <f>RAW_GAMES!R472</f>
        <v>Kváča</v>
      </c>
      <c r="X472" s="7">
        <f>RAW_GAMES!S472</f>
        <v>29</v>
      </c>
      <c r="Y472">
        <f t="shared" si="47"/>
        <v>0</v>
      </c>
      <c r="Z472" t="str">
        <f>RAW_GAMES!V472</f>
        <v>RS</v>
      </c>
    </row>
    <row r="473" spans="1:26" x14ac:dyDescent="0.25">
      <c r="A473" t="str">
        <f>RAW_GAMES!A473</f>
        <v>25/26</v>
      </c>
      <c r="B473" s="3">
        <f>RAW_GAMES!B473</f>
        <v>46017</v>
      </c>
      <c r="C473" s="3" t="str">
        <f>RAW_GAMES!E473</f>
        <v>LIT</v>
      </c>
      <c r="D473" s="3" t="str">
        <f>RAW_GAMES!F473</f>
        <v>MHK</v>
      </c>
      <c r="E473" s="7">
        <f>RAW_GAMES!G473</f>
        <v>0</v>
      </c>
      <c r="F473">
        <f>RAW_GAMES!H473</f>
        <v>3</v>
      </c>
      <c r="G473">
        <f>RAW_GAMES!I473</f>
        <v>2</v>
      </c>
      <c r="H473">
        <f t="shared" si="42"/>
        <v>1</v>
      </c>
      <c r="I473">
        <f>RAW_GAMES!J473</f>
        <v>23</v>
      </c>
      <c r="J473">
        <f>RAW_GAMES!K473</f>
        <v>26</v>
      </c>
      <c r="K473">
        <f t="shared" si="43"/>
        <v>-3</v>
      </c>
      <c r="L473" t="str">
        <f>IF(RAW_GAMES!L473="","",RAW_GAMES!L473)</f>
        <v/>
      </c>
      <c r="M473" t="str">
        <f>IF(RAW_GAMES!M473="","",RAW_GAMES!M473)</f>
        <v/>
      </c>
      <c r="N473" t="str">
        <f t="shared" si="44"/>
        <v/>
      </c>
      <c r="O473" s="7">
        <f>RAW_GAMES!O473</f>
        <v>6</v>
      </c>
      <c r="P473">
        <f>RAW_GAMES!N473</f>
        <v>1</v>
      </c>
      <c r="Q473">
        <f t="shared" si="45"/>
        <v>0.16666666666666666</v>
      </c>
      <c r="R473" s="7">
        <f>RAW_GAMES!Q473</f>
        <v>8</v>
      </c>
      <c r="S473">
        <f>RAW_GAMES!P473</f>
        <v>2</v>
      </c>
      <c r="T473">
        <f t="shared" si="46"/>
        <v>0.75</v>
      </c>
      <c r="U473">
        <f>_xlfn.XLOOKUP(C473,
  CALC_TEAMS_SEASON!B:B,
  CALC_TEAMS_SEASON!F:F)</f>
        <v>0.10089285714285713</v>
      </c>
      <c r="V473">
        <f>_xlfn.XLOOKUP(D473,
  CALC_TEAMS_SEASON!B:B,
  CALC_TEAMS_SEASON!F:F)</f>
        <v>0.14184981684981687</v>
      </c>
      <c r="W473" t="str">
        <f>RAW_GAMES!R473</f>
        <v>Tomek</v>
      </c>
      <c r="X473" s="7">
        <f>RAW_GAMES!S473</f>
        <v>24</v>
      </c>
      <c r="Y473">
        <f t="shared" si="47"/>
        <v>1</v>
      </c>
      <c r="Z473" t="str">
        <f>RAW_GAMES!V473</f>
        <v>RS</v>
      </c>
    </row>
    <row r="474" spans="1:26" x14ac:dyDescent="0.25">
      <c r="A474" t="str">
        <f>RAW_GAMES!A474</f>
        <v>25/26</v>
      </c>
      <c r="B474" s="3">
        <f>RAW_GAMES!B474</f>
        <v>46017</v>
      </c>
      <c r="C474" s="3" t="str">
        <f>RAW_GAMES!E474</f>
        <v>MHK</v>
      </c>
      <c r="D474" s="3" t="str">
        <f>RAW_GAMES!F474</f>
        <v>LIT</v>
      </c>
      <c r="E474" s="7">
        <f>RAW_GAMES!G474</f>
        <v>1</v>
      </c>
      <c r="F474">
        <f>RAW_GAMES!H474</f>
        <v>2</v>
      </c>
      <c r="G474">
        <f>RAW_GAMES!I474</f>
        <v>3</v>
      </c>
      <c r="H474">
        <f t="shared" si="42"/>
        <v>-1</v>
      </c>
      <c r="I474">
        <f>RAW_GAMES!J474</f>
        <v>26</v>
      </c>
      <c r="J474">
        <f>RAW_GAMES!K474</f>
        <v>23</v>
      </c>
      <c r="K474">
        <f t="shared" si="43"/>
        <v>3</v>
      </c>
      <c r="L474" t="str">
        <f>IF(RAW_GAMES!L474="","",RAW_GAMES!L474)</f>
        <v/>
      </c>
      <c r="M474" t="str">
        <f>IF(RAW_GAMES!M474="","",RAW_GAMES!M474)</f>
        <v/>
      </c>
      <c r="N474" t="str">
        <f t="shared" si="44"/>
        <v/>
      </c>
      <c r="O474" s="7">
        <f>RAW_GAMES!O474</f>
        <v>8</v>
      </c>
      <c r="P474">
        <f>RAW_GAMES!N474</f>
        <v>2</v>
      </c>
      <c r="Q474">
        <f t="shared" si="45"/>
        <v>0.25</v>
      </c>
      <c r="R474" s="7">
        <f>RAW_GAMES!Q474</f>
        <v>6</v>
      </c>
      <c r="S474">
        <f>RAW_GAMES!P474</f>
        <v>1</v>
      </c>
      <c r="T474">
        <f t="shared" si="46"/>
        <v>0.83333333333333337</v>
      </c>
      <c r="U474">
        <f>_xlfn.XLOOKUP(C474,
  CALC_TEAMS_SEASON!B:B,
  CALC_TEAMS_SEASON!F:F)</f>
        <v>0.14184981684981687</v>
      </c>
      <c r="V474">
        <f>_xlfn.XLOOKUP(D474,
  CALC_TEAMS_SEASON!B:B,
  CALC_TEAMS_SEASON!F:F)</f>
        <v>0.10089285714285713</v>
      </c>
      <c r="W474" t="str">
        <f>RAW_GAMES!R474</f>
        <v>Škorvánek</v>
      </c>
      <c r="X474" s="7">
        <f>RAW_GAMES!S474</f>
        <v>20</v>
      </c>
      <c r="Y474">
        <f t="shared" si="47"/>
        <v>0</v>
      </c>
      <c r="Z474" t="str">
        <f>RAW_GAMES!V474</f>
        <v>RS</v>
      </c>
    </row>
    <row r="475" spans="1:26" x14ac:dyDescent="0.25">
      <c r="A475" t="str">
        <f>RAW_GAMES!A475</f>
        <v>25/26</v>
      </c>
      <c r="B475" s="3">
        <f>RAW_GAMES!B475</f>
        <v>46017</v>
      </c>
      <c r="C475" s="3" t="str">
        <f>RAW_GAMES!E475</f>
        <v>OLO</v>
      </c>
      <c r="D475" s="3" t="str">
        <f>RAW_GAMES!F475</f>
        <v>VIT</v>
      </c>
      <c r="E475" s="7">
        <f>RAW_GAMES!G475</f>
        <v>1</v>
      </c>
      <c r="F475">
        <f>RAW_GAMES!H475</f>
        <v>0</v>
      </c>
      <c r="G475">
        <f>RAW_GAMES!I475</f>
        <v>6</v>
      </c>
      <c r="H475">
        <f t="shared" si="42"/>
        <v>-6</v>
      </c>
      <c r="I475">
        <f>RAW_GAMES!J475</f>
        <v>25</v>
      </c>
      <c r="J475">
        <f>RAW_GAMES!K475</f>
        <v>33</v>
      </c>
      <c r="K475">
        <f t="shared" si="43"/>
        <v>-8</v>
      </c>
      <c r="L475" t="str">
        <f>IF(RAW_GAMES!L475="","",RAW_GAMES!L475)</f>
        <v/>
      </c>
      <c r="M475" t="str">
        <f>IF(RAW_GAMES!M475="","",RAW_GAMES!M475)</f>
        <v/>
      </c>
      <c r="N475" t="str">
        <f t="shared" si="44"/>
        <v/>
      </c>
      <c r="O475" s="7">
        <f>RAW_GAMES!O475</f>
        <v>1</v>
      </c>
      <c r="P475">
        <f>RAW_GAMES!N475</f>
        <v>0</v>
      </c>
      <c r="Q475">
        <f t="shared" si="45"/>
        <v>0</v>
      </c>
      <c r="R475" s="7">
        <f>RAW_GAMES!Q475</f>
        <v>3</v>
      </c>
      <c r="S475">
        <f>RAW_GAMES!P475</f>
        <v>1</v>
      </c>
      <c r="T475">
        <f t="shared" si="46"/>
        <v>0.66666666666666674</v>
      </c>
      <c r="U475">
        <f>_xlfn.XLOOKUP(C475,
  CALC_TEAMS_SEASON!B:B,
  CALC_TEAMS_SEASON!F:F)</f>
        <v>0.14989316239316242</v>
      </c>
      <c r="V475">
        <f>_xlfn.XLOOKUP(D475,
  CALC_TEAMS_SEASON!B:B,
  CALC_TEAMS_SEASON!F:F)</f>
        <v>0.16984890109890113</v>
      </c>
      <c r="W475" t="str">
        <f>RAW_GAMES!R475</f>
        <v>Machovský</v>
      </c>
      <c r="X475" s="7">
        <f>RAW_GAMES!S475</f>
        <v>27</v>
      </c>
      <c r="Y475">
        <f t="shared" si="47"/>
        <v>0</v>
      </c>
      <c r="Z475" t="str">
        <f>RAW_GAMES!V475</f>
        <v>RS</v>
      </c>
    </row>
    <row r="476" spans="1:26" x14ac:dyDescent="0.25">
      <c r="A476" t="str">
        <f>RAW_GAMES!A476</f>
        <v>25/26</v>
      </c>
      <c r="B476" s="3">
        <f>RAW_GAMES!B476</f>
        <v>46017</v>
      </c>
      <c r="C476" s="3" t="str">
        <f>RAW_GAMES!E476</f>
        <v>PLZ</v>
      </c>
      <c r="D476" s="3" t="str">
        <f>RAW_GAMES!F476</f>
        <v>KLA</v>
      </c>
      <c r="E476" s="7">
        <f>RAW_GAMES!G476</f>
        <v>1</v>
      </c>
      <c r="F476">
        <f>RAW_GAMES!H476</f>
        <v>3</v>
      </c>
      <c r="G476">
        <f>RAW_GAMES!I476</f>
        <v>0</v>
      </c>
      <c r="H476">
        <f t="shared" si="42"/>
        <v>3</v>
      </c>
      <c r="I476">
        <f>RAW_GAMES!J476</f>
        <v>29</v>
      </c>
      <c r="J476">
        <f>RAW_GAMES!K476</f>
        <v>21</v>
      </c>
      <c r="K476">
        <f t="shared" si="43"/>
        <v>8</v>
      </c>
      <c r="L476" t="str">
        <f>IF(RAW_GAMES!L476="","",RAW_GAMES!L476)</f>
        <v/>
      </c>
      <c r="M476" t="str">
        <f>IF(RAW_GAMES!M476="","",RAW_GAMES!M476)</f>
        <v/>
      </c>
      <c r="N476" t="str">
        <f t="shared" si="44"/>
        <v/>
      </c>
      <c r="O476" s="7">
        <f>RAW_GAMES!O476</f>
        <v>4</v>
      </c>
      <c r="P476">
        <f>RAW_GAMES!N476</f>
        <v>0</v>
      </c>
      <c r="Q476">
        <f t="shared" si="45"/>
        <v>0</v>
      </c>
      <c r="R476" s="7">
        <f>RAW_GAMES!Q476</f>
        <v>3</v>
      </c>
      <c r="S476">
        <f>RAW_GAMES!P476</f>
        <v>0</v>
      </c>
      <c r="T476">
        <f t="shared" si="46"/>
        <v>1</v>
      </c>
      <c r="U476">
        <f>_xlfn.XLOOKUP(C476,
  CALC_TEAMS_SEASON!B:B,
  CALC_TEAMS_SEASON!F:F)</f>
        <v>0.17641178266178262</v>
      </c>
      <c r="V476">
        <f>_xlfn.XLOOKUP(D476,
  CALC_TEAMS_SEASON!B:B,
  CALC_TEAMS_SEASON!F:F)</f>
        <v>0.13120421245421243</v>
      </c>
      <c r="W476" t="str">
        <f>RAW_GAMES!R476</f>
        <v>Malík</v>
      </c>
      <c r="X476" s="7">
        <f>RAW_GAMES!S476</f>
        <v>21</v>
      </c>
      <c r="Y476">
        <f t="shared" si="47"/>
        <v>1</v>
      </c>
      <c r="Z476" t="str">
        <f>RAW_GAMES!V476</f>
        <v>RS</v>
      </c>
    </row>
    <row r="477" spans="1:26" x14ac:dyDescent="0.25">
      <c r="A477" t="str">
        <f>RAW_GAMES!A477</f>
        <v>25/26</v>
      </c>
      <c r="B477" s="3">
        <f>RAW_GAMES!B477</f>
        <v>46017</v>
      </c>
      <c r="C477" s="3" t="str">
        <f>RAW_GAMES!E477</f>
        <v>VIT</v>
      </c>
      <c r="D477" s="3" t="str">
        <f>RAW_GAMES!F477</f>
        <v>OLO</v>
      </c>
      <c r="E477" s="7">
        <f>RAW_GAMES!G477</f>
        <v>0</v>
      </c>
      <c r="F477">
        <f>RAW_GAMES!H477</f>
        <v>6</v>
      </c>
      <c r="G477">
        <f>RAW_GAMES!I477</f>
        <v>0</v>
      </c>
      <c r="H477">
        <f t="shared" si="42"/>
        <v>6</v>
      </c>
      <c r="I477">
        <f>RAW_GAMES!J477</f>
        <v>33</v>
      </c>
      <c r="J477">
        <f>RAW_GAMES!K477</f>
        <v>25</v>
      </c>
      <c r="K477">
        <f t="shared" si="43"/>
        <v>8</v>
      </c>
      <c r="L477" t="str">
        <f>IF(RAW_GAMES!L477="","",RAW_GAMES!L477)</f>
        <v/>
      </c>
      <c r="M477" t="str">
        <f>IF(RAW_GAMES!M477="","",RAW_GAMES!M477)</f>
        <v/>
      </c>
      <c r="N477" t="str">
        <f t="shared" si="44"/>
        <v/>
      </c>
      <c r="O477" s="7">
        <f>RAW_GAMES!O477</f>
        <v>3</v>
      </c>
      <c r="P477">
        <f>RAW_GAMES!N477</f>
        <v>1</v>
      </c>
      <c r="Q477">
        <f t="shared" si="45"/>
        <v>0.33333333333333331</v>
      </c>
      <c r="R477" s="7">
        <f>RAW_GAMES!Q477</f>
        <v>1</v>
      </c>
      <c r="S477">
        <f>RAW_GAMES!P477</f>
        <v>0</v>
      </c>
      <c r="T477">
        <f t="shared" si="46"/>
        <v>1</v>
      </c>
      <c r="U477">
        <f>_xlfn.XLOOKUP(C477,
  CALC_TEAMS_SEASON!B:B,
  CALC_TEAMS_SEASON!F:F)</f>
        <v>0.16984890109890113</v>
      </c>
      <c r="V477">
        <f>_xlfn.XLOOKUP(D477,
  CALC_TEAMS_SEASON!B:B,
  CALC_TEAMS_SEASON!F:F)</f>
        <v>0.14989316239316242</v>
      </c>
      <c r="W477" t="str">
        <f>RAW_GAMES!R477</f>
        <v>Hrachovina</v>
      </c>
      <c r="X477" s="7">
        <f>RAW_GAMES!S477</f>
        <v>25</v>
      </c>
      <c r="Y477">
        <f t="shared" si="47"/>
        <v>1</v>
      </c>
      <c r="Z477" t="str">
        <f>RAW_GAMES!V477</f>
        <v>RS</v>
      </c>
    </row>
    <row r="478" spans="1:26" x14ac:dyDescent="0.25">
      <c r="A478" t="str">
        <f>RAW_GAMES!A478</f>
        <v>25/26</v>
      </c>
      <c r="B478" s="3">
        <f>RAW_GAMES!B478</f>
        <v>46019</v>
      </c>
      <c r="C478" s="3" t="str">
        <f>RAW_GAMES!E478</f>
        <v>PCE</v>
      </c>
      <c r="D478" s="3" t="str">
        <f>RAW_GAMES!F478</f>
        <v>KOM</v>
      </c>
      <c r="E478" s="7">
        <f>RAW_GAMES!G478</f>
        <v>0</v>
      </c>
      <c r="F478">
        <f>RAW_GAMES!H478</f>
        <v>4</v>
      </c>
      <c r="G478">
        <f>RAW_GAMES!I478</f>
        <v>1</v>
      </c>
      <c r="H478">
        <f t="shared" si="42"/>
        <v>3</v>
      </c>
      <c r="I478">
        <f>RAW_GAMES!J478</f>
        <v>27</v>
      </c>
      <c r="J478">
        <f>RAW_GAMES!K478</f>
        <v>32</v>
      </c>
      <c r="K478">
        <f t="shared" si="43"/>
        <v>-5</v>
      </c>
      <c r="L478">
        <f>IF(RAW_GAMES!L478="","",RAW_GAMES!L478)</f>
        <v>3.32</v>
      </c>
      <c r="M478">
        <f>IF(RAW_GAMES!M478="","",RAW_GAMES!M478)</f>
        <v>1.93</v>
      </c>
      <c r="N478">
        <f t="shared" si="44"/>
        <v>1.39</v>
      </c>
      <c r="O478" s="7">
        <f>RAW_GAMES!O478</f>
        <v>4</v>
      </c>
      <c r="P478">
        <f>RAW_GAMES!N478</f>
        <v>1</v>
      </c>
      <c r="Q478">
        <f t="shared" si="45"/>
        <v>0.25</v>
      </c>
      <c r="R478" s="7">
        <f>RAW_GAMES!Q478</f>
        <v>5</v>
      </c>
      <c r="S478">
        <f>RAW_GAMES!P478</f>
        <v>0</v>
      </c>
      <c r="T478">
        <f t="shared" si="46"/>
        <v>1</v>
      </c>
      <c r="U478">
        <f>_xlfn.XLOOKUP(C478,
  CALC_TEAMS_SEASON!B:B,
  CALC_TEAMS_SEASON!F:F)</f>
        <v>0.20297619047619053</v>
      </c>
      <c r="V478">
        <f>_xlfn.XLOOKUP(D478,
  CALC_TEAMS_SEASON!B:B,
  CALC_TEAMS_SEASON!F:F)</f>
        <v>0.14358974358974358</v>
      </c>
      <c r="W478" t="str">
        <f>RAW_GAMES!R478</f>
        <v>Will</v>
      </c>
      <c r="X478" s="7">
        <f>RAW_GAMES!S478</f>
        <v>31</v>
      </c>
      <c r="Y478">
        <f t="shared" si="47"/>
        <v>1</v>
      </c>
      <c r="Z478" t="str">
        <f>RAW_GAMES!V478</f>
        <v>RS</v>
      </c>
    </row>
    <row r="479" spans="1:26" x14ac:dyDescent="0.25">
      <c r="A479" t="str">
        <f>RAW_GAMES!A479</f>
        <v>25/26</v>
      </c>
      <c r="B479" s="3">
        <f>RAW_GAMES!B479</f>
        <v>46019</v>
      </c>
      <c r="C479" s="3" t="str">
        <f>RAW_GAMES!E479</f>
        <v>TRI</v>
      </c>
      <c r="D479" s="3" t="str">
        <f>RAW_GAMES!F479</f>
        <v>KLA</v>
      </c>
      <c r="E479" s="7">
        <f>RAW_GAMES!G479</f>
        <v>1</v>
      </c>
      <c r="F479">
        <f>RAW_GAMES!H479</f>
        <v>3</v>
      </c>
      <c r="G479">
        <f>RAW_GAMES!I479</f>
        <v>1</v>
      </c>
      <c r="H479">
        <f t="shared" si="42"/>
        <v>2</v>
      </c>
      <c r="I479">
        <f>RAW_GAMES!J479</f>
        <v>37</v>
      </c>
      <c r="J479">
        <f>RAW_GAMES!K479</f>
        <v>29</v>
      </c>
      <c r="K479">
        <f t="shared" si="43"/>
        <v>8</v>
      </c>
      <c r="L479">
        <f>IF(RAW_GAMES!L479="","",RAW_GAMES!L479)</f>
        <v>5.18</v>
      </c>
      <c r="M479">
        <f>IF(RAW_GAMES!M479="","",RAW_GAMES!M479)</f>
        <v>2.82</v>
      </c>
      <c r="N479">
        <f t="shared" si="44"/>
        <v>2.36</v>
      </c>
      <c r="O479" s="7">
        <f>RAW_GAMES!O479</f>
        <v>7</v>
      </c>
      <c r="P479">
        <f>RAW_GAMES!N479</f>
        <v>1</v>
      </c>
      <c r="Q479">
        <f t="shared" si="45"/>
        <v>0.14285714285714285</v>
      </c>
      <c r="R479" s="7">
        <f>RAW_GAMES!Q479</f>
        <v>3</v>
      </c>
      <c r="S479">
        <f>RAW_GAMES!P479</f>
        <v>1</v>
      </c>
      <c r="T479">
        <f t="shared" si="46"/>
        <v>0.66666666666666674</v>
      </c>
      <c r="U479">
        <f>_xlfn.XLOOKUP(C479,
  CALC_TEAMS_SEASON!B:B,
  CALC_TEAMS_SEASON!F:F)</f>
        <v>0.17437423687423692</v>
      </c>
      <c r="V479">
        <f>_xlfn.XLOOKUP(D479,
  CALC_TEAMS_SEASON!B:B,
  CALC_TEAMS_SEASON!F:F)</f>
        <v>0.13120421245421243</v>
      </c>
      <c r="W479" t="str">
        <f>RAW_GAMES!R479</f>
        <v>Mazanec</v>
      </c>
      <c r="X479" s="7">
        <f>RAW_GAMES!S479</f>
        <v>28</v>
      </c>
      <c r="Y479">
        <f t="shared" si="47"/>
        <v>1</v>
      </c>
      <c r="Z479" t="str">
        <f>RAW_GAMES!V479</f>
        <v>RS</v>
      </c>
    </row>
    <row r="480" spans="1:26" x14ac:dyDescent="0.25">
      <c r="A480" t="str">
        <f>RAW_GAMES!A480</f>
        <v>25/26</v>
      </c>
      <c r="B480" s="3">
        <f>RAW_GAMES!B480</f>
        <v>46019</v>
      </c>
      <c r="C480" s="3" t="str">
        <f>RAW_GAMES!E480</f>
        <v>KOM</v>
      </c>
      <c r="D480" s="3" t="str">
        <f>RAW_GAMES!F480</f>
        <v>PCE</v>
      </c>
      <c r="E480" s="7">
        <f>RAW_GAMES!G480</f>
        <v>1</v>
      </c>
      <c r="F480">
        <f>RAW_GAMES!H480</f>
        <v>1</v>
      </c>
      <c r="G480">
        <f>RAW_GAMES!I480</f>
        <v>4</v>
      </c>
      <c r="H480">
        <f t="shared" si="42"/>
        <v>-3</v>
      </c>
      <c r="I480">
        <f>RAW_GAMES!J480</f>
        <v>32</v>
      </c>
      <c r="J480">
        <f>RAW_GAMES!K480</f>
        <v>27</v>
      </c>
      <c r="K480">
        <f t="shared" si="43"/>
        <v>5</v>
      </c>
      <c r="L480">
        <f>IF(RAW_GAMES!L480="","",RAW_GAMES!L480)</f>
        <v>1.93</v>
      </c>
      <c r="M480">
        <f>IF(RAW_GAMES!M480="","",RAW_GAMES!M480)</f>
        <v>3.32</v>
      </c>
      <c r="N480">
        <f t="shared" si="44"/>
        <v>-1.39</v>
      </c>
      <c r="O480" s="7">
        <f>RAW_GAMES!O480</f>
        <v>5</v>
      </c>
      <c r="P480">
        <f>RAW_GAMES!N480</f>
        <v>0</v>
      </c>
      <c r="Q480">
        <f t="shared" si="45"/>
        <v>0</v>
      </c>
      <c r="R480" s="7">
        <f>RAW_GAMES!Q480</f>
        <v>4</v>
      </c>
      <c r="S480">
        <f>RAW_GAMES!P480</f>
        <v>1</v>
      </c>
      <c r="T480">
        <f t="shared" si="46"/>
        <v>0.75</v>
      </c>
      <c r="U480">
        <f>_xlfn.XLOOKUP(C480,
  CALC_TEAMS_SEASON!B:B,
  CALC_TEAMS_SEASON!F:F)</f>
        <v>0.14358974358974358</v>
      </c>
      <c r="V480">
        <f>_xlfn.XLOOKUP(D480,
  CALC_TEAMS_SEASON!B:B,
  CALC_TEAMS_SEASON!F:F)</f>
        <v>0.20297619047619053</v>
      </c>
      <c r="W480" t="str">
        <f>RAW_GAMES!R480</f>
        <v>Stezka</v>
      </c>
      <c r="X480" s="7">
        <f>RAW_GAMES!S480</f>
        <v>23</v>
      </c>
      <c r="Y480">
        <f t="shared" si="47"/>
        <v>0</v>
      </c>
      <c r="Z480" t="str">
        <f>RAW_GAMES!V480</f>
        <v>RS</v>
      </c>
    </row>
    <row r="481" spans="1:26" x14ac:dyDescent="0.25">
      <c r="A481" t="str">
        <f>RAW_GAMES!A481</f>
        <v>25/26</v>
      </c>
      <c r="B481" s="3">
        <f>RAW_GAMES!B481</f>
        <v>46019</v>
      </c>
      <c r="C481" s="3" t="str">
        <f>RAW_GAMES!E481</f>
        <v>CEB</v>
      </c>
      <c r="D481" s="3" t="str">
        <f>RAW_GAMES!F481</f>
        <v>LIT</v>
      </c>
      <c r="E481" s="7">
        <f>RAW_GAMES!G481</f>
        <v>0</v>
      </c>
      <c r="F481">
        <f>RAW_GAMES!H481</f>
        <v>1</v>
      </c>
      <c r="G481">
        <f>RAW_GAMES!I481</f>
        <v>4</v>
      </c>
      <c r="H481">
        <f t="shared" si="42"/>
        <v>-3</v>
      </c>
      <c r="I481">
        <f>RAW_GAMES!J481</f>
        <v>34</v>
      </c>
      <c r="J481">
        <f>RAW_GAMES!K481</f>
        <v>29</v>
      </c>
      <c r="K481">
        <f t="shared" si="43"/>
        <v>5</v>
      </c>
      <c r="L481" t="str">
        <f>IF(RAW_GAMES!L481="","",RAW_GAMES!L481)</f>
        <v/>
      </c>
      <c r="M481" t="str">
        <f>IF(RAW_GAMES!M481="","",RAW_GAMES!M481)</f>
        <v/>
      </c>
      <c r="N481" t="str">
        <f t="shared" si="44"/>
        <v/>
      </c>
      <c r="O481" s="7">
        <f>RAW_GAMES!O481</f>
        <v>5</v>
      </c>
      <c r="P481">
        <f>RAW_GAMES!N481</f>
        <v>0</v>
      </c>
      <c r="Q481">
        <f t="shared" si="45"/>
        <v>0</v>
      </c>
      <c r="R481" s="7">
        <f>RAW_GAMES!Q481</f>
        <v>7</v>
      </c>
      <c r="S481">
        <f>RAW_GAMES!P481</f>
        <v>1</v>
      </c>
      <c r="T481">
        <f t="shared" si="46"/>
        <v>0.85714285714285721</v>
      </c>
      <c r="U481">
        <f>_xlfn.XLOOKUP(C481,
  CALC_TEAMS_SEASON!B:B,
  CALC_TEAMS_SEASON!F:F)</f>
        <v>0.13021353646353648</v>
      </c>
      <c r="V481">
        <f>_xlfn.XLOOKUP(D481,
  CALC_TEAMS_SEASON!B:B,
  CALC_TEAMS_SEASON!F:F)</f>
        <v>0.10089285714285713</v>
      </c>
      <c r="W481" t="str">
        <f>RAW_GAMES!R481</f>
        <v>Strmeň</v>
      </c>
      <c r="X481" s="7">
        <f>RAW_GAMES!S481</f>
        <v>25</v>
      </c>
      <c r="Y481">
        <f t="shared" si="47"/>
        <v>0</v>
      </c>
      <c r="Z481" t="str">
        <f>RAW_GAMES!V481</f>
        <v>RS</v>
      </c>
    </row>
    <row r="482" spans="1:26" x14ac:dyDescent="0.25">
      <c r="A482" t="str">
        <f>RAW_GAMES!A482</f>
        <v>25/26</v>
      </c>
      <c r="B482" s="3">
        <f>RAW_GAMES!B482</f>
        <v>46019</v>
      </c>
      <c r="C482" s="3" t="str">
        <f>RAW_GAMES!E482</f>
        <v>KLA</v>
      </c>
      <c r="D482" s="3" t="str">
        <f>RAW_GAMES!F482</f>
        <v>TRI</v>
      </c>
      <c r="E482" s="7">
        <f>RAW_GAMES!G482</f>
        <v>0</v>
      </c>
      <c r="F482">
        <f>RAW_GAMES!H482</f>
        <v>1</v>
      </c>
      <c r="G482">
        <f>RAW_GAMES!I482</f>
        <v>3</v>
      </c>
      <c r="H482">
        <f t="shared" si="42"/>
        <v>-2</v>
      </c>
      <c r="I482">
        <f>RAW_GAMES!J482</f>
        <v>29</v>
      </c>
      <c r="J482">
        <f>RAW_GAMES!K482</f>
        <v>37</v>
      </c>
      <c r="K482">
        <f t="shared" si="43"/>
        <v>-8</v>
      </c>
      <c r="L482">
        <f>IF(RAW_GAMES!L482="","",RAW_GAMES!L482)</f>
        <v>2.82</v>
      </c>
      <c r="M482">
        <f>IF(RAW_GAMES!M482="","",RAW_GAMES!M482)</f>
        <v>5.18</v>
      </c>
      <c r="N482">
        <f t="shared" si="44"/>
        <v>-2.36</v>
      </c>
      <c r="O482" s="7">
        <f>RAW_GAMES!O482</f>
        <v>3</v>
      </c>
      <c r="P482">
        <f>RAW_GAMES!N482</f>
        <v>1</v>
      </c>
      <c r="Q482">
        <f t="shared" si="45"/>
        <v>0.33333333333333331</v>
      </c>
      <c r="R482" s="7">
        <f>RAW_GAMES!Q482</f>
        <v>7</v>
      </c>
      <c r="S482">
        <f>RAW_GAMES!P482</f>
        <v>1</v>
      </c>
      <c r="T482">
        <f t="shared" si="46"/>
        <v>0.85714285714285721</v>
      </c>
      <c r="U482">
        <f>_xlfn.XLOOKUP(C482,
  CALC_TEAMS_SEASON!B:B,
  CALC_TEAMS_SEASON!F:F)</f>
        <v>0.13120421245421243</v>
      </c>
      <c r="V482">
        <f>_xlfn.XLOOKUP(D482,
  CALC_TEAMS_SEASON!B:B,
  CALC_TEAMS_SEASON!F:F)</f>
        <v>0.17437423687423692</v>
      </c>
      <c r="W482" t="str">
        <f>RAW_GAMES!R482</f>
        <v>Brízgala</v>
      </c>
      <c r="X482" s="7">
        <f>RAW_GAMES!S482</f>
        <v>34</v>
      </c>
      <c r="Y482">
        <f t="shared" si="47"/>
        <v>0</v>
      </c>
      <c r="Z482" t="str">
        <f>RAW_GAMES!V482</f>
        <v>RS</v>
      </c>
    </row>
    <row r="483" spans="1:26" x14ac:dyDescent="0.25">
      <c r="A483" t="str">
        <f>RAW_GAMES!A483</f>
        <v>25/26</v>
      </c>
      <c r="B483" s="3">
        <f>RAW_GAMES!B483</f>
        <v>46019</v>
      </c>
      <c r="C483" s="3" t="str">
        <f>RAW_GAMES!E483</f>
        <v>KVA</v>
      </c>
      <c r="D483" s="3" t="str">
        <f>RAW_GAMES!F483</f>
        <v>PLZ</v>
      </c>
      <c r="E483" s="7">
        <f>RAW_GAMES!G483</f>
        <v>1</v>
      </c>
      <c r="F483">
        <f>RAW_GAMES!H483</f>
        <v>1</v>
      </c>
      <c r="G483">
        <f>RAW_GAMES!I483</f>
        <v>2</v>
      </c>
      <c r="H483">
        <f t="shared" si="42"/>
        <v>-1</v>
      </c>
      <c r="I483">
        <f>RAW_GAMES!J483</f>
        <v>24</v>
      </c>
      <c r="J483">
        <f>RAW_GAMES!K483</f>
        <v>21</v>
      </c>
      <c r="K483">
        <f t="shared" si="43"/>
        <v>3</v>
      </c>
      <c r="L483" t="str">
        <f>IF(RAW_GAMES!L483="","",RAW_GAMES!L483)</f>
        <v/>
      </c>
      <c r="M483" t="str">
        <f>IF(RAW_GAMES!M483="","",RAW_GAMES!M483)</f>
        <v/>
      </c>
      <c r="N483" t="str">
        <f t="shared" si="44"/>
        <v/>
      </c>
      <c r="O483" s="7">
        <f>RAW_GAMES!O483</f>
        <v>6</v>
      </c>
      <c r="P483">
        <f>RAW_GAMES!N483</f>
        <v>0</v>
      </c>
      <c r="Q483">
        <f t="shared" si="45"/>
        <v>0</v>
      </c>
      <c r="R483" s="7">
        <f>RAW_GAMES!Q483</f>
        <v>3</v>
      </c>
      <c r="S483">
        <f>RAW_GAMES!P483</f>
        <v>0</v>
      </c>
      <c r="T483">
        <f t="shared" si="46"/>
        <v>1</v>
      </c>
      <c r="U483">
        <f>_xlfn.XLOOKUP(C483,
  CALC_TEAMS_SEASON!B:B,
  CALC_TEAMS_SEASON!F:F)</f>
        <v>0.17387057387057389</v>
      </c>
      <c r="V483">
        <f>_xlfn.XLOOKUP(D483,
  CALC_TEAMS_SEASON!B:B,
  CALC_TEAMS_SEASON!F:F)</f>
        <v>0.17641178266178262</v>
      </c>
      <c r="W483" t="str">
        <f>RAW_GAMES!R483</f>
        <v>Frodl</v>
      </c>
      <c r="X483" s="7">
        <f>RAW_GAMES!S483</f>
        <v>19</v>
      </c>
      <c r="Y483">
        <f t="shared" si="47"/>
        <v>0</v>
      </c>
      <c r="Z483" t="str">
        <f>RAW_GAMES!V483</f>
        <v>RS</v>
      </c>
    </row>
    <row r="484" spans="1:26" x14ac:dyDescent="0.25">
      <c r="A484" t="str">
        <f>RAW_GAMES!A484</f>
        <v>25/26</v>
      </c>
      <c r="B484" s="3">
        <f>RAW_GAMES!B484</f>
        <v>46019</v>
      </c>
      <c r="C484" s="3" t="str">
        <f>RAW_GAMES!E484</f>
        <v>LIT</v>
      </c>
      <c r="D484" s="3" t="str">
        <f>RAW_GAMES!F484</f>
        <v>CEB</v>
      </c>
      <c r="E484" s="7">
        <f>RAW_GAMES!G484</f>
        <v>1</v>
      </c>
      <c r="F484">
        <f>RAW_GAMES!H484</f>
        <v>4</v>
      </c>
      <c r="G484">
        <f>RAW_GAMES!I484</f>
        <v>1</v>
      </c>
      <c r="H484">
        <f t="shared" si="42"/>
        <v>3</v>
      </c>
      <c r="I484">
        <f>RAW_GAMES!J484</f>
        <v>29</v>
      </c>
      <c r="J484">
        <f>RAW_GAMES!K484</f>
        <v>34</v>
      </c>
      <c r="K484">
        <f t="shared" si="43"/>
        <v>-5</v>
      </c>
      <c r="L484" t="str">
        <f>IF(RAW_GAMES!L484="","",RAW_GAMES!L484)</f>
        <v/>
      </c>
      <c r="M484" t="str">
        <f>IF(RAW_GAMES!M484="","",RAW_GAMES!M484)</f>
        <v/>
      </c>
      <c r="N484" t="str">
        <f t="shared" si="44"/>
        <v/>
      </c>
      <c r="O484" s="7">
        <f>RAW_GAMES!O484</f>
        <v>7</v>
      </c>
      <c r="P484">
        <f>RAW_GAMES!N484</f>
        <v>1</v>
      </c>
      <c r="Q484">
        <f t="shared" si="45"/>
        <v>0.14285714285714285</v>
      </c>
      <c r="R484" s="7">
        <f>RAW_GAMES!Q484</f>
        <v>5</v>
      </c>
      <c r="S484">
        <f>RAW_GAMES!P484</f>
        <v>0</v>
      </c>
      <c r="T484">
        <f t="shared" si="46"/>
        <v>1</v>
      </c>
      <c r="U484">
        <f>_xlfn.XLOOKUP(C484,
  CALC_TEAMS_SEASON!B:B,
  CALC_TEAMS_SEASON!F:F)</f>
        <v>0.10089285714285713</v>
      </c>
      <c r="V484">
        <f>_xlfn.XLOOKUP(D484,
  CALC_TEAMS_SEASON!B:B,
  CALC_TEAMS_SEASON!F:F)</f>
        <v>0.13021353646353648</v>
      </c>
      <c r="W484" t="str">
        <f>RAW_GAMES!R484</f>
        <v>Tomek</v>
      </c>
      <c r="X484" s="7">
        <f>RAW_GAMES!S484</f>
        <v>33</v>
      </c>
      <c r="Y484">
        <f t="shared" si="47"/>
        <v>1</v>
      </c>
      <c r="Z484" t="str">
        <f>RAW_GAMES!V484</f>
        <v>RS</v>
      </c>
    </row>
    <row r="485" spans="1:26" x14ac:dyDescent="0.25">
      <c r="A485" t="str">
        <f>RAW_GAMES!A485</f>
        <v>25/26</v>
      </c>
      <c r="B485" s="3">
        <f>RAW_GAMES!B485</f>
        <v>46019</v>
      </c>
      <c r="C485" s="3" t="str">
        <f>RAW_GAMES!E485</f>
        <v>MBL</v>
      </c>
      <c r="D485" s="3" t="str">
        <f>RAW_GAMES!F485</f>
        <v>OLO</v>
      </c>
      <c r="E485" s="7">
        <f>RAW_GAMES!G485</f>
        <v>0</v>
      </c>
      <c r="F485">
        <f>RAW_GAMES!H485</f>
        <v>5</v>
      </c>
      <c r="G485">
        <f>RAW_GAMES!I485</f>
        <v>2</v>
      </c>
      <c r="H485">
        <f t="shared" si="42"/>
        <v>3</v>
      </c>
      <c r="I485">
        <f>RAW_GAMES!J485</f>
        <v>29</v>
      </c>
      <c r="J485">
        <f>RAW_GAMES!K485</f>
        <v>28</v>
      </c>
      <c r="K485">
        <f t="shared" si="43"/>
        <v>1</v>
      </c>
      <c r="L485" t="str">
        <f>IF(RAW_GAMES!L485="","",RAW_GAMES!L485)</f>
        <v/>
      </c>
      <c r="M485" t="str">
        <f>IF(RAW_GAMES!M485="","",RAW_GAMES!M485)</f>
        <v/>
      </c>
      <c r="N485" t="str">
        <f t="shared" si="44"/>
        <v/>
      </c>
      <c r="O485" s="7">
        <f>RAW_GAMES!O485</f>
        <v>3</v>
      </c>
      <c r="P485">
        <f>RAW_GAMES!N485</f>
        <v>2</v>
      </c>
      <c r="Q485">
        <f t="shared" si="45"/>
        <v>0.66666666666666663</v>
      </c>
      <c r="R485" s="7">
        <f>RAW_GAMES!Q485</f>
        <v>3</v>
      </c>
      <c r="S485">
        <f>RAW_GAMES!P485</f>
        <v>1</v>
      </c>
      <c r="T485">
        <f t="shared" si="46"/>
        <v>0.66666666666666674</v>
      </c>
      <c r="U485">
        <f>_xlfn.XLOOKUP(C485,
  CALC_TEAMS_SEASON!B:B,
  CALC_TEAMS_SEASON!F:F)</f>
        <v>0.11826923076923078</v>
      </c>
      <c r="V485">
        <f>_xlfn.XLOOKUP(D485,
  CALC_TEAMS_SEASON!B:B,
  CALC_TEAMS_SEASON!F:F)</f>
        <v>0.14989316239316242</v>
      </c>
      <c r="W485" t="str">
        <f>RAW_GAMES!R485</f>
        <v>Mokry</v>
      </c>
      <c r="X485" s="7">
        <f>RAW_GAMES!S485</f>
        <v>26</v>
      </c>
      <c r="Y485">
        <f t="shared" si="47"/>
        <v>1</v>
      </c>
      <c r="Z485" t="str">
        <f>RAW_GAMES!V485</f>
        <v>RS</v>
      </c>
    </row>
    <row r="486" spans="1:26" x14ac:dyDescent="0.25">
      <c r="A486" t="str">
        <f>RAW_GAMES!A486</f>
        <v>25/26</v>
      </c>
      <c r="B486" s="3">
        <f>RAW_GAMES!B486</f>
        <v>46019</v>
      </c>
      <c r="C486" s="3" t="str">
        <f>RAW_GAMES!E486</f>
        <v>MHK</v>
      </c>
      <c r="D486" s="3" t="str">
        <f>RAW_GAMES!F486</f>
        <v>VIT</v>
      </c>
      <c r="E486" s="7">
        <f>RAW_GAMES!G486</f>
        <v>0</v>
      </c>
      <c r="F486">
        <f>RAW_GAMES!H486</f>
        <v>5</v>
      </c>
      <c r="G486">
        <f>RAW_GAMES!I486</f>
        <v>3</v>
      </c>
      <c r="H486">
        <f t="shared" si="42"/>
        <v>2</v>
      </c>
      <c r="I486">
        <f>RAW_GAMES!J486</f>
        <v>26</v>
      </c>
      <c r="J486">
        <f>RAW_GAMES!K486</f>
        <v>28</v>
      </c>
      <c r="K486">
        <f t="shared" si="43"/>
        <v>-2</v>
      </c>
      <c r="L486" t="str">
        <f>IF(RAW_GAMES!L486="","",RAW_GAMES!L486)</f>
        <v/>
      </c>
      <c r="M486" t="str">
        <f>IF(RAW_GAMES!M486="","",RAW_GAMES!M486)</f>
        <v/>
      </c>
      <c r="N486" t="str">
        <f t="shared" si="44"/>
        <v/>
      </c>
      <c r="O486" s="7">
        <f>RAW_GAMES!O486</f>
        <v>2</v>
      </c>
      <c r="P486">
        <f>RAW_GAMES!N486</f>
        <v>0</v>
      </c>
      <c r="Q486">
        <f t="shared" si="45"/>
        <v>0</v>
      </c>
      <c r="R486" s="7">
        <f>RAW_GAMES!Q486</f>
        <v>7</v>
      </c>
      <c r="S486">
        <f>RAW_GAMES!P486</f>
        <v>1</v>
      </c>
      <c r="T486">
        <f t="shared" si="46"/>
        <v>0.85714285714285721</v>
      </c>
      <c r="U486">
        <f>_xlfn.XLOOKUP(C486,
  CALC_TEAMS_SEASON!B:B,
  CALC_TEAMS_SEASON!F:F)</f>
        <v>0.14184981684981687</v>
      </c>
      <c r="V486">
        <f>_xlfn.XLOOKUP(D486,
  CALC_TEAMS_SEASON!B:B,
  CALC_TEAMS_SEASON!F:F)</f>
        <v>0.16984890109890113</v>
      </c>
      <c r="W486" t="str">
        <f>RAW_GAMES!R486</f>
        <v>Škorvánek</v>
      </c>
      <c r="X486" s="7">
        <f>RAW_GAMES!S486</f>
        <v>26</v>
      </c>
      <c r="Y486">
        <f t="shared" si="47"/>
        <v>1</v>
      </c>
      <c r="Z486" t="str">
        <f>RAW_GAMES!V486</f>
        <v>RS</v>
      </c>
    </row>
    <row r="487" spans="1:26" x14ac:dyDescent="0.25">
      <c r="A487" t="str">
        <f>RAW_GAMES!A487</f>
        <v>25/26</v>
      </c>
      <c r="B487" s="3">
        <f>RAW_GAMES!B487</f>
        <v>46019</v>
      </c>
      <c r="C487" s="3" t="str">
        <f>RAW_GAMES!E487</f>
        <v>OLO</v>
      </c>
      <c r="D487" s="3" t="str">
        <f>RAW_GAMES!F487</f>
        <v>MBL</v>
      </c>
      <c r="E487" s="7">
        <f>RAW_GAMES!G487</f>
        <v>1</v>
      </c>
      <c r="F487">
        <f>RAW_GAMES!H487</f>
        <v>2</v>
      </c>
      <c r="G487">
        <f>RAW_GAMES!I487</f>
        <v>5</v>
      </c>
      <c r="H487">
        <f t="shared" si="42"/>
        <v>-3</v>
      </c>
      <c r="I487">
        <f>RAW_GAMES!J487</f>
        <v>28</v>
      </c>
      <c r="J487">
        <f>RAW_GAMES!K487</f>
        <v>29</v>
      </c>
      <c r="K487">
        <f t="shared" si="43"/>
        <v>-1</v>
      </c>
      <c r="L487" t="str">
        <f>IF(RAW_GAMES!L487="","",RAW_GAMES!L487)</f>
        <v/>
      </c>
      <c r="M487" t="str">
        <f>IF(RAW_GAMES!M487="","",RAW_GAMES!M487)</f>
        <v/>
      </c>
      <c r="N487" t="str">
        <f t="shared" si="44"/>
        <v/>
      </c>
      <c r="O487" s="7">
        <f>RAW_GAMES!O487</f>
        <v>3</v>
      </c>
      <c r="P487">
        <f>RAW_GAMES!N487</f>
        <v>1</v>
      </c>
      <c r="Q487">
        <f t="shared" si="45"/>
        <v>0.33333333333333331</v>
      </c>
      <c r="R487" s="7">
        <f>RAW_GAMES!Q487</f>
        <v>3</v>
      </c>
      <c r="S487">
        <f>RAW_GAMES!P487</f>
        <v>2</v>
      </c>
      <c r="T487">
        <f t="shared" si="46"/>
        <v>0.33333333333333337</v>
      </c>
      <c r="U487">
        <f>_xlfn.XLOOKUP(C487,
  CALC_TEAMS_SEASON!B:B,
  CALC_TEAMS_SEASON!F:F)</f>
        <v>0.14989316239316242</v>
      </c>
      <c r="V487">
        <f>_xlfn.XLOOKUP(D487,
  CALC_TEAMS_SEASON!B:B,
  CALC_TEAMS_SEASON!F:F)</f>
        <v>0.11826923076923078</v>
      </c>
      <c r="W487" t="str">
        <f>RAW_GAMES!R487</f>
        <v>Machovský</v>
      </c>
      <c r="X487" s="7">
        <f>RAW_GAMES!S487</f>
        <v>24</v>
      </c>
      <c r="Y487">
        <f t="shared" si="47"/>
        <v>0</v>
      </c>
      <c r="Z487" t="str">
        <f>RAW_GAMES!V487</f>
        <v>RS</v>
      </c>
    </row>
    <row r="488" spans="1:26" x14ac:dyDescent="0.25">
      <c r="A488" t="str">
        <f>RAW_GAMES!A488</f>
        <v>25/26</v>
      </c>
      <c r="B488" s="3">
        <f>RAW_GAMES!B488</f>
        <v>46019</v>
      </c>
      <c r="C488" s="3" t="str">
        <f>RAW_GAMES!E488</f>
        <v>PLZ</v>
      </c>
      <c r="D488" s="3" t="str">
        <f>RAW_GAMES!F488</f>
        <v>KVA</v>
      </c>
      <c r="E488" s="7">
        <f>RAW_GAMES!G488</f>
        <v>0</v>
      </c>
      <c r="F488">
        <f>RAW_GAMES!H488</f>
        <v>2</v>
      </c>
      <c r="G488">
        <f>RAW_GAMES!I488</f>
        <v>1</v>
      </c>
      <c r="H488">
        <f t="shared" si="42"/>
        <v>1</v>
      </c>
      <c r="I488">
        <f>RAW_GAMES!J488</f>
        <v>21</v>
      </c>
      <c r="J488">
        <f>RAW_GAMES!K488</f>
        <v>24</v>
      </c>
      <c r="K488">
        <f t="shared" si="43"/>
        <v>-3</v>
      </c>
      <c r="L488" t="str">
        <f>IF(RAW_GAMES!L488="","",RAW_GAMES!L488)</f>
        <v/>
      </c>
      <c r="M488" t="str">
        <f>IF(RAW_GAMES!M488="","",RAW_GAMES!M488)</f>
        <v/>
      </c>
      <c r="N488" t="str">
        <f t="shared" si="44"/>
        <v/>
      </c>
      <c r="O488" s="7">
        <f>RAW_GAMES!O488</f>
        <v>3</v>
      </c>
      <c r="P488">
        <f>RAW_GAMES!N488</f>
        <v>0</v>
      </c>
      <c r="Q488">
        <f t="shared" si="45"/>
        <v>0</v>
      </c>
      <c r="R488" s="7">
        <f>RAW_GAMES!Q488</f>
        <v>6</v>
      </c>
      <c r="S488">
        <f>RAW_GAMES!P488</f>
        <v>0</v>
      </c>
      <c r="T488">
        <f t="shared" si="46"/>
        <v>1</v>
      </c>
      <c r="U488">
        <f>_xlfn.XLOOKUP(C488,
  CALC_TEAMS_SEASON!B:B,
  CALC_TEAMS_SEASON!F:F)</f>
        <v>0.17641178266178262</v>
      </c>
      <c r="V488">
        <f>_xlfn.XLOOKUP(D488,
  CALC_TEAMS_SEASON!B:B,
  CALC_TEAMS_SEASON!F:F)</f>
        <v>0.17387057387057389</v>
      </c>
      <c r="W488" t="str">
        <f>RAW_GAMES!R488</f>
        <v>Malík</v>
      </c>
      <c r="X488" s="7">
        <f>RAW_GAMES!S488</f>
        <v>23</v>
      </c>
      <c r="Y488">
        <f t="shared" si="47"/>
        <v>1</v>
      </c>
      <c r="Z488" t="str">
        <f>RAW_GAMES!V488</f>
        <v>RS</v>
      </c>
    </row>
    <row r="489" spans="1:26" x14ac:dyDescent="0.25">
      <c r="A489" t="str">
        <f>RAW_GAMES!A489</f>
        <v>25/26</v>
      </c>
      <c r="B489" s="3">
        <f>RAW_GAMES!B489</f>
        <v>46019</v>
      </c>
      <c r="C489" s="3" t="str">
        <f>RAW_GAMES!E489</f>
        <v>VIT</v>
      </c>
      <c r="D489" s="3" t="str">
        <f>RAW_GAMES!F489</f>
        <v>MHK</v>
      </c>
      <c r="E489" s="7">
        <f>RAW_GAMES!G489</f>
        <v>1</v>
      </c>
      <c r="F489">
        <f>RAW_GAMES!H489</f>
        <v>3</v>
      </c>
      <c r="G489">
        <f>RAW_GAMES!I489</f>
        <v>5</v>
      </c>
      <c r="H489">
        <f t="shared" si="42"/>
        <v>-2</v>
      </c>
      <c r="I489">
        <f>RAW_GAMES!J489</f>
        <v>28</v>
      </c>
      <c r="J489">
        <f>RAW_GAMES!K489</f>
        <v>26</v>
      </c>
      <c r="K489">
        <f t="shared" si="43"/>
        <v>2</v>
      </c>
      <c r="L489" t="str">
        <f>IF(RAW_GAMES!L489="","",RAW_GAMES!L489)</f>
        <v/>
      </c>
      <c r="M489" t="str">
        <f>IF(RAW_GAMES!M489="","",RAW_GAMES!M489)</f>
        <v/>
      </c>
      <c r="N489" t="str">
        <f t="shared" si="44"/>
        <v/>
      </c>
      <c r="O489" s="7">
        <f>RAW_GAMES!O489</f>
        <v>7</v>
      </c>
      <c r="P489">
        <f>RAW_GAMES!N489</f>
        <v>1</v>
      </c>
      <c r="Q489">
        <f t="shared" si="45"/>
        <v>0.14285714285714285</v>
      </c>
      <c r="R489" s="7">
        <f>RAW_GAMES!Q489</f>
        <v>2</v>
      </c>
      <c r="S489">
        <f>RAW_GAMES!P489</f>
        <v>0</v>
      </c>
      <c r="T489">
        <f t="shared" si="46"/>
        <v>1</v>
      </c>
      <c r="U489">
        <f>_xlfn.XLOOKUP(C489,
  CALC_TEAMS_SEASON!B:B,
  CALC_TEAMS_SEASON!F:F)</f>
        <v>0.16984890109890113</v>
      </c>
      <c r="V489">
        <f>_xlfn.XLOOKUP(D489,
  CALC_TEAMS_SEASON!B:B,
  CALC_TEAMS_SEASON!F:F)</f>
        <v>0.14184981684981687</v>
      </c>
      <c r="W489" t="str">
        <f>RAW_GAMES!R489</f>
        <v>Hrachovina</v>
      </c>
      <c r="X489" s="7">
        <f>RAW_GAMES!S489</f>
        <v>21</v>
      </c>
      <c r="Y489">
        <f t="shared" si="47"/>
        <v>0</v>
      </c>
      <c r="Z489" t="str">
        <f>RAW_GAMES!V489</f>
        <v>RS</v>
      </c>
    </row>
    <row r="490" spans="1:26" x14ac:dyDescent="0.25">
      <c r="A490" t="str">
        <f>RAW_GAMES!A490</f>
        <v>25/26</v>
      </c>
      <c r="B490" s="3">
        <f>RAW_GAMES!B490</f>
        <v>46021</v>
      </c>
      <c r="C490" s="3" t="str">
        <f>RAW_GAMES!E490</f>
        <v>PCE</v>
      </c>
      <c r="D490" s="3" t="str">
        <f>RAW_GAMES!F490</f>
        <v>LIT</v>
      </c>
      <c r="E490" s="7">
        <f>RAW_GAMES!G490</f>
        <v>1</v>
      </c>
      <c r="F490">
        <f>RAW_GAMES!H490</f>
        <v>3</v>
      </c>
      <c r="G490">
        <f>RAW_GAMES!I490</f>
        <v>2</v>
      </c>
      <c r="H490">
        <f t="shared" si="42"/>
        <v>1</v>
      </c>
      <c r="I490">
        <f>RAW_GAMES!J490</f>
        <v>42</v>
      </c>
      <c r="J490">
        <f>RAW_GAMES!K490</f>
        <v>27</v>
      </c>
      <c r="K490">
        <f t="shared" si="43"/>
        <v>15</v>
      </c>
      <c r="L490">
        <f>IF(RAW_GAMES!L490="","",RAW_GAMES!L490)</f>
        <v>2.86</v>
      </c>
      <c r="M490">
        <f>IF(RAW_GAMES!M490="","",RAW_GAMES!M490)</f>
        <v>1.76</v>
      </c>
      <c r="N490">
        <f t="shared" si="44"/>
        <v>1.0999999999999999</v>
      </c>
      <c r="O490" s="7">
        <f>RAW_GAMES!O490</f>
        <v>5</v>
      </c>
      <c r="P490">
        <f>RAW_GAMES!N490</f>
        <v>2</v>
      </c>
      <c r="Q490">
        <f t="shared" si="45"/>
        <v>0.4</v>
      </c>
      <c r="R490" s="7">
        <f>RAW_GAMES!Q490</f>
        <v>3</v>
      </c>
      <c r="S490">
        <f>RAW_GAMES!P490</f>
        <v>0</v>
      </c>
      <c r="T490">
        <f t="shared" si="46"/>
        <v>1</v>
      </c>
      <c r="U490">
        <f>_xlfn.XLOOKUP(C490,
  CALC_TEAMS_SEASON!B:B,
  CALC_TEAMS_SEASON!F:F)</f>
        <v>0.20297619047619053</v>
      </c>
      <c r="V490">
        <f>_xlfn.XLOOKUP(D490,
  CALC_TEAMS_SEASON!B:B,
  CALC_TEAMS_SEASON!F:F)</f>
        <v>0.10089285714285713</v>
      </c>
      <c r="W490" t="str">
        <f>RAW_GAMES!R490</f>
        <v>Will</v>
      </c>
      <c r="X490" s="7">
        <f>RAW_GAMES!S490</f>
        <v>25</v>
      </c>
      <c r="Y490">
        <f t="shared" si="47"/>
        <v>1</v>
      </c>
      <c r="Z490" t="str">
        <f>RAW_GAMES!V490</f>
        <v>RS</v>
      </c>
    </row>
    <row r="491" spans="1:26" x14ac:dyDescent="0.25">
      <c r="A491" t="str">
        <f>RAW_GAMES!A491</f>
        <v>25/26</v>
      </c>
      <c r="B491" s="3">
        <f>RAW_GAMES!B491</f>
        <v>46021</v>
      </c>
      <c r="C491" s="3" t="str">
        <f>RAW_GAMES!E491</f>
        <v>TRI</v>
      </c>
      <c r="D491" s="3" t="str">
        <f>RAW_GAMES!F491</f>
        <v>KOM</v>
      </c>
      <c r="E491" s="7">
        <f>RAW_GAMES!G491</f>
        <v>1</v>
      </c>
      <c r="F491">
        <f>RAW_GAMES!H491</f>
        <v>4</v>
      </c>
      <c r="G491">
        <f>RAW_GAMES!I491</f>
        <v>3</v>
      </c>
      <c r="H491">
        <f t="shared" si="42"/>
        <v>1</v>
      </c>
      <c r="I491">
        <f>RAW_GAMES!J491</f>
        <v>20</v>
      </c>
      <c r="J491">
        <f>RAW_GAMES!K491</f>
        <v>32</v>
      </c>
      <c r="K491">
        <f t="shared" si="43"/>
        <v>-12</v>
      </c>
      <c r="L491">
        <f>IF(RAW_GAMES!L491="","",RAW_GAMES!L491)</f>
        <v>1.9</v>
      </c>
      <c r="M491">
        <f>IF(RAW_GAMES!M491="","",RAW_GAMES!M491)</f>
        <v>2.85</v>
      </c>
      <c r="N491">
        <f t="shared" si="44"/>
        <v>-0.95000000000000018</v>
      </c>
      <c r="O491" s="7">
        <f>RAW_GAMES!O491</f>
        <v>4</v>
      </c>
      <c r="P491">
        <f>RAW_GAMES!N491</f>
        <v>0</v>
      </c>
      <c r="Q491">
        <f t="shared" si="45"/>
        <v>0</v>
      </c>
      <c r="R491" s="7">
        <f>RAW_GAMES!Q491</f>
        <v>5</v>
      </c>
      <c r="S491">
        <f>RAW_GAMES!P491</f>
        <v>0</v>
      </c>
      <c r="T491">
        <f t="shared" si="46"/>
        <v>1</v>
      </c>
      <c r="U491">
        <f>_xlfn.XLOOKUP(C491,
  CALC_TEAMS_SEASON!B:B,
  CALC_TEAMS_SEASON!F:F)</f>
        <v>0.17437423687423692</v>
      </c>
      <c r="V491">
        <f>_xlfn.XLOOKUP(D491,
  CALC_TEAMS_SEASON!B:B,
  CALC_TEAMS_SEASON!F:F)</f>
        <v>0.14358974358974358</v>
      </c>
      <c r="W491" t="str">
        <f>RAW_GAMES!R491</f>
        <v>Mazanec</v>
      </c>
      <c r="X491" s="7">
        <f>RAW_GAMES!S491</f>
        <v>29</v>
      </c>
      <c r="Y491">
        <f t="shared" si="47"/>
        <v>1</v>
      </c>
      <c r="Z491" t="str">
        <f>RAW_GAMES!V491</f>
        <v>RS</v>
      </c>
    </row>
    <row r="492" spans="1:26" x14ac:dyDescent="0.25">
      <c r="A492" t="str">
        <f>RAW_GAMES!A492</f>
        <v>25/26</v>
      </c>
      <c r="B492" s="3">
        <f>RAW_GAMES!B492</f>
        <v>46021</v>
      </c>
      <c r="C492" s="3" t="str">
        <f>RAW_GAMES!E492</f>
        <v>KOM</v>
      </c>
      <c r="D492" s="3" t="str">
        <f>RAW_GAMES!F492</f>
        <v>TRI</v>
      </c>
      <c r="E492" s="7">
        <f>RAW_GAMES!G492</f>
        <v>0</v>
      </c>
      <c r="F492">
        <f>RAW_GAMES!H492</f>
        <v>3</v>
      </c>
      <c r="G492">
        <f>RAW_GAMES!I492</f>
        <v>4</v>
      </c>
      <c r="H492">
        <f t="shared" si="42"/>
        <v>-1</v>
      </c>
      <c r="I492">
        <f>RAW_GAMES!J492</f>
        <v>32</v>
      </c>
      <c r="J492">
        <f>RAW_GAMES!K492</f>
        <v>20</v>
      </c>
      <c r="K492">
        <f t="shared" si="43"/>
        <v>12</v>
      </c>
      <c r="L492">
        <f>IF(RAW_GAMES!L492="","",RAW_GAMES!L492)</f>
        <v>2.85</v>
      </c>
      <c r="M492">
        <f>IF(RAW_GAMES!M492="","",RAW_GAMES!M492)</f>
        <v>1.9</v>
      </c>
      <c r="N492">
        <f t="shared" si="44"/>
        <v>0.95000000000000018</v>
      </c>
      <c r="O492" s="7">
        <f>RAW_GAMES!O492</f>
        <v>5</v>
      </c>
      <c r="P492">
        <f>RAW_GAMES!N492</f>
        <v>0</v>
      </c>
      <c r="Q492">
        <f t="shared" si="45"/>
        <v>0</v>
      </c>
      <c r="R492" s="7">
        <f>RAW_GAMES!Q492</f>
        <v>4</v>
      </c>
      <c r="S492">
        <f>RAW_GAMES!P492</f>
        <v>0</v>
      </c>
      <c r="T492">
        <f t="shared" si="46"/>
        <v>1</v>
      </c>
      <c r="U492">
        <f>_xlfn.XLOOKUP(C492,
  CALC_TEAMS_SEASON!B:B,
  CALC_TEAMS_SEASON!F:F)</f>
        <v>0.14358974358974358</v>
      </c>
      <c r="V492">
        <f>_xlfn.XLOOKUP(D492,
  CALC_TEAMS_SEASON!B:B,
  CALC_TEAMS_SEASON!F:F)</f>
        <v>0.17437423687423692</v>
      </c>
      <c r="W492" t="str">
        <f>RAW_GAMES!R492</f>
        <v>Stezka</v>
      </c>
      <c r="X492" s="7">
        <f>RAW_GAMES!S492</f>
        <v>17</v>
      </c>
      <c r="Y492">
        <f t="shared" si="47"/>
        <v>0</v>
      </c>
      <c r="Z492" t="str">
        <f>RAW_GAMES!V492</f>
        <v>RS</v>
      </c>
    </row>
    <row r="493" spans="1:26" x14ac:dyDescent="0.25">
      <c r="A493" t="str">
        <f>RAW_GAMES!A493</f>
        <v>25/26</v>
      </c>
      <c r="B493" s="3">
        <f>RAW_GAMES!B493</f>
        <v>46021</v>
      </c>
      <c r="C493" s="3" t="str">
        <f>RAW_GAMES!E493</f>
        <v>CEB</v>
      </c>
      <c r="D493" s="3" t="str">
        <f>RAW_GAMES!F493</f>
        <v>VIT</v>
      </c>
      <c r="E493" s="7">
        <f>RAW_GAMES!G493</f>
        <v>1</v>
      </c>
      <c r="F493">
        <f>RAW_GAMES!H493</f>
        <v>2</v>
      </c>
      <c r="G493">
        <f>RAW_GAMES!I493</f>
        <v>3</v>
      </c>
      <c r="H493">
        <f t="shared" si="42"/>
        <v>-1</v>
      </c>
      <c r="I493">
        <f>RAW_GAMES!J493</f>
        <v>41</v>
      </c>
      <c r="J493">
        <f>RAW_GAMES!K493</f>
        <v>21</v>
      </c>
      <c r="K493">
        <f t="shared" si="43"/>
        <v>20</v>
      </c>
      <c r="L493" t="str">
        <f>IF(RAW_GAMES!L493="","",RAW_GAMES!L493)</f>
        <v/>
      </c>
      <c r="M493" t="str">
        <f>IF(RAW_GAMES!M493="","",RAW_GAMES!M493)</f>
        <v/>
      </c>
      <c r="N493" t="str">
        <f t="shared" si="44"/>
        <v/>
      </c>
      <c r="O493" s="7">
        <f>RAW_GAMES!O493</f>
        <v>3</v>
      </c>
      <c r="P493">
        <f>RAW_GAMES!N493</f>
        <v>0</v>
      </c>
      <c r="Q493">
        <f t="shared" si="45"/>
        <v>0</v>
      </c>
      <c r="R493" s="7">
        <f>RAW_GAMES!Q493</f>
        <v>2</v>
      </c>
      <c r="S493">
        <f>RAW_GAMES!P493</f>
        <v>0</v>
      </c>
      <c r="T493">
        <f t="shared" si="46"/>
        <v>1</v>
      </c>
      <c r="U493">
        <f>_xlfn.XLOOKUP(C493,
  CALC_TEAMS_SEASON!B:B,
  CALC_TEAMS_SEASON!F:F)</f>
        <v>0.13021353646353648</v>
      </c>
      <c r="V493">
        <f>_xlfn.XLOOKUP(D493,
  CALC_TEAMS_SEASON!B:B,
  CALC_TEAMS_SEASON!F:F)</f>
        <v>0.16984890109890113</v>
      </c>
      <c r="W493" t="str">
        <f>RAW_GAMES!R493</f>
        <v>Strmeň</v>
      </c>
      <c r="X493" s="7">
        <f>RAW_GAMES!S493</f>
        <v>19</v>
      </c>
      <c r="Y493">
        <f t="shared" si="47"/>
        <v>0</v>
      </c>
      <c r="Z493" t="str">
        <f>RAW_GAMES!V493</f>
        <v>RS</v>
      </c>
    </row>
    <row r="494" spans="1:26" x14ac:dyDescent="0.25">
      <c r="A494" t="str">
        <f>RAW_GAMES!A494</f>
        <v>25/26</v>
      </c>
      <c r="B494" s="3">
        <f>RAW_GAMES!B494</f>
        <v>46021</v>
      </c>
      <c r="C494" s="3" t="str">
        <f>RAW_GAMES!E494</f>
        <v>KLA</v>
      </c>
      <c r="D494" s="3" t="str">
        <f>RAW_GAMES!F494</f>
        <v>KVA</v>
      </c>
      <c r="E494" s="7">
        <f>RAW_GAMES!G494</f>
        <v>1</v>
      </c>
      <c r="F494">
        <f>RAW_GAMES!H494</f>
        <v>3</v>
      </c>
      <c r="G494">
        <f>RAW_GAMES!I494</f>
        <v>1</v>
      </c>
      <c r="H494">
        <f t="shared" si="42"/>
        <v>2</v>
      </c>
      <c r="I494">
        <f>RAW_GAMES!J494</f>
        <v>36</v>
      </c>
      <c r="J494">
        <f>RAW_GAMES!K494</f>
        <v>26</v>
      </c>
      <c r="K494">
        <f t="shared" si="43"/>
        <v>10</v>
      </c>
      <c r="L494" t="str">
        <f>IF(RAW_GAMES!L494="","",RAW_GAMES!L494)</f>
        <v/>
      </c>
      <c r="M494" t="str">
        <f>IF(RAW_GAMES!M494="","",RAW_GAMES!M494)</f>
        <v/>
      </c>
      <c r="N494" t="str">
        <f t="shared" si="44"/>
        <v/>
      </c>
      <c r="O494" s="7">
        <f>RAW_GAMES!O494</f>
        <v>7</v>
      </c>
      <c r="P494">
        <f>RAW_GAMES!N494</f>
        <v>1</v>
      </c>
      <c r="Q494">
        <f t="shared" si="45"/>
        <v>0.14285714285714285</v>
      </c>
      <c r="R494" s="7">
        <f>RAW_GAMES!Q494</f>
        <v>6</v>
      </c>
      <c r="S494">
        <f>RAW_GAMES!P494</f>
        <v>0</v>
      </c>
      <c r="T494">
        <f t="shared" si="46"/>
        <v>1</v>
      </c>
      <c r="U494">
        <f>_xlfn.XLOOKUP(C494,
  CALC_TEAMS_SEASON!B:B,
  CALC_TEAMS_SEASON!F:F)</f>
        <v>0.13120421245421243</v>
      </c>
      <c r="V494">
        <f>_xlfn.XLOOKUP(D494,
  CALC_TEAMS_SEASON!B:B,
  CALC_TEAMS_SEASON!F:F)</f>
        <v>0.17387057387057389</v>
      </c>
      <c r="W494" t="str">
        <f>RAW_GAMES!R494</f>
        <v>Brízgala</v>
      </c>
      <c r="X494" s="7">
        <f>RAW_GAMES!S494</f>
        <v>25</v>
      </c>
      <c r="Y494">
        <f t="shared" si="47"/>
        <v>1</v>
      </c>
      <c r="Z494" t="str">
        <f>RAW_GAMES!V494</f>
        <v>RS</v>
      </c>
    </row>
    <row r="495" spans="1:26" x14ac:dyDescent="0.25">
      <c r="A495" t="str">
        <f>RAW_GAMES!A495</f>
        <v>25/26</v>
      </c>
      <c r="B495" s="3">
        <f>RAW_GAMES!B495</f>
        <v>46021</v>
      </c>
      <c r="C495" s="3" t="str">
        <f>RAW_GAMES!E495</f>
        <v>KVA</v>
      </c>
      <c r="D495" s="3" t="str">
        <f>RAW_GAMES!F495</f>
        <v>KLA</v>
      </c>
      <c r="E495" s="7">
        <f>RAW_GAMES!G495</f>
        <v>0</v>
      </c>
      <c r="F495">
        <f>RAW_GAMES!H495</f>
        <v>1</v>
      </c>
      <c r="G495">
        <f>RAW_GAMES!I495</f>
        <v>3</v>
      </c>
      <c r="H495">
        <f t="shared" si="42"/>
        <v>-2</v>
      </c>
      <c r="I495">
        <f>RAW_GAMES!J495</f>
        <v>36</v>
      </c>
      <c r="J495">
        <f>RAW_GAMES!K495</f>
        <v>26</v>
      </c>
      <c r="K495">
        <f t="shared" si="43"/>
        <v>10</v>
      </c>
      <c r="L495" t="str">
        <f>IF(RAW_GAMES!L495="","",RAW_GAMES!L495)</f>
        <v/>
      </c>
      <c r="M495" t="str">
        <f>IF(RAW_GAMES!M495="","",RAW_GAMES!M495)</f>
        <v/>
      </c>
      <c r="N495" t="str">
        <f t="shared" si="44"/>
        <v/>
      </c>
      <c r="O495" s="7">
        <f>RAW_GAMES!O495</f>
        <v>6</v>
      </c>
      <c r="P495">
        <f>RAW_GAMES!N495</f>
        <v>0</v>
      </c>
      <c r="Q495">
        <f t="shared" si="45"/>
        <v>0</v>
      </c>
      <c r="R495" s="7">
        <f>RAW_GAMES!Q495</f>
        <v>7</v>
      </c>
      <c r="S495">
        <f>RAW_GAMES!P495</f>
        <v>1</v>
      </c>
      <c r="T495">
        <f t="shared" si="46"/>
        <v>0.85714285714285721</v>
      </c>
      <c r="U495">
        <f>_xlfn.XLOOKUP(C495,
  CALC_TEAMS_SEASON!B:B,
  CALC_TEAMS_SEASON!F:F)</f>
        <v>0.17387057387057389</v>
      </c>
      <c r="V495">
        <f>_xlfn.XLOOKUP(D495,
  CALC_TEAMS_SEASON!B:B,
  CALC_TEAMS_SEASON!F:F)</f>
        <v>0.13120421245421243</v>
      </c>
      <c r="W495" t="str">
        <f>RAW_GAMES!R495</f>
        <v>Frodl</v>
      </c>
      <c r="X495" s="7">
        <f>RAW_GAMES!S495</f>
        <v>33</v>
      </c>
      <c r="Y495">
        <f t="shared" si="47"/>
        <v>0</v>
      </c>
      <c r="Z495" t="str">
        <f>RAW_GAMES!V495</f>
        <v>RS</v>
      </c>
    </row>
    <row r="496" spans="1:26" x14ac:dyDescent="0.25">
      <c r="A496" t="str">
        <f>RAW_GAMES!A496</f>
        <v>25/26</v>
      </c>
      <c r="B496" s="3">
        <f>RAW_GAMES!B496</f>
        <v>46021</v>
      </c>
      <c r="C496" s="3" t="str">
        <f>RAW_GAMES!E496</f>
        <v>LIB</v>
      </c>
      <c r="D496" s="3" t="str">
        <f>RAW_GAMES!F496</f>
        <v>MBL</v>
      </c>
      <c r="E496" s="7">
        <f>RAW_GAMES!G496</f>
        <v>1</v>
      </c>
      <c r="F496">
        <f>RAW_GAMES!H496</f>
        <v>2</v>
      </c>
      <c r="G496">
        <f>RAW_GAMES!I496</f>
        <v>1</v>
      </c>
      <c r="H496">
        <f t="shared" si="42"/>
        <v>1</v>
      </c>
      <c r="I496">
        <f>RAW_GAMES!J496</f>
        <v>35</v>
      </c>
      <c r="J496">
        <f>RAW_GAMES!K496</f>
        <v>38</v>
      </c>
      <c r="K496">
        <f t="shared" si="43"/>
        <v>-3</v>
      </c>
      <c r="L496" t="str">
        <f>IF(RAW_GAMES!L496="","",RAW_GAMES!L496)</f>
        <v/>
      </c>
      <c r="M496" t="str">
        <f>IF(RAW_GAMES!M496="","",RAW_GAMES!M496)</f>
        <v/>
      </c>
      <c r="N496" t="str">
        <f t="shared" si="44"/>
        <v/>
      </c>
      <c r="O496" s="7">
        <f>RAW_GAMES!O496</f>
        <v>1</v>
      </c>
      <c r="P496">
        <f>RAW_GAMES!N496</f>
        <v>0</v>
      </c>
      <c r="Q496">
        <f t="shared" si="45"/>
        <v>0</v>
      </c>
      <c r="R496" s="7">
        <f>RAW_GAMES!Q496</f>
        <v>1</v>
      </c>
      <c r="S496">
        <f>RAW_GAMES!P496</f>
        <v>0</v>
      </c>
      <c r="T496">
        <f t="shared" si="46"/>
        <v>1</v>
      </c>
      <c r="U496">
        <f>_xlfn.XLOOKUP(C496,
  CALC_TEAMS_SEASON!B:B,
  CALC_TEAMS_SEASON!F:F)</f>
        <v>0.14377289377289379</v>
      </c>
      <c r="V496">
        <f>_xlfn.XLOOKUP(D496,
  CALC_TEAMS_SEASON!B:B,
  CALC_TEAMS_SEASON!F:F)</f>
        <v>0.11826923076923078</v>
      </c>
      <c r="W496" t="str">
        <f>RAW_GAMES!R496</f>
        <v>Kváča</v>
      </c>
      <c r="X496" s="7">
        <f>RAW_GAMES!S496</f>
        <v>37</v>
      </c>
      <c r="Y496">
        <f t="shared" si="47"/>
        <v>1</v>
      </c>
      <c r="Z496" t="str">
        <f>RAW_GAMES!V496</f>
        <v>RS</v>
      </c>
    </row>
    <row r="497" spans="1:26" x14ac:dyDescent="0.25">
      <c r="A497" t="str">
        <f>RAW_GAMES!A497</f>
        <v>25/26</v>
      </c>
      <c r="B497" s="3">
        <f>RAW_GAMES!B497</f>
        <v>46021</v>
      </c>
      <c r="C497" s="3" t="str">
        <f>RAW_GAMES!E497</f>
        <v>LIT</v>
      </c>
      <c r="D497" s="3" t="str">
        <f>RAW_GAMES!F497</f>
        <v>PCE</v>
      </c>
      <c r="E497" s="7">
        <f>RAW_GAMES!G497</f>
        <v>0</v>
      </c>
      <c r="F497">
        <f>RAW_GAMES!H497</f>
        <v>2</v>
      </c>
      <c r="G497">
        <f>RAW_GAMES!I497</f>
        <v>3</v>
      </c>
      <c r="H497">
        <f t="shared" si="42"/>
        <v>-1</v>
      </c>
      <c r="I497">
        <f>RAW_GAMES!J497</f>
        <v>27</v>
      </c>
      <c r="J497">
        <f>RAW_GAMES!K497</f>
        <v>42</v>
      </c>
      <c r="K497">
        <f t="shared" si="43"/>
        <v>-15</v>
      </c>
      <c r="L497">
        <f>IF(RAW_GAMES!L497="","",RAW_GAMES!L497)</f>
        <v>1.76</v>
      </c>
      <c r="M497">
        <f>IF(RAW_GAMES!M497="","",RAW_GAMES!M497)</f>
        <v>2.86</v>
      </c>
      <c r="N497">
        <f t="shared" si="44"/>
        <v>-1.0999999999999999</v>
      </c>
      <c r="O497" s="7">
        <f>RAW_GAMES!O497</f>
        <v>3</v>
      </c>
      <c r="P497">
        <f>RAW_GAMES!N497</f>
        <v>0</v>
      </c>
      <c r="Q497">
        <f t="shared" si="45"/>
        <v>0</v>
      </c>
      <c r="R497" s="7">
        <f>RAW_GAMES!Q497</f>
        <v>5</v>
      </c>
      <c r="S497">
        <f>RAW_GAMES!P497</f>
        <v>2</v>
      </c>
      <c r="T497">
        <f t="shared" si="46"/>
        <v>0.6</v>
      </c>
      <c r="U497">
        <f>_xlfn.XLOOKUP(C497,
  CALC_TEAMS_SEASON!B:B,
  CALC_TEAMS_SEASON!F:F)</f>
        <v>0.10089285714285713</v>
      </c>
      <c r="V497">
        <f>_xlfn.XLOOKUP(D497,
  CALC_TEAMS_SEASON!B:B,
  CALC_TEAMS_SEASON!F:F)</f>
        <v>0.20297619047619053</v>
      </c>
      <c r="W497" t="str">
        <f>RAW_GAMES!R497</f>
        <v>Čajan</v>
      </c>
      <c r="X497" s="7">
        <f>RAW_GAMES!S497</f>
        <v>39</v>
      </c>
      <c r="Y497">
        <f t="shared" si="47"/>
        <v>0</v>
      </c>
      <c r="Z497" t="str">
        <f>RAW_GAMES!V497</f>
        <v>RS</v>
      </c>
    </row>
    <row r="498" spans="1:26" x14ac:dyDescent="0.25">
      <c r="A498" t="str">
        <f>RAW_GAMES!A498</f>
        <v>25/26</v>
      </c>
      <c r="B498" s="3">
        <f>RAW_GAMES!B498</f>
        <v>46021</v>
      </c>
      <c r="C498" s="3" t="str">
        <f>RAW_GAMES!E498</f>
        <v>MBL</v>
      </c>
      <c r="D498" s="3" t="str">
        <f>RAW_GAMES!F498</f>
        <v>LIB</v>
      </c>
      <c r="E498" s="7">
        <f>RAW_GAMES!G498</f>
        <v>0</v>
      </c>
      <c r="F498">
        <f>RAW_GAMES!H498</f>
        <v>1</v>
      </c>
      <c r="G498">
        <f>RAW_GAMES!I498</f>
        <v>2</v>
      </c>
      <c r="H498">
        <f t="shared" si="42"/>
        <v>-1</v>
      </c>
      <c r="I498">
        <f>RAW_GAMES!J498</f>
        <v>38</v>
      </c>
      <c r="J498">
        <f>RAW_GAMES!K498</f>
        <v>35</v>
      </c>
      <c r="K498">
        <f t="shared" si="43"/>
        <v>3</v>
      </c>
      <c r="L498" t="str">
        <f>IF(RAW_GAMES!L498="","",RAW_GAMES!L498)</f>
        <v/>
      </c>
      <c r="M498" t="str">
        <f>IF(RAW_GAMES!M498="","",RAW_GAMES!M498)</f>
        <v/>
      </c>
      <c r="N498" t="str">
        <f t="shared" si="44"/>
        <v/>
      </c>
      <c r="O498" s="7">
        <f>RAW_GAMES!O498</f>
        <v>1</v>
      </c>
      <c r="P498">
        <f>RAW_GAMES!N498</f>
        <v>0</v>
      </c>
      <c r="Q498">
        <f t="shared" si="45"/>
        <v>0</v>
      </c>
      <c r="R498" s="7">
        <f>RAW_GAMES!Q498</f>
        <v>1</v>
      </c>
      <c r="S498">
        <f>RAW_GAMES!P498</f>
        <v>0</v>
      </c>
      <c r="T498">
        <f t="shared" si="46"/>
        <v>1</v>
      </c>
      <c r="U498">
        <f>_xlfn.XLOOKUP(C498,
  CALC_TEAMS_SEASON!B:B,
  CALC_TEAMS_SEASON!F:F)</f>
        <v>0.11826923076923078</v>
      </c>
      <c r="V498">
        <f>_xlfn.XLOOKUP(D498,
  CALC_TEAMS_SEASON!B:B,
  CALC_TEAMS_SEASON!F:F)</f>
        <v>0.14377289377289379</v>
      </c>
      <c r="W498" t="str">
        <f>RAW_GAMES!R498</f>
        <v>Mokry</v>
      </c>
      <c r="X498" s="7">
        <f>RAW_GAMES!S498</f>
        <v>34</v>
      </c>
      <c r="Y498">
        <f t="shared" si="47"/>
        <v>0</v>
      </c>
      <c r="Z498" t="str">
        <f>RAW_GAMES!V498</f>
        <v>RS</v>
      </c>
    </row>
    <row r="499" spans="1:26" x14ac:dyDescent="0.25">
      <c r="A499" t="str">
        <f>RAW_GAMES!A499</f>
        <v>25/26</v>
      </c>
      <c r="B499" s="3">
        <f>RAW_GAMES!B499</f>
        <v>46021</v>
      </c>
      <c r="C499" s="3" t="str">
        <f>RAW_GAMES!E499</f>
        <v>MHK</v>
      </c>
      <c r="D499" s="3" t="str">
        <f>RAW_GAMES!F499</f>
        <v>OLO</v>
      </c>
      <c r="E499" s="7">
        <f>RAW_GAMES!G499</f>
        <v>1</v>
      </c>
      <c r="F499">
        <f>RAW_GAMES!H499</f>
        <v>3</v>
      </c>
      <c r="G499">
        <f>RAW_GAMES!I499</f>
        <v>2</v>
      </c>
      <c r="H499">
        <f t="shared" si="42"/>
        <v>1</v>
      </c>
      <c r="I499">
        <f>RAW_GAMES!J499</f>
        <v>30</v>
      </c>
      <c r="J499">
        <f>RAW_GAMES!K499</f>
        <v>25</v>
      </c>
      <c r="K499">
        <f t="shared" si="43"/>
        <v>5</v>
      </c>
      <c r="L499" t="str">
        <f>IF(RAW_GAMES!L499="","",RAW_GAMES!L499)</f>
        <v/>
      </c>
      <c r="M499" t="str">
        <f>IF(RAW_GAMES!M499="","",RAW_GAMES!M499)</f>
        <v/>
      </c>
      <c r="N499" t="str">
        <f t="shared" si="44"/>
        <v/>
      </c>
      <c r="O499" s="7">
        <f>RAW_GAMES!O499</f>
        <v>2</v>
      </c>
      <c r="P499">
        <f>RAW_GAMES!N499</f>
        <v>0</v>
      </c>
      <c r="Q499">
        <f t="shared" si="45"/>
        <v>0</v>
      </c>
      <c r="R499" s="7">
        <f>RAW_GAMES!Q499</f>
        <v>5</v>
      </c>
      <c r="S499">
        <f>RAW_GAMES!P499</f>
        <v>1</v>
      </c>
      <c r="T499">
        <f t="shared" si="46"/>
        <v>0.8</v>
      </c>
      <c r="U499">
        <f>_xlfn.XLOOKUP(C499,
  CALC_TEAMS_SEASON!B:B,
  CALC_TEAMS_SEASON!F:F)</f>
        <v>0.14184981684981687</v>
      </c>
      <c r="V499">
        <f>_xlfn.XLOOKUP(D499,
  CALC_TEAMS_SEASON!B:B,
  CALC_TEAMS_SEASON!F:F)</f>
        <v>0.14989316239316242</v>
      </c>
      <c r="W499" t="str">
        <f>RAW_GAMES!R499</f>
        <v>Novotný</v>
      </c>
      <c r="X499" s="7">
        <f>RAW_GAMES!S499</f>
        <v>23</v>
      </c>
      <c r="Y499">
        <f t="shared" si="47"/>
        <v>1</v>
      </c>
      <c r="Z499" t="str">
        <f>RAW_GAMES!V499</f>
        <v>RS</v>
      </c>
    </row>
    <row r="500" spans="1:26" x14ac:dyDescent="0.25">
      <c r="A500" t="str">
        <f>RAW_GAMES!A500</f>
        <v>25/26</v>
      </c>
      <c r="B500" s="3">
        <f>RAW_GAMES!B500</f>
        <v>46021</v>
      </c>
      <c r="C500" s="3" t="str">
        <f>RAW_GAMES!E500</f>
        <v>OLO</v>
      </c>
      <c r="D500" s="3" t="str">
        <f>RAW_GAMES!F500</f>
        <v>MHK</v>
      </c>
      <c r="E500" s="7">
        <f>RAW_GAMES!G500</f>
        <v>0</v>
      </c>
      <c r="F500">
        <f>RAW_GAMES!H500</f>
        <v>2</v>
      </c>
      <c r="G500">
        <f>RAW_GAMES!I500</f>
        <v>3</v>
      </c>
      <c r="H500">
        <f t="shared" si="42"/>
        <v>-1</v>
      </c>
      <c r="I500">
        <f>RAW_GAMES!J500</f>
        <v>25</v>
      </c>
      <c r="J500">
        <f>RAW_GAMES!K500</f>
        <v>30</v>
      </c>
      <c r="K500">
        <f t="shared" si="43"/>
        <v>-5</v>
      </c>
      <c r="L500" t="str">
        <f>IF(RAW_GAMES!L500="","",RAW_GAMES!L500)</f>
        <v/>
      </c>
      <c r="M500" t="str">
        <f>IF(RAW_GAMES!M500="","",RAW_GAMES!M500)</f>
        <v/>
      </c>
      <c r="N500" t="str">
        <f t="shared" si="44"/>
        <v/>
      </c>
      <c r="O500" s="7">
        <f>RAW_GAMES!O500</f>
        <v>5</v>
      </c>
      <c r="P500">
        <f>RAW_GAMES!N500</f>
        <v>1</v>
      </c>
      <c r="Q500">
        <f t="shared" si="45"/>
        <v>0.2</v>
      </c>
      <c r="R500" s="7">
        <f>RAW_GAMES!Q500</f>
        <v>2</v>
      </c>
      <c r="S500">
        <f>RAW_GAMES!P500</f>
        <v>0</v>
      </c>
      <c r="T500">
        <f t="shared" si="46"/>
        <v>1</v>
      </c>
      <c r="U500">
        <f>_xlfn.XLOOKUP(C500,
  CALC_TEAMS_SEASON!B:B,
  CALC_TEAMS_SEASON!F:F)</f>
        <v>0.14989316239316242</v>
      </c>
      <c r="V500">
        <f>_xlfn.XLOOKUP(D500,
  CALC_TEAMS_SEASON!B:B,
  CALC_TEAMS_SEASON!F:F)</f>
        <v>0.14184981684981687</v>
      </c>
      <c r="W500" t="str">
        <f>RAW_GAMES!R500</f>
        <v>Cichoň</v>
      </c>
      <c r="X500" s="7">
        <f>RAW_GAMES!S500</f>
        <v>27</v>
      </c>
      <c r="Y500">
        <f t="shared" si="47"/>
        <v>0</v>
      </c>
      <c r="Z500" t="str">
        <f>RAW_GAMES!V500</f>
        <v>RS</v>
      </c>
    </row>
    <row r="501" spans="1:26" x14ac:dyDescent="0.25">
      <c r="A501" t="str">
        <f>RAW_GAMES!A501</f>
        <v>25/26</v>
      </c>
      <c r="B501" s="3">
        <f>RAW_GAMES!B501</f>
        <v>46021</v>
      </c>
      <c r="C501" s="3" t="str">
        <f>RAW_GAMES!E501</f>
        <v>VIT</v>
      </c>
      <c r="D501" s="3" t="str">
        <f>RAW_GAMES!F501</f>
        <v>CEB</v>
      </c>
      <c r="E501" s="7">
        <f>RAW_GAMES!G501</f>
        <v>0</v>
      </c>
      <c r="F501">
        <f>RAW_GAMES!H501</f>
        <v>3</v>
      </c>
      <c r="G501">
        <f>RAW_GAMES!I501</f>
        <v>2</v>
      </c>
      <c r="H501">
        <f t="shared" si="42"/>
        <v>1</v>
      </c>
      <c r="I501">
        <f>RAW_GAMES!J501</f>
        <v>21</v>
      </c>
      <c r="J501">
        <f>RAW_GAMES!K501</f>
        <v>41</v>
      </c>
      <c r="K501">
        <f t="shared" si="43"/>
        <v>-20</v>
      </c>
      <c r="L501" t="str">
        <f>IF(RAW_GAMES!L501="","",RAW_GAMES!L501)</f>
        <v/>
      </c>
      <c r="M501" t="str">
        <f>IF(RAW_GAMES!M501="","",RAW_GAMES!M501)</f>
        <v/>
      </c>
      <c r="N501" t="str">
        <f t="shared" si="44"/>
        <v/>
      </c>
      <c r="O501" s="7">
        <f>RAW_GAMES!O501</f>
        <v>2</v>
      </c>
      <c r="P501">
        <f>RAW_GAMES!N501</f>
        <v>0</v>
      </c>
      <c r="Q501">
        <f t="shared" si="45"/>
        <v>0</v>
      </c>
      <c r="R501" s="7">
        <f>RAW_GAMES!Q501</f>
        <v>3</v>
      </c>
      <c r="S501">
        <f>RAW_GAMES!P501</f>
        <v>0</v>
      </c>
      <c r="T501">
        <f t="shared" si="46"/>
        <v>1</v>
      </c>
      <c r="U501">
        <f>_xlfn.XLOOKUP(C501,
  CALC_TEAMS_SEASON!B:B,
  CALC_TEAMS_SEASON!F:F)</f>
        <v>0.16984890109890113</v>
      </c>
      <c r="V501">
        <f>_xlfn.XLOOKUP(D501,
  CALC_TEAMS_SEASON!B:B,
  CALC_TEAMS_SEASON!F:F)</f>
        <v>0.13021353646353648</v>
      </c>
      <c r="W501" t="str">
        <f>RAW_GAMES!R501</f>
        <v>Hrachovina</v>
      </c>
      <c r="X501" s="7">
        <f>RAW_GAMES!S501</f>
        <v>39</v>
      </c>
      <c r="Y501">
        <f t="shared" si="47"/>
        <v>1</v>
      </c>
      <c r="Z501" t="str">
        <f>RAW_GAMES!V501</f>
        <v>RS</v>
      </c>
    </row>
    <row r="502" spans="1:26" x14ac:dyDescent="0.25">
      <c r="A502" t="str">
        <f>RAW_GAMES!A502</f>
        <v>25/26</v>
      </c>
      <c r="B502" s="3">
        <f>RAW_GAMES!B502</f>
        <v>46024</v>
      </c>
      <c r="C502" s="3" t="str">
        <f>RAW_GAMES!E502</f>
        <v>PCE</v>
      </c>
      <c r="D502" s="3" t="str">
        <f>RAW_GAMES!F502</f>
        <v>KVA</v>
      </c>
      <c r="E502" s="7">
        <f>RAW_GAMES!G502</f>
        <v>0</v>
      </c>
      <c r="F502">
        <f>RAW_GAMES!H502</f>
        <v>2</v>
      </c>
      <c r="G502">
        <f>RAW_GAMES!I502</f>
        <v>3</v>
      </c>
      <c r="H502">
        <f t="shared" si="42"/>
        <v>-1</v>
      </c>
      <c r="I502">
        <f>RAW_GAMES!J502</f>
        <v>31</v>
      </c>
      <c r="J502">
        <f>RAW_GAMES!K502</f>
        <v>25</v>
      </c>
      <c r="K502">
        <f t="shared" si="43"/>
        <v>6</v>
      </c>
      <c r="L502">
        <f>IF(RAW_GAMES!L502="","",RAW_GAMES!L502)</f>
        <v>2.2999999999999998</v>
      </c>
      <c r="M502">
        <f>IF(RAW_GAMES!M502="","",RAW_GAMES!M502)</f>
        <v>2.63</v>
      </c>
      <c r="N502">
        <f t="shared" si="44"/>
        <v>-0.33000000000000007</v>
      </c>
      <c r="O502" s="7">
        <f>RAW_GAMES!O502</f>
        <v>5</v>
      </c>
      <c r="P502">
        <f>RAW_GAMES!N502</f>
        <v>1</v>
      </c>
      <c r="Q502">
        <f t="shared" si="45"/>
        <v>0.2</v>
      </c>
      <c r="R502" s="7">
        <f>RAW_GAMES!Q502</f>
        <v>5</v>
      </c>
      <c r="S502">
        <f>RAW_GAMES!P502</f>
        <v>1</v>
      </c>
      <c r="T502">
        <f t="shared" si="46"/>
        <v>0.8</v>
      </c>
      <c r="U502">
        <f>_xlfn.XLOOKUP(C502,
  CALC_TEAMS_SEASON!B:B,
  CALC_TEAMS_SEASON!F:F)</f>
        <v>0.20297619047619053</v>
      </c>
      <c r="V502">
        <f>_xlfn.XLOOKUP(D502,
  CALC_TEAMS_SEASON!B:B,
  CALC_TEAMS_SEASON!F:F)</f>
        <v>0.17387057387057389</v>
      </c>
      <c r="W502" t="str">
        <f>RAW_GAMES!R502</f>
        <v>Will</v>
      </c>
      <c r="X502" s="7">
        <f>RAW_GAMES!S502</f>
        <v>22</v>
      </c>
      <c r="Y502">
        <f t="shared" si="47"/>
        <v>0</v>
      </c>
      <c r="Z502" t="str">
        <f>RAW_GAMES!V502</f>
        <v>RS</v>
      </c>
    </row>
    <row r="503" spans="1:26" x14ac:dyDescent="0.25">
      <c r="A503" t="str">
        <f>RAW_GAMES!A503</f>
        <v>25/26</v>
      </c>
      <c r="B503" s="3">
        <f>RAW_GAMES!B503</f>
        <v>46024</v>
      </c>
      <c r="C503" s="3" t="str">
        <f>RAW_GAMES!E503</f>
        <v>TRI</v>
      </c>
      <c r="D503" s="3" t="str">
        <f>RAW_GAMES!F503</f>
        <v>VIT</v>
      </c>
      <c r="E503" s="7">
        <f>RAW_GAMES!G503</f>
        <v>0</v>
      </c>
      <c r="F503">
        <f>RAW_GAMES!H503</f>
        <v>2</v>
      </c>
      <c r="G503">
        <f>RAW_GAMES!I503</f>
        <v>0</v>
      </c>
      <c r="H503">
        <f t="shared" si="42"/>
        <v>2</v>
      </c>
      <c r="I503">
        <f>RAW_GAMES!J503</f>
        <v>26</v>
      </c>
      <c r="J503">
        <f>RAW_GAMES!K503</f>
        <v>32</v>
      </c>
      <c r="K503">
        <f t="shared" si="43"/>
        <v>-6</v>
      </c>
      <c r="L503">
        <f>IF(RAW_GAMES!L503="","",RAW_GAMES!L503)</f>
        <v>3.26</v>
      </c>
      <c r="M503">
        <f>IF(RAW_GAMES!M503="","",RAW_GAMES!M503)</f>
        <v>2.5</v>
      </c>
      <c r="N503">
        <f t="shared" si="44"/>
        <v>0.75999999999999979</v>
      </c>
      <c r="O503" s="7">
        <f>RAW_GAMES!O503</f>
        <v>0</v>
      </c>
      <c r="P503">
        <f>RAW_GAMES!N503</f>
        <v>0</v>
      </c>
      <c r="Q503">
        <f t="shared" si="45"/>
        <v>0</v>
      </c>
      <c r="R503" s="7">
        <f>RAW_GAMES!Q503</f>
        <v>3</v>
      </c>
      <c r="S503">
        <f>RAW_GAMES!P503</f>
        <v>0</v>
      </c>
      <c r="T503">
        <f t="shared" si="46"/>
        <v>1</v>
      </c>
      <c r="U503">
        <f>_xlfn.XLOOKUP(C503,
  CALC_TEAMS_SEASON!B:B,
  CALC_TEAMS_SEASON!F:F)</f>
        <v>0.17437423687423692</v>
      </c>
      <c r="V503">
        <f>_xlfn.XLOOKUP(D503,
  CALC_TEAMS_SEASON!B:B,
  CALC_TEAMS_SEASON!F:F)</f>
        <v>0.16984890109890113</v>
      </c>
      <c r="W503" t="str">
        <f>RAW_GAMES!R503</f>
        <v>Mazanec</v>
      </c>
      <c r="X503" s="7">
        <f>RAW_GAMES!S503</f>
        <v>32</v>
      </c>
      <c r="Y503">
        <f t="shared" si="47"/>
        <v>1</v>
      </c>
      <c r="Z503" t="str">
        <f>RAW_GAMES!V503</f>
        <v>RS</v>
      </c>
    </row>
    <row r="504" spans="1:26" x14ac:dyDescent="0.25">
      <c r="A504" t="str">
        <f>RAW_GAMES!A504</f>
        <v>25/26</v>
      </c>
      <c r="B504" s="3">
        <f>RAW_GAMES!B504</f>
        <v>46024</v>
      </c>
      <c r="C504" s="3" t="str">
        <f>RAW_GAMES!E504</f>
        <v>KOM</v>
      </c>
      <c r="D504" s="3" t="str">
        <f>RAW_GAMES!F504</f>
        <v>KLA</v>
      </c>
      <c r="E504" s="7">
        <f>RAW_GAMES!G504</f>
        <v>1</v>
      </c>
      <c r="F504">
        <f>RAW_GAMES!H504</f>
        <v>2</v>
      </c>
      <c r="G504">
        <f>RAW_GAMES!I504</f>
        <v>4</v>
      </c>
      <c r="H504">
        <f t="shared" si="42"/>
        <v>-2</v>
      </c>
      <c r="I504">
        <f>RAW_GAMES!J504</f>
        <v>30</v>
      </c>
      <c r="J504">
        <f>RAW_GAMES!K504</f>
        <v>28</v>
      </c>
      <c r="K504">
        <f t="shared" si="43"/>
        <v>2</v>
      </c>
      <c r="L504">
        <f>IF(RAW_GAMES!L504="","",RAW_GAMES!L504)</f>
        <v>2.0499999999999998</v>
      </c>
      <c r="M504">
        <f>IF(RAW_GAMES!M504="","",RAW_GAMES!M504)</f>
        <v>3.01</v>
      </c>
      <c r="N504">
        <f t="shared" si="44"/>
        <v>-0.96</v>
      </c>
      <c r="O504" s="7">
        <f>RAW_GAMES!O504</f>
        <v>3</v>
      </c>
      <c r="P504">
        <f>RAW_GAMES!N504</f>
        <v>0</v>
      </c>
      <c r="Q504">
        <f t="shared" si="45"/>
        <v>0</v>
      </c>
      <c r="R504" s="7">
        <f>RAW_GAMES!Q504</f>
        <v>1</v>
      </c>
      <c r="S504">
        <f>RAW_GAMES!P504</f>
        <v>0</v>
      </c>
      <c r="T504">
        <f t="shared" si="46"/>
        <v>1</v>
      </c>
      <c r="U504">
        <f>_xlfn.XLOOKUP(C504,
  CALC_TEAMS_SEASON!B:B,
  CALC_TEAMS_SEASON!F:F)</f>
        <v>0.14358974358974358</v>
      </c>
      <c r="V504">
        <f>_xlfn.XLOOKUP(D504,
  CALC_TEAMS_SEASON!B:B,
  CALC_TEAMS_SEASON!F:F)</f>
        <v>0.13120421245421243</v>
      </c>
      <c r="W504" t="str">
        <f>RAW_GAMES!R504</f>
        <v>Kavan</v>
      </c>
      <c r="X504" s="7">
        <f>RAW_GAMES!S504</f>
        <v>24</v>
      </c>
      <c r="Y504">
        <f t="shared" si="47"/>
        <v>0</v>
      </c>
      <c r="Z504" t="str">
        <f>RAW_GAMES!V504</f>
        <v>RS</v>
      </c>
    </row>
    <row r="505" spans="1:26" x14ac:dyDescent="0.25">
      <c r="A505" t="str">
        <f>RAW_GAMES!A505</f>
        <v>25/26</v>
      </c>
      <c r="B505" s="3">
        <f>RAW_GAMES!B505</f>
        <v>46024</v>
      </c>
      <c r="C505" s="3" t="str">
        <f>RAW_GAMES!E505</f>
        <v>CEB</v>
      </c>
      <c r="D505" s="3" t="str">
        <f>RAW_GAMES!F505</f>
        <v>MBL</v>
      </c>
      <c r="E505" s="7">
        <f>RAW_GAMES!G505</f>
        <v>0</v>
      </c>
      <c r="F505">
        <f>RAW_GAMES!H505</f>
        <v>2</v>
      </c>
      <c r="G505">
        <f>RAW_GAMES!I505</f>
        <v>4</v>
      </c>
      <c r="H505">
        <f t="shared" si="42"/>
        <v>-2</v>
      </c>
      <c r="I505">
        <f>RAW_GAMES!J505</f>
        <v>35</v>
      </c>
      <c r="J505">
        <f>RAW_GAMES!K505</f>
        <v>29</v>
      </c>
      <c r="K505">
        <f t="shared" si="43"/>
        <v>6</v>
      </c>
      <c r="L505" t="str">
        <f>IF(RAW_GAMES!L505="","",RAW_GAMES!L505)</f>
        <v/>
      </c>
      <c r="M505" t="str">
        <f>IF(RAW_GAMES!M505="","",RAW_GAMES!M505)</f>
        <v/>
      </c>
      <c r="N505" t="str">
        <f t="shared" si="44"/>
        <v/>
      </c>
      <c r="O505" s="7">
        <f>RAW_GAMES!O505</f>
        <v>3</v>
      </c>
      <c r="P505">
        <f>RAW_GAMES!N505</f>
        <v>0</v>
      </c>
      <c r="Q505">
        <f t="shared" si="45"/>
        <v>0</v>
      </c>
      <c r="R505" s="7">
        <f>RAW_GAMES!Q505</f>
        <v>3</v>
      </c>
      <c r="S505">
        <f>RAW_GAMES!P505</f>
        <v>0</v>
      </c>
      <c r="T505">
        <f t="shared" si="46"/>
        <v>1</v>
      </c>
      <c r="U505">
        <f>_xlfn.XLOOKUP(C505,
  CALC_TEAMS_SEASON!B:B,
  CALC_TEAMS_SEASON!F:F)</f>
        <v>0.13021353646353648</v>
      </c>
      <c r="V505">
        <f>_xlfn.XLOOKUP(D505,
  CALC_TEAMS_SEASON!B:B,
  CALC_TEAMS_SEASON!F:F)</f>
        <v>0.11826923076923078</v>
      </c>
      <c r="W505" t="str">
        <f>RAW_GAMES!R505</f>
        <v>Strmeň</v>
      </c>
      <c r="X505" s="7">
        <f>RAW_GAMES!S505</f>
        <v>25</v>
      </c>
      <c r="Y505">
        <f t="shared" si="47"/>
        <v>0</v>
      </c>
      <c r="Z505" t="str">
        <f>RAW_GAMES!V505</f>
        <v>RS</v>
      </c>
    </row>
    <row r="506" spans="1:26" x14ac:dyDescent="0.25">
      <c r="A506" t="str">
        <f>RAW_GAMES!A506</f>
        <v>25/26</v>
      </c>
      <c r="B506" s="3">
        <f>RAW_GAMES!B506</f>
        <v>46024</v>
      </c>
      <c r="C506" s="3" t="str">
        <f>RAW_GAMES!E506</f>
        <v>KLA</v>
      </c>
      <c r="D506" s="3" t="str">
        <f>RAW_GAMES!F506</f>
        <v>KOM</v>
      </c>
      <c r="E506" s="7">
        <f>RAW_GAMES!G506</f>
        <v>0</v>
      </c>
      <c r="F506">
        <f>RAW_GAMES!H506</f>
        <v>4</v>
      </c>
      <c r="G506">
        <f>RAW_GAMES!I506</f>
        <v>2</v>
      </c>
      <c r="H506">
        <f t="shared" si="42"/>
        <v>2</v>
      </c>
      <c r="I506">
        <f>RAW_GAMES!J506</f>
        <v>28</v>
      </c>
      <c r="J506">
        <f>RAW_GAMES!K506</f>
        <v>30</v>
      </c>
      <c r="K506">
        <f t="shared" si="43"/>
        <v>-2</v>
      </c>
      <c r="L506">
        <f>IF(RAW_GAMES!L506="","",RAW_GAMES!L506)</f>
        <v>3.01</v>
      </c>
      <c r="M506">
        <f>IF(RAW_GAMES!M506="","",RAW_GAMES!M506)</f>
        <v>2.0499999999999998</v>
      </c>
      <c r="N506">
        <f t="shared" si="44"/>
        <v>0.96</v>
      </c>
      <c r="O506" s="7">
        <f>RAW_GAMES!O506</f>
        <v>1</v>
      </c>
      <c r="P506">
        <f>RAW_GAMES!N506</f>
        <v>0</v>
      </c>
      <c r="Q506">
        <f t="shared" si="45"/>
        <v>0</v>
      </c>
      <c r="R506" s="7">
        <f>RAW_GAMES!Q506</f>
        <v>3</v>
      </c>
      <c r="S506">
        <f>RAW_GAMES!P506</f>
        <v>0</v>
      </c>
      <c r="T506">
        <f t="shared" si="46"/>
        <v>1</v>
      </c>
      <c r="U506">
        <f>_xlfn.XLOOKUP(C506,
  CALC_TEAMS_SEASON!B:B,
  CALC_TEAMS_SEASON!F:F)</f>
        <v>0.13120421245421243</v>
      </c>
      <c r="V506">
        <f>_xlfn.XLOOKUP(D506,
  CALC_TEAMS_SEASON!B:B,
  CALC_TEAMS_SEASON!F:F)</f>
        <v>0.14358974358974358</v>
      </c>
      <c r="W506" t="str">
        <f>RAW_GAMES!R506</f>
        <v>Brízgala</v>
      </c>
      <c r="X506" s="7">
        <f>RAW_GAMES!S506</f>
        <v>28</v>
      </c>
      <c r="Y506">
        <f t="shared" si="47"/>
        <v>1</v>
      </c>
      <c r="Z506" t="str">
        <f>RAW_GAMES!V506</f>
        <v>RS</v>
      </c>
    </row>
    <row r="507" spans="1:26" x14ac:dyDescent="0.25">
      <c r="A507" t="str">
        <f>RAW_GAMES!A507</f>
        <v>25/26</v>
      </c>
      <c r="B507" s="3">
        <f>RAW_GAMES!B507</f>
        <v>46024</v>
      </c>
      <c r="C507" s="3" t="str">
        <f>RAW_GAMES!E507</f>
        <v>KVA</v>
      </c>
      <c r="D507" s="3" t="str">
        <f>RAW_GAMES!F507</f>
        <v>PCE</v>
      </c>
      <c r="E507" s="7">
        <f>RAW_GAMES!G507</f>
        <v>1</v>
      </c>
      <c r="F507">
        <f>RAW_GAMES!H507</f>
        <v>3</v>
      </c>
      <c r="G507">
        <f>RAW_GAMES!I507</f>
        <v>2</v>
      </c>
      <c r="H507">
        <f t="shared" si="42"/>
        <v>1</v>
      </c>
      <c r="I507">
        <f>RAW_GAMES!J507</f>
        <v>25</v>
      </c>
      <c r="J507">
        <f>RAW_GAMES!K507</f>
        <v>31</v>
      </c>
      <c r="K507">
        <f t="shared" si="43"/>
        <v>-6</v>
      </c>
      <c r="L507">
        <f>IF(RAW_GAMES!L507="","",RAW_GAMES!L507)</f>
        <v>2.63</v>
      </c>
      <c r="M507">
        <f>IF(RAW_GAMES!M507="","",RAW_GAMES!M507)</f>
        <v>2.2999999999999998</v>
      </c>
      <c r="N507">
        <f t="shared" si="44"/>
        <v>0.33000000000000007</v>
      </c>
      <c r="O507" s="7">
        <f>RAW_GAMES!O507</f>
        <v>5</v>
      </c>
      <c r="P507">
        <f>RAW_GAMES!N507</f>
        <v>1</v>
      </c>
      <c r="Q507">
        <f t="shared" si="45"/>
        <v>0.2</v>
      </c>
      <c r="R507" s="7">
        <f>RAW_GAMES!Q507</f>
        <v>5</v>
      </c>
      <c r="S507">
        <f>RAW_GAMES!P507</f>
        <v>1</v>
      </c>
      <c r="T507">
        <f t="shared" si="46"/>
        <v>0.8</v>
      </c>
      <c r="U507">
        <f>_xlfn.XLOOKUP(C507,
  CALC_TEAMS_SEASON!B:B,
  CALC_TEAMS_SEASON!F:F)</f>
        <v>0.17387057387057389</v>
      </c>
      <c r="V507">
        <f>_xlfn.XLOOKUP(D507,
  CALC_TEAMS_SEASON!B:B,
  CALC_TEAMS_SEASON!F:F)</f>
        <v>0.20297619047619053</v>
      </c>
      <c r="W507" t="str">
        <f>RAW_GAMES!R507</f>
        <v>Král</v>
      </c>
      <c r="X507" s="7">
        <f>RAW_GAMES!S507</f>
        <v>29</v>
      </c>
      <c r="Y507">
        <f t="shared" si="47"/>
        <v>1</v>
      </c>
      <c r="Z507" t="str">
        <f>RAW_GAMES!V507</f>
        <v>RS</v>
      </c>
    </row>
    <row r="508" spans="1:26" x14ac:dyDescent="0.25">
      <c r="A508" t="str">
        <f>RAW_GAMES!A508</f>
        <v>25/26</v>
      </c>
      <c r="B508" s="3">
        <f>RAW_GAMES!B508</f>
        <v>46024</v>
      </c>
      <c r="C508" s="3" t="str">
        <f>RAW_GAMES!E508</f>
        <v>LIB</v>
      </c>
      <c r="D508" s="3" t="str">
        <f>RAW_GAMES!F508</f>
        <v>OLO</v>
      </c>
      <c r="E508" s="7">
        <f>RAW_GAMES!G508</f>
        <v>0</v>
      </c>
      <c r="F508">
        <f>RAW_GAMES!H508</f>
        <v>3</v>
      </c>
      <c r="G508">
        <f>RAW_GAMES!I508</f>
        <v>5</v>
      </c>
      <c r="H508">
        <f t="shared" si="42"/>
        <v>-2</v>
      </c>
      <c r="I508">
        <f>RAW_GAMES!J508</f>
        <v>30</v>
      </c>
      <c r="J508">
        <f>RAW_GAMES!K508</f>
        <v>40</v>
      </c>
      <c r="K508">
        <f t="shared" si="43"/>
        <v>-10</v>
      </c>
      <c r="L508" t="str">
        <f>IF(RAW_GAMES!L508="","",RAW_GAMES!L508)</f>
        <v/>
      </c>
      <c r="M508" t="str">
        <f>IF(RAW_GAMES!M508="","",RAW_GAMES!M508)</f>
        <v/>
      </c>
      <c r="N508" t="str">
        <f t="shared" si="44"/>
        <v/>
      </c>
      <c r="O508" s="7">
        <f>RAW_GAMES!O508</f>
        <v>6</v>
      </c>
      <c r="P508">
        <f>RAW_GAMES!N508</f>
        <v>1</v>
      </c>
      <c r="Q508">
        <f t="shared" si="45"/>
        <v>0.16666666666666666</v>
      </c>
      <c r="R508" s="7">
        <f>RAW_GAMES!Q508</f>
        <v>9</v>
      </c>
      <c r="S508">
        <f>RAW_GAMES!P508</f>
        <v>2</v>
      </c>
      <c r="T508">
        <f t="shared" si="46"/>
        <v>0.77777777777777779</v>
      </c>
      <c r="U508">
        <f>_xlfn.XLOOKUP(C508,
  CALC_TEAMS_SEASON!B:B,
  CALC_TEAMS_SEASON!F:F)</f>
        <v>0.14377289377289379</v>
      </c>
      <c r="V508">
        <f>_xlfn.XLOOKUP(D508,
  CALC_TEAMS_SEASON!B:B,
  CALC_TEAMS_SEASON!F:F)</f>
        <v>0.14989316239316242</v>
      </c>
      <c r="W508" t="str">
        <f>RAW_GAMES!R508</f>
        <v>Kváča</v>
      </c>
      <c r="X508" s="7">
        <f>RAW_GAMES!S508</f>
        <v>35</v>
      </c>
      <c r="Y508">
        <f t="shared" si="47"/>
        <v>0</v>
      </c>
      <c r="Z508" t="str">
        <f>RAW_GAMES!V508</f>
        <v>RS</v>
      </c>
    </row>
    <row r="509" spans="1:26" x14ac:dyDescent="0.25">
      <c r="A509" t="str">
        <f>RAW_GAMES!A509</f>
        <v>25/26</v>
      </c>
      <c r="B509" s="3">
        <f>RAW_GAMES!B509</f>
        <v>46024</v>
      </c>
      <c r="C509" s="3" t="str">
        <f>RAW_GAMES!E509</f>
        <v>LIT</v>
      </c>
      <c r="D509" s="3" t="str">
        <f>RAW_GAMES!F509</f>
        <v>PLZ</v>
      </c>
      <c r="E509" s="7">
        <f>RAW_GAMES!G509</f>
        <v>1</v>
      </c>
      <c r="F509">
        <f>RAW_GAMES!H509</f>
        <v>1</v>
      </c>
      <c r="G509">
        <f>RAW_GAMES!I509</f>
        <v>8</v>
      </c>
      <c r="H509">
        <f t="shared" si="42"/>
        <v>-7</v>
      </c>
      <c r="I509">
        <f>RAW_GAMES!J509</f>
        <v>23</v>
      </c>
      <c r="J509">
        <f>RAW_GAMES!K509</f>
        <v>34</v>
      </c>
      <c r="K509">
        <f t="shared" si="43"/>
        <v>-11</v>
      </c>
      <c r="L509" t="str">
        <f>IF(RAW_GAMES!L509="","",RAW_GAMES!L509)</f>
        <v/>
      </c>
      <c r="M509" t="str">
        <f>IF(RAW_GAMES!M509="","",RAW_GAMES!M509)</f>
        <v/>
      </c>
      <c r="N509" t="str">
        <f t="shared" si="44"/>
        <v/>
      </c>
      <c r="O509" s="7">
        <f>RAW_GAMES!O509</f>
        <v>5</v>
      </c>
      <c r="P509">
        <f>RAW_GAMES!N509</f>
        <v>0</v>
      </c>
      <c r="Q509">
        <f t="shared" si="45"/>
        <v>0</v>
      </c>
      <c r="R509" s="7">
        <f>RAW_GAMES!Q509</f>
        <v>6</v>
      </c>
      <c r="S509">
        <f>RAW_GAMES!P509</f>
        <v>2</v>
      </c>
      <c r="T509">
        <f t="shared" si="46"/>
        <v>0.66666666666666674</v>
      </c>
      <c r="U509">
        <f>_xlfn.XLOOKUP(C509,
  CALC_TEAMS_SEASON!B:B,
  CALC_TEAMS_SEASON!F:F)</f>
        <v>0.10089285714285713</v>
      </c>
      <c r="V509">
        <f>_xlfn.XLOOKUP(D509,
  CALC_TEAMS_SEASON!B:B,
  CALC_TEAMS_SEASON!F:F)</f>
        <v>0.17641178266178262</v>
      </c>
      <c r="W509" t="str">
        <f>RAW_GAMES!R509</f>
        <v>Tomek</v>
      </c>
      <c r="X509" s="7">
        <f>RAW_GAMES!S509</f>
        <v>26</v>
      </c>
      <c r="Y509">
        <f t="shared" si="47"/>
        <v>0</v>
      </c>
      <c r="Z509" t="str">
        <f>RAW_GAMES!V509</f>
        <v>RS</v>
      </c>
    </row>
    <row r="510" spans="1:26" x14ac:dyDescent="0.25">
      <c r="A510" t="str">
        <f>RAW_GAMES!A510</f>
        <v>25/26</v>
      </c>
      <c r="B510" s="3">
        <f>RAW_GAMES!B510</f>
        <v>46024</v>
      </c>
      <c r="C510" s="3" t="str">
        <f>RAW_GAMES!E510</f>
        <v>MBL</v>
      </c>
      <c r="D510" s="3" t="str">
        <f>RAW_GAMES!F510</f>
        <v>CEB</v>
      </c>
      <c r="E510" s="7">
        <f>RAW_GAMES!G510</f>
        <v>1</v>
      </c>
      <c r="F510">
        <f>RAW_GAMES!H510</f>
        <v>4</v>
      </c>
      <c r="G510">
        <f>RAW_GAMES!I510</f>
        <v>2</v>
      </c>
      <c r="H510">
        <f t="shared" si="42"/>
        <v>2</v>
      </c>
      <c r="I510">
        <f>RAW_GAMES!J510</f>
        <v>29</v>
      </c>
      <c r="J510">
        <f>RAW_GAMES!K510</f>
        <v>35</v>
      </c>
      <c r="K510">
        <f t="shared" si="43"/>
        <v>-6</v>
      </c>
      <c r="L510" t="str">
        <f>IF(RAW_GAMES!L510="","",RAW_GAMES!L510)</f>
        <v/>
      </c>
      <c r="M510" t="str">
        <f>IF(RAW_GAMES!M510="","",RAW_GAMES!M510)</f>
        <v/>
      </c>
      <c r="N510" t="str">
        <f t="shared" si="44"/>
        <v/>
      </c>
      <c r="O510" s="7">
        <f>RAW_GAMES!O510</f>
        <v>3</v>
      </c>
      <c r="P510">
        <f>RAW_GAMES!N510</f>
        <v>0</v>
      </c>
      <c r="Q510">
        <f t="shared" si="45"/>
        <v>0</v>
      </c>
      <c r="R510" s="7">
        <f>RAW_GAMES!Q510</f>
        <v>3</v>
      </c>
      <c r="S510">
        <f>RAW_GAMES!P510</f>
        <v>0</v>
      </c>
      <c r="T510">
        <f t="shared" si="46"/>
        <v>1</v>
      </c>
      <c r="U510">
        <f>_xlfn.XLOOKUP(C510,
  CALC_TEAMS_SEASON!B:B,
  CALC_TEAMS_SEASON!F:F)</f>
        <v>0.11826923076923078</v>
      </c>
      <c r="V510">
        <f>_xlfn.XLOOKUP(D510,
  CALC_TEAMS_SEASON!B:B,
  CALC_TEAMS_SEASON!F:F)</f>
        <v>0.13021353646353648</v>
      </c>
      <c r="W510" t="str">
        <f>RAW_GAMES!R510</f>
        <v>Furch</v>
      </c>
      <c r="X510" s="7">
        <f>RAW_GAMES!S510</f>
        <v>33</v>
      </c>
      <c r="Y510">
        <f t="shared" si="47"/>
        <v>1</v>
      </c>
      <c r="Z510" t="str">
        <f>RAW_GAMES!V510</f>
        <v>RS</v>
      </c>
    </row>
    <row r="511" spans="1:26" x14ac:dyDescent="0.25">
      <c r="A511" t="str">
        <f>RAW_GAMES!A511</f>
        <v>25/26</v>
      </c>
      <c r="B511" s="3">
        <f>RAW_GAMES!B511</f>
        <v>46024</v>
      </c>
      <c r="C511" s="3" t="str">
        <f>RAW_GAMES!E511</f>
        <v>OLO</v>
      </c>
      <c r="D511" s="3" t="str">
        <f>RAW_GAMES!F511</f>
        <v>LIB</v>
      </c>
      <c r="E511" s="7">
        <f>RAW_GAMES!G511</f>
        <v>1</v>
      </c>
      <c r="F511">
        <f>RAW_GAMES!H511</f>
        <v>5</v>
      </c>
      <c r="G511">
        <f>RAW_GAMES!I511</f>
        <v>3</v>
      </c>
      <c r="H511">
        <f t="shared" si="42"/>
        <v>2</v>
      </c>
      <c r="I511">
        <f>RAW_GAMES!J511</f>
        <v>40</v>
      </c>
      <c r="J511">
        <f>RAW_GAMES!K511</f>
        <v>30</v>
      </c>
      <c r="K511">
        <f t="shared" si="43"/>
        <v>10</v>
      </c>
      <c r="L511" t="str">
        <f>IF(RAW_GAMES!L511="","",RAW_GAMES!L511)</f>
        <v/>
      </c>
      <c r="M511" t="str">
        <f>IF(RAW_GAMES!M511="","",RAW_GAMES!M511)</f>
        <v/>
      </c>
      <c r="N511" t="str">
        <f t="shared" si="44"/>
        <v/>
      </c>
      <c r="O511" s="7">
        <f>RAW_GAMES!O511</f>
        <v>9</v>
      </c>
      <c r="P511">
        <f>RAW_GAMES!N511</f>
        <v>2</v>
      </c>
      <c r="Q511">
        <f t="shared" si="45"/>
        <v>0.22222222222222221</v>
      </c>
      <c r="R511" s="7">
        <f>RAW_GAMES!Q511</f>
        <v>6</v>
      </c>
      <c r="S511">
        <f>RAW_GAMES!P511</f>
        <v>1</v>
      </c>
      <c r="T511">
        <f t="shared" si="46"/>
        <v>0.83333333333333337</v>
      </c>
      <c r="U511">
        <f>_xlfn.XLOOKUP(C511,
  CALC_TEAMS_SEASON!B:B,
  CALC_TEAMS_SEASON!F:F)</f>
        <v>0.14989316239316242</v>
      </c>
      <c r="V511">
        <f>_xlfn.XLOOKUP(D511,
  CALC_TEAMS_SEASON!B:B,
  CALC_TEAMS_SEASON!F:F)</f>
        <v>0.14377289377289379</v>
      </c>
      <c r="W511" t="str">
        <f>RAW_GAMES!R511</f>
        <v>Cichoň</v>
      </c>
      <c r="X511" s="7">
        <f>RAW_GAMES!S511</f>
        <v>27</v>
      </c>
      <c r="Y511">
        <f t="shared" si="47"/>
        <v>1</v>
      </c>
      <c r="Z511" t="str">
        <f>RAW_GAMES!V511</f>
        <v>RS</v>
      </c>
    </row>
    <row r="512" spans="1:26" x14ac:dyDescent="0.25">
      <c r="A512" t="str">
        <f>RAW_GAMES!A512</f>
        <v>25/26</v>
      </c>
      <c r="B512" s="3">
        <f>RAW_GAMES!B512</f>
        <v>46024</v>
      </c>
      <c r="C512" s="3" t="str">
        <f>RAW_GAMES!E512</f>
        <v>PLZ</v>
      </c>
      <c r="D512" s="3" t="str">
        <f>RAW_GAMES!F512</f>
        <v>LIT</v>
      </c>
      <c r="E512" s="7">
        <f>RAW_GAMES!G512</f>
        <v>0</v>
      </c>
      <c r="F512">
        <f>RAW_GAMES!H512</f>
        <v>8</v>
      </c>
      <c r="G512">
        <f>RAW_GAMES!I512</f>
        <v>1</v>
      </c>
      <c r="H512">
        <f t="shared" si="42"/>
        <v>7</v>
      </c>
      <c r="I512">
        <f>RAW_GAMES!J512</f>
        <v>34</v>
      </c>
      <c r="J512">
        <f>RAW_GAMES!K512</f>
        <v>23</v>
      </c>
      <c r="K512">
        <f t="shared" si="43"/>
        <v>11</v>
      </c>
      <c r="L512" t="str">
        <f>IF(RAW_GAMES!L512="","",RAW_GAMES!L512)</f>
        <v/>
      </c>
      <c r="M512" t="str">
        <f>IF(RAW_GAMES!M512="","",RAW_GAMES!M512)</f>
        <v/>
      </c>
      <c r="N512" t="str">
        <f t="shared" si="44"/>
        <v/>
      </c>
      <c r="O512" s="7">
        <f>RAW_GAMES!O512</f>
        <v>6</v>
      </c>
      <c r="P512">
        <f>RAW_GAMES!N512</f>
        <v>2</v>
      </c>
      <c r="Q512">
        <f t="shared" si="45"/>
        <v>0.33333333333333331</v>
      </c>
      <c r="R512" s="7">
        <f>RAW_GAMES!Q512</f>
        <v>5</v>
      </c>
      <c r="S512">
        <f>RAW_GAMES!P512</f>
        <v>0</v>
      </c>
      <c r="T512">
        <f t="shared" si="46"/>
        <v>1</v>
      </c>
      <c r="U512">
        <f>_xlfn.XLOOKUP(C512,
  CALC_TEAMS_SEASON!B:B,
  CALC_TEAMS_SEASON!F:F)</f>
        <v>0.17641178266178262</v>
      </c>
      <c r="V512">
        <f>_xlfn.XLOOKUP(D512,
  CALC_TEAMS_SEASON!B:B,
  CALC_TEAMS_SEASON!F:F)</f>
        <v>0.10089285714285713</v>
      </c>
      <c r="W512" t="str">
        <f>RAW_GAMES!R512</f>
        <v>Malík</v>
      </c>
      <c r="X512" s="7">
        <f>RAW_GAMES!S512</f>
        <v>22</v>
      </c>
      <c r="Y512">
        <f t="shared" si="47"/>
        <v>1</v>
      </c>
      <c r="Z512" t="str">
        <f>RAW_GAMES!V512</f>
        <v>RS</v>
      </c>
    </row>
    <row r="513" spans="1:26" x14ac:dyDescent="0.25">
      <c r="A513" t="str">
        <f>RAW_GAMES!A513</f>
        <v>25/26</v>
      </c>
      <c r="B513" s="3">
        <f>RAW_GAMES!B513</f>
        <v>46024</v>
      </c>
      <c r="C513" s="3" t="str">
        <f>RAW_GAMES!E513</f>
        <v>VIT</v>
      </c>
      <c r="D513" s="3" t="str">
        <f>RAW_GAMES!F513</f>
        <v>TRI</v>
      </c>
      <c r="E513" s="7">
        <f>RAW_GAMES!G513</f>
        <v>1</v>
      </c>
      <c r="F513">
        <f>RAW_GAMES!H513</f>
        <v>0</v>
      </c>
      <c r="G513">
        <f>RAW_GAMES!I513</f>
        <v>2</v>
      </c>
      <c r="H513">
        <f t="shared" si="42"/>
        <v>-2</v>
      </c>
      <c r="I513">
        <f>RAW_GAMES!J513</f>
        <v>32</v>
      </c>
      <c r="J513">
        <f>RAW_GAMES!K513</f>
        <v>26</v>
      </c>
      <c r="K513">
        <f t="shared" si="43"/>
        <v>6</v>
      </c>
      <c r="L513">
        <f>IF(RAW_GAMES!L513="","",RAW_GAMES!L513)</f>
        <v>2.5</v>
      </c>
      <c r="M513">
        <f>IF(RAW_GAMES!M513="","",RAW_GAMES!M513)</f>
        <v>3.26</v>
      </c>
      <c r="N513">
        <f t="shared" si="44"/>
        <v>-0.75999999999999979</v>
      </c>
      <c r="O513" s="7">
        <f>RAW_GAMES!O513</f>
        <v>3</v>
      </c>
      <c r="P513">
        <f>RAW_GAMES!N513</f>
        <v>0</v>
      </c>
      <c r="Q513">
        <f t="shared" si="45"/>
        <v>0</v>
      </c>
      <c r="R513" s="7">
        <f>RAW_GAMES!Q513</f>
        <v>0</v>
      </c>
      <c r="S513">
        <f>RAW_GAMES!P513</f>
        <v>0</v>
      </c>
      <c r="T513">
        <f t="shared" si="46"/>
        <v>1</v>
      </c>
      <c r="U513">
        <f>_xlfn.XLOOKUP(C513,
  CALC_TEAMS_SEASON!B:B,
  CALC_TEAMS_SEASON!F:F)</f>
        <v>0.16984890109890113</v>
      </c>
      <c r="V513">
        <f>_xlfn.XLOOKUP(D513,
  CALC_TEAMS_SEASON!B:B,
  CALC_TEAMS_SEASON!F:F)</f>
        <v>0.17437423687423692</v>
      </c>
      <c r="W513" t="str">
        <f>RAW_GAMES!R513</f>
        <v>Hrachovina</v>
      </c>
      <c r="X513" s="7">
        <f>RAW_GAMES!S513</f>
        <v>26</v>
      </c>
      <c r="Y513">
        <f t="shared" si="47"/>
        <v>0</v>
      </c>
      <c r="Z513" t="str">
        <f>RAW_GAMES!V513</f>
        <v>RS</v>
      </c>
    </row>
    <row r="514" spans="1:26" x14ac:dyDescent="0.25">
      <c r="A514" t="str">
        <f>RAW_GAMES!A514</f>
        <v>25/26</v>
      </c>
      <c r="B514" s="3">
        <f>RAW_GAMES!B514</f>
        <v>46026</v>
      </c>
      <c r="C514" s="3" t="str">
        <f>RAW_GAMES!E514</f>
        <v>PCE</v>
      </c>
      <c r="D514" s="3" t="str">
        <f>RAW_GAMES!F514</f>
        <v>VIT</v>
      </c>
      <c r="E514" s="7">
        <f>RAW_GAMES!G514</f>
        <v>1</v>
      </c>
      <c r="F514">
        <f>RAW_GAMES!H514</f>
        <v>4</v>
      </c>
      <c r="G514">
        <f>RAW_GAMES!I514</f>
        <v>1</v>
      </c>
      <c r="H514">
        <f t="shared" si="42"/>
        <v>3</v>
      </c>
      <c r="I514">
        <f>RAW_GAMES!J514</f>
        <v>38</v>
      </c>
      <c r="J514">
        <f>RAW_GAMES!K514</f>
        <v>21</v>
      </c>
      <c r="K514">
        <f t="shared" si="43"/>
        <v>17</v>
      </c>
      <c r="L514">
        <f>IF(RAW_GAMES!L514="","",RAW_GAMES!L514)</f>
        <v>3.45</v>
      </c>
      <c r="M514">
        <f>IF(RAW_GAMES!M514="","",RAW_GAMES!M514)</f>
        <v>2.17</v>
      </c>
      <c r="N514">
        <f t="shared" si="44"/>
        <v>1.2800000000000002</v>
      </c>
      <c r="O514" s="7">
        <f>RAW_GAMES!O514</f>
        <v>4</v>
      </c>
      <c r="P514">
        <f>RAW_GAMES!N514</f>
        <v>0</v>
      </c>
      <c r="Q514">
        <f t="shared" si="45"/>
        <v>0</v>
      </c>
      <c r="R514" s="7">
        <f>RAW_GAMES!Q514</f>
        <v>2</v>
      </c>
      <c r="S514">
        <f>RAW_GAMES!P514</f>
        <v>0</v>
      </c>
      <c r="T514">
        <f t="shared" si="46"/>
        <v>1</v>
      </c>
      <c r="U514">
        <f>_xlfn.XLOOKUP(C514,
  CALC_TEAMS_SEASON!B:B,
  CALC_TEAMS_SEASON!F:F)</f>
        <v>0.20297619047619053</v>
      </c>
      <c r="V514">
        <f>_xlfn.XLOOKUP(D514,
  CALC_TEAMS_SEASON!B:B,
  CALC_TEAMS_SEASON!F:F)</f>
        <v>0.16984890109890113</v>
      </c>
      <c r="W514" t="str">
        <f>RAW_GAMES!R514</f>
        <v>Will</v>
      </c>
      <c r="X514" s="7">
        <f>RAW_GAMES!S514</f>
        <v>20</v>
      </c>
      <c r="Y514">
        <f t="shared" si="47"/>
        <v>1</v>
      </c>
      <c r="Z514" t="str">
        <f>RAW_GAMES!V514</f>
        <v>RS</v>
      </c>
    </row>
    <row r="515" spans="1:26" x14ac:dyDescent="0.25">
      <c r="A515" t="str">
        <f>RAW_GAMES!A515</f>
        <v>25/26</v>
      </c>
      <c r="B515" s="3">
        <f>RAW_GAMES!B515</f>
        <v>46026</v>
      </c>
      <c r="C515" s="3" t="str">
        <f>RAW_GAMES!E515</f>
        <v>TRI</v>
      </c>
      <c r="D515" s="3" t="str">
        <f>RAW_GAMES!F515</f>
        <v>LIT</v>
      </c>
      <c r="E515" s="7">
        <f>RAW_GAMES!G515</f>
        <v>1</v>
      </c>
      <c r="F515">
        <f>RAW_GAMES!H515</f>
        <v>3</v>
      </c>
      <c r="G515">
        <f>RAW_GAMES!I515</f>
        <v>2</v>
      </c>
      <c r="H515">
        <f t="shared" ref="H515:H578" si="48">F515-G515</f>
        <v>1</v>
      </c>
      <c r="I515">
        <f>RAW_GAMES!J515</f>
        <v>26</v>
      </c>
      <c r="J515">
        <f>RAW_GAMES!K515</f>
        <v>24</v>
      </c>
      <c r="K515">
        <f t="shared" ref="K515:K578" si="49">I515-J515</f>
        <v>2</v>
      </c>
      <c r="L515">
        <f>IF(RAW_GAMES!L515="","",RAW_GAMES!L515)</f>
        <v>2.54</v>
      </c>
      <c r="M515">
        <f>IF(RAW_GAMES!M515="","",RAW_GAMES!M515)</f>
        <v>1.76</v>
      </c>
      <c r="N515">
        <f t="shared" ref="N515:N578" si="50">IF(L515="","",L515-M515)</f>
        <v>0.78</v>
      </c>
      <c r="O515" s="7">
        <f>RAW_GAMES!O515</f>
        <v>2</v>
      </c>
      <c r="P515">
        <f>RAW_GAMES!N515</f>
        <v>0</v>
      </c>
      <c r="Q515">
        <f t="shared" ref="Q515:Q578" si="51">IF(O515&gt;0,P515/O515,0)</f>
        <v>0</v>
      </c>
      <c r="R515" s="7">
        <f>RAW_GAMES!Q515</f>
        <v>2</v>
      </c>
      <c r="S515">
        <f>RAW_GAMES!P515</f>
        <v>0</v>
      </c>
      <c r="T515">
        <f t="shared" ref="T515:T578" si="52">IF(R515&gt;0, 1-(S515/R515),1)</f>
        <v>1</v>
      </c>
      <c r="U515">
        <f>_xlfn.XLOOKUP(C515,
  CALC_TEAMS_SEASON!B:B,
  CALC_TEAMS_SEASON!F:F)</f>
        <v>0.17437423687423692</v>
      </c>
      <c r="V515">
        <f>_xlfn.XLOOKUP(D515,
  CALC_TEAMS_SEASON!B:B,
  CALC_TEAMS_SEASON!F:F)</f>
        <v>0.10089285714285713</v>
      </c>
      <c r="W515" t="str">
        <f>RAW_GAMES!R515</f>
        <v>Mazanec</v>
      </c>
      <c r="X515" s="7">
        <f>RAW_GAMES!S515</f>
        <v>22</v>
      </c>
      <c r="Y515">
        <f t="shared" ref="Y515:Y578" si="53">IF(F515&gt;G515,1,0)</f>
        <v>1</v>
      </c>
      <c r="Z515" t="str">
        <f>RAW_GAMES!V515</f>
        <v>RS</v>
      </c>
    </row>
    <row r="516" spans="1:26" x14ac:dyDescent="0.25">
      <c r="A516" t="str">
        <f>RAW_GAMES!A516</f>
        <v>25/26</v>
      </c>
      <c r="B516" s="3">
        <f>RAW_GAMES!B516</f>
        <v>46026</v>
      </c>
      <c r="C516" s="3" t="str">
        <f>RAW_GAMES!E516</f>
        <v>SPA</v>
      </c>
      <c r="D516" s="3" t="str">
        <f>RAW_GAMES!F516</f>
        <v>KLA</v>
      </c>
      <c r="E516" s="7">
        <f>RAW_GAMES!G516</f>
        <v>1</v>
      </c>
      <c r="F516">
        <f>RAW_GAMES!H516</f>
        <v>4</v>
      </c>
      <c r="G516">
        <f>RAW_GAMES!I516</f>
        <v>5</v>
      </c>
      <c r="H516">
        <f t="shared" si="48"/>
        <v>-1</v>
      </c>
      <c r="I516">
        <f>RAW_GAMES!J516</f>
        <v>38</v>
      </c>
      <c r="J516">
        <f>RAW_GAMES!K516</f>
        <v>33</v>
      </c>
      <c r="K516">
        <f t="shared" si="49"/>
        <v>5</v>
      </c>
      <c r="L516">
        <f>IF(RAW_GAMES!L516="","",RAW_GAMES!L516)</f>
        <v>3.54</v>
      </c>
      <c r="M516">
        <f>IF(RAW_GAMES!M516="","",RAW_GAMES!M516)</f>
        <v>2.4</v>
      </c>
      <c r="N516">
        <f t="shared" si="50"/>
        <v>1.1400000000000001</v>
      </c>
      <c r="O516" s="7">
        <f>RAW_GAMES!O516</f>
        <v>4</v>
      </c>
      <c r="P516">
        <f>RAW_GAMES!N516</f>
        <v>1</v>
      </c>
      <c r="Q516">
        <f t="shared" si="51"/>
        <v>0.25</v>
      </c>
      <c r="R516" s="7">
        <f>RAW_GAMES!Q516</f>
        <v>5</v>
      </c>
      <c r="S516">
        <f>RAW_GAMES!P516</f>
        <v>3</v>
      </c>
      <c r="T516">
        <f t="shared" si="52"/>
        <v>0.4</v>
      </c>
      <c r="U516">
        <f>_xlfn.XLOOKUP(C516,
  CALC_TEAMS_SEASON!B:B,
  CALC_TEAMS_SEASON!F:F)</f>
        <v>0.22060439560439565</v>
      </c>
      <c r="V516">
        <f>_xlfn.XLOOKUP(D516,
  CALC_TEAMS_SEASON!B:B,
  CALC_TEAMS_SEASON!F:F)</f>
        <v>0.13120421245421243</v>
      </c>
      <c r="W516" t="str">
        <f>RAW_GAMES!R516</f>
        <v>Kořenář</v>
      </c>
      <c r="X516" s="7">
        <f>RAW_GAMES!S516</f>
        <v>28</v>
      </c>
      <c r="Y516">
        <f t="shared" si="53"/>
        <v>0</v>
      </c>
      <c r="Z516" t="str">
        <f>RAW_GAMES!V516</f>
        <v>RS</v>
      </c>
    </row>
    <row r="517" spans="1:26" x14ac:dyDescent="0.25">
      <c r="A517" t="str">
        <f>RAW_GAMES!A517</f>
        <v>25/26</v>
      </c>
      <c r="B517" s="3">
        <f>RAW_GAMES!B517</f>
        <v>46026</v>
      </c>
      <c r="C517" s="3" t="str">
        <f>RAW_GAMES!E517</f>
        <v>KOM</v>
      </c>
      <c r="D517" s="3" t="str">
        <f>RAW_GAMES!F517</f>
        <v>KVA</v>
      </c>
      <c r="E517" s="7">
        <f>RAW_GAMES!G517</f>
        <v>1</v>
      </c>
      <c r="F517">
        <f>RAW_GAMES!H517</f>
        <v>2</v>
      </c>
      <c r="G517">
        <f>RAW_GAMES!I517</f>
        <v>3</v>
      </c>
      <c r="H517">
        <f t="shared" si="48"/>
        <v>-1</v>
      </c>
      <c r="I517">
        <f>RAW_GAMES!J517</f>
        <v>38</v>
      </c>
      <c r="J517">
        <f>RAW_GAMES!K517</f>
        <v>25</v>
      </c>
      <c r="K517">
        <f t="shared" si="49"/>
        <v>13</v>
      </c>
      <c r="L517">
        <f>IF(RAW_GAMES!L517="","",RAW_GAMES!L517)</f>
        <v>2.85</v>
      </c>
      <c r="M517">
        <f>IF(RAW_GAMES!M517="","",RAW_GAMES!M517)</f>
        <v>2.69</v>
      </c>
      <c r="N517">
        <f t="shared" si="50"/>
        <v>0.16000000000000014</v>
      </c>
      <c r="O517" s="7">
        <f>RAW_GAMES!O517</f>
        <v>4</v>
      </c>
      <c r="P517">
        <f>RAW_GAMES!N517</f>
        <v>1</v>
      </c>
      <c r="Q517">
        <f t="shared" si="51"/>
        <v>0.25</v>
      </c>
      <c r="R517" s="7">
        <f>RAW_GAMES!Q517</f>
        <v>4</v>
      </c>
      <c r="S517">
        <f>RAW_GAMES!P517</f>
        <v>0</v>
      </c>
      <c r="T517">
        <f t="shared" si="52"/>
        <v>1</v>
      </c>
      <c r="U517">
        <f>_xlfn.XLOOKUP(C517,
  CALC_TEAMS_SEASON!B:B,
  CALC_TEAMS_SEASON!F:F)</f>
        <v>0.14358974358974358</v>
      </c>
      <c r="V517">
        <f>_xlfn.XLOOKUP(D517,
  CALC_TEAMS_SEASON!B:B,
  CALC_TEAMS_SEASON!F:F)</f>
        <v>0.17387057387057389</v>
      </c>
      <c r="W517" t="str">
        <f>RAW_GAMES!R517</f>
        <v>Kavan</v>
      </c>
      <c r="X517" s="7">
        <f>RAW_GAMES!S517</f>
        <v>22</v>
      </c>
      <c r="Y517">
        <f t="shared" si="53"/>
        <v>0</v>
      </c>
      <c r="Z517" t="str">
        <f>RAW_GAMES!V517</f>
        <v>RS</v>
      </c>
    </row>
    <row r="518" spans="1:26" x14ac:dyDescent="0.25">
      <c r="A518" t="str">
        <f>RAW_GAMES!A518</f>
        <v>25/26</v>
      </c>
      <c r="B518" s="3">
        <f>RAW_GAMES!B518</f>
        <v>46026</v>
      </c>
      <c r="C518" s="3" t="str">
        <f>RAW_GAMES!E518</f>
        <v>CEB</v>
      </c>
      <c r="D518" s="3" t="str">
        <f>RAW_GAMES!F518</f>
        <v>OLO</v>
      </c>
      <c r="E518" s="7">
        <f>RAW_GAMES!G518</f>
        <v>1</v>
      </c>
      <c r="F518">
        <f>RAW_GAMES!H518</f>
        <v>2</v>
      </c>
      <c r="G518">
        <f>RAW_GAMES!I518</f>
        <v>1</v>
      </c>
      <c r="H518">
        <f t="shared" si="48"/>
        <v>1</v>
      </c>
      <c r="I518">
        <f>RAW_GAMES!J518</f>
        <v>26</v>
      </c>
      <c r="J518">
        <f>RAW_GAMES!K518</f>
        <v>30</v>
      </c>
      <c r="K518">
        <f t="shared" si="49"/>
        <v>-4</v>
      </c>
      <c r="L518" t="str">
        <f>IF(RAW_GAMES!L518="","",RAW_GAMES!L518)</f>
        <v/>
      </c>
      <c r="M518" t="str">
        <f>IF(RAW_GAMES!M518="","",RAW_GAMES!M518)</f>
        <v/>
      </c>
      <c r="N518" t="str">
        <f t="shared" si="50"/>
        <v/>
      </c>
      <c r="O518" s="7">
        <f>RAW_GAMES!O518</f>
        <v>3</v>
      </c>
      <c r="P518">
        <f>RAW_GAMES!N518</f>
        <v>0</v>
      </c>
      <c r="Q518">
        <f t="shared" si="51"/>
        <v>0</v>
      </c>
      <c r="R518" s="7">
        <f>RAW_GAMES!Q518</f>
        <v>3</v>
      </c>
      <c r="S518">
        <f>RAW_GAMES!P518</f>
        <v>0</v>
      </c>
      <c r="T518">
        <f t="shared" si="52"/>
        <v>1</v>
      </c>
      <c r="U518">
        <f>_xlfn.XLOOKUP(C518,
  CALC_TEAMS_SEASON!B:B,
  CALC_TEAMS_SEASON!F:F)</f>
        <v>0.13021353646353648</v>
      </c>
      <c r="V518">
        <f>_xlfn.XLOOKUP(D518,
  CALC_TEAMS_SEASON!B:B,
  CALC_TEAMS_SEASON!F:F)</f>
        <v>0.14989316239316242</v>
      </c>
      <c r="W518" t="str">
        <f>RAW_GAMES!R518</f>
        <v>Klouček</v>
      </c>
      <c r="X518" s="7">
        <f>RAW_GAMES!S518</f>
        <v>29</v>
      </c>
      <c r="Y518">
        <f t="shared" si="53"/>
        <v>1</v>
      </c>
      <c r="Z518" t="str">
        <f>RAW_GAMES!V518</f>
        <v>RS</v>
      </c>
    </row>
    <row r="519" spans="1:26" x14ac:dyDescent="0.25">
      <c r="A519" t="str">
        <f>RAW_GAMES!A519</f>
        <v>25/26</v>
      </c>
      <c r="B519" s="3">
        <f>RAW_GAMES!B519</f>
        <v>46026</v>
      </c>
      <c r="C519" s="3" t="str">
        <f>RAW_GAMES!E519</f>
        <v>KLA</v>
      </c>
      <c r="D519" s="3" t="str">
        <f>RAW_GAMES!F519</f>
        <v>SPA</v>
      </c>
      <c r="E519" s="7">
        <f>RAW_GAMES!G519</f>
        <v>0</v>
      </c>
      <c r="F519">
        <f>RAW_GAMES!H519</f>
        <v>5</v>
      </c>
      <c r="G519">
        <f>RAW_GAMES!I519</f>
        <v>4</v>
      </c>
      <c r="H519">
        <f t="shared" si="48"/>
        <v>1</v>
      </c>
      <c r="I519">
        <f>RAW_GAMES!J519</f>
        <v>33</v>
      </c>
      <c r="J519">
        <f>RAW_GAMES!K519</f>
        <v>38</v>
      </c>
      <c r="K519">
        <f t="shared" si="49"/>
        <v>-5</v>
      </c>
      <c r="L519">
        <f>IF(RAW_GAMES!L519="","",RAW_GAMES!L519)</f>
        <v>2.4</v>
      </c>
      <c r="M519">
        <f>IF(RAW_GAMES!M519="","",RAW_GAMES!M519)</f>
        <v>3.54</v>
      </c>
      <c r="N519">
        <f t="shared" si="50"/>
        <v>-1.1400000000000001</v>
      </c>
      <c r="O519" s="7">
        <f>RAW_GAMES!O519</f>
        <v>5</v>
      </c>
      <c r="P519">
        <f>RAW_GAMES!N519</f>
        <v>3</v>
      </c>
      <c r="Q519">
        <f t="shared" si="51"/>
        <v>0.6</v>
      </c>
      <c r="R519" s="7">
        <f>RAW_GAMES!Q519</f>
        <v>4</v>
      </c>
      <c r="S519">
        <f>RAW_GAMES!P519</f>
        <v>1</v>
      </c>
      <c r="T519">
        <f t="shared" si="52"/>
        <v>0.75</v>
      </c>
      <c r="U519">
        <f>_xlfn.XLOOKUP(C519,
  CALC_TEAMS_SEASON!B:B,
  CALC_TEAMS_SEASON!F:F)</f>
        <v>0.13120421245421243</v>
      </c>
      <c r="V519">
        <f>_xlfn.XLOOKUP(D519,
  CALC_TEAMS_SEASON!B:B,
  CALC_TEAMS_SEASON!F:F)</f>
        <v>0.22060439560439565</v>
      </c>
      <c r="W519" t="str">
        <f>RAW_GAMES!R519</f>
        <v>Brízgala</v>
      </c>
      <c r="X519" s="7">
        <f>RAW_GAMES!S519</f>
        <v>34</v>
      </c>
      <c r="Y519">
        <f t="shared" si="53"/>
        <v>1</v>
      </c>
      <c r="Z519" t="str">
        <f>RAW_GAMES!V519</f>
        <v>RS</v>
      </c>
    </row>
    <row r="520" spans="1:26" x14ac:dyDescent="0.25">
      <c r="A520" t="str">
        <f>RAW_GAMES!A520</f>
        <v>25/26</v>
      </c>
      <c r="B520" s="3">
        <f>RAW_GAMES!B520</f>
        <v>46026</v>
      </c>
      <c r="C520" s="3" t="str">
        <f>RAW_GAMES!E520</f>
        <v>KVA</v>
      </c>
      <c r="D520" s="3" t="str">
        <f>RAW_GAMES!F520</f>
        <v>KOM</v>
      </c>
      <c r="E520" s="7">
        <f>RAW_GAMES!G520</f>
        <v>0</v>
      </c>
      <c r="F520">
        <f>RAW_GAMES!H520</f>
        <v>3</v>
      </c>
      <c r="G520">
        <f>RAW_GAMES!I520</f>
        <v>2</v>
      </c>
      <c r="H520">
        <f t="shared" si="48"/>
        <v>1</v>
      </c>
      <c r="I520">
        <f>RAW_GAMES!J520</f>
        <v>25</v>
      </c>
      <c r="J520">
        <f>RAW_GAMES!K520</f>
        <v>38</v>
      </c>
      <c r="K520">
        <f t="shared" si="49"/>
        <v>-13</v>
      </c>
      <c r="L520">
        <f>IF(RAW_GAMES!L520="","",RAW_GAMES!L520)</f>
        <v>2.69</v>
      </c>
      <c r="M520">
        <f>IF(RAW_GAMES!M520="","",RAW_GAMES!M520)</f>
        <v>2.85</v>
      </c>
      <c r="N520">
        <f t="shared" si="50"/>
        <v>-0.16000000000000014</v>
      </c>
      <c r="O520" s="7">
        <f>RAW_GAMES!O520</f>
        <v>4</v>
      </c>
      <c r="P520">
        <f>RAW_GAMES!N520</f>
        <v>0</v>
      </c>
      <c r="Q520">
        <f t="shared" si="51"/>
        <v>0</v>
      </c>
      <c r="R520" s="7">
        <f>RAW_GAMES!Q520</f>
        <v>4</v>
      </c>
      <c r="S520">
        <f>RAW_GAMES!P520</f>
        <v>1</v>
      </c>
      <c r="T520">
        <f t="shared" si="52"/>
        <v>0.75</v>
      </c>
      <c r="U520">
        <f>_xlfn.XLOOKUP(C520,
  CALC_TEAMS_SEASON!B:B,
  CALC_TEAMS_SEASON!F:F)</f>
        <v>0.17387057387057389</v>
      </c>
      <c r="V520">
        <f>_xlfn.XLOOKUP(D520,
  CALC_TEAMS_SEASON!B:B,
  CALC_TEAMS_SEASON!F:F)</f>
        <v>0.14358974358974358</v>
      </c>
      <c r="W520" t="str">
        <f>RAW_GAMES!R520</f>
        <v>Frodl</v>
      </c>
      <c r="X520" s="7">
        <f>RAW_GAMES!S520</f>
        <v>36</v>
      </c>
      <c r="Y520">
        <f t="shared" si="53"/>
        <v>1</v>
      </c>
      <c r="Z520" t="str">
        <f>RAW_GAMES!V520</f>
        <v>RS</v>
      </c>
    </row>
    <row r="521" spans="1:26" x14ac:dyDescent="0.25">
      <c r="A521" t="str">
        <f>RAW_GAMES!A521</f>
        <v>25/26</v>
      </c>
      <c r="B521" s="3">
        <f>RAW_GAMES!B521</f>
        <v>46026</v>
      </c>
      <c r="C521" s="3" t="str">
        <f>RAW_GAMES!E521</f>
        <v>LIB</v>
      </c>
      <c r="D521" s="3" t="str">
        <f>RAW_GAMES!F521</f>
        <v>MHK</v>
      </c>
      <c r="E521" s="7">
        <f>RAW_GAMES!G521</f>
        <v>0</v>
      </c>
      <c r="F521">
        <f>RAW_GAMES!H521</f>
        <v>2</v>
      </c>
      <c r="G521">
        <f>RAW_GAMES!I521</f>
        <v>0</v>
      </c>
      <c r="H521">
        <f t="shared" si="48"/>
        <v>2</v>
      </c>
      <c r="I521">
        <f>RAW_GAMES!J521</f>
        <v>24</v>
      </c>
      <c r="J521">
        <f>RAW_GAMES!K521</f>
        <v>23</v>
      </c>
      <c r="K521">
        <f t="shared" si="49"/>
        <v>1</v>
      </c>
      <c r="L521" t="str">
        <f>IF(RAW_GAMES!L521="","",RAW_GAMES!L521)</f>
        <v/>
      </c>
      <c r="M521" t="str">
        <f>IF(RAW_GAMES!M521="","",RAW_GAMES!M521)</f>
        <v/>
      </c>
      <c r="N521" t="str">
        <f t="shared" si="50"/>
        <v/>
      </c>
      <c r="O521" s="7">
        <f>RAW_GAMES!O521</f>
        <v>5</v>
      </c>
      <c r="P521">
        <f>RAW_GAMES!N521</f>
        <v>1</v>
      </c>
      <c r="Q521">
        <f t="shared" si="51"/>
        <v>0.2</v>
      </c>
      <c r="R521" s="7">
        <f>RAW_GAMES!Q521</f>
        <v>3</v>
      </c>
      <c r="S521">
        <f>RAW_GAMES!P521</f>
        <v>0</v>
      </c>
      <c r="T521">
        <f t="shared" si="52"/>
        <v>1</v>
      </c>
      <c r="U521">
        <f>_xlfn.XLOOKUP(C521,
  CALC_TEAMS_SEASON!B:B,
  CALC_TEAMS_SEASON!F:F)</f>
        <v>0.14377289377289379</v>
      </c>
      <c r="V521">
        <f>_xlfn.XLOOKUP(D521,
  CALC_TEAMS_SEASON!B:B,
  CALC_TEAMS_SEASON!F:F)</f>
        <v>0.14184981684981687</v>
      </c>
      <c r="W521" t="str">
        <f>RAW_GAMES!R521</f>
        <v>Lukeš</v>
      </c>
      <c r="X521" s="7">
        <f>RAW_GAMES!S521</f>
        <v>23</v>
      </c>
      <c r="Y521">
        <f t="shared" si="53"/>
        <v>1</v>
      </c>
      <c r="Z521" t="str">
        <f>RAW_GAMES!V521</f>
        <v>RS</v>
      </c>
    </row>
    <row r="522" spans="1:26" x14ac:dyDescent="0.25">
      <c r="A522" t="str">
        <f>RAW_GAMES!A522</f>
        <v>25/26</v>
      </c>
      <c r="B522" s="3">
        <f>RAW_GAMES!B522</f>
        <v>46026</v>
      </c>
      <c r="C522" s="3" t="str">
        <f>RAW_GAMES!E522</f>
        <v>LIT</v>
      </c>
      <c r="D522" s="3" t="str">
        <f>RAW_GAMES!F522</f>
        <v>TRI</v>
      </c>
      <c r="E522" s="7">
        <f>RAW_GAMES!G522</f>
        <v>0</v>
      </c>
      <c r="F522">
        <f>RAW_GAMES!H522</f>
        <v>2</v>
      </c>
      <c r="G522">
        <f>RAW_GAMES!I522</f>
        <v>3</v>
      </c>
      <c r="H522">
        <f t="shared" si="48"/>
        <v>-1</v>
      </c>
      <c r="I522">
        <f>RAW_GAMES!J522</f>
        <v>24</v>
      </c>
      <c r="J522">
        <f>RAW_GAMES!K522</f>
        <v>26</v>
      </c>
      <c r="K522">
        <f t="shared" si="49"/>
        <v>-2</v>
      </c>
      <c r="L522">
        <f>IF(RAW_GAMES!L522="","",RAW_GAMES!L522)</f>
        <v>1.76</v>
      </c>
      <c r="M522">
        <f>IF(RAW_GAMES!M522="","",RAW_GAMES!M522)</f>
        <v>2.54</v>
      </c>
      <c r="N522">
        <f t="shared" si="50"/>
        <v>-0.78</v>
      </c>
      <c r="O522" s="7">
        <f>RAW_GAMES!O522</f>
        <v>2</v>
      </c>
      <c r="P522">
        <f>RAW_GAMES!N522</f>
        <v>0</v>
      </c>
      <c r="Q522">
        <f t="shared" si="51"/>
        <v>0</v>
      </c>
      <c r="R522" s="7">
        <f>RAW_GAMES!Q522</f>
        <v>2</v>
      </c>
      <c r="S522">
        <f>RAW_GAMES!P522</f>
        <v>0</v>
      </c>
      <c r="T522">
        <f t="shared" si="52"/>
        <v>1</v>
      </c>
      <c r="U522">
        <f>_xlfn.XLOOKUP(C522,
  CALC_TEAMS_SEASON!B:B,
  CALC_TEAMS_SEASON!F:F)</f>
        <v>0.10089285714285713</v>
      </c>
      <c r="V522">
        <f>_xlfn.XLOOKUP(D522,
  CALC_TEAMS_SEASON!B:B,
  CALC_TEAMS_SEASON!F:F)</f>
        <v>0.17437423687423692</v>
      </c>
      <c r="W522" t="str">
        <f>RAW_GAMES!R522</f>
        <v>Čajan</v>
      </c>
      <c r="X522" s="7">
        <f>RAW_GAMES!S522</f>
        <v>23</v>
      </c>
      <c r="Y522">
        <f t="shared" si="53"/>
        <v>0</v>
      </c>
      <c r="Z522" t="str">
        <f>RAW_GAMES!V522</f>
        <v>RS</v>
      </c>
    </row>
    <row r="523" spans="1:26" x14ac:dyDescent="0.25">
      <c r="A523" t="str">
        <f>RAW_GAMES!A523</f>
        <v>25/26</v>
      </c>
      <c r="B523" s="3">
        <f>RAW_GAMES!B523</f>
        <v>46026</v>
      </c>
      <c r="C523" s="3" t="str">
        <f>RAW_GAMES!E523</f>
        <v>MBL</v>
      </c>
      <c r="D523" s="3" t="str">
        <f>RAW_GAMES!F523</f>
        <v>PLZ</v>
      </c>
      <c r="E523" s="7">
        <f>RAW_GAMES!G523</f>
        <v>0</v>
      </c>
      <c r="F523">
        <f>RAW_GAMES!H523</f>
        <v>2</v>
      </c>
      <c r="G523">
        <f>RAW_GAMES!I523</f>
        <v>6</v>
      </c>
      <c r="H523">
        <f t="shared" si="48"/>
        <v>-4</v>
      </c>
      <c r="I523">
        <f>RAW_GAMES!J523</f>
        <v>16</v>
      </c>
      <c r="J523">
        <f>RAW_GAMES!K523</f>
        <v>38</v>
      </c>
      <c r="K523">
        <f t="shared" si="49"/>
        <v>-22</v>
      </c>
      <c r="L523" t="str">
        <f>IF(RAW_GAMES!L523="","",RAW_GAMES!L523)</f>
        <v/>
      </c>
      <c r="M523" t="str">
        <f>IF(RAW_GAMES!M523="","",RAW_GAMES!M523)</f>
        <v/>
      </c>
      <c r="N523" t="str">
        <f t="shared" si="50"/>
        <v/>
      </c>
      <c r="O523" s="7">
        <f>RAW_GAMES!O523</f>
        <v>4</v>
      </c>
      <c r="P523">
        <f>RAW_GAMES!N523</f>
        <v>1</v>
      </c>
      <c r="Q523">
        <f t="shared" si="51"/>
        <v>0.25</v>
      </c>
      <c r="R523" s="7">
        <f>RAW_GAMES!Q523</f>
        <v>6</v>
      </c>
      <c r="S523">
        <f>RAW_GAMES!P523</f>
        <v>2</v>
      </c>
      <c r="T523">
        <f t="shared" si="52"/>
        <v>0.66666666666666674</v>
      </c>
      <c r="U523">
        <f>_xlfn.XLOOKUP(C523,
  CALC_TEAMS_SEASON!B:B,
  CALC_TEAMS_SEASON!F:F)</f>
        <v>0.11826923076923078</v>
      </c>
      <c r="V523">
        <f>_xlfn.XLOOKUP(D523,
  CALC_TEAMS_SEASON!B:B,
  CALC_TEAMS_SEASON!F:F)</f>
        <v>0.17641178266178262</v>
      </c>
      <c r="W523" t="str">
        <f>RAW_GAMES!R523</f>
        <v>Furch</v>
      </c>
      <c r="X523" s="7">
        <f>RAW_GAMES!S523</f>
        <v>32</v>
      </c>
      <c r="Y523">
        <f t="shared" si="53"/>
        <v>0</v>
      </c>
      <c r="Z523" t="str">
        <f>RAW_GAMES!V523</f>
        <v>RS</v>
      </c>
    </row>
    <row r="524" spans="1:26" x14ac:dyDescent="0.25">
      <c r="A524" t="str">
        <f>RAW_GAMES!A524</f>
        <v>25/26</v>
      </c>
      <c r="B524" s="3">
        <f>RAW_GAMES!B524</f>
        <v>46026</v>
      </c>
      <c r="C524" s="3" t="str">
        <f>RAW_GAMES!E524</f>
        <v>MHK</v>
      </c>
      <c r="D524" s="3" t="str">
        <f>RAW_GAMES!F524</f>
        <v>LIB</v>
      </c>
      <c r="E524" s="7">
        <f>RAW_GAMES!G524</f>
        <v>1</v>
      </c>
      <c r="F524">
        <f>RAW_GAMES!H524</f>
        <v>0</v>
      </c>
      <c r="G524">
        <f>RAW_GAMES!I524</f>
        <v>2</v>
      </c>
      <c r="H524">
        <f t="shared" si="48"/>
        <v>-2</v>
      </c>
      <c r="I524">
        <f>RAW_GAMES!J524</f>
        <v>23</v>
      </c>
      <c r="J524">
        <f>RAW_GAMES!K524</f>
        <v>24</v>
      </c>
      <c r="K524">
        <f t="shared" si="49"/>
        <v>-1</v>
      </c>
      <c r="L524" t="str">
        <f>IF(RAW_GAMES!L524="","",RAW_GAMES!L524)</f>
        <v/>
      </c>
      <c r="M524" t="str">
        <f>IF(RAW_GAMES!M524="","",RAW_GAMES!M524)</f>
        <v/>
      </c>
      <c r="N524" t="str">
        <f t="shared" si="50"/>
        <v/>
      </c>
      <c r="O524" s="7">
        <f>RAW_GAMES!O524</f>
        <v>3</v>
      </c>
      <c r="P524">
        <f>RAW_GAMES!N524</f>
        <v>0</v>
      </c>
      <c r="Q524">
        <f t="shared" si="51"/>
        <v>0</v>
      </c>
      <c r="R524" s="7">
        <f>RAW_GAMES!Q524</f>
        <v>5</v>
      </c>
      <c r="S524">
        <f>RAW_GAMES!P524</f>
        <v>1</v>
      </c>
      <c r="T524">
        <f t="shared" si="52"/>
        <v>0.8</v>
      </c>
      <c r="U524">
        <f>_xlfn.XLOOKUP(C524,
  CALC_TEAMS_SEASON!B:B,
  CALC_TEAMS_SEASON!F:F)</f>
        <v>0.14184981684981687</v>
      </c>
      <c r="V524">
        <f>_xlfn.XLOOKUP(D524,
  CALC_TEAMS_SEASON!B:B,
  CALC_TEAMS_SEASON!F:F)</f>
        <v>0.14377289377289379</v>
      </c>
      <c r="W524" t="str">
        <f>RAW_GAMES!R524</f>
        <v>Škorvánek</v>
      </c>
      <c r="X524" s="7">
        <f>RAW_GAMES!S524</f>
        <v>22</v>
      </c>
      <c r="Y524">
        <f t="shared" si="53"/>
        <v>0</v>
      </c>
      <c r="Z524" t="str">
        <f>RAW_GAMES!V524</f>
        <v>RS</v>
      </c>
    </row>
    <row r="525" spans="1:26" x14ac:dyDescent="0.25">
      <c r="A525" t="str">
        <f>RAW_GAMES!A525</f>
        <v>25/26</v>
      </c>
      <c r="B525" s="3">
        <f>RAW_GAMES!B525</f>
        <v>46026</v>
      </c>
      <c r="C525" s="3" t="str">
        <f>RAW_GAMES!E525</f>
        <v>OLO</v>
      </c>
      <c r="D525" s="3" t="str">
        <f>RAW_GAMES!F525</f>
        <v>CEB</v>
      </c>
      <c r="E525" s="7">
        <f>RAW_GAMES!G525</f>
        <v>0</v>
      </c>
      <c r="F525">
        <f>RAW_GAMES!H525</f>
        <v>1</v>
      </c>
      <c r="G525">
        <f>RAW_GAMES!I525</f>
        <v>2</v>
      </c>
      <c r="H525">
        <f t="shared" si="48"/>
        <v>-1</v>
      </c>
      <c r="I525">
        <f>RAW_GAMES!J525</f>
        <v>30</v>
      </c>
      <c r="J525">
        <f>RAW_GAMES!K525</f>
        <v>26</v>
      </c>
      <c r="K525">
        <f t="shared" si="49"/>
        <v>4</v>
      </c>
      <c r="L525" t="str">
        <f>IF(RAW_GAMES!L525="","",RAW_GAMES!L525)</f>
        <v/>
      </c>
      <c r="M525" t="str">
        <f>IF(RAW_GAMES!M525="","",RAW_GAMES!M525)</f>
        <v/>
      </c>
      <c r="N525" t="str">
        <f t="shared" si="50"/>
        <v/>
      </c>
      <c r="O525" s="7">
        <f>RAW_GAMES!O525</f>
        <v>3</v>
      </c>
      <c r="P525">
        <f>RAW_GAMES!N525</f>
        <v>0</v>
      </c>
      <c r="Q525">
        <f t="shared" si="51"/>
        <v>0</v>
      </c>
      <c r="R525" s="7">
        <f>RAW_GAMES!Q525</f>
        <v>3</v>
      </c>
      <c r="S525">
        <f>RAW_GAMES!P525</f>
        <v>0</v>
      </c>
      <c r="T525">
        <f t="shared" si="52"/>
        <v>1</v>
      </c>
      <c r="U525">
        <f>_xlfn.XLOOKUP(C525,
  CALC_TEAMS_SEASON!B:B,
  CALC_TEAMS_SEASON!F:F)</f>
        <v>0.14989316239316242</v>
      </c>
      <c r="V525">
        <f>_xlfn.XLOOKUP(D525,
  CALC_TEAMS_SEASON!B:B,
  CALC_TEAMS_SEASON!F:F)</f>
        <v>0.13021353646353648</v>
      </c>
      <c r="W525" t="str">
        <f>RAW_GAMES!R525</f>
        <v>Cichoň</v>
      </c>
      <c r="X525" s="7">
        <f>RAW_GAMES!S525</f>
        <v>24</v>
      </c>
      <c r="Y525">
        <f t="shared" si="53"/>
        <v>0</v>
      </c>
      <c r="Z525" t="str">
        <f>RAW_GAMES!V525</f>
        <v>RS</v>
      </c>
    </row>
    <row r="526" spans="1:26" x14ac:dyDescent="0.25">
      <c r="A526" t="str">
        <f>RAW_GAMES!A526</f>
        <v>25/26</v>
      </c>
      <c r="B526" s="3">
        <f>RAW_GAMES!B526</f>
        <v>46026</v>
      </c>
      <c r="C526" s="3" t="str">
        <f>RAW_GAMES!E526</f>
        <v>PLZ</v>
      </c>
      <c r="D526" s="3" t="str">
        <f>RAW_GAMES!F526</f>
        <v>MBL</v>
      </c>
      <c r="E526" s="7">
        <f>RAW_GAMES!G526</f>
        <v>1</v>
      </c>
      <c r="F526">
        <f>RAW_GAMES!H526</f>
        <v>6</v>
      </c>
      <c r="G526">
        <f>RAW_GAMES!I526</f>
        <v>2</v>
      </c>
      <c r="H526">
        <f t="shared" si="48"/>
        <v>4</v>
      </c>
      <c r="I526">
        <f>RAW_GAMES!J526</f>
        <v>38</v>
      </c>
      <c r="J526">
        <f>RAW_GAMES!K526</f>
        <v>16</v>
      </c>
      <c r="K526">
        <f t="shared" si="49"/>
        <v>22</v>
      </c>
      <c r="L526" t="str">
        <f>IF(RAW_GAMES!L526="","",RAW_GAMES!L526)</f>
        <v/>
      </c>
      <c r="M526" t="str">
        <f>IF(RAW_GAMES!M526="","",RAW_GAMES!M526)</f>
        <v/>
      </c>
      <c r="N526" t="str">
        <f t="shared" si="50"/>
        <v/>
      </c>
      <c r="O526" s="7">
        <f>RAW_GAMES!O526</f>
        <v>6</v>
      </c>
      <c r="P526">
        <f>RAW_GAMES!N526</f>
        <v>2</v>
      </c>
      <c r="Q526">
        <f t="shared" si="51"/>
        <v>0.33333333333333331</v>
      </c>
      <c r="R526" s="7">
        <f>RAW_GAMES!Q526</f>
        <v>4</v>
      </c>
      <c r="S526">
        <f>RAW_GAMES!P526</f>
        <v>1</v>
      </c>
      <c r="T526">
        <f t="shared" si="52"/>
        <v>0.75</v>
      </c>
      <c r="U526">
        <f>_xlfn.XLOOKUP(C526,
  CALC_TEAMS_SEASON!B:B,
  CALC_TEAMS_SEASON!F:F)</f>
        <v>0.17641178266178262</v>
      </c>
      <c r="V526">
        <f>_xlfn.XLOOKUP(D526,
  CALC_TEAMS_SEASON!B:B,
  CALC_TEAMS_SEASON!F:F)</f>
        <v>0.11826923076923078</v>
      </c>
      <c r="W526" t="str">
        <f>RAW_GAMES!R526</f>
        <v>Malík</v>
      </c>
      <c r="X526" s="7">
        <f>RAW_GAMES!S526</f>
        <v>14</v>
      </c>
      <c r="Y526">
        <f t="shared" si="53"/>
        <v>1</v>
      </c>
      <c r="Z526" t="str">
        <f>RAW_GAMES!V526</f>
        <v>RS</v>
      </c>
    </row>
    <row r="527" spans="1:26" x14ac:dyDescent="0.25">
      <c r="A527" t="str">
        <f>RAW_GAMES!A527</f>
        <v>25/26</v>
      </c>
      <c r="B527" s="3">
        <f>RAW_GAMES!B527</f>
        <v>46026</v>
      </c>
      <c r="C527" s="3" t="str">
        <f>RAW_GAMES!E527</f>
        <v>VIT</v>
      </c>
      <c r="D527" s="3" t="str">
        <f>RAW_GAMES!F527</f>
        <v>PCE</v>
      </c>
      <c r="E527" s="7">
        <f>RAW_GAMES!G527</f>
        <v>0</v>
      </c>
      <c r="F527">
        <f>RAW_GAMES!H527</f>
        <v>1</v>
      </c>
      <c r="G527">
        <f>RAW_GAMES!I527</f>
        <v>4</v>
      </c>
      <c r="H527">
        <f t="shared" si="48"/>
        <v>-3</v>
      </c>
      <c r="I527">
        <f>RAW_GAMES!J527</f>
        <v>21</v>
      </c>
      <c r="J527">
        <f>RAW_GAMES!K527</f>
        <v>38</v>
      </c>
      <c r="K527">
        <f t="shared" si="49"/>
        <v>-17</v>
      </c>
      <c r="L527">
        <f>IF(RAW_GAMES!L527="","",RAW_GAMES!L527)</f>
        <v>2.17</v>
      </c>
      <c r="M527">
        <f>IF(RAW_GAMES!M527="","",RAW_GAMES!M527)</f>
        <v>3.45</v>
      </c>
      <c r="N527">
        <f t="shared" si="50"/>
        <v>-1.2800000000000002</v>
      </c>
      <c r="O527" s="7">
        <f>RAW_GAMES!O527</f>
        <v>2</v>
      </c>
      <c r="P527">
        <f>RAW_GAMES!N527</f>
        <v>0</v>
      </c>
      <c r="Q527">
        <f t="shared" si="51"/>
        <v>0</v>
      </c>
      <c r="R527" s="7">
        <f>RAW_GAMES!Q527</f>
        <v>4</v>
      </c>
      <c r="S527">
        <f>RAW_GAMES!P527</f>
        <v>0</v>
      </c>
      <c r="T527">
        <f t="shared" si="52"/>
        <v>1</v>
      </c>
      <c r="U527">
        <f>_xlfn.XLOOKUP(C527,
  CALC_TEAMS_SEASON!B:B,
  CALC_TEAMS_SEASON!F:F)</f>
        <v>0.16984890109890113</v>
      </c>
      <c r="V527">
        <f>_xlfn.XLOOKUP(D527,
  CALC_TEAMS_SEASON!B:B,
  CALC_TEAMS_SEASON!F:F)</f>
        <v>0.20297619047619053</v>
      </c>
      <c r="W527" t="str">
        <f>RAW_GAMES!R527</f>
        <v>Hrachovina</v>
      </c>
      <c r="X527" s="7">
        <f>RAW_GAMES!S527</f>
        <v>34</v>
      </c>
      <c r="Y527">
        <f t="shared" si="53"/>
        <v>0</v>
      </c>
      <c r="Z527" t="str">
        <f>RAW_GAMES!V527</f>
        <v>RS</v>
      </c>
    </row>
    <row r="528" spans="1:26" x14ac:dyDescent="0.25">
      <c r="A528" t="str">
        <f>RAW_GAMES!A528</f>
        <v>25/26</v>
      </c>
      <c r="B528" s="3">
        <f>RAW_GAMES!B528</f>
        <v>46028</v>
      </c>
      <c r="C528" s="3" t="str">
        <f>RAW_GAMES!E528</f>
        <v>PCE</v>
      </c>
      <c r="D528" s="3" t="str">
        <f>RAW_GAMES!F528</f>
        <v>SPA</v>
      </c>
      <c r="E528" s="7">
        <f>RAW_GAMES!G528</f>
        <v>0</v>
      </c>
      <c r="F528">
        <f>RAW_GAMES!H528</f>
        <v>3</v>
      </c>
      <c r="G528">
        <f>RAW_GAMES!I528</f>
        <v>2</v>
      </c>
      <c r="H528">
        <f t="shared" si="48"/>
        <v>1</v>
      </c>
      <c r="I528">
        <f>RAW_GAMES!J528</f>
        <v>33</v>
      </c>
      <c r="J528">
        <f>RAW_GAMES!K528</f>
        <v>31</v>
      </c>
      <c r="K528">
        <f t="shared" si="49"/>
        <v>2</v>
      </c>
      <c r="L528">
        <f>IF(RAW_GAMES!L528="","",RAW_GAMES!L528)</f>
        <v>2.77</v>
      </c>
      <c r="M528">
        <f>IF(RAW_GAMES!M528="","",RAW_GAMES!M528)</f>
        <v>3.69</v>
      </c>
      <c r="N528">
        <f t="shared" si="50"/>
        <v>-0.91999999999999993</v>
      </c>
      <c r="O528" s="7">
        <f>RAW_GAMES!O528</f>
        <v>6</v>
      </c>
      <c r="P528">
        <f>RAW_GAMES!N528</f>
        <v>0</v>
      </c>
      <c r="Q528">
        <f t="shared" si="51"/>
        <v>0</v>
      </c>
      <c r="R528" s="7">
        <f>RAW_GAMES!Q528</f>
        <v>7</v>
      </c>
      <c r="S528">
        <f>RAW_GAMES!P528</f>
        <v>0</v>
      </c>
      <c r="T528">
        <f t="shared" si="52"/>
        <v>1</v>
      </c>
      <c r="U528">
        <f>_xlfn.XLOOKUP(C528,
  CALC_TEAMS_SEASON!B:B,
  CALC_TEAMS_SEASON!F:F)</f>
        <v>0.20297619047619053</v>
      </c>
      <c r="V528">
        <f>_xlfn.XLOOKUP(D528,
  CALC_TEAMS_SEASON!B:B,
  CALC_TEAMS_SEASON!F:F)</f>
        <v>0.22060439560439565</v>
      </c>
      <c r="W528" t="str">
        <f>RAW_GAMES!R528</f>
        <v>Will</v>
      </c>
      <c r="X528" s="7">
        <f>RAW_GAMES!S528</f>
        <v>29</v>
      </c>
      <c r="Y528">
        <f t="shared" si="53"/>
        <v>1</v>
      </c>
      <c r="Z528" t="str">
        <f>RAW_GAMES!V528</f>
        <v>RS</v>
      </c>
    </row>
    <row r="529" spans="1:26" x14ac:dyDescent="0.25">
      <c r="A529" t="str">
        <f>RAW_GAMES!A529</f>
        <v>25/26</v>
      </c>
      <c r="B529" s="3">
        <f>RAW_GAMES!B529</f>
        <v>46028</v>
      </c>
      <c r="C529" s="3" t="str">
        <f>RAW_GAMES!E529</f>
        <v>SPA</v>
      </c>
      <c r="D529" s="3" t="str">
        <f>RAW_GAMES!F529</f>
        <v>PCE</v>
      </c>
      <c r="E529" s="7">
        <f>RAW_GAMES!G529</f>
        <v>1</v>
      </c>
      <c r="F529">
        <f>RAW_GAMES!H529</f>
        <v>2</v>
      </c>
      <c r="G529">
        <f>RAW_GAMES!I529</f>
        <v>3</v>
      </c>
      <c r="H529">
        <f t="shared" si="48"/>
        <v>-1</v>
      </c>
      <c r="I529">
        <f>RAW_GAMES!J529</f>
        <v>31</v>
      </c>
      <c r="J529">
        <f>RAW_GAMES!K529</f>
        <v>33</v>
      </c>
      <c r="K529">
        <f t="shared" si="49"/>
        <v>-2</v>
      </c>
      <c r="L529">
        <f>IF(RAW_GAMES!L529="","",RAW_GAMES!L529)</f>
        <v>3.69</v>
      </c>
      <c r="M529">
        <f>IF(RAW_GAMES!M529="","",RAW_GAMES!M529)</f>
        <v>2.77</v>
      </c>
      <c r="N529">
        <f t="shared" si="50"/>
        <v>0.91999999999999993</v>
      </c>
      <c r="O529" s="7">
        <f>RAW_GAMES!O529</f>
        <v>7</v>
      </c>
      <c r="P529">
        <f>RAW_GAMES!N529</f>
        <v>0</v>
      </c>
      <c r="Q529">
        <f t="shared" si="51"/>
        <v>0</v>
      </c>
      <c r="R529" s="7">
        <f>RAW_GAMES!Q529</f>
        <v>6</v>
      </c>
      <c r="S529">
        <f>RAW_GAMES!P529</f>
        <v>0</v>
      </c>
      <c r="T529">
        <f t="shared" si="52"/>
        <v>1</v>
      </c>
      <c r="U529">
        <f>_xlfn.XLOOKUP(C529,
  CALC_TEAMS_SEASON!B:B,
  CALC_TEAMS_SEASON!F:F)</f>
        <v>0.22060439560439565</v>
      </c>
      <c r="V529">
        <f>_xlfn.XLOOKUP(D529,
  CALC_TEAMS_SEASON!B:B,
  CALC_TEAMS_SEASON!F:F)</f>
        <v>0.20297619047619053</v>
      </c>
      <c r="W529" t="str">
        <f>RAW_GAMES!R529</f>
        <v>Kovář</v>
      </c>
      <c r="X529" s="7">
        <f>RAW_GAMES!S529</f>
        <v>30</v>
      </c>
      <c r="Y529">
        <f t="shared" si="53"/>
        <v>0</v>
      </c>
      <c r="Z529" t="str">
        <f>RAW_GAMES!V529</f>
        <v>RS</v>
      </c>
    </row>
    <row r="530" spans="1:26" x14ac:dyDescent="0.25">
      <c r="A530" t="str">
        <f>RAW_GAMES!A530</f>
        <v>25/26</v>
      </c>
      <c r="B530" s="3">
        <f>RAW_GAMES!B530</f>
        <v>46028</v>
      </c>
      <c r="C530" s="3" t="str">
        <f>RAW_GAMES!E530</f>
        <v>KOM</v>
      </c>
      <c r="D530" s="3" t="str">
        <f>RAW_GAMES!F530</f>
        <v>OLO</v>
      </c>
      <c r="E530" s="7">
        <f>RAW_GAMES!G530</f>
        <v>0</v>
      </c>
      <c r="F530">
        <f>RAW_GAMES!H530</f>
        <v>2</v>
      </c>
      <c r="G530">
        <f>RAW_GAMES!I530</f>
        <v>3</v>
      </c>
      <c r="H530">
        <f t="shared" si="48"/>
        <v>-1</v>
      </c>
      <c r="I530">
        <f>RAW_GAMES!J530</f>
        <v>35</v>
      </c>
      <c r="J530">
        <f>RAW_GAMES!K530</f>
        <v>23</v>
      </c>
      <c r="K530">
        <f t="shared" si="49"/>
        <v>12</v>
      </c>
      <c r="L530">
        <f>IF(RAW_GAMES!L530="","",RAW_GAMES!L530)</f>
        <v>2.76</v>
      </c>
      <c r="M530">
        <f>IF(RAW_GAMES!M530="","",RAW_GAMES!M530)</f>
        <v>2.96</v>
      </c>
      <c r="N530">
        <f t="shared" si="50"/>
        <v>-0.20000000000000018</v>
      </c>
      <c r="O530" s="7">
        <f>RAW_GAMES!O530</f>
        <v>2</v>
      </c>
      <c r="P530">
        <f>RAW_GAMES!N530</f>
        <v>1</v>
      </c>
      <c r="Q530">
        <f t="shared" si="51"/>
        <v>0.5</v>
      </c>
      <c r="R530" s="7">
        <f>RAW_GAMES!Q530</f>
        <v>3</v>
      </c>
      <c r="S530">
        <f>RAW_GAMES!P530</f>
        <v>1</v>
      </c>
      <c r="T530">
        <f t="shared" si="52"/>
        <v>0.66666666666666674</v>
      </c>
      <c r="U530">
        <f>_xlfn.XLOOKUP(C530,
  CALC_TEAMS_SEASON!B:B,
  CALC_TEAMS_SEASON!F:F)</f>
        <v>0.14358974358974358</v>
      </c>
      <c r="V530">
        <f>_xlfn.XLOOKUP(D530,
  CALC_TEAMS_SEASON!B:B,
  CALC_TEAMS_SEASON!F:F)</f>
        <v>0.14989316239316242</v>
      </c>
      <c r="W530" t="str">
        <f>RAW_GAMES!R530</f>
        <v>Stezka</v>
      </c>
      <c r="X530" s="7">
        <f>RAW_GAMES!S530</f>
        <v>20</v>
      </c>
      <c r="Y530">
        <f t="shared" si="53"/>
        <v>0</v>
      </c>
      <c r="Z530" t="str">
        <f>RAW_GAMES!V530</f>
        <v>RS</v>
      </c>
    </row>
    <row r="531" spans="1:26" x14ac:dyDescent="0.25">
      <c r="A531" t="str">
        <f>RAW_GAMES!A531</f>
        <v>25/26</v>
      </c>
      <c r="B531" s="3">
        <f>RAW_GAMES!B531</f>
        <v>46028</v>
      </c>
      <c r="C531" s="3" t="str">
        <f>RAW_GAMES!E531</f>
        <v>KLA</v>
      </c>
      <c r="D531" s="3" t="str">
        <f>RAW_GAMES!F531</f>
        <v>LIT</v>
      </c>
      <c r="E531" s="7">
        <f>RAW_GAMES!G531</f>
        <v>0</v>
      </c>
      <c r="F531">
        <f>RAW_GAMES!H531</f>
        <v>1</v>
      </c>
      <c r="G531">
        <f>RAW_GAMES!I531</f>
        <v>4</v>
      </c>
      <c r="H531">
        <f t="shared" si="48"/>
        <v>-3</v>
      </c>
      <c r="I531">
        <f>RAW_GAMES!J531</f>
        <v>31</v>
      </c>
      <c r="J531">
        <f>RAW_GAMES!K531</f>
        <v>26</v>
      </c>
      <c r="K531">
        <f t="shared" si="49"/>
        <v>5</v>
      </c>
      <c r="L531" t="str">
        <f>IF(RAW_GAMES!L531="","",RAW_GAMES!L531)</f>
        <v/>
      </c>
      <c r="M531" t="str">
        <f>IF(RAW_GAMES!M531="","",RAW_GAMES!M531)</f>
        <v/>
      </c>
      <c r="N531" t="str">
        <f t="shared" si="50"/>
        <v/>
      </c>
      <c r="O531" s="7">
        <f>RAW_GAMES!O531</f>
        <v>3</v>
      </c>
      <c r="P531">
        <f>RAW_GAMES!N531</f>
        <v>0</v>
      </c>
      <c r="Q531">
        <f t="shared" si="51"/>
        <v>0</v>
      </c>
      <c r="R531" s="7">
        <f>RAW_GAMES!Q531</f>
        <v>5</v>
      </c>
      <c r="S531">
        <f>RAW_GAMES!P531</f>
        <v>1</v>
      </c>
      <c r="T531">
        <f t="shared" si="52"/>
        <v>0.8</v>
      </c>
      <c r="U531">
        <f>_xlfn.XLOOKUP(C531,
  CALC_TEAMS_SEASON!B:B,
  CALC_TEAMS_SEASON!F:F)</f>
        <v>0.13120421245421243</v>
      </c>
      <c r="V531">
        <f>_xlfn.XLOOKUP(D531,
  CALC_TEAMS_SEASON!B:B,
  CALC_TEAMS_SEASON!F:F)</f>
        <v>0.10089285714285713</v>
      </c>
      <c r="W531" t="str">
        <f>RAW_GAMES!R531</f>
        <v>Brízgala</v>
      </c>
      <c r="X531" s="7">
        <f>RAW_GAMES!S531</f>
        <v>22</v>
      </c>
      <c r="Y531">
        <f t="shared" si="53"/>
        <v>0</v>
      </c>
      <c r="Z531" t="str">
        <f>RAW_GAMES!V531</f>
        <v>RS</v>
      </c>
    </row>
    <row r="532" spans="1:26" x14ac:dyDescent="0.25">
      <c r="A532" t="str">
        <f>RAW_GAMES!A532</f>
        <v>25/26</v>
      </c>
      <c r="B532" s="3">
        <f>RAW_GAMES!B532</f>
        <v>46028</v>
      </c>
      <c r="C532" s="3" t="str">
        <f>RAW_GAMES!E532</f>
        <v>LIT</v>
      </c>
      <c r="D532" s="3" t="str">
        <f>RAW_GAMES!F532</f>
        <v>KLA</v>
      </c>
      <c r="E532" s="7">
        <f>RAW_GAMES!G532</f>
        <v>1</v>
      </c>
      <c r="F532">
        <f>RAW_GAMES!H532</f>
        <v>4</v>
      </c>
      <c r="G532">
        <f>RAW_GAMES!I532</f>
        <v>1</v>
      </c>
      <c r="H532">
        <f t="shared" si="48"/>
        <v>3</v>
      </c>
      <c r="I532">
        <f>RAW_GAMES!J532</f>
        <v>26</v>
      </c>
      <c r="J532">
        <f>RAW_GAMES!K532</f>
        <v>31</v>
      </c>
      <c r="K532">
        <f t="shared" si="49"/>
        <v>-5</v>
      </c>
      <c r="L532" t="str">
        <f>IF(RAW_GAMES!L532="","",RAW_GAMES!L532)</f>
        <v/>
      </c>
      <c r="M532" t="str">
        <f>IF(RAW_GAMES!M532="","",RAW_GAMES!M532)</f>
        <v/>
      </c>
      <c r="N532" t="str">
        <f t="shared" si="50"/>
        <v/>
      </c>
      <c r="O532" s="7">
        <f>RAW_GAMES!O532</f>
        <v>5</v>
      </c>
      <c r="P532">
        <f>RAW_GAMES!N532</f>
        <v>1</v>
      </c>
      <c r="Q532">
        <f t="shared" si="51"/>
        <v>0.2</v>
      </c>
      <c r="R532" s="7">
        <f>RAW_GAMES!Q532</f>
        <v>3</v>
      </c>
      <c r="S532">
        <f>RAW_GAMES!P532</f>
        <v>0</v>
      </c>
      <c r="T532">
        <f t="shared" si="52"/>
        <v>1</v>
      </c>
      <c r="U532">
        <f>_xlfn.XLOOKUP(C532,
  CALC_TEAMS_SEASON!B:B,
  CALC_TEAMS_SEASON!F:F)</f>
        <v>0.10089285714285713</v>
      </c>
      <c r="V532">
        <f>_xlfn.XLOOKUP(D532,
  CALC_TEAMS_SEASON!B:B,
  CALC_TEAMS_SEASON!F:F)</f>
        <v>0.13120421245421243</v>
      </c>
      <c r="W532" t="str">
        <f>RAW_GAMES!R532</f>
        <v>Čajan</v>
      </c>
      <c r="X532" s="7">
        <f>RAW_GAMES!S532</f>
        <v>30</v>
      </c>
      <c r="Y532">
        <f t="shared" si="53"/>
        <v>1</v>
      </c>
      <c r="Z532" t="str">
        <f>RAW_GAMES!V532</f>
        <v>RS</v>
      </c>
    </row>
    <row r="533" spans="1:26" x14ac:dyDescent="0.25">
      <c r="A533" t="str">
        <f>RAW_GAMES!A533</f>
        <v>25/26</v>
      </c>
      <c r="B533" s="3">
        <f>RAW_GAMES!B533</f>
        <v>46028</v>
      </c>
      <c r="C533" s="3" t="str">
        <f>RAW_GAMES!E533</f>
        <v>OLO</v>
      </c>
      <c r="D533" s="3" t="str">
        <f>RAW_GAMES!F533</f>
        <v>KOM</v>
      </c>
      <c r="E533" s="7">
        <f>RAW_GAMES!G533</f>
        <v>1</v>
      </c>
      <c r="F533">
        <f>RAW_GAMES!H533</f>
        <v>3</v>
      </c>
      <c r="G533">
        <f>RAW_GAMES!I533</f>
        <v>2</v>
      </c>
      <c r="H533">
        <f t="shared" si="48"/>
        <v>1</v>
      </c>
      <c r="I533">
        <f>RAW_GAMES!J533</f>
        <v>23</v>
      </c>
      <c r="J533">
        <f>RAW_GAMES!K533</f>
        <v>35</v>
      </c>
      <c r="K533">
        <f t="shared" si="49"/>
        <v>-12</v>
      </c>
      <c r="L533">
        <f>IF(RAW_GAMES!L533="","",RAW_GAMES!L533)</f>
        <v>2.96</v>
      </c>
      <c r="M533">
        <f>IF(RAW_GAMES!M533="","",RAW_GAMES!M533)</f>
        <v>2.76</v>
      </c>
      <c r="N533">
        <f t="shared" si="50"/>
        <v>0.20000000000000018</v>
      </c>
      <c r="O533" s="7">
        <f>RAW_GAMES!O533</f>
        <v>3</v>
      </c>
      <c r="P533">
        <f>RAW_GAMES!N533</f>
        <v>1</v>
      </c>
      <c r="Q533">
        <f t="shared" si="51"/>
        <v>0.33333333333333331</v>
      </c>
      <c r="R533" s="7">
        <f>RAW_GAMES!Q533</f>
        <v>2</v>
      </c>
      <c r="S533">
        <f>RAW_GAMES!P533</f>
        <v>1</v>
      </c>
      <c r="T533">
        <f t="shared" si="52"/>
        <v>0.5</v>
      </c>
      <c r="U533">
        <f>_xlfn.XLOOKUP(C533,
  CALC_TEAMS_SEASON!B:B,
  CALC_TEAMS_SEASON!F:F)</f>
        <v>0.14989316239316242</v>
      </c>
      <c r="V533">
        <f>_xlfn.XLOOKUP(D533,
  CALC_TEAMS_SEASON!B:B,
  CALC_TEAMS_SEASON!F:F)</f>
        <v>0.14358974358974358</v>
      </c>
      <c r="W533" t="str">
        <f>RAW_GAMES!R533</f>
        <v>Cichoň</v>
      </c>
      <c r="X533" s="7">
        <f>RAW_GAMES!S533</f>
        <v>33</v>
      </c>
      <c r="Y533">
        <f t="shared" si="53"/>
        <v>1</v>
      </c>
      <c r="Z533" t="str">
        <f>RAW_GAMES!V533</f>
        <v>RS</v>
      </c>
    </row>
    <row r="534" spans="1:26" x14ac:dyDescent="0.25">
      <c r="A534" t="str">
        <f>RAW_GAMES!A534</f>
        <v>25/26</v>
      </c>
      <c r="B534" s="3">
        <f>RAW_GAMES!B534</f>
        <v>46028</v>
      </c>
      <c r="C534" s="3" t="str">
        <f>RAW_GAMES!E534</f>
        <v>PLZ</v>
      </c>
      <c r="D534" s="3" t="str">
        <f>RAW_GAMES!F534</f>
        <v>VIT</v>
      </c>
      <c r="E534" s="7">
        <f>RAW_GAMES!G534</f>
        <v>0</v>
      </c>
      <c r="F534">
        <f>RAW_GAMES!H534</f>
        <v>6</v>
      </c>
      <c r="G534">
        <f>RAW_GAMES!I534</f>
        <v>4</v>
      </c>
      <c r="H534">
        <f t="shared" si="48"/>
        <v>2</v>
      </c>
      <c r="I534">
        <f>RAW_GAMES!J534</f>
        <v>32</v>
      </c>
      <c r="J534">
        <f>RAW_GAMES!K534</f>
        <v>24</v>
      </c>
      <c r="K534">
        <f t="shared" si="49"/>
        <v>8</v>
      </c>
      <c r="L534" t="str">
        <f>IF(RAW_GAMES!L534="","",RAW_GAMES!L534)</f>
        <v/>
      </c>
      <c r="M534" t="str">
        <f>IF(RAW_GAMES!M534="","",RAW_GAMES!M534)</f>
        <v/>
      </c>
      <c r="N534" t="str">
        <f t="shared" si="50"/>
        <v/>
      </c>
      <c r="O534" s="7">
        <f>RAW_GAMES!O534</f>
        <v>1</v>
      </c>
      <c r="P534">
        <f>RAW_GAMES!N534</f>
        <v>1</v>
      </c>
      <c r="Q534">
        <f t="shared" si="51"/>
        <v>1</v>
      </c>
      <c r="R534" s="7">
        <f>RAW_GAMES!Q534</f>
        <v>5</v>
      </c>
      <c r="S534">
        <f>RAW_GAMES!P534</f>
        <v>2</v>
      </c>
      <c r="T534">
        <f t="shared" si="52"/>
        <v>0.6</v>
      </c>
      <c r="U534">
        <f>_xlfn.XLOOKUP(C534,
  CALC_TEAMS_SEASON!B:B,
  CALC_TEAMS_SEASON!F:F)</f>
        <v>0.17641178266178262</v>
      </c>
      <c r="V534">
        <f>_xlfn.XLOOKUP(D534,
  CALC_TEAMS_SEASON!B:B,
  CALC_TEAMS_SEASON!F:F)</f>
        <v>0.16984890109890113</v>
      </c>
      <c r="W534" t="str">
        <f>RAW_GAMES!R534</f>
        <v>Růžička</v>
      </c>
      <c r="X534" s="7">
        <f>RAW_GAMES!S534</f>
        <v>20</v>
      </c>
      <c r="Y534">
        <f t="shared" si="53"/>
        <v>1</v>
      </c>
      <c r="Z534" t="str">
        <f>RAW_GAMES!V534</f>
        <v>RS</v>
      </c>
    </row>
    <row r="535" spans="1:26" x14ac:dyDescent="0.25">
      <c r="A535" t="str">
        <f>RAW_GAMES!A535</f>
        <v>25/26</v>
      </c>
      <c r="B535" s="3">
        <f>RAW_GAMES!B535</f>
        <v>46028</v>
      </c>
      <c r="C535" s="3" t="str">
        <f>RAW_GAMES!E535</f>
        <v>VIT</v>
      </c>
      <c r="D535" s="3" t="str">
        <f>RAW_GAMES!F535</f>
        <v>PLZ</v>
      </c>
      <c r="E535" s="7">
        <f>RAW_GAMES!G535</f>
        <v>1</v>
      </c>
      <c r="F535">
        <f>RAW_GAMES!H535</f>
        <v>4</v>
      </c>
      <c r="G535">
        <f>RAW_GAMES!I535</f>
        <v>6</v>
      </c>
      <c r="H535">
        <f t="shared" si="48"/>
        <v>-2</v>
      </c>
      <c r="I535">
        <f>RAW_GAMES!J535</f>
        <v>24</v>
      </c>
      <c r="J535">
        <f>RAW_GAMES!K535</f>
        <v>32</v>
      </c>
      <c r="K535">
        <f t="shared" si="49"/>
        <v>-8</v>
      </c>
      <c r="L535" t="str">
        <f>IF(RAW_GAMES!L535="","",RAW_GAMES!L535)</f>
        <v/>
      </c>
      <c r="M535" t="str">
        <f>IF(RAW_GAMES!M535="","",RAW_GAMES!M535)</f>
        <v/>
      </c>
      <c r="N535" t="str">
        <f t="shared" si="50"/>
        <v/>
      </c>
      <c r="O535" s="7">
        <f>RAW_GAMES!O535</f>
        <v>5</v>
      </c>
      <c r="P535">
        <f>RAW_GAMES!N535</f>
        <v>2</v>
      </c>
      <c r="Q535">
        <f t="shared" si="51"/>
        <v>0.4</v>
      </c>
      <c r="R535" s="7">
        <f>RAW_GAMES!Q535</f>
        <v>1</v>
      </c>
      <c r="S535">
        <f>RAW_GAMES!P535</f>
        <v>1</v>
      </c>
      <c r="T535">
        <f t="shared" si="52"/>
        <v>0</v>
      </c>
      <c r="U535">
        <f>_xlfn.XLOOKUP(C535,
  CALC_TEAMS_SEASON!B:B,
  CALC_TEAMS_SEASON!F:F)</f>
        <v>0.16984890109890113</v>
      </c>
      <c r="V535">
        <f>_xlfn.XLOOKUP(D535,
  CALC_TEAMS_SEASON!B:B,
  CALC_TEAMS_SEASON!F:F)</f>
        <v>0.17641178266178262</v>
      </c>
      <c r="W535" t="str">
        <f>RAW_GAMES!R535</f>
        <v>Hrachovina</v>
      </c>
      <c r="X535" s="7">
        <f>RAW_GAMES!S535</f>
        <v>26</v>
      </c>
      <c r="Y535">
        <f t="shared" si="53"/>
        <v>0</v>
      </c>
      <c r="Z535" t="str">
        <f>RAW_GAMES!V535</f>
        <v>RS</v>
      </c>
    </row>
    <row r="536" spans="1:26" x14ac:dyDescent="0.25">
      <c r="A536" t="str">
        <f>RAW_GAMES!A536</f>
        <v>25/26</v>
      </c>
      <c r="B536" s="3">
        <f>RAW_GAMES!B536</f>
        <v>46029</v>
      </c>
      <c r="C536" s="3" t="str">
        <f>RAW_GAMES!E536</f>
        <v>TRI</v>
      </c>
      <c r="D536" s="3" t="str">
        <f>RAW_GAMES!F536</f>
        <v>KVA</v>
      </c>
      <c r="E536" s="7">
        <f>RAW_GAMES!G536</f>
        <v>1</v>
      </c>
      <c r="F536">
        <f>RAW_GAMES!H536</f>
        <v>6</v>
      </c>
      <c r="G536">
        <f>RAW_GAMES!I536</f>
        <v>3</v>
      </c>
      <c r="H536">
        <f t="shared" si="48"/>
        <v>3</v>
      </c>
      <c r="I536">
        <f>RAW_GAMES!J536</f>
        <v>30</v>
      </c>
      <c r="J536">
        <f>RAW_GAMES!K536</f>
        <v>26</v>
      </c>
      <c r="K536">
        <f t="shared" si="49"/>
        <v>4</v>
      </c>
      <c r="L536">
        <f>IF(RAW_GAMES!L536="","",RAW_GAMES!L536)</f>
        <v>3.13</v>
      </c>
      <c r="M536">
        <f>IF(RAW_GAMES!M536="","",RAW_GAMES!M536)</f>
        <v>3.12</v>
      </c>
      <c r="N536">
        <f t="shared" si="50"/>
        <v>9.9999999999997868E-3</v>
      </c>
      <c r="O536" s="7">
        <f>RAW_GAMES!O536</f>
        <v>2</v>
      </c>
      <c r="P536">
        <f>RAW_GAMES!N536</f>
        <v>0</v>
      </c>
      <c r="Q536">
        <f t="shared" si="51"/>
        <v>0</v>
      </c>
      <c r="R536" s="7">
        <f>RAW_GAMES!Q536</f>
        <v>3</v>
      </c>
      <c r="S536">
        <f>RAW_GAMES!P536</f>
        <v>1</v>
      </c>
      <c r="T536">
        <f t="shared" si="52"/>
        <v>0.66666666666666674</v>
      </c>
      <c r="U536">
        <f>_xlfn.XLOOKUP(C536,
  CALC_TEAMS_SEASON!B:B,
  CALC_TEAMS_SEASON!F:F)</f>
        <v>0.17437423687423692</v>
      </c>
      <c r="V536">
        <f>_xlfn.XLOOKUP(D536,
  CALC_TEAMS_SEASON!B:B,
  CALC_TEAMS_SEASON!F:F)</f>
        <v>0.17387057387057389</v>
      </c>
      <c r="W536" t="str">
        <f>RAW_GAMES!R536</f>
        <v>Mazanec</v>
      </c>
      <c r="X536" s="7">
        <f>RAW_GAMES!S536</f>
        <v>23</v>
      </c>
      <c r="Y536">
        <f t="shared" si="53"/>
        <v>1</v>
      </c>
      <c r="Z536" t="str">
        <f>RAW_GAMES!V536</f>
        <v>RS</v>
      </c>
    </row>
    <row r="537" spans="1:26" x14ac:dyDescent="0.25">
      <c r="A537" t="str">
        <f>RAW_GAMES!A537</f>
        <v>25/26</v>
      </c>
      <c r="B537" s="3">
        <f>RAW_GAMES!B537</f>
        <v>46029</v>
      </c>
      <c r="C537" s="3" t="str">
        <f>RAW_GAMES!E537</f>
        <v>KVA</v>
      </c>
      <c r="D537" s="3" t="str">
        <f>RAW_GAMES!F537</f>
        <v>TRI</v>
      </c>
      <c r="E537" s="7">
        <f>RAW_GAMES!G537</f>
        <v>0</v>
      </c>
      <c r="F537">
        <f>RAW_GAMES!H537</f>
        <v>3</v>
      </c>
      <c r="G537">
        <f>RAW_GAMES!I537</f>
        <v>6</v>
      </c>
      <c r="H537">
        <f t="shared" si="48"/>
        <v>-3</v>
      </c>
      <c r="I537">
        <f>RAW_GAMES!J537</f>
        <v>26</v>
      </c>
      <c r="J537">
        <f>RAW_GAMES!K537</f>
        <v>30</v>
      </c>
      <c r="K537">
        <f t="shared" si="49"/>
        <v>-4</v>
      </c>
      <c r="L537">
        <f>IF(RAW_GAMES!L537="","",RAW_GAMES!L537)</f>
        <v>3.12</v>
      </c>
      <c r="M537">
        <f>IF(RAW_GAMES!M537="","",RAW_GAMES!M537)</f>
        <v>3.13</v>
      </c>
      <c r="N537">
        <f t="shared" si="50"/>
        <v>-9.9999999999997868E-3</v>
      </c>
      <c r="O537" s="7">
        <f>RAW_GAMES!O537</f>
        <v>3</v>
      </c>
      <c r="P537">
        <f>RAW_GAMES!N537</f>
        <v>1</v>
      </c>
      <c r="Q537">
        <f t="shared" si="51"/>
        <v>0.33333333333333331</v>
      </c>
      <c r="R537" s="7">
        <f>RAW_GAMES!Q537</f>
        <v>2</v>
      </c>
      <c r="S537">
        <f>RAW_GAMES!P537</f>
        <v>0</v>
      </c>
      <c r="T537">
        <f t="shared" si="52"/>
        <v>1</v>
      </c>
      <c r="U537">
        <f>_xlfn.XLOOKUP(C537,
  CALC_TEAMS_SEASON!B:B,
  CALC_TEAMS_SEASON!F:F)</f>
        <v>0.17387057387057389</v>
      </c>
      <c r="V537">
        <f>_xlfn.XLOOKUP(D537,
  CALC_TEAMS_SEASON!B:B,
  CALC_TEAMS_SEASON!F:F)</f>
        <v>0.17437423687423692</v>
      </c>
      <c r="W537" t="str">
        <f>RAW_GAMES!R537</f>
        <v>Frodl</v>
      </c>
      <c r="X537" s="7">
        <f>RAW_GAMES!S537</f>
        <v>24</v>
      </c>
      <c r="Y537">
        <f t="shared" si="53"/>
        <v>0</v>
      </c>
      <c r="Z537" t="str">
        <f>RAW_GAMES!V537</f>
        <v>RS</v>
      </c>
    </row>
    <row r="538" spans="1:26" x14ac:dyDescent="0.25">
      <c r="A538" t="str">
        <f>RAW_GAMES!A538</f>
        <v>25/26</v>
      </c>
      <c r="B538" s="3">
        <f>RAW_GAMES!B538</f>
        <v>46031</v>
      </c>
      <c r="C538" s="3" t="str">
        <f>RAW_GAMES!E538</f>
        <v>PCE</v>
      </c>
      <c r="D538" s="3" t="str">
        <f>RAW_GAMES!F538</f>
        <v>MHK</v>
      </c>
      <c r="E538" s="7">
        <f>RAW_GAMES!G538</f>
        <v>0</v>
      </c>
      <c r="F538">
        <f>RAW_GAMES!H538</f>
        <v>3</v>
      </c>
      <c r="G538">
        <f>RAW_GAMES!I538</f>
        <v>4</v>
      </c>
      <c r="H538">
        <f t="shared" si="48"/>
        <v>-1</v>
      </c>
      <c r="I538">
        <f>RAW_GAMES!J538</f>
        <v>29</v>
      </c>
      <c r="J538">
        <f>RAW_GAMES!K538</f>
        <v>34</v>
      </c>
      <c r="K538">
        <f t="shared" si="49"/>
        <v>-5</v>
      </c>
      <c r="L538">
        <f>IF(RAW_GAMES!L538="","",RAW_GAMES!L538)</f>
        <v>3.13</v>
      </c>
      <c r="M538">
        <f>IF(RAW_GAMES!M538="","",RAW_GAMES!M538)</f>
        <v>2.27</v>
      </c>
      <c r="N538">
        <f t="shared" si="50"/>
        <v>0.85999999999999988</v>
      </c>
      <c r="O538" s="7">
        <f>RAW_GAMES!O538</f>
        <v>4</v>
      </c>
      <c r="P538">
        <f>RAW_GAMES!N538</f>
        <v>0</v>
      </c>
      <c r="Q538">
        <f t="shared" si="51"/>
        <v>0</v>
      </c>
      <c r="R538" s="7">
        <f>RAW_GAMES!Q538</f>
        <v>7</v>
      </c>
      <c r="S538">
        <f>RAW_GAMES!P538</f>
        <v>1</v>
      </c>
      <c r="T538">
        <f t="shared" si="52"/>
        <v>0.85714285714285721</v>
      </c>
      <c r="U538">
        <f>_xlfn.XLOOKUP(C538,
  CALC_TEAMS_SEASON!B:B,
  CALC_TEAMS_SEASON!F:F)</f>
        <v>0.20297619047619053</v>
      </c>
      <c r="V538">
        <f>_xlfn.XLOOKUP(D538,
  CALC_TEAMS_SEASON!B:B,
  CALC_TEAMS_SEASON!F:F)</f>
        <v>0.14184981684981687</v>
      </c>
      <c r="W538" t="str">
        <f>RAW_GAMES!R538</f>
        <v>Will</v>
      </c>
      <c r="X538" s="7">
        <f>RAW_GAMES!S538</f>
        <v>31</v>
      </c>
      <c r="Y538">
        <f t="shared" si="53"/>
        <v>0</v>
      </c>
      <c r="Z538" t="str">
        <f>RAW_GAMES!V538</f>
        <v>RS</v>
      </c>
    </row>
    <row r="539" spans="1:26" x14ac:dyDescent="0.25">
      <c r="A539" t="str">
        <f>RAW_GAMES!A539</f>
        <v>25/26</v>
      </c>
      <c r="B539" s="3">
        <f>RAW_GAMES!B539</f>
        <v>46031</v>
      </c>
      <c r="C539" s="3" t="str">
        <f>RAW_GAMES!E539</f>
        <v>TRI</v>
      </c>
      <c r="D539" s="3" t="str">
        <f>RAW_GAMES!F539</f>
        <v>OLO</v>
      </c>
      <c r="E539" s="7">
        <f>RAW_GAMES!G539</f>
        <v>0</v>
      </c>
      <c r="F539">
        <f>RAW_GAMES!H539</f>
        <v>1</v>
      </c>
      <c r="G539">
        <f>RAW_GAMES!I539</f>
        <v>4</v>
      </c>
      <c r="H539">
        <f t="shared" si="48"/>
        <v>-3</v>
      </c>
      <c r="I539">
        <f>RAW_GAMES!J539</f>
        <v>18</v>
      </c>
      <c r="J539">
        <f>RAW_GAMES!K539</f>
        <v>23</v>
      </c>
      <c r="K539">
        <f t="shared" si="49"/>
        <v>-5</v>
      </c>
      <c r="L539">
        <f>IF(RAW_GAMES!L539="","",RAW_GAMES!L539)</f>
        <v>1.61</v>
      </c>
      <c r="M539">
        <f>IF(RAW_GAMES!M539="","",RAW_GAMES!M539)</f>
        <v>2.34</v>
      </c>
      <c r="N539">
        <f t="shared" si="50"/>
        <v>-0.72999999999999976</v>
      </c>
      <c r="O539" s="7">
        <f>RAW_GAMES!O539</f>
        <v>9</v>
      </c>
      <c r="P539">
        <f>RAW_GAMES!N539</f>
        <v>0</v>
      </c>
      <c r="Q539">
        <f t="shared" si="51"/>
        <v>0</v>
      </c>
      <c r="R539" s="7">
        <f>RAW_GAMES!Q539</f>
        <v>5</v>
      </c>
      <c r="S539">
        <f>RAW_GAMES!P539</f>
        <v>2</v>
      </c>
      <c r="T539">
        <f t="shared" si="52"/>
        <v>0.6</v>
      </c>
      <c r="U539">
        <f>_xlfn.XLOOKUP(C539,
  CALC_TEAMS_SEASON!B:B,
  CALC_TEAMS_SEASON!F:F)</f>
        <v>0.17437423687423692</v>
      </c>
      <c r="V539">
        <f>_xlfn.XLOOKUP(D539,
  CALC_TEAMS_SEASON!B:B,
  CALC_TEAMS_SEASON!F:F)</f>
        <v>0.14989316239316242</v>
      </c>
      <c r="W539" t="str">
        <f>RAW_GAMES!R539</f>
        <v>Mazanec</v>
      </c>
      <c r="X539" s="7">
        <f>RAW_GAMES!S539</f>
        <v>19</v>
      </c>
      <c r="Y539">
        <f t="shared" si="53"/>
        <v>0</v>
      </c>
      <c r="Z539" t="str">
        <f>RAW_GAMES!V539</f>
        <v>RS</v>
      </c>
    </row>
    <row r="540" spans="1:26" x14ac:dyDescent="0.25">
      <c r="A540" t="str">
        <f>RAW_GAMES!A540</f>
        <v>25/26</v>
      </c>
      <c r="B540" s="3">
        <f>RAW_GAMES!B540</f>
        <v>46031</v>
      </c>
      <c r="C540" s="3" t="str">
        <f>RAW_GAMES!E540</f>
        <v>KOM</v>
      </c>
      <c r="D540" s="3" t="str">
        <f>RAW_GAMES!F540</f>
        <v>LIT</v>
      </c>
      <c r="E540" s="7">
        <f>RAW_GAMES!G540</f>
        <v>1</v>
      </c>
      <c r="F540">
        <f>RAW_GAMES!H540</f>
        <v>7</v>
      </c>
      <c r="G540">
        <f>RAW_GAMES!I540</f>
        <v>2</v>
      </c>
      <c r="H540">
        <f t="shared" si="48"/>
        <v>5</v>
      </c>
      <c r="I540">
        <f>RAW_GAMES!J540</f>
        <v>41</v>
      </c>
      <c r="J540">
        <f>RAW_GAMES!K540</f>
        <v>22</v>
      </c>
      <c r="K540">
        <f t="shared" si="49"/>
        <v>19</v>
      </c>
      <c r="L540">
        <f>IF(RAW_GAMES!L540="","",RAW_GAMES!L540)</f>
        <v>3.96</v>
      </c>
      <c r="M540">
        <f>IF(RAW_GAMES!M540="","",RAW_GAMES!M540)</f>
        <v>1.63</v>
      </c>
      <c r="N540">
        <f t="shared" si="50"/>
        <v>2.33</v>
      </c>
      <c r="O540" s="7">
        <f>RAW_GAMES!O540</f>
        <v>3</v>
      </c>
      <c r="P540">
        <f>RAW_GAMES!N540</f>
        <v>1</v>
      </c>
      <c r="Q540">
        <f t="shared" si="51"/>
        <v>0.33333333333333331</v>
      </c>
      <c r="R540" s="7">
        <f>RAW_GAMES!Q540</f>
        <v>2</v>
      </c>
      <c r="S540">
        <f>RAW_GAMES!P540</f>
        <v>1</v>
      </c>
      <c r="T540">
        <f t="shared" si="52"/>
        <v>0.5</v>
      </c>
      <c r="U540">
        <f>_xlfn.XLOOKUP(C540,
  CALC_TEAMS_SEASON!B:B,
  CALC_TEAMS_SEASON!F:F)</f>
        <v>0.14358974358974358</v>
      </c>
      <c r="V540">
        <f>_xlfn.XLOOKUP(D540,
  CALC_TEAMS_SEASON!B:B,
  CALC_TEAMS_SEASON!F:F)</f>
        <v>0.10089285714285713</v>
      </c>
      <c r="W540" t="str">
        <f>RAW_GAMES!R540</f>
        <v>Stezka</v>
      </c>
      <c r="X540" s="7">
        <f>RAW_GAMES!S540</f>
        <v>20</v>
      </c>
      <c r="Y540">
        <f t="shared" si="53"/>
        <v>1</v>
      </c>
      <c r="Z540" t="str">
        <f>RAW_GAMES!V540</f>
        <v>RS</v>
      </c>
    </row>
    <row r="541" spans="1:26" x14ac:dyDescent="0.25">
      <c r="A541" t="str">
        <f>RAW_GAMES!A541</f>
        <v>25/26</v>
      </c>
      <c r="B541" s="3">
        <f>RAW_GAMES!B541</f>
        <v>46031</v>
      </c>
      <c r="C541" s="3" t="str">
        <f>RAW_GAMES!E541</f>
        <v>KLA</v>
      </c>
      <c r="D541" s="3" t="str">
        <f>RAW_GAMES!F541</f>
        <v>MBL</v>
      </c>
      <c r="E541" s="7">
        <f>RAW_GAMES!G541</f>
        <v>0</v>
      </c>
      <c r="F541">
        <f>RAW_GAMES!H541</f>
        <v>5</v>
      </c>
      <c r="G541">
        <f>RAW_GAMES!I541</f>
        <v>1</v>
      </c>
      <c r="H541">
        <f t="shared" si="48"/>
        <v>4</v>
      </c>
      <c r="I541">
        <f>RAW_GAMES!J541</f>
        <v>19</v>
      </c>
      <c r="J541">
        <f>RAW_GAMES!K541</f>
        <v>21</v>
      </c>
      <c r="K541">
        <f t="shared" si="49"/>
        <v>-2</v>
      </c>
      <c r="L541" t="str">
        <f>IF(RAW_GAMES!L541="","",RAW_GAMES!L541)</f>
        <v/>
      </c>
      <c r="M541" t="str">
        <f>IF(RAW_GAMES!M541="","",RAW_GAMES!M541)</f>
        <v/>
      </c>
      <c r="N541" t="str">
        <f t="shared" si="50"/>
        <v/>
      </c>
      <c r="O541" s="7">
        <f>RAW_GAMES!O541</f>
        <v>3</v>
      </c>
      <c r="P541">
        <f>RAW_GAMES!N541</f>
        <v>0</v>
      </c>
      <c r="Q541">
        <f t="shared" si="51"/>
        <v>0</v>
      </c>
      <c r="R541" s="7">
        <f>RAW_GAMES!Q541</f>
        <v>4</v>
      </c>
      <c r="S541">
        <f>RAW_GAMES!P541</f>
        <v>0</v>
      </c>
      <c r="T541">
        <f t="shared" si="52"/>
        <v>1</v>
      </c>
      <c r="U541">
        <f>_xlfn.XLOOKUP(C541,
  CALC_TEAMS_SEASON!B:B,
  CALC_TEAMS_SEASON!F:F)</f>
        <v>0.13120421245421243</v>
      </c>
      <c r="V541">
        <f>_xlfn.XLOOKUP(D541,
  CALC_TEAMS_SEASON!B:B,
  CALC_TEAMS_SEASON!F:F)</f>
        <v>0.11826923076923078</v>
      </c>
      <c r="W541" t="str">
        <f>RAW_GAMES!R541</f>
        <v>Brízgala</v>
      </c>
      <c r="X541" s="7">
        <f>RAW_GAMES!S541</f>
        <v>20</v>
      </c>
      <c r="Y541">
        <f t="shared" si="53"/>
        <v>1</v>
      </c>
      <c r="Z541" t="str">
        <f>RAW_GAMES!V541</f>
        <v>RS</v>
      </c>
    </row>
    <row r="542" spans="1:26" x14ac:dyDescent="0.25">
      <c r="A542" t="str">
        <f>RAW_GAMES!A542</f>
        <v>25/26</v>
      </c>
      <c r="B542" s="3">
        <f>RAW_GAMES!B542</f>
        <v>46031</v>
      </c>
      <c r="C542" s="3" t="str">
        <f>RAW_GAMES!E542</f>
        <v>KVA</v>
      </c>
      <c r="D542" s="3" t="str">
        <f>RAW_GAMES!F542</f>
        <v>VIT</v>
      </c>
      <c r="E542" s="7">
        <f>RAW_GAMES!G542</f>
        <v>0</v>
      </c>
      <c r="F542">
        <f>RAW_GAMES!H542</f>
        <v>4</v>
      </c>
      <c r="G542">
        <f>RAW_GAMES!I542</f>
        <v>3</v>
      </c>
      <c r="H542">
        <f t="shared" si="48"/>
        <v>1</v>
      </c>
      <c r="I542">
        <f>RAW_GAMES!J542</f>
        <v>27</v>
      </c>
      <c r="J542">
        <f>RAW_GAMES!K542</f>
        <v>30</v>
      </c>
      <c r="K542">
        <f t="shared" si="49"/>
        <v>-3</v>
      </c>
      <c r="L542" t="str">
        <f>IF(RAW_GAMES!L542="","",RAW_GAMES!L542)</f>
        <v/>
      </c>
      <c r="M542" t="str">
        <f>IF(RAW_GAMES!M542="","",RAW_GAMES!M542)</f>
        <v/>
      </c>
      <c r="N542" t="str">
        <f t="shared" si="50"/>
        <v/>
      </c>
      <c r="O542" s="7">
        <f>RAW_GAMES!O542</f>
        <v>5</v>
      </c>
      <c r="P542">
        <f>RAW_GAMES!N542</f>
        <v>2</v>
      </c>
      <c r="Q542">
        <f t="shared" si="51"/>
        <v>0.4</v>
      </c>
      <c r="R542" s="7">
        <f>RAW_GAMES!Q542</f>
        <v>8</v>
      </c>
      <c r="S542">
        <f>RAW_GAMES!P542</f>
        <v>1</v>
      </c>
      <c r="T542">
        <f t="shared" si="52"/>
        <v>0.875</v>
      </c>
      <c r="U542">
        <f>_xlfn.XLOOKUP(C542,
  CALC_TEAMS_SEASON!B:B,
  CALC_TEAMS_SEASON!F:F)</f>
        <v>0.17387057387057389</v>
      </c>
      <c r="V542">
        <f>_xlfn.XLOOKUP(D542,
  CALC_TEAMS_SEASON!B:B,
  CALC_TEAMS_SEASON!F:F)</f>
        <v>0.16984890109890113</v>
      </c>
      <c r="W542" t="str">
        <f>RAW_GAMES!R542</f>
        <v>Král</v>
      </c>
      <c r="X542" s="7">
        <f>RAW_GAMES!S542</f>
        <v>27</v>
      </c>
      <c r="Y542">
        <f t="shared" si="53"/>
        <v>1</v>
      </c>
      <c r="Z542" t="str">
        <f>RAW_GAMES!V542</f>
        <v>RS</v>
      </c>
    </row>
    <row r="543" spans="1:26" x14ac:dyDescent="0.25">
      <c r="A543" t="str">
        <f>RAW_GAMES!A543</f>
        <v>25/26</v>
      </c>
      <c r="B543" s="3">
        <f>RAW_GAMES!B543</f>
        <v>46031</v>
      </c>
      <c r="C543" s="3" t="str">
        <f>RAW_GAMES!E543</f>
        <v>LIB</v>
      </c>
      <c r="D543" s="3" t="str">
        <f>RAW_GAMES!F543</f>
        <v>PLZ</v>
      </c>
      <c r="E543" s="7">
        <f>RAW_GAMES!G543</f>
        <v>1</v>
      </c>
      <c r="F543">
        <f>RAW_GAMES!H543</f>
        <v>3</v>
      </c>
      <c r="G543">
        <f>RAW_GAMES!I543</f>
        <v>2</v>
      </c>
      <c r="H543">
        <f t="shared" si="48"/>
        <v>1</v>
      </c>
      <c r="I543">
        <f>RAW_GAMES!J543</f>
        <v>28</v>
      </c>
      <c r="J543">
        <f>RAW_GAMES!K543</f>
        <v>26</v>
      </c>
      <c r="K543">
        <f t="shared" si="49"/>
        <v>2</v>
      </c>
      <c r="L543" t="str">
        <f>IF(RAW_GAMES!L543="","",RAW_GAMES!L543)</f>
        <v/>
      </c>
      <c r="M543" t="str">
        <f>IF(RAW_GAMES!M543="","",RAW_GAMES!M543)</f>
        <v/>
      </c>
      <c r="N543" t="str">
        <f t="shared" si="50"/>
        <v/>
      </c>
      <c r="O543" s="7">
        <f>RAW_GAMES!O543</f>
        <v>3</v>
      </c>
      <c r="P543">
        <f>RAW_GAMES!N543</f>
        <v>0</v>
      </c>
      <c r="Q543">
        <f t="shared" si="51"/>
        <v>0</v>
      </c>
      <c r="R543" s="7">
        <f>RAW_GAMES!Q543</f>
        <v>2</v>
      </c>
      <c r="S543">
        <f>RAW_GAMES!P543</f>
        <v>0</v>
      </c>
      <c r="T543">
        <f t="shared" si="52"/>
        <v>1</v>
      </c>
      <c r="U543">
        <f>_xlfn.XLOOKUP(C543,
  CALC_TEAMS_SEASON!B:B,
  CALC_TEAMS_SEASON!F:F)</f>
        <v>0.14377289377289379</v>
      </c>
      <c r="V543">
        <f>_xlfn.XLOOKUP(D543,
  CALC_TEAMS_SEASON!B:B,
  CALC_TEAMS_SEASON!F:F)</f>
        <v>0.17641178266178262</v>
      </c>
      <c r="W543" t="str">
        <f>RAW_GAMES!R543</f>
        <v>Kváča</v>
      </c>
      <c r="X543" s="7">
        <f>RAW_GAMES!S543</f>
        <v>24</v>
      </c>
      <c r="Y543">
        <f t="shared" si="53"/>
        <v>1</v>
      </c>
      <c r="Z543" t="str">
        <f>RAW_GAMES!V543</f>
        <v>RS</v>
      </c>
    </row>
    <row r="544" spans="1:26" x14ac:dyDescent="0.25">
      <c r="A544" t="str">
        <f>RAW_GAMES!A544</f>
        <v>25/26</v>
      </c>
      <c r="B544" s="3">
        <f>RAW_GAMES!B544</f>
        <v>46031</v>
      </c>
      <c r="C544" s="3" t="str">
        <f>RAW_GAMES!E544</f>
        <v>LIT</v>
      </c>
      <c r="D544" s="3" t="str">
        <f>RAW_GAMES!F544</f>
        <v>KOM</v>
      </c>
      <c r="E544" s="7">
        <f>RAW_GAMES!G544</f>
        <v>0</v>
      </c>
      <c r="F544">
        <f>RAW_GAMES!H544</f>
        <v>2</v>
      </c>
      <c r="G544">
        <f>RAW_GAMES!I544</f>
        <v>7</v>
      </c>
      <c r="H544">
        <f t="shared" si="48"/>
        <v>-5</v>
      </c>
      <c r="I544">
        <f>RAW_GAMES!J544</f>
        <v>22</v>
      </c>
      <c r="J544">
        <f>RAW_GAMES!K544</f>
        <v>41</v>
      </c>
      <c r="K544">
        <f t="shared" si="49"/>
        <v>-19</v>
      </c>
      <c r="L544">
        <f>IF(RAW_GAMES!L544="","",RAW_GAMES!L544)</f>
        <v>1.63</v>
      </c>
      <c r="M544">
        <f>IF(RAW_GAMES!M544="","",RAW_GAMES!M544)</f>
        <v>3.96</v>
      </c>
      <c r="N544">
        <f t="shared" si="50"/>
        <v>-2.33</v>
      </c>
      <c r="O544" s="7">
        <f>RAW_GAMES!O544</f>
        <v>2</v>
      </c>
      <c r="P544">
        <f>RAW_GAMES!N544</f>
        <v>1</v>
      </c>
      <c r="Q544">
        <f t="shared" si="51"/>
        <v>0.5</v>
      </c>
      <c r="R544" s="7">
        <f>RAW_GAMES!Q544</f>
        <v>3</v>
      </c>
      <c r="S544">
        <f>RAW_GAMES!P544</f>
        <v>1</v>
      </c>
      <c r="T544">
        <f t="shared" si="52"/>
        <v>0.66666666666666674</v>
      </c>
      <c r="U544">
        <f>_xlfn.XLOOKUP(C544,
  CALC_TEAMS_SEASON!B:B,
  CALC_TEAMS_SEASON!F:F)</f>
        <v>0.10089285714285713</v>
      </c>
      <c r="V544">
        <f>_xlfn.XLOOKUP(D544,
  CALC_TEAMS_SEASON!B:B,
  CALC_TEAMS_SEASON!F:F)</f>
        <v>0.14358974358974358</v>
      </c>
      <c r="W544" t="str">
        <f>RAW_GAMES!R544</f>
        <v>Tomek</v>
      </c>
      <c r="X544" s="7">
        <f>RAW_GAMES!S544</f>
        <v>34</v>
      </c>
      <c r="Y544">
        <f t="shared" si="53"/>
        <v>0</v>
      </c>
      <c r="Z544" t="str">
        <f>RAW_GAMES!V544</f>
        <v>RS</v>
      </c>
    </row>
    <row r="545" spans="1:26" x14ac:dyDescent="0.25">
      <c r="A545" t="str">
        <f>RAW_GAMES!A545</f>
        <v>25/26</v>
      </c>
      <c r="B545" s="3">
        <f>RAW_GAMES!B545</f>
        <v>46031</v>
      </c>
      <c r="C545" s="3" t="str">
        <f>RAW_GAMES!E545</f>
        <v>MBL</v>
      </c>
      <c r="D545" s="3" t="str">
        <f>RAW_GAMES!F545</f>
        <v>KLA</v>
      </c>
      <c r="E545" s="7">
        <f>RAW_GAMES!G545</f>
        <v>1</v>
      </c>
      <c r="F545">
        <f>RAW_GAMES!H545</f>
        <v>1</v>
      </c>
      <c r="G545">
        <f>RAW_GAMES!I545</f>
        <v>5</v>
      </c>
      <c r="H545">
        <f t="shared" si="48"/>
        <v>-4</v>
      </c>
      <c r="I545">
        <f>RAW_GAMES!J545</f>
        <v>21</v>
      </c>
      <c r="J545">
        <f>RAW_GAMES!K545</f>
        <v>19</v>
      </c>
      <c r="K545">
        <f t="shared" si="49"/>
        <v>2</v>
      </c>
      <c r="L545" t="str">
        <f>IF(RAW_GAMES!L545="","",RAW_GAMES!L545)</f>
        <v/>
      </c>
      <c r="M545" t="str">
        <f>IF(RAW_GAMES!M545="","",RAW_GAMES!M545)</f>
        <v/>
      </c>
      <c r="N545" t="str">
        <f t="shared" si="50"/>
        <v/>
      </c>
      <c r="O545" s="7">
        <f>RAW_GAMES!O545</f>
        <v>4</v>
      </c>
      <c r="P545">
        <f>RAW_GAMES!N545</f>
        <v>0</v>
      </c>
      <c r="Q545">
        <f t="shared" si="51"/>
        <v>0</v>
      </c>
      <c r="R545" s="7">
        <f>RAW_GAMES!Q545</f>
        <v>3</v>
      </c>
      <c r="S545">
        <f>RAW_GAMES!P545</f>
        <v>0</v>
      </c>
      <c r="T545">
        <f t="shared" si="52"/>
        <v>1</v>
      </c>
      <c r="U545">
        <f>_xlfn.XLOOKUP(C545,
  CALC_TEAMS_SEASON!B:B,
  CALC_TEAMS_SEASON!F:F)</f>
        <v>0.11826923076923078</v>
      </c>
      <c r="V545">
        <f>_xlfn.XLOOKUP(D545,
  CALC_TEAMS_SEASON!B:B,
  CALC_TEAMS_SEASON!F:F)</f>
        <v>0.13120421245421243</v>
      </c>
      <c r="W545" t="str">
        <f>RAW_GAMES!R545</f>
        <v>Furch</v>
      </c>
      <c r="X545" s="7">
        <f>RAW_GAMES!S545</f>
        <v>14</v>
      </c>
      <c r="Y545">
        <f t="shared" si="53"/>
        <v>0</v>
      </c>
      <c r="Z545" t="str">
        <f>RAW_GAMES!V545</f>
        <v>RS</v>
      </c>
    </row>
    <row r="546" spans="1:26" x14ac:dyDescent="0.25">
      <c r="A546" t="str">
        <f>RAW_GAMES!A546</f>
        <v>25/26</v>
      </c>
      <c r="B546" s="3">
        <f>RAW_GAMES!B546</f>
        <v>46031</v>
      </c>
      <c r="C546" s="3" t="str">
        <f>RAW_GAMES!E546</f>
        <v>MHK</v>
      </c>
      <c r="D546" s="3" t="str">
        <f>RAW_GAMES!F546</f>
        <v>PCE</v>
      </c>
      <c r="E546" s="7">
        <f>RAW_GAMES!G546</f>
        <v>1</v>
      </c>
      <c r="F546">
        <f>RAW_GAMES!H546</f>
        <v>4</v>
      </c>
      <c r="G546">
        <f>RAW_GAMES!I546</f>
        <v>3</v>
      </c>
      <c r="H546">
        <f t="shared" si="48"/>
        <v>1</v>
      </c>
      <c r="I546">
        <f>RAW_GAMES!J546</f>
        <v>34</v>
      </c>
      <c r="J546">
        <f>RAW_GAMES!K546</f>
        <v>29</v>
      </c>
      <c r="K546">
        <f t="shared" si="49"/>
        <v>5</v>
      </c>
      <c r="L546">
        <f>IF(RAW_GAMES!L546="","",RAW_GAMES!L546)</f>
        <v>2.27</v>
      </c>
      <c r="M546">
        <f>IF(RAW_GAMES!M546="","",RAW_GAMES!M546)</f>
        <v>3.13</v>
      </c>
      <c r="N546">
        <f t="shared" si="50"/>
        <v>-0.85999999999999988</v>
      </c>
      <c r="O546" s="7">
        <f>RAW_GAMES!O546</f>
        <v>7</v>
      </c>
      <c r="P546">
        <f>RAW_GAMES!N546</f>
        <v>1</v>
      </c>
      <c r="Q546">
        <f t="shared" si="51"/>
        <v>0.14285714285714285</v>
      </c>
      <c r="R546" s="7">
        <f>RAW_GAMES!Q546</f>
        <v>4</v>
      </c>
      <c r="S546">
        <f>RAW_GAMES!P546</f>
        <v>0</v>
      </c>
      <c r="T546">
        <f t="shared" si="52"/>
        <v>1</v>
      </c>
      <c r="U546">
        <f>_xlfn.XLOOKUP(C546,
  CALC_TEAMS_SEASON!B:B,
  CALC_TEAMS_SEASON!F:F)</f>
        <v>0.14184981684981687</v>
      </c>
      <c r="V546">
        <f>_xlfn.XLOOKUP(D546,
  CALC_TEAMS_SEASON!B:B,
  CALC_TEAMS_SEASON!F:F)</f>
        <v>0.20297619047619053</v>
      </c>
      <c r="W546" t="str">
        <f>RAW_GAMES!R546</f>
        <v>Škorvánek</v>
      </c>
      <c r="X546" s="7">
        <f>RAW_GAMES!S546</f>
        <v>26</v>
      </c>
      <c r="Y546">
        <f t="shared" si="53"/>
        <v>1</v>
      </c>
      <c r="Z546" t="str">
        <f>RAW_GAMES!V546</f>
        <v>RS</v>
      </c>
    </row>
    <row r="547" spans="1:26" x14ac:dyDescent="0.25">
      <c r="A547" t="str">
        <f>RAW_GAMES!A547</f>
        <v>25/26</v>
      </c>
      <c r="B547" s="3">
        <f>RAW_GAMES!B547</f>
        <v>46031</v>
      </c>
      <c r="C547" s="3" t="str">
        <f>RAW_GAMES!E547</f>
        <v>OLO</v>
      </c>
      <c r="D547" s="3" t="str">
        <f>RAW_GAMES!F547</f>
        <v>TRI</v>
      </c>
      <c r="E547" s="7">
        <f>RAW_GAMES!G547</f>
        <v>1</v>
      </c>
      <c r="F547">
        <f>RAW_GAMES!H547</f>
        <v>4</v>
      </c>
      <c r="G547">
        <f>RAW_GAMES!I547</f>
        <v>1</v>
      </c>
      <c r="H547">
        <f t="shared" si="48"/>
        <v>3</v>
      </c>
      <c r="I547">
        <f>RAW_GAMES!J547</f>
        <v>23</v>
      </c>
      <c r="J547">
        <f>RAW_GAMES!K547</f>
        <v>18</v>
      </c>
      <c r="K547">
        <f t="shared" si="49"/>
        <v>5</v>
      </c>
      <c r="L547">
        <f>IF(RAW_GAMES!L547="","",RAW_GAMES!L547)</f>
        <v>2.34</v>
      </c>
      <c r="M547">
        <f>IF(RAW_GAMES!M547="","",RAW_GAMES!M547)</f>
        <v>1.61</v>
      </c>
      <c r="N547">
        <f t="shared" si="50"/>
        <v>0.72999999999999976</v>
      </c>
      <c r="O547" s="7">
        <f>RAW_GAMES!O547</f>
        <v>5</v>
      </c>
      <c r="P547">
        <f>RAW_GAMES!N547</f>
        <v>2</v>
      </c>
      <c r="Q547">
        <f t="shared" si="51"/>
        <v>0.4</v>
      </c>
      <c r="R547" s="7">
        <f>RAW_GAMES!Q547</f>
        <v>9</v>
      </c>
      <c r="S547">
        <f>RAW_GAMES!P547</f>
        <v>0</v>
      </c>
      <c r="T547">
        <f t="shared" si="52"/>
        <v>1</v>
      </c>
      <c r="U547">
        <f>_xlfn.XLOOKUP(C547,
  CALC_TEAMS_SEASON!B:B,
  CALC_TEAMS_SEASON!F:F)</f>
        <v>0.14989316239316242</v>
      </c>
      <c r="V547">
        <f>_xlfn.XLOOKUP(D547,
  CALC_TEAMS_SEASON!B:B,
  CALC_TEAMS_SEASON!F:F)</f>
        <v>0.17437423687423692</v>
      </c>
      <c r="W547" t="str">
        <f>RAW_GAMES!R547</f>
        <v>Machovský</v>
      </c>
      <c r="X547" s="7">
        <f>RAW_GAMES!S547</f>
        <v>17</v>
      </c>
      <c r="Y547">
        <f t="shared" si="53"/>
        <v>1</v>
      </c>
      <c r="Z547" t="str">
        <f>RAW_GAMES!V547</f>
        <v>RS</v>
      </c>
    </row>
    <row r="548" spans="1:26" x14ac:dyDescent="0.25">
      <c r="A548" t="str">
        <f>RAW_GAMES!A548</f>
        <v>25/26</v>
      </c>
      <c r="B548" s="3">
        <f>RAW_GAMES!B548</f>
        <v>46031</v>
      </c>
      <c r="C548" s="3" t="str">
        <f>RAW_GAMES!E548</f>
        <v>PLZ</v>
      </c>
      <c r="D548" s="3" t="str">
        <f>RAW_GAMES!F548</f>
        <v>LIB</v>
      </c>
      <c r="E548" s="7">
        <f>RAW_GAMES!G548</f>
        <v>0</v>
      </c>
      <c r="F548">
        <f>RAW_GAMES!H548</f>
        <v>2</v>
      </c>
      <c r="G548">
        <f>RAW_GAMES!I548</f>
        <v>3</v>
      </c>
      <c r="H548">
        <f t="shared" si="48"/>
        <v>-1</v>
      </c>
      <c r="I548">
        <f>RAW_GAMES!J548</f>
        <v>26</v>
      </c>
      <c r="J548">
        <f>RAW_GAMES!K548</f>
        <v>28</v>
      </c>
      <c r="K548">
        <f t="shared" si="49"/>
        <v>-2</v>
      </c>
      <c r="L548" t="str">
        <f>IF(RAW_GAMES!L548="","",RAW_GAMES!L548)</f>
        <v/>
      </c>
      <c r="M548" t="str">
        <f>IF(RAW_GAMES!M548="","",RAW_GAMES!M548)</f>
        <v/>
      </c>
      <c r="N548" t="str">
        <f t="shared" si="50"/>
        <v/>
      </c>
      <c r="O548" s="7">
        <f>RAW_GAMES!O548</f>
        <v>2</v>
      </c>
      <c r="P548">
        <f>RAW_GAMES!N548</f>
        <v>0</v>
      </c>
      <c r="Q548">
        <f t="shared" si="51"/>
        <v>0</v>
      </c>
      <c r="R548" s="7">
        <f>RAW_GAMES!Q548</f>
        <v>3</v>
      </c>
      <c r="S548">
        <f>RAW_GAMES!P548</f>
        <v>0</v>
      </c>
      <c r="T548">
        <f t="shared" si="52"/>
        <v>1</v>
      </c>
      <c r="U548">
        <f>_xlfn.XLOOKUP(C548,
  CALC_TEAMS_SEASON!B:B,
  CALC_TEAMS_SEASON!F:F)</f>
        <v>0.17641178266178262</v>
      </c>
      <c r="V548">
        <f>_xlfn.XLOOKUP(D548,
  CALC_TEAMS_SEASON!B:B,
  CALC_TEAMS_SEASON!F:F)</f>
        <v>0.14377289377289379</v>
      </c>
      <c r="W548" t="str">
        <f>RAW_GAMES!R548</f>
        <v>Malík</v>
      </c>
      <c r="X548" s="7">
        <f>RAW_GAMES!S548</f>
        <v>26</v>
      </c>
      <c r="Y548">
        <f t="shared" si="53"/>
        <v>0</v>
      </c>
      <c r="Z548" t="str">
        <f>RAW_GAMES!V548</f>
        <v>RS</v>
      </c>
    </row>
    <row r="549" spans="1:26" x14ac:dyDescent="0.25">
      <c r="A549" t="str">
        <f>RAW_GAMES!A549</f>
        <v>25/26</v>
      </c>
      <c r="B549" s="3">
        <f>RAW_GAMES!B549</f>
        <v>46031</v>
      </c>
      <c r="C549" s="3" t="str">
        <f>RAW_GAMES!E549</f>
        <v>VIT</v>
      </c>
      <c r="D549" s="3" t="str">
        <f>RAW_GAMES!F549</f>
        <v>KVA</v>
      </c>
      <c r="E549" s="7">
        <f>RAW_GAMES!G549</f>
        <v>1</v>
      </c>
      <c r="F549">
        <f>RAW_GAMES!H549</f>
        <v>3</v>
      </c>
      <c r="G549">
        <f>RAW_GAMES!I549</f>
        <v>4</v>
      </c>
      <c r="H549">
        <f t="shared" si="48"/>
        <v>-1</v>
      </c>
      <c r="I549">
        <f>RAW_GAMES!J549</f>
        <v>30</v>
      </c>
      <c r="J549">
        <f>RAW_GAMES!K549</f>
        <v>27</v>
      </c>
      <c r="K549">
        <f t="shared" si="49"/>
        <v>3</v>
      </c>
      <c r="L549" t="str">
        <f>IF(RAW_GAMES!L549="","",RAW_GAMES!L549)</f>
        <v/>
      </c>
      <c r="M549" t="str">
        <f>IF(RAW_GAMES!M549="","",RAW_GAMES!M549)</f>
        <v/>
      </c>
      <c r="N549" t="str">
        <f t="shared" si="50"/>
        <v/>
      </c>
      <c r="O549" s="7">
        <f>RAW_GAMES!O549</f>
        <v>8</v>
      </c>
      <c r="P549">
        <f>RAW_GAMES!N549</f>
        <v>1</v>
      </c>
      <c r="Q549">
        <f t="shared" si="51"/>
        <v>0.125</v>
      </c>
      <c r="R549" s="7">
        <f>RAW_GAMES!Q549</f>
        <v>5</v>
      </c>
      <c r="S549">
        <f>RAW_GAMES!P549</f>
        <v>2</v>
      </c>
      <c r="T549">
        <f t="shared" si="52"/>
        <v>0.6</v>
      </c>
      <c r="U549">
        <f>_xlfn.XLOOKUP(C549,
  CALC_TEAMS_SEASON!B:B,
  CALC_TEAMS_SEASON!F:F)</f>
        <v>0.16984890109890113</v>
      </c>
      <c r="V549">
        <f>_xlfn.XLOOKUP(D549,
  CALC_TEAMS_SEASON!B:B,
  CALC_TEAMS_SEASON!F:F)</f>
        <v>0.17387057387057389</v>
      </c>
      <c r="W549" t="str">
        <f>RAW_GAMES!R549</f>
        <v>Hrachovina</v>
      </c>
      <c r="X549" s="7">
        <f>RAW_GAMES!S549</f>
        <v>23</v>
      </c>
      <c r="Y549">
        <f t="shared" si="53"/>
        <v>0</v>
      </c>
      <c r="Z549" t="str">
        <f>RAW_GAMES!V549</f>
        <v>RS</v>
      </c>
    </row>
    <row r="550" spans="1:26" x14ac:dyDescent="0.25">
      <c r="A550" t="str">
        <f>RAW_GAMES!A550</f>
        <v>25/26</v>
      </c>
      <c r="B550" s="3">
        <f>RAW_GAMES!B550</f>
        <v>46033</v>
      </c>
      <c r="C550" s="3" t="str">
        <f>RAW_GAMES!E550</f>
        <v>PCE</v>
      </c>
      <c r="D550" s="3" t="str">
        <f>RAW_GAMES!F550</f>
        <v>LIB</v>
      </c>
      <c r="E550" s="7">
        <f>RAW_GAMES!G550</f>
        <v>1</v>
      </c>
      <c r="F550">
        <f>RAW_GAMES!H550</f>
        <v>2</v>
      </c>
      <c r="G550">
        <f>RAW_GAMES!I550</f>
        <v>1</v>
      </c>
      <c r="H550">
        <f t="shared" si="48"/>
        <v>1</v>
      </c>
      <c r="I550">
        <f>RAW_GAMES!J550</f>
        <v>22</v>
      </c>
      <c r="J550">
        <f>RAW_GAMES!K550</f>
        <v>26</v>
      </c>
      <c r="K550">
        <f t="shared" si="49"/>
        <v>-4</v>
      </c>
      <c r="L550">
        <f>IF(RAW_GAMES!L550="","",RAW_GAMES!L550)</f>
        <v>2.83</v>
      </c>
      <c r="M550">
        <f>IF(RAW_GAMES!M550="","",RAW_GAMES!M550)</f>
        <v>4.25</v>
      </c>
      <c r="N550">
        <f t="shared" si="50"/>
        <v>-1.42</v>
      </c>
      <c r="O550" s="7">
        <f>RAW_GAMES!O550</f>
        <v>5</v>
      </c>
      <c r="P550">
        <f>RAW_GAMES!N550</f>
        <v>0</v>
      </c>
      <c r="Q550">
        <f t="shared" si="51"/>
        <v>0</v>
      </c>
      <c r="R550" s="7">
        <f>RAW_GAMES!Q550</f>
        <v>6</v>
      </c>
      <c r="S550">
        <f>RAW_GAMES!P550</f>
        <v>0</v>
      </c>
      <c r="T550">
        <f t="shared" si="52"/>
        <v>1</v>
      </c>
      <c r="U550">
        <f>_xlfn.XLOOKUP(C550,
  CALC_TEAMS_SEASON!B:B,
  CALC_TEAMS_SEASON!F:F)</f>
        <v>0.20297619047619053</v>
      </c>
      <c r="V550">
        <f>_xlfn.XLOOKUP(D550,
  CALC_TEAMS_SEASON!B:B,
  CALC_TEAMS_SEASON!F:F)</f>
        <v>0.14377289377289379</v>
      </c>
      <c r="W550" t="str">
        <f>RAW_GAMES!R550</f>
        <v>Will</v>
      </c>
      <c r="X550" s="7">
        <f>RAW_GAMES!S550</f>
        <v>25</v>
      </c>
      <c r="Y550">
        <f t="shared" si="53"/>
        <v>1</v>
      </c>
      <c r="Z550" t="str">
        <f>RAW_GAMES!V550</f>
        <v>RS</v>
      </c>
    </row>
    <row r="551" spans="1:26" x14ac:dyDescent="0.25">
      <c r="A551" t="str">
        <f>RAW_GAMES!A551</f>
        <v>25/26</v>
      </c>
      <c r="B551" s="3">
        <f>RAW_GAMES!B551</f>
        <v>46033</v>
      </c>
      <c r="C551" s="3" t="str">
        <f>RAW_GAMES!E551</f>
        <v>TRI</v>
      </c>
      <c r="D551" s="3" t="str">
        <f>RAW_GAMES!F551</f>
        <v>SPA</v>
      </c>
      <c r="E551" s="7">
        <f>RAW_GAMES!G551</f>
        <v>1</v>
      </c>
      <c r="F551">
        <f>RAW_GAMES!H551</f>
        <v>5</v>
      </c>
      <c r="G551">
        <f>RAW_GAMES!I551</f>
        <v>3</v>
      </c>
      <c r="H551">
        <f t="shared" si="48"/>
        <v>2</v>
      </c>
      <c r="I551">
        <f>RAW_GAMES!J551</f>
        <v>33</v>
      </c>
      <c r="J551">
        <f>RAW_GAMES!K551</f>
        <v>32</v>
      </c>
      <c r="K551">
        <f t="shared" si="49"/>
        <v>1</v>
      </c>
      <c r="L551">
        <f>IF(RAW_GAMES!L551="","",RAW_GAMES!L551)</f>
        <v>3.37</v>
      </c>
      <c r="M551">
        <f>IF(RAW_GAMES!M551="","",RAW_GAMES!M551)</f>
        <v>2.96</v>
      </c>
      <c r="N551">
        <f t="shared" si="50"/>
        <v>0.41000000000000014</v>
      </c>
      <c r="O551" s="7">
        <f>RAW_GAMES!O551</f>
        <v>5</v>
      </c>
      <c r="P551">
        <f>RAW_GAMES!N551</f>
        <v>2</v>
      </c>
      <c r="Q551">
        <f t="shared" si="51"/>
        <v>0.4</v>
      </c>
      <c r="R551" s="7">
        <f>RAW_GAMES!Q551</f>
        <v>1</v>
      </c>
      <c r="S551">
        <f>RAW_GAMES!P551</f>
        <v>0</v>
      </c>
      <c r="T551">
        <f t="shared" si="52"/>
        <v>1</v>
      </c>
      <c r="U551">
        <f>_xlfn.XLOOKUP(C551,
  CALC_TEAMS_SEASON!B:B,
  CALC_TEAMS_SEASON!F:F)</f>
        <v>0.17437423687423692</v>
      </c>
      <c r="V551">
        <f>_xlfn.XLOOKUP(D551,
  CALC_TEAMS_SEASON!B:B,
  CALC_TEAMS_SEASON!F:F)</f>
        <v>0.22060439560439565</v>
      </c>
      <c r="W551" t="str">
        <f>RAW_GAMES!R551</f>
        <v>Kacetl</v>
      </c>
      <c r="X551" s="7">
        <f>RAW_GAMES!S551</f>
        <v>29</v>
      </c>
      <c r="Y551">
        <f t="shared" si="53"/>
        <v>1</v>
      </c>
      <c r="Z551" t="str">
        <f>RAW_GAMES!V551</f>
        <v>RS</v>
      </c>
    </row>
    <row r="552" spans="1:26" x14ac:dyDescent="0.25">
      <c r="A552" t="str">
        <f>RAW_GAMES!A552</f>
        <v>25/26</v>
      </c>
      <c r="B552" s="3">
        <f>RAW_GAMES!B552</f>
        <v>46033</v>
      </c>
      <c r="C552" s="3" t="str">
        <f>RAW_GAMES!E552</f>
        <v>SPA</v>
      </c>
      <c r="D552" s="3" t="str">
        <f>RAW_GAMES!F552</f>
        <v>TRI</v>
      </c>
      <c r="E552" s="7">
        <f>RAW_GAMES!G552</f>
        <v>0</v>
      </c>
      <c r="F552">
        <f>RAW_GAMES!H552</f>
        <v>3</v>
      </c>
      <c r="G552">
        <f>RAW_GAMES!I552</f>
        <v>5</v>
      </c>
      <c r="H552">
        <f t="shared" si="48"/>
        <v>-2</v>
      </c>
      <c r="I552">
        <f>RAW_GAMES!J552</f>
        <v>32</v>
      </c>
      <c r="J552">
        <f>RAW_GAMES!K552</f>
        <v>33</v>
      </c>
      <c r="K552">
        <f t="shared" si="49"/>
        <v>-1</v>
      </c>
      <c r="L552">
        <f>IF(RAW_GAMES!L552="","",RAW_GAMES!L552)</f>
        <v>2.96</v>
      </c>
      <c r="M552">
        <f>IF(RAW_GAMES!M552="","",RAW_GAMES!M552)</f>
        <v>3.37</v>
      </c>
      <c r="N552">
        <f t="shared" si="50"/>
        <v>-0.41000000000000014</v>
      </c>
      <c r="O552" s="7">
        <f>RAW_GAMES!O552</f>
        <v>1</v>
      </c>
      <c r="P552">
        <f>RAW_GAMES!N552</f>
        <v>0</v>
      </c>
      <c r="Q552">
        <f t="shared" si="51"/>
        <v>0</v>
      </c>
      <c r="R552" s="7">
        <f>RAW_GAMES!Q552</f>
        <v>5</v>
      </c>
      <c r="S552">
        <f>RAW_GAMES!P552</f>
        <v>2</v>
      </c>
      <c r="T552">
        <f t="shared" si="52"/>
        <v>0.6</v>
      </c>
      <c r="U552">
        <f>_xlfn.XLOOKUP(C552,
  CALC_TEAMS_SEASON!B:B,
  CALC_TEAMS_SEASON!F:F)</f>
        <v>0.22060439560439565</v>
      </c>
      <c r="V552">
        <f>_xlfn.XLOOKUP(D552,
  CALC_TEAMS_SEASON!B:B,
  CALC_TEAMS_SEASON!F:F)</f>
        <v>0.17437423687423692</v>
      </c>
      <c r="W552" t="str">
        <f>RAW_GAMES!R552</f>
        <v>Kovář</v>
      </c>
      <c r="X552" s="7">
        <f>RAW_GAMES!S552</f>
        <v>28</v>
      </c>
      <c r="Y552">
        <f t="shared" si="53"/>
        <v>0</v>
      </c>
      <c r="Z552" t="str">
        <f>RAW_GAMES!V552</f>
        <v>RS</v>
      </c>
    </row>
    <row r="553" spans="1:26" x14ac:dyDescent="0.25">
      <c r="A553" t="str">
        <f>RAW_GAMES!A553</f>
        <v>25/26</v>
      </c>
      <c r="B553" s="3">
        <f>RAW_GAMES!B553</f>
        <v>46033</v>
      </c>
      <c r="C553" s="3" t="str">
        <f>RAW_GAMES!E553</f>
        <v>KOM</v>
      </c>
      <c r="D553" s="3" t="str">
        <f>RAW_GAMES!F553</f>
        <v>MBL</v>
      </c>
      <c r="E553" s="7">
        <f>RAW_GAMES!G553</f>
        <v>1</v>
      </c>
      <c r="F553">
        <f>RAW_GAMES!H553</f>
        <v>3</v>
      </c>
      <c r="G553">
        <f>RAW_GAMES!I553</f>
        <v>2</v>
      </c>
      <c r="H553">
        <f t="shared" si="48"/>
        <v>1</v>
      </c>
      <c r="I553">
        <f>RAW_GAMES!J553</f>
        <v>32</v>
      </c>
      <c r="J553">
        <f>RAW_GAMES!K553</f>
        <v>22</v>
      </c>
      <c r="K553">
        <f t="shared" si="49"/>
        <v>10</v>
      </c>
      <c r="L553">
        <f>IF(RAW_GAMES!L553="","",RAW_GAMES!L553)</f>
        <v>2.41</v>
      </c>
      <c r="M553">
        <f>IF(RAW_GAMES!M553="","",RAW_GAMES!M553)</f>
        <v>1.95</v>
      </c>
      <c r="N553">
        <f t="shared" si="50"/>
        <v>0.46000000000000019</v>
      </c>
      <c r="O553" s="7">
        <f>RAW_GAMES!O553</f>
        <v>6</v>
      </c>
      <c r="P553">
        <f>RAW_GAMES!N553</f>
        <v>1</v>
      </c>
      <c r="Q553">
        <f t="shared" si="51"/>
        <v>0.16666666666666666</v>
      </c>
      <c r="R553" s="7">
        <f>RAW_GAMES!Q553</f>
        <v>3</v>
      </c>
      <c r="S553">
        <f>RAW_GAMES!P553</f>
        <v>1</v>
      </c>
      <c r="T553">
        <f t="shared" si="52"/>
        <v>0.66666666666666674</v>
      </c>
      <c r="U553">
        <f>_xlfn.XLOOKUP(C553,
  CALC_TEAMS_SEASON!B:B,
  CALC_TEAMS_SEASON!F:F)</f>
        <v>0.14358974358974358</v>
      </c>
      <c r="V553">
        <f>_xlfn.XLOOKUP(D553,
  CALC_TEAMS_SEASON!B:B,
  CALC_TEAMS_SEASON!F:F)</f>
        <v>0.11826923076923078</v>
      </c>
      <c r="W553" t="str">
        <f>RAW_GAMES!R553</f>
        <v>Stezka</v>
      </c>
      <c r="X553" s="7">
        <f>RAW_GAMES!S553</f>
        <v>20</v>
      </c>
      <c r="Y553">
        <f t="shared" si="53"/>
        <v>1</v>
      </c>
      <c r="Z553" t="str">
        <f>RAW_GAMES!V553</f>
        <v>RS</v>
      </c>
    </row>
    <row r="554" spans="1:26" x14ac:dyDescent="0.25">
      <c r="A554" t="str">
        <f>RAW_GAMES!A554</f>
        <v>25/26</v>
      </c>
      <c r="B554" s="3">
        <f>RAW_GAMES!B554</f>
        <v>46033</v>
      </c>
      <c r="C554" s="3" t="str">
        <f>RAW_GAMES!E554</f>
        <v>CEB</v>
      </c>
      <c r="D554" s="3" t="str">
        <f>RAW_GAMES!F554</f>
        <v>MHK</v>
      </c>
      <c r="E554" s="7">
        <f>RAW_GAMES!G554</f>
        <v>1</v>
      </c>
      <c r="F554">
        <f>RAW_GAMES!H554</f>
        <v>5</v>
      </c>
      <c r="G554">
        <f>RAW_GAMES!I554</f>
        <v>1</v>
      </c>
      <c r="H554">
        <f t="shared" si="48"/>
        <v>4</v>
      </c>
      <c r="I554">
        <f>RAW_GAMES!J554</f>
        <v>29</v>
      </c>
      <c r="J554">
        <f>RAW_GAMES!K554</f>
        <v>18</v>
      </c>
      <c r="K554">
        <f t="shared" si="49"/>
        <v>11</v>
      </c>
      <c r="L554" t="str">
        <f>IF(RAW_GAMES!L554="","",RAW_GAMES!L554)</f>
        <v/>
      </c>
      <c r="M554" t="str">
        <f>IF(RAW_GAMES!M554="","",RAW_GAMES!M554)</f>
        <v/>
      </c>
      <c r="N554" t="str">
        <f t="shared" si="50"/>
        <v/>
      </c>
      <c r="O554" s="7">
        <f>RAW_GAMES!O554</f>
        <v>10</v>
      </c>
      <c r="P554">
        <f>RAW_GAMES!N554</f>
        <v>2</v>
      </c>
      <c r="Q554">
        <f t="shared" si="51"/>
        <v>0.2</v>
      </c>
      <c r="R554" s="7">
        <f>RAW_GAMES!Q554</f>
        <v>5</v>
      </c>
      <c r="S554">
        <f>RAW_GAMES!P554</f>
        <v>0</v>
      </c>
      <c r="T554">
        <f t="shared" si="52"/>
        <v>1</v>
      </c>
      <c r="U554">
        <f>_xlfn.XLOOKUP(C554,
  CALC_TEAMS_SEASON!B:B,
  CALC_TEAMS_SEASON!F:F)</f>
        <v>0.13021353646353648</v>
      </c>
      <c r="V554">
        <f>_xlfn.XLOOKUP(D554,
  CALC_TEAMS_SEASON!B:B,
  CALC_TEAMS_SEASON!F:F)</f>
        <v>0.14184981684981687</v>
      </c>
      <c r="W554" t="str">
        <f>RAW_GAMES!R554</f>
        <v>Klouček</v>
      </c>
      <c r="X554" s="7">
        <f>RAW_GAMES!S554</f>
        <v>17</v>
      </c>
      <c r="Y554">
        <f t="shared" si="53"/>
        <v>1</v>
      </c>
      <c r="Z554" t="str">
        <f>RAW_GAMES!V554</f>
        <v>RS</v>
      </c>
    </row>
    <row r="555" spans="1:26" x14ac:dyDescent="0.25">
      <c r="A555" t="str">
        <f>RAW_GAMES!A555</f>
        <v>25/26</v>
      </c>
      <c r="B555" s="3">
        <f>RAW_GAMES!B555</f>
        <v>46033</v>
      </c>
      <c r="C555" s="3" t="str">
        <f>RAW_GAMES!E555</f>
        <v>KLA</v>
      </c>
      <c r="D555" s="3" t="str">
        <f>RAW_GAMES!F555</f>
        <v>VIT</v>
      </c>
      <c r="E555" s="7">
        <f>RAW_GAMES!G555</f>
        <v>1</v>
      </c>
      <c r="F555">
        <f>RAW_GAMES!H555</f>
        <v>8</v>
      </c>
      <c r="G555">
        <f>RAW_GAMES!I555</f>
        <v>1</v>
      </c>
      <c r="H555">
        <f t="shared" si="48"/>
        <v>7</v>
      </c>
      <c r="I555">
        <f>RAW_GAMES!J555</f>
        <v>43</v>
      </c>
      <c r="J555">
        <f>RAW_GAMES!K555</f>
        <v>24</v>
      </c>
      <c r="K555">
        <f t="shared" si="49"/>
        <v>19</v>
      </c>
      <c r="L555" t="str">
        <f>IF(RAW_GAMES!L555="","",RAW_GAMES!L555)</f>
        <v/>
      </c>
      <c r="M555" t="str">
        <f>IF(RAW_GAMES!M555="","",RAW_GAMES!M555)</f>
        <v/>
      </c>
      <c r="N555" t="str">
        <f t="shared" si="50"/>
        <v/>
      </c>
      <c r="O555" s="7">
        <f>RAW_GAMES!O555</f>
        <v>4</v>
      </c>
      <c r="P555">
        <f>RAW_GAMES!N555</f>
        <v>1</v>
      </c>
      <c r="Q555">
        <f t="shared" si="51"/>
        <v>0.25</v>
      </c>
      <c r="R555" s="7">
        <f>RAW_GAMES!Q555</f>
        <v>2</v>
      </c>
      <c r="S555">
        <f>RAW_GAMES!P555</f>
        <v>0</v>
      </c>
      <c r="T555">
        <f t="shared" si="52"/>
        <v>1</v>
      </c>
      <c r="U555">
        <f>_xlfn.XLOOKUP(C555,
  CALC_TEAMS_SEASON!B:B,
  CALC_TEAMS_SEASON!F:F)</f>
        <v>0.13120421245421243</v>
      </c>
      <c r="V555">
        <f>_xlfn.XLOOKUP(D555,
  CALC_TEAMS_SEASON!B:B,
  CALC_TEAMS_SEASON!F:F)</f>
        <v>0.16984890109890113</v>
      </c>
      <c r="W555" t="str">
        <f>RAW_GAMES!R555</f>
        <v>Brízgala</v>
      </c>
      <c r="X555" s="7">
        <f>RAW_GAMES!S555</f>
        <v>23</v>
      </c>
      <c r="Y555">
        <f t="shared" si="53"/>
        <v>1</v>
      </c>
      <c r="Z555" t="str">
        <f>RAW_GAMES!V555</f>
        <v>RS</v>
      </c>
    </row>
    <row r="556" spans="1:26" x14ac:dyDescent="0.25">
      <c r="A556" t="str">
        <f>RAW_GAMES!A556</f>
        <v>25/26</v>
      </c>
      <c r="B556" s="3">
        <f>RAW_GAMES!B556</f>
        <v>46033</v>
      </c>
      <c r="C556" s="3" t="str">
        <f>RAW_GAMES!E556</f>
        <v>KVA</v>
      </c>
      <c r="D556" s="3" t="str">
        <f>RAW_GAMES!F556</f>
        <v>LIT</v>
      </c>
      <c r="E556" s="7">
        <f>RAW_GAMES!G556</f>
        <v>1</v>
      </c>
      <c r="F556">
        <f>RAW_GAMES!H556</f>
        <v>3</v>
      </c>
      <c r="G556">
        <f>RAW_GAMES!I556</f>
        <v>4</v>
      </c>
      <c r="H556">
        <f t="shared" si="48"/>
        <v>-1</v>
      </c>
      <c r="I556">
        <f>RAW_GAMES!J556</f>
        <v>41</v>
      </c>
      <c r="J556">
        <f>RAW_GAMES!K556</f>
        <v>18</v>
      </c>
      <c r="K556">
        <f t="shared" si="49"/>
        <v>23</v>
      </c>
      <c r="L556" t="str">
        <f>IF(RAW_GAMES!L556="","",RAW_GAMES!L556)</f>
        <v/>
      </c>
      <c r="M556" t="str">
        <f>IF(RAW_GAMES!M556="","",RAW_GAMES!M556)</f>
        <v/>
      </c>
      <c r="N556" t="str">
        <f t="shared" si="50"/>
        <v/>
      </c>
      <c r="O556" s="7">
        <f>RAW_GAMES!O556</f>
        <v>9</v>
      </c>
      <c r="P556">
        <f>RAW_GAMES!N556</f>
        <v>3</v>
      </c>
      <c r="Q556">
        <f t="shared" si="51"/>
        <v>0.33333333333333331</v>
      </c>
      <c r="R556" s="7">
        <f>RAW_GAMES!Q556</f>
        <v>2</v>
      </c>
      <c r="S556">
        <f>RAW_GAMES!P556</f>
        <v>0</v>
      </c>
      <c r="T556">
        <f t="shared" si="52"/>
        <v>1</v>
      </c>
      <c r="U556">
        <f>_xlfn.XLOOKUP(C556,
  CALC_TEAMS_SEASON!B:B,
  CALC_TEAMS_SEASON!F:F)</f>
        <v>0.17387057387057389</v>
      </c>
      <c r="V556">
        <f>_xlfn.XLOOKUP(D556,
  CALC_TEAMS_SEASON!B:B,
  CALC_TEAMS_SEASON!F:F)</f>
        <v>0.10089285714285713</v>
      </c>
      <c r="W556" t="str">
        <f>RAW_GAMES!R556</f>
        <v>Frodl</v>
      </c>
      <c r="X556" s="7">
        <f>RAW_GAMES!S556</f>
        <v>15</v>
      </c>
      <c r="Y556">
        <f t="shared" si="53"/>
        <v>0</v>
      </c>
      <c r="Z556" t="str">
        <f>RAW_GAMES!V556</f>
        <v>RS</v>
      </c>
    </row>
    <row r="557" spans="1:26" x14ac:dyDescent="0.25">
      <c r="A557" t="str">
        <f>RAW_GAMES!A557</f>
        <v>25/26</v>
      </c>
      <c r="B557" s="3">
        <f>RAW_GAMES!B557</f>
        <v>46033</v>
      </c>
      <c r="C557" s="3" t="str">
        <f>RAW_GAMES!E557</f>
        <v>LIB</v>
      </c>
      <c r="D557" s="3" t="str">
        <f>RAW_GAMES!F557</f>
        <v>PCE</v>
      </c>
      <c r="E557" s="7">
        <f>RAW_GAMES!G557</f>
        <v>0</v>
      </c>
      <c r="F557">
        <f>RAW_GAMES!H557</f>
        <v>1</v>
      </c>
      <c r="G557">
        <f>RAW_GAMES!I557</f>
        <v>2</v>
      </c>
      <c r="H557">
        <f t="shared" si="48"/>
        <v>-1</v>
      </c>
      <c r="I557">
        <f>RAW_GAMES!J557</f>
        <v>26</v>
      </c>
      <c r="J557">
        <f>RAW_GAMES!K557</f>
        <v>22</v>
      </c>
      <c r="K557">
        <f t="shared" si="49"/>
        <v>4</v>
      </c>
      <c r="L557">
        <f>IF(RAW_GAMES!L557="","",RAW_GAMES!L557)</f>
        <v>4.25</v>
      </c>
      <c r="M557">
        <f>IF(RAW_GAMES!M557="","",RAW_GAMES!M557)</f>
        <v>2.83</v>
      </c>
      <c r="N557">
        <f t="shared" si="50"/>
        <v>1.42</v>
      </c>
      <c r="O557" s="7">
        <f>RAW_GAMES!O557</f>
        <v>6</v>
      </c>
      <c r="P557">
        <f>RAW_GAMES!N557</f>
        <v>0</v>
      </c>
      <c r="Q557">
        <f t="shared" si="51"/>
        <v>0</v>
      </c>
      <c r="R557" s="7">
        <f>RAW_GAMES!Q557</f>
        <v>5</v>
      </c>
      <c r="S557">
        <f>RAW_GAMES!P557</f>
        <v>0</v>
      </c>
      <c r="T557">
        <f t="shared" si="52"/>
        <v>1</v>
      </c>
      <c r="U557">
        <f>_xlfn.XLOOKUP(C557,
  CALC_TEAMS_SEASON!B:B,
  CALC_TEAMS_SEASON!F:F)</f>
        <v>0.14377289377289379</v>
      </c>
      <c r="V557">
        <f>_xlfn.XLOOKUP(D557,
  CALC_TEAMS_SEASON!B:B,
  CALC_TEAMS_SEASON!F:F)</f>
        <v>0.20297619047619053</v>
      </c>
      <c r="W557" t="str">
        <f>RAW_GAMES!R557</f>
        <v>Kváča</v>
      </c>
      <c r="X557" s="7">
        <f>RAW_GAMES!S557</f>
        <v>21</v>
      </c>
      <c r="Y557">
        <f t="shared" si="53"/>
        <v>0</v>
      </c>
      <c r="Z557" t="str">
        <f>RAW_GAMES!V557</f>
        <v>RS</v>
      </c>
    </row>
    <row r="558" spans="1:26" x14ac:dyDescent="0.25">
      <c r="A558" t="str">
        <f>RAW_GAMES!A558</f>
        <v>25/26</v>
      </c>
      <c r="B558" s="3">
        <f>RAW_GAMES!B558</f>
        <v>46033</v>
      </c>
      <c r="C558" s="3" t="str">
        <f>RAW_GAMES!E558</f>
        <v>LIT</v>
      </c>
      <c r="D558" s="3" t="str">
        <f>RAW_GAMES!F558</f>
        <v>KVA</v>
      </c>
      <c r="E558" s="7">
        <f>RAW_GAMES!G558</f>
        <v>0</v>
      </c>
      <c r="F558">
        <f>RAW_GAMES!H558</f>
        <v>4</v>
      </c>
      <c r="G558">
        <f>RAW_GAMES!I558</f>
        <v>3</v>
      </c>
      <c r="H558">
        <f t="shared" si="48"/>
        <v>1</v>
      </c>
      <c r="I558">
        <f>RAW_GAMES!J558</f>
        <v>18</v>
      </c>
      <c r="J558">
        <f>RAW_GAMES!K558</f>
        <v>41</v>
      </c>
      <c r="K558">
        <f t="shared" si="49"/>
        <v>-23</v>
      </c>
      <c r="L558" t="str">
        <f>IF(RAW_GAMES!L558="","",RAW_GAMES!L558)</f>
        <v/>
      </c>
      <c r="M558" t="str">
        <f>IF(RAW_GAMES!M558="","",RAW_GAMES!M558)</f>
        <v/>
      </c>
      <c r="N558" t="str">
        <f t="shared" si="50"/>
        <v/>
      </c>
      <c r="O558" s="7">
        <f>RAW_GAMES!O558</f>
        <v>2</v>
      </c>
      <c r="P558">
        <f>RAW_GAMES!N558</f>
        <v>0</v>
      </c>
      <c r="Q558">
        <f t="shared" si="51"/>
        <v>0</v>
      </c>
      <c r="R558" s="7">
        <f>RAW_GAMES!Q558</f>
        <v>9</v>
      </c>
      <c r="S558">
        <f>RAW_GAMES!P558</f>
        <v>3</v>
      </c>
      <c r="T558">
        <f t="shared" si="52"/>
        <v>0.66666666666666674</v>
      </c>
      <c r="U558">
        <f>_xlfn.XLOOKUP(C558,
  CALC_TEAMS_SEASON!B:B,
  CALC_TEAMS_SEASON!F:F)</f>
        <v>0.10089285714285713</v>
      </c>
      <c r="V558">
        <f>_xlfn.XLOOKUP(D558,
  CALC_TEAMS_SEASON!B:B,
  CALC_TEAMS_SEASON!F:F)</f>
        <v>0.17387057387057389</v>
      </c>
      <c r="W558" t="str">
        <f>RAW_GAMES!R558</f>
        <v>Čajan</v>
      </c>
      <c r="X558" s="7">
        <f>RAW_GAMES!S558</f>
        <v>41</v>
      </c>
      <c r="Y558">
        <f t="shared" si="53"/>
        <v>1</v>
      </c>
      <c r="Z558" t="str">
        <f>RAW_GAMES!V558</f>
        <v>RS</v>
      </c>
    </row>
    <row r="559" spans="1:26" x14ac:dyDescent="0.25">
      <c r="A559" t="str">
        <f>RAW_GAMES!A559</f>
        <v>25/26</v>
      </c>
      <c r="B559" s="3">
        <f>RAW_GAMES!B559</f>
        <v>46033</v>
      </c>
      <c r="C559" s="3" t="str">
        <f>RAW_GAMES!E559</f>
        <v>MBL</v>
      </c>
      <c r="D559" s="3" t="str">
        <f>RAW_GAMES!F559</f>
        <v>KOM</v>
      </c>
      <c r="E559" s="7">
        <f>RAW_GAMES!G559</f>
        <v>0</v>
      </c>
      <c r="F559">
        <f>RAW_GAMES!H559</f>
        <v>2</v>
      </c>
      <c r="G559">
        <f>RAW_GAMES!I559</f>
        <v>3</v>
      </c>
      <c r="H559">
        <f t="shared" si="48"/>
        <v>-1</v>
      </c>
      <c r="I559">
        <f>RAW_GAMES!J559</f>
        <v>22</v>
      </c>
      <c r="J559">
        <f>RAW_GAMES!K559</f>
        <v>32</v>
      </c>
      <c r="K559">
        <f t="shared" si="49"/>
        <v>-10</v>
      </c>
      <c r="L559">
        <f>IF(RAW_GAMES!L559="","",RAW_GAMES!L559)</f>
        <v>1.95</v>
      </c>
      <c r="M559">
        <f>IF(RAW_GAMES!M559="","",RAW_GAMES!M559)</f>
        <v>2.41</v>
      </c>
      <c r="N559">
        <f t="shared" si="50"/>
        <v>-0.46000000000000019</v>
      </c>
      <c r="O559" s="7">
        <f>RAW_GAMES!O559</f>
        <v>3</v>
      </c>
      <c r="P559">
        <f>RAW_GAMES!N559</f>
        <v>1</v>
      </c>
      <c r="Q559">
        <f t="shared" si="51"/>
        <v>0.33333333333333331</v>
      </c>
      <c r="R559" s="7">
        <f>RAW_GAMES!Q559</f>
        <v>6</v>
      </c>
      <c r="S559">
        <f>RAW_GAMES!P559</f>
        <v>1</v>
      </c>
      <c r="T559">
        <f t="shared" si="52"/>
        <v>0.83333333333333337</v>
      </c>
      <c r="U559">
        <f>_xlfn.XLOOKUP(C559,
  CALC_TEAMS_SEASON!B:B,
  CALC_TEAMS_SEASON!F:F)</f>
        <v>0.11826923076923078</v>
      </c>
      <c r="V559">
        <f>_xlfn.XLOOKUP(D559,
  CALC_TEAMS_SEASON!B:B,
  CALC_TEAMS_SEASON!F:F)</f>
        <v>0.14358974358974358</v>
      </c>
      <c r="W559" t="str">
        <f>RAW_GAMES!R559</f>
        <v>Mokry</v>
      </c>
      <c r="X559" s="7">
        <f>RAW_GAMES!S559</f>
        <v>29</v>
      </c>
      <c r="Y559">
        <f t="shared" si="53"/>
        <v>0</v>
      </c>
      <c r="Z559" t="str">
        <f>RAW_GAMES!V559</f>
        <v>RS</v>
      </c>
    </row>
    <row r="560" spans="1:26" x14ac:dyDescent="0.25">
      <c r="A560" t="str">
        <f>RAW_GAMES!A560</f>
        <v>25/26</v>
      </c>
      <c r="B560" s="3">
        <f>RAW_GAMES!B560</f>
        <v>46033</v>
      </c>
      <c r="C560" s="3" t="str">
        <f>RAW_GAMES!E560</f>
        <v>MHK</v>
      </c>
      <c r="D560" s="3" t="str">
        <f>RAW_GAMES!F560</f>
        <v>CEB</v>
      </c>
      <c r="E560" s="7">
        <f>RAW_GAMES!G560</f>
        <v>0</v>
      </c>
      <c r="F560">
        <f>RAW_GAMES!H560</f>
        <v>1</v>
      </c>
      <c r="G560">
        <f>RAW_GAMES!I560</f>
        <v>5</v>
      </c>
      <c r="H560">
        <f t="shared" si="48"/>
        <v>-4</v>
      </c>
      <c r="I560">
        <f>RAW_GAMES!J560</f>
        <v>18</v>
      </c>
      <c r="J560">
        <f>RAW_GAMES!K560</f>
        <v>29</v>
      </c>
      <c r="K560">
        <f t="shared" si="49"/>
        <v>-11</v>
      </c>
      <c r="L560" t="str">
        <f>IF(RAW_GAMES!L560="","",RAW_GAMES!L560)</f>
        <v/>
      </c>
      <c r="M560" t="str">
        <f>IF(RAW_GAMES!M560="","",RAW_GAMES!M560)</f>
        <v/>
      </c>
      <c r="N560" t="str">
        <f t="shared" si="50"/>
        <v/>
      </c>
      <c r="O560" s="7">
        <f>RAW_GAMES!O560</f>
        <v>5</v>
      </c>
      <c r="P560">
        <f>RAW_GAMES!N560</f>
        <v>0</v>
      </c>
      <c r="Q560">
        <f t="shared" si="51"/>
        <v>0</v>
      </c>
      <c r="R560" s="7">
        <f>RAW_GAMES!Q560</f>
        <v>10</v>
      </c>
      <c r="S560">
        <f>RAW_GAMES!P560</f>
        <v>2</v>
      </c>
      <c r="T560">
        <f t="shared" si="52"/>
        <v>0.8</v>
      </c>
      <c r="U560">
        <f>_xlfn.XLOOKUP(C560,
  CALC_TEAMS_SEASON!B:B,
  CALC_TEAMS_SEASON!F:F)</f>
        <v>0.14184981684981687</v>
      </c>
      <c r="V560">
        <f>_xlfn.XLOOKUP(D560,
  CALC_TEAMS_SEASON!B:B,
  CALC_TEAMS_SEASON!F:F)</f>
        <v>0.13021353646353648</v>
      </c>
      <c r="W560" t="str">
        <f>RAW_GAMES!R560</f>
        <v>Škorvánek</v>
      </c>
      <c r="X560" s="7">
        <f>RAW_GAMES!S560</f>
        <v>24</v>
      </c>
      <c r="Y560">
        <f t="shared" si="53"/>
        <v>0</v>
      </c>
      <c r="Z560" t="str">
        <f>RAW_GAMES!V560</f>
        <v>RS</v>
      </c>
    </row>
    <row r="561" spans="1:26" x14ac:dyDescent="0.25">
      <c r="A561" t="str">
        <f>RAW_GAMES!A561</f>
        <v>25/26</v>
      </c>
      <c r="B561" s="3">
        <f>RAW_GAMES!B561</f>
        <v>46033</v>
      </c>
      <c r="C561" s="3" t="str">
        <f>RAW_GAMES!E561</f>
        <v>VIT</v>
      </c>
      <c r="D561" s="3" t="str">
        <f>RAW_GAMES!F561</f>
        <v>KLA</v>
      </c>
      <c r="E561" s="7">
        <f>RAW_GAMES!G561</f>
        <v>0</v>
      </c>
      <c r="F561">
        <f>RAW_GAMES!H561</f>
        <v>1</v>
      </c>
      <c r="G561">
        <f>RAW_GAMES!I561</f>
        <v>8</v>
      </c>
      <c r="H561">
        <f t="shared" si="48"/>
        <v>-7</v>
      </c>
      <c r="I561">
        <f>RAW_GAMES!J561</f>
        <v>24</v>
      </c>
      <c r="J561">
        <f>RAW_GAMES!K561</f>
        <v>43</v>
      </c>
      <c r="K561">
        <f t="shared" si="49"/>
        <v>-19</v>
      </c>
      <c r="L561" t="str">
        <f>IF(RAW_GAMES!L561="","",RAW_GAMES!L561)</f>
        <v/>
      </c>
      <c r="M561" t="str">
        <f>IF(RAW_GAMES!M561="","",RAW_GAMES!M561)</f>
        <v/>
      </c>
      <c r="N561" t="str">
        <f t="shared" si="50"/>
        <v/>
      </c>
      <c r="O561" s="7">
        <f>RAW_GAMES!O561</f>
        <v>2</v>
      </c>
      <c r="P561">
        <f>RAW_GAMES!N561</f>
        <v>0</v>
      </c>
      <c r="Q561">
        <f t="shared" si="51"/>
        <v>0</v>
      </c>
      <c r="R561" s="7">
        <f>RAW_GAMES!Q561</f>
        <v>4</v>
      </c>
      <c r="S561">
        <f>RAW_GAMES!P561</f>
        <v>1</v>
      </c>
      <c r="T561">
        <f t="shared" si="52"/>
        <v>0.75</v>
      </c>
      <c r="U561">
        <f>_xlfn.XLOOKUP(C561,
  CALC_TEAMS_SEASON!B:B,
  CALC_TEAMS_SEASON!F:F)</f>
        <v>0.16984890109890113</v>
      </c>
      <c r="V561">
        <f>_xlfn.XLOOKUP(D561,
  CALC_TEAMS_SEASON!B:B,
  CALC_TEAMS_SEASON!F:F)</f>
        <v>0.13120421245421243</v>
      </c>
      <c r="W561" t="str">
        <f>RAW_GAMES!R561</f>
        <v>Klimeš</v>
      </c>
      <c r="X561" s="7">
        <f>RAW_GAMES!S561</f>
        <v>35</v>
      </c>
      <c r="Y561">
        <f t="shared" si="53"/>
        <v>0</v>
      </c>
      <c r="Z561" t="str">
        <f>RAW_GAMES!V561</f>
        <v>RS</v>
      </c>
    </row>
    <row r="562" spans="1:26" x14ac:dyDescent="0.25">
      <c r="A562" t="str">
        <f>RAW_GAMES!A562</f>
        <v>25/26</v>
      </c>
      <c r="B562" s="3">
        <f>RAW_GAMES!B562</f>
        <v>46034</v>
      </c>
      <c r="C562" s="3" t="str">
        <f>RAW_GAMES!E562</f>
        <v>OLO</v>
      </c>
      <c r="D562" s="3" t="str">
        <f>RAW_GAMES!F562</f>
        <v>PLZ</v>
      </c>
      <c r="E562" s="7">
        <f>RAW_GAMES!G562</f>
        <v>0</v>
      </c>
      <c r="F562">
        <f>RAW_GAMES!H562</f>
        <v>2</v>
      </c>
      <c r="G562">
        <f>RAW_GAMES!I562</f>
        <v>3</v>
      </c>
      <c r="H562">
        <f t="shared" si="48"/>
        <v>-1</v>
      </c>
      <c r="I562">
        <f>RAW_GAMES!J562</f>
        <v>18</v>
      </c>
      <c r="J562">
        <f>RAW_GAMES!K562</f>
        <v>24</v>
      </c>
      <c r="K562">
        <f t="shared" si="49"/>
        <v>-6</v>
      </c>
      <c r="L562" t="str">
        <f>IF(RAW_GAMES!L562="","",RAW_GAMES!L562)</f>
        <v/>
      </c>
      <c r="M562" t="str">
        <f>IF(RAW_GAMES!M562="","",RAW_GAMES!M562)</f>
        <v/>
      </c>
      <c r="N562" t="str">
        <f t="shared" si="50"/>
        <v/>
      </c>
      <c r="O562" s="7">
        <f>RAW_GAMES!O562</f>
        <v>3</v>
      </c>
      <c r="P562">
        <f>RAW_GAMES!N562</f>
        <v>1</v>
      </c>
      <c r="Q562">
        <f t="shared" si="51"/>
        <v>0.33333333333333331</v>
      </c>
      <c r="R562" s="7">
        <f>RAW_GAMES!Q562</f>
        <v>4</v>
      </c>
      <c r="S562">
        <f>RAW_GAMES!P562</f>
        <v>1</v>
      </c>
      <c r="T562">
        <f t="shared" si="52"/>
        <v>0.75</v>
      </c>
      <c r="U562">
        <f>_xlfn.XLOOKUP(C562,
  CALC_TEAMS_SEASON!B:B,
  CALC_TEAMS_SEASON!F:F)</f>
        <v>0.14989316239316242</v>
      </c>
      <c r="V562">
        <f>_xlfn.XLOOKUP(D562,
  CALC_TEAMS_SEASON!B:B,
  CALC_TEAMS_SEASON!F:F)</f>
        <v>0.17641178266178262</v>
      </c>
      <c r="W562" t="str">
        <f>RAW_GAMES!R562</f>
        <v>Machovský</v>
      </c>
      <c r="X562" s="7">
        <f>RAW_GAMES!S562</f>
        <v>21</v>
      </c>
      <c r="Y562">
        <f t="shared" si="53"/>
        <v>0</v>
      </c>
      <c r="Z562" t="str">
        <f>RAW_GAMES!V562</f>
        <v>RS</v>
      </c>
    </row>
    <row r="563" spans="1:26" x14ac:dyDescent="0.25">
      <c r="A563" t="str">
        <f>RAW_GAMES!A563</f>
        <v>25/26</v>
      </c>
      <c r="B563" s="3">
        <f>RAW_GAMES!B563</f>
        <v>46034</v>
      </c>
      <c r="C563" s="3" t="str">
        <f>RAW_GAMES!E563</f>
        <v>PLZ</v>
      </c>
      <c r="D563" s="3" t="str">
        <f>RAW_GAMES!F563</f>
        <v>OLO</v>
      </c>
      <c r="E563" s="7">
        <f>RAW_GAMES!G563</f>
        <v>1</v>
      </c>
      <c r="F563">
        <f>RAW_GAMES!H563</f>
        <v>3</v>
      </c>
      <c r="G563">
        <f>RAW_GAMES!I563</f>
        <v>2</v>
      </c>
      <c r="H563">
        <f t="shared" si="48"/>
        <v>1</v>
      </c>
      <c r="I563">
        <f>RAW_GAMES!J563</f>
        <v>24</v>
      </c>
      <c r="J563">
        <f>RAW_GAMES!K563</f>
        <v>18</v>
      </c>
      <c r="K563">
        <f t="shared" si="49"/>
        <v>6</v>
      </c>
      <c r="L563" t="str">
        <f>IF(RAW_GAMES!L563="","",RAW_GAMES!L563)</f>
        <v/>
      </c>
      <c r="M563" t="str">
        <f>IF(RAW_GAMES!M563="","",RAW_GAMES!M563)</f>
        <v/>
      </c>
      <c r="N563" t="str">
        <f t="shared" si="50"/>
        <v/>
      </c>
      <c r="O563" s="7">
        <f>RAW_GAMES!O563</f>
        <v>4</v>
      </c>
      <c r="P563">
        <f>RAW_GAMES!N563</f>
        <v>1</v>
      </c>
      <c r="Q563">
        <f t="shared" si="51"/>
        <v>0.25</v>
      </c>
      <c r="R563" s="7">
        <f>RAW_GAMES!Q563</f>
        <v>3</v>
      </c>
      <c r="S563">
        <f>RAW_GAMES!P563</f>
        <v>1</v>
      </c>
      <c r="T563">
        <f t="shared" si="52"/>
        <v>0.66666666666666674</v>
      </c>
      <c r="U563">
        <f>_xlfn.XLOOKUP(C563,
  CALC_TEAMS_SEASON!B:B,
  CALC_TEAMS_SEASON!F:F)</f>
        <v>0.17641178266178262</v>
      </c>
      <c r="V563">
        <f>_xlfn.XLOOKUP(D563,
  CALC_TEAMS_SEASON!B:B,
  CALC_TEAMS_SEASON!F:F)</f>
        <v>0.14989316239316242</v>
      </c>
      <c r="W563" t="str">
        <f>RAW_GAMES!R563</f>
        <v>Malík</v>
      </c>
      <c r="X563" s="7">
        <f>RAW_GAMES!S563</f>
        <v>16</v>
      </c>
      <c r="Y563">
        <f t="shared" si="53"/>
        <v>1</v>
      </c>
      <c r="Z563" t="str">
        <f>RAW_GAMES!V563</f>
        <v>RS</v>
      </c>
    </row>
    <row r="564" spans="1:26" x14ac:dyDescent="0.25">
      <c r="A564" t="str">
        <f>RAW_GAMES!A564</f>
        <v>25/26</v>
      </c>
      <c r="B564" s="3">
        <f>RAW_GAMES!B564</f>
        <v>46035</v>
      </c>
      <c r="C564" s="3" t="str">
        <f>RAW_GAMES!E564</f>
        <v>SPA</v>
      </c>
      <c r="D564" s="3" t="str">
        <f>RAW_GAMES!F564</f>
        <v>LIT</v>
      </c>
      <c r="E564" s="7">
        <f>RAW_GAMES!G564</f>
        <v>1</v>
      </c>
      <c r="F564">
        <f>RAW_GAMES!H564</f>
        <v>5</v>
      </c>
      <c r="G564">
        <f>RAW_GAMES!I564</f>
        <v>1</v>
      </c>
      <c r="H564">
        <f t="shared" si="48"/>
        <v>4</v>
      </c>
      <c r="I564">
        <f>RAW_GAMES!J564</f>
        <v>29</v>
      </c>
      <c r="J564">
        <f>RAW_GAMES!K564</f>
        <v>19</v>
      </c>
      <c r="K564">
        <f t="shared" si="49"/>
        <v>10</v>
      </c>
      <c r="L564">
        <f>IF(RAW_GAMES!L564="","",RAW_GAMES!L564)</f>
        <v>3.36</v>
      </c>
      <c r="M564">
        <f>IF(RAW_GAMES!M564="","",RAW_GAMES!M564)</f>
        <v>1.31</v>
      </c>
      <c r="N564">
        <f t="shared" si="50"/>
        <v>2.0499999999999998</v>
      </c>
      <c r="O564" s="7">
        <f>RAW_GAMES!O564</f>
        <v>4</v>
      </c>
      <c r="P564">
        <f>RAW_GAMES!N564</f>
        <v>3</v>
      </c>
      <c r="Q564">
        <f t="shared" si="51"/>
        <v>0.75</v>
      </c>
      <c r="R564" s="7">
        <f>RAW_GAMES!Q564</f>
        <v>4</v>
      </c>
      <c r="S564">
        <f>RAW_GAMES!P564</f>
        <v>0</v>
      </c>
      <c r="T564">
        <f t="shared" si="52"/>
        <v>1</v>
      </c>
      <c r="U564">
        <f>_xlfn.XLOOKUP(C564,
  CALC_TEAMS_SEASON!B:B,
  CALC_TEAMS_SEASON!F:F)</f>
        <v>0.22060439560439565</v>
      </c>
      <c r="V564">
        <f>_xlfn.XLOOKUP(D564,
  CALC_TEAMS_SEASON!B:B,
  CALC_TEAMS_SEASON!F:F)</f>
        <v>0.10089285714285713</v>
      </c>
      <c r="W564" t="str">
        <f>RAW_GAMES!R564</f>
        <v>Kořenář</v>
      </c>
      <c r="X564" s="7">
        <f>RAW_GAMES!S564</f>
        <v>18</v>
      </c>
      <c r="Y564">
        <f t="shared" si="53"/>
        <v>1</v>
      </c>
      <c r="Z564" t="str">
        <f>RAW_GAMES!V564</f>
        <v>RS</v>
      </c>
    </row>
    <row r="565" spans="1:26" x14ac:dyDescent="0.25">
      <c r="A565" t="str">
        <f>RAW_GAMES!A565</f>
        <v>25/26</v>
      </c>
      <c r="B565" s="3">
        <f>RAW_GAMES!B565</f>
        <v>46035</v>
      </c>
      <c r="C565" s="3" t="str">
        <f>RAW_GAMES!E565</f>
        <v>CEB</v>
      </c>
      <c r="D565" s="3" t="str">
        <f>RAW_GAMES!F565</f>
        <v>LIB</v>
      </c>
      <c r="E565" s="7">
        <f>RAW_GAMES!G565</f>
        <v>0</v>
      </c>
      <c r="F565">
        <f>RAW_GAMES!H565</f>
        <v>3</v>
      </c>
      <c r="G565">
        <f>RAW_GAMES!I565</f>
        <v>6</v>
      </c>
      <c r="H565">
        <f t="shared" si="48"/>
        <v>-3</v>
      </c>
      <c r="I565">
        <f>RAW_GAMES!J565</f>
        <v>29</v>
      </c>
      <c r="J565">
        <f>RAW_GAMES!K565</f>
        <v>35</v>
      </c>
      <c r="K565">
        <f t="shared" si="49"/>
        <v>-6</v>
      </c>
      <c r="L565" t="str">
        <f>IF(RAW_GAMES!L565="","",RAW_GAMES!L565)</f>
        <v/>
      </c>
      <c r="M565" t="str">
        <f>IF(RAW_GAMES!M565="","",RAW_GAMES!M565)</f>
        <v/>
      </c>
      <c r="N565" t="str">
        <f t="shared" si="50"/>
        <v/>
      </c>
      <c r="O565" s="7">
        <f>RAW_GAMES!O565</f>
        <v>5</v>
      </c>
      <c r="P565">
        <f>RAW_GAMES!N565</f>
        <v>1</v>
      </c>
      <c r="Q565">
        <f t="shared" si="51"/>
        <v>0.2</v>
      </c>
      <c r="R565" s="7">
        <f>RAW_GAMES!Q565</f>
        <v>3</v>
      </c>
      <c r="S565">
        <f>RAW_GAMES!P565</f>
        <v>0</v>
      </c>
      <c r="T565">
        <f t="shared" si="52"/>
        <v>1</v>
      </c>
      <c r="U565">
        <f>_xlfn.XLOOKUP(C565,
  CALC_TEAMS_SEASON!B:B,
  CALC_TEAMS_SEASON!F:F)</f>
        <v>0.13021353646353648</v>
      </c>
      <c r="V565">
        <f>_xlfn.XLOOKUP(D565,
  CALC_TEAMS_SEASON!B:B,
  CALC_TEAMS_SEASON!F:F)</f>
        <v>0.14377289377289379</v>
      </c>
      <c r="W565" t="str">
        <f>RAW_GAMES!R565</f>
        <v>Klouček</v>
      </c>
      <c r="X565" s="7">
        <f>RAW_GAMES!S565</f>
        <v>29</v>
      </c>
      <c r="Y565">
        <f t="shared" si="53"/>
        <v>0</v>
      </c>
      <c r="Z565" t="str">
        <f>RAW_GAMES!V565</f>
        <v>RS</v>
      </c>
    </row>
    <row r="566" spans="1:26" x14ac:dyDescent="0.25">
      <c r="A566" t="str">
        <f>RAW_GAMES!A566</f>
        <v>25/26</v>
      </c>
      <c r="B566" s="3">
        <f>RAW_GAMES!B566</f>
        <v>46035</v>
      </c>
      <c r="C566" s="3" t="str">
        <f>RAW_GAMES!E566</f>
        <v>LIB</v>
      </c>
      <c r="D566" s="3" t="str">
        <f>RAW_GAMES!F566</f>
        <v>CEB</v>
      </c>
      <c r="E566" s="7">
        <f>RAW_GAMES!G566</f>
        <v>1</v>
      </c>
      <c r="F566">
        <f>RAW_GAMES!H566</f>
        <v>6</v>
      </c>
      <c r="G566">
        <f>RAW_GAMES!I566</f>
        <v>3</v>
      </c>
      <c r="H566">
        <f t="shared" si="48"/>
        <v>3</v>
      </c>
      <c r="I566">
        <f>RAW_GAMES!J566</f>
        <v>35</v>
      </c>
      <c r="J566">
        <f>RAW_GAMES!K566</f>
        <v>29</v>
      </c>
      <c r="K566">
        <f t="shared" si="49"/>
        <v>6</v>
      </c>
      <c r="L566" t="str">
        <f>IF(RAW_GAMES!L566="","",RAW_GAMES!L566)</f>
        <v/>
      </c>
      <c r="M566" t="str">
        <f>IF(RAW_GAMES!M566="","",RAW_GAMES!M566)</f>
        <v/>
      </c>
      <c r="N566" t="str">
        <f t="shared" si="50"/>
        <v/>
      </c>
      <c r="O566" s="7">
        <f>RAW_GAMES!O566</f>
        <v>3</v>
      </c>
      <c r="P566">
        <f>RAW_GAMES!N566</f>
        <v>0</v>
      </c>
      <c r="Q566">
        <f t="shared" si="51"/>
        <v>0</v>
      </c>
      <c r="R566" s="7">
        <f>RAW_GAMES!Q566</f>
        <v>5</v>
      </c>
      <c r="S566">
        <f>RAW_GAMES!P566</f>
        <v>1</v>
      </c>
      <c r="T566">
        <f t="shared" si="52"/>
        <v>0.8</v>
      </c>
      <c r="U566">
        <f>_xlfn.XLOOKUP(C566,
  CALC_TEAMS_SEASON!B:B,
  CALC_TEAMS_SEASON!F:F)</f>
        <v>0.14377289377289379</v>
      </c>
      <c r="V566">
        <f>_xlfn.XLOOKUP(D566,
  CALC_TEAMS_SEASON!B:B,
  CALC_TEAMS_SEASON!F:F)</f>
        <v>0.13021353646353648</v>
      </c>
      <c r="W566" t="str">
        <f>RAW_GAMES!R566</f>
        <v>Lukeš</v>
      </c>
      <c r="X566" s="7">
        <f>RAW_GAMES!S566</f>
        <v>26</v>
      </c>
      <c r="Y566">
        <f t="shared" si="53"/>
        <v>1</v>
      </c>
      <c r="Z566" t="str">
        <f>RAW_GAMES!V566</f>
        <v>RS</v>
      </c>
    </row>
    <row r="567" spans="1:26" x14ac:dyDescent="0.25">
      <c r="A567" t="str">
        <f>RAW_GAMES!A567</f>
        <v>25/26</v>
      </c>
      <c r="B567" s="3">
        <f>RAW_GAMES!B567</f>
        <v>46035</v>
      </c>
      <c r="C567" s="3" t="str">
        <f>RAW_GAMES!E567</f>
        <v>LIT</v>
      </c>
      <c r="D567" s="3" t="str">
        <f>RAW_GAMES!F567</f>
        <v>SPA</v>
      </c>
      <c r="E567" s="7">
        <f>RAW_GAMES!G567</f>
        <v>0</v>
      </c>
      <c r="F567">
        <f>RAW_GAMES!H567</f>
        <v>1</v>
      </c>
      <c r="G567">
        <f>RAW_GAMES!I567</f>
        <v>5</v>
      </c>
      <c r="H567">
        <f t="shared" si="48"/>
        <v>-4</v>
      </c>
      <c r="I567">
        <f>RAW_GAMES!J567</f>
        <v>19</v>
      </c>
      <c r="J567">
        <f>RAW_GAMES!K567</f>
        <v>29</v>
      </c>
      <c r="K567">
        <f t="shared" si="49"/>
        <v>-10</v>
      </c>
      <c r="L567">
        <f>IF(RAW_GAMES!L567="","",RAW_GAMES!L567)</f>
        <v>1.31</v>
      </c>
      <c r="M567">
        <f>IF(RAW_GAMES!M567="","",RAW_GAMES!M567)</f>
        <v>3.36</v>
      </c>
      <c r="N567">
        <f t="shared" si="50"/>
        <v>-2.0499999999999998</v>
      </c>
      <c r="O567" s="7">
        <f>RAW_GAMES!O567</f>
        <v>4</v>
      </c>
      <c r="P567">
        <f>RAW_GAMES!N567</f>
        <v>0</v>
      </c>
      <c r="Q567">
        <f t="shared" si="51"/>
        <v>0</v>
      </c>
      <c r="R567" s="7">
        <f>RAW_GAMES!Q567</f>
        <v>4</v>
      </c>
      <c r="S567">
        <f>RAW_GAMES!P567</f>
        <v>3</v>
      </c>
      <c r="T567">
        <f t="shared" si="52"/>
        <v>0.25</v>
      </c>
      <c r="U567">
        <f>_xlfn.XLOOKUP(C567,
  CALC_TEAMS_SEASON!B:B,
  CALC_TEAMS_SEASON!F:F)</f>
        <v>0.10089285714285713</v>
      </c>
      <c r="V567">
        <f>_xlfn.XLOOKUP(D567,
  CALC_TEAMS_SEASON!B:B,
  CALC_TEAMS_SEASON!F:F)</f>
        <v>0.22060439560439565</v>
      </c>
      <c r="W567" t="str">
        <f>RAW_GAMES!R567</f>
        <v>Čajan</v>
      </c>
      <c r="X567" s="7">
        <f>RAW_GAMES!S567</f>
        <v>24</v>
      </c>
      <c r="Y567">
        <f t="shared" si="53"/>
        <v>0</v>
      </c>
      <c r="Z567" t="str">
        <f>RAW_GAMES!V567</f>
        <v>RS</v>
      </c>
    </row>
    <row r="568" spans="1:26" x14ac:dyDescent="0.25">
      <c r="A568" t="str">
        <f>RAW_GAMES!A568</f>
        <v>25/26</v>
      </c>
      <c r="B568" s="3">
        <f>RAW_GAMES!B568</f>
        <v>46035</v>
      </c>
      <c r="C568" s="3" t="str">
        <f>RAW_GAMES!E568</f>
        <v>MBL</v>
      </c>
      <c r="D568" s="3" t="str">
        <f>RAW_GAMES!F568</f>
        <v>MHK</v>
      </c>
      <c r="E568" s="7">
        <f>RAW_GAMES!G568</f>
        <v>1</v>
      </c>
      <c r="F568">
        <f>RAW_GAMES!H568</f>
        <v>2</v>
      </c>
      <c r="G568">
        <f>RAW_GAMES!I568</f>
        <v>0</v>
      </c>
      <c r="H568">
        <f t="shared" si="48"/>
        <v>2</v>
      </c>
      <c r="I568">
        <f>RAW_GAMES!J568</f>
        <v>29</v>
      </c>
      <c r="J568">
        <f>RAW_GAMES!K568</f>
        <v>26</v>
      </c>
      <c r="K568">
        <f t="shared" si="49"/>
        <v>3</v>
      </c>
      <c r="L568" t="str">
        <f>IF(RAW_GAMES!L568="","",RAW_GAMES!L568)</f>
        <v/>
      </c>
      <c r="M568" t="str">
        <f>IF(RAW_GAMES!M568="","",RAW_GAMES!M568)</f>
        <v/>
      </c>
      <c r="N568" t="str">
        <f t="shared" si="50"/>
        <v/>
      </c>
      <c r="O568" s="7">
        <f>RAW_GAMES!O568</f>
        <v>4</v>
      </c>
      <c r="P568">
        <f>RAW_GAMES!N568</f>
        <v>0</v>
      </c>
      <c r="Q568">
        <f t="shared" si="51"/>
        <v>0</v>
      </c>
      <c r="R568" s="7">
        <f>RAW_GAMES!Q568</f>
        <v>4</v>
      </c>
      <c r="S568">
        <f>RAW_GAMES!P568</f>
        <v>0</v>
      </c>
      <c r="T568">
        <f t="shared" si="52"/>
        <v>1</v>
      </c>
      <c r="U568">
        <f>_xlfn.XLOOKUP(C568,
  CALC_TEAMS_SEASON!B:B,
  CALC_TEAMS_SEASON!F:F)</f>
        <v>0.11826923076923078</v>
      </c>
      <c r="V568">
        <f>_xlfn.XLOOKUP(D568,
  CALC_TEAMS_SEASON!B:B,
  CALC_TEAMS_SEASON!F:F)</f>
        <v>0.14184981684981687</v>
      </c>
      <c r="W568" t="str">
        <f>RAW_GAMES!R568</f>
        <v>Mokry</v>
      </c>
      <c r="X568" s="7">
        <f>RAW_GAMES!S568</f>
        <v>26</v>
      </c>
      <c r="Y568">
        <f t="shared" si="53"/>
        <v>1</v>
      </c>
      <c r="Z568" t="str">
        <f>RAW_GAMES!V568</f>
        <v>RS</v>
      </c>
    </row>
    <row r="569" spans="1:26" x14ac:dyDescent="0.25">
      <c r="A569" t="str">
        <f>RAW_GAMES!A569</f>
        <v>25/26</v>
      </c>
      <c r="B569" s="3">
        <f>RAW_GAMES!B569</f>
        <v>46035</v>
      </c>
      <c r="C569" s="3" t="str">
        <f>RAW_GAMES!E569</f>
        <v>MHK</v>
      </c>
      <c r="D569" s="3" t="str">
        <f>RAW_GAMES!F569</f>
        <v>MBL</v>
      </c>
      <c r="E569" s="7">
        <f>RAW_GAMES!G569</f>
        <v>0</v>
      </c>
      <c r="F569">
        <f>RAW_GAMES!H569</f>
        <v>0</v>
      </c>
      <c r="G569">
        <f>RAW_GAMES!I569</f>
        <v>2</v>
      </c>
      <c r="H569">
        <f t="shared" si="48"/>
        <v>-2</v>
      </c>
      <c r="I569">
        <f>RAW_GAMES!J569</f>
        <v>26</v>
      </c>
      <c r="J569">
        <f>RAW_GAMES!K569</f>
        <v>29</v>
      </c>
      <c r="K569">
        <f t="shared" si="49"/>
        <v>-3</v>
      </c>
      <c r="L569" t="str">
        <f>IF(RAW_GAMES!L569="","",RAW_GAMES!L569)</f>
        <v/>
      </c>
      <c r="M569" t="str">
        <f>IF(RAW_GAMES!M569="","",RAW_GAMES!M569)</f>
        <v/>
      </c>
      <c r="N569" t="str">
        <f t="shared" si="50"/>
        <v/>
      </c>
      <c r="O569" s="7">
        <f>RAW_GAMES!O569</f>
        <v>4</v>
      </c>
      <c r="P569">
        <f>RAW_GAMES!N569</f>
        <v>0</v>
      </c>
      <c r="Q569">
        <f t="shared" si="51"/>
        <v>0</v>
      </c>
      <c r="R569" s="7">
        <f>RAW_GAMES!Q569</f>
        <v>4</v>
      </c>
      <c r="S569">
        <f>RAW_GAMES!P569</f>
        <v>0</v>
      </c>
      <c r="T569">
        <f t="shared" si="52"/>
        <v>1</v>
      </c>
      <c r="U569">
        <f>_xlfn.XLOOKUP(C569,
  CALC_TEAMS_SEASON!B:B,
  CALC_TEAMS_SEASON!F:F)</f>
        <v>0.14184981684981687</v>
      </c>
      <c r="V569">
        <f>_xlfn.XLOOKUP(D569,
  CALC_TEAMS_SEASON!B:B,
  CALC_TEAMS_SEASON!F:F)</f>
        <v>0.11826923076923078</v>
      </c>
      <c r="W569" t="str">
        <f>RAW_GAMES!R569</f>
        <v>Novotný</v>
      </c>
      <c r="X569" s="7">
        <f>RAW_GAMES!S569</f>
        <v>27</v>
      </c>
      <c r="Y569">
        <f t="shared" si="53"/>
        <v>0</v>
      </c>
      <c r="Z569" t="str">
        <f>RAW_GAMES!V569</f>
        <v>RS</v>
      </c>
    </row>
    <row r="570" spans="1:26" x14ac:dyDescent="0.25">
      <c r="A570" t="str">
        <f>RAW_GAMES!A570</f>
        <v>25/26</v>
      </c>
      <c r="B570" s="3">
        <f>RAW_GAMES!B570</f>
        <v>46037</v>
      </c>
      <c r="C570" s="3" t="str">
        <f>RAW_GAMES!E570</f>
        <v>SPA</v>
      </c>
      <c r="D570" s="3" t="str">
        <f>RAW_GAMES!F570</f>
        <v>KOM</v>
      </c>
      <c r="E570" s="7">
        <f>RAW_GAMES!G570</f>
        <v>1</v>
      </c>
      <c r="F570">
        <f>RAW_GAMES!H570</f>
        <v>1</v>
      </c>
      <c r="G570">
        <f>RAW_GAMES!I570</f>
        <v>3</v>
      </c>
      <c r="H570">
        <f t="shared" si="48"/>
        <v>-2</v>
      </c>
      <c r="I570">
        <f>RAW_GAMES!J570</f>
        <v>44</v>
      </c>
      <c r="J570">
        <f>RAW_GAMES!K570</f>
        <v>24</v>
      </c>
      <c r="K570">
        <f t="shared" si="49"/>
        <v>20</v>
      </c>
      <c r="L570">
        <f>IF(RAW_GAMES!L570="","",RAW_GAMES!L570)</f>
        <v>4.8499999999999996</v>
      </c>
      <c r="M570">
        <f>IF(RAW_GAMES!M570="","",RAW_GAMES!M570)</f>
        <v>2.3199999999999998</v>
      </c>
      <c r="N570">
        <f t="shared" si="50"/>
        <v>2.5299999999999998</v>
      </c>
      <c r="O570" s="7">
        <f>RAW_GAMES!O570</f>
        <v>4</v>
      </c>
      <c r="P570">
        <f>RAW_GAMES!N570</f>
        <v>1</v>
      </c>
      <c r="Q570">
        <f t="shared" si="51"/>
        <v>0.25</v>
      </c>
      <c r="R570" s="7">
        <f>RAW_GAMES!Q570</f>
        <v>3</v>
      </c>
      <c r="S570">
        <f>RAW_GAMES!P570</f>
        <v>0</v>
      </c>
      <c r="T570">
        <f t="shared" si="52"/>
        <v>1</v>
      </c>
      <c r="U570">
        <f>_xlfn.XLOOKUP(C570,
  CALC_TEAMS_SEASON!B:B,
  CALC_TEAMS_SEASON!F:F)</f>
        <v>0.22060439560439565</v>
      </c>
      <c r="V570">
        <f>_xlfn.XLOOKUP(D570,
  CALC_TEAMS_SEASON!B:B,
  CALC_TEAMS_SEASON!F:F)</f>
        <v>0.14358974358974358</v>
      </c>
      <c r="W570" t="str">
        <f>RAW_GAMES!R570</f>
        <v>Kořenář</v>
      </c>
      <c r="X570" s="7">
        <f>RAW_GAMES!S570</f>
        <v>21</v>
      </c>
      <c r="Y570">
        <f t="shared" si="53"/>
        <v>0</v>
      </c>
      <c r="Z570" t="str">
        <f>RAW_GAMES!V570</f>
        <v>RS</v>
      </c>
    </row>
    <row r="571" spans="1:26" x14ac:dyDescent="0.25">
      <c r="A571" t="str">
        <f>RAW_GAMES!A571</f>
        <v>25/26</v>
      </c>
      <c r="B571" s="3">
        <f>RAW_GAMES!B571</f>
        <v>46037</v>
      </c>
      <c r="C571" s="3" t="str">
        <f>RAW_GAMES!E571</f>
        <v>KOM</v>
      </c>
      <c r="D571" s="3" t="str">
        <f>RAW_GAMES!F571</f>
        <v>SPA</v>
      </c>
      <c r="E571" s="7">
        <f>RAW_GAMES!G571</f>
        <v>0</v>
      </c>
      <c r="F571">
        <f>RAW_GAMES!H571</f>
        <v>3</v>
      </c>
      <c r="G571">
        <f>RAW_GAMES!I571</f>
        <v>1</v>
      </c>
      <c r="H571">
        <f t="shared" si="48"/>
        <v>2</v>
      </c>
      <c r="I571">
        <f>RAW_GAMES!J571</f>
        <v>24</v>
      </c>
      <c r="J571">
        <f>RAW_GAMES!K571</f>
        <v>44</v>
      </c>
      <c r="K571">
        <f t="shared" si="49"/>
        <v>-20</v>
      </c>
      <c r="L571">
        <f>IF(RAW_GAMES!L571="","",RAW_GAMES!L571)</f>
        <v>2.3199999999999998</v>
      </c>
      <c r="M571">
        <f>IF(RAW_GAMES!M571="","",RAW_GAMES!M571)</f>
        <v>4.8499999999999996</v>
      </c>
      <c r="N571">
        <f t="shared" si="50"/>
        <v>-2.5299999999999998</v>
      </c>
      <c r="O571" s="7">
        <f>RAW_GAMES!O571</f>
        <v>3</v>
      </c>
      <c r="P571">
        <f>RAW_GAMES!N571</f>
        <v>0</v>
      </c>
      <c r="Q571">
        <f t="shared" si="51"/>
        <v>0</v>
      </c>
      <c r="R571" s="7">
        <f>RAW_GAMES!Q571</f>
        <v>4</v>
      </c>
      <c r="S571">
        <f>RAW_GAMES!P571</f>
        <v>1</v>
      </c>
      <c r="T571">
        <f t="shared" si="52"/>
        <v>0.75</v>
      </c>
      <c r="U571">
        <f>_xlfn.XLOOKUP(C571,
  CALC_TEAMS_SEASON!B:B,
  CALC_TEAMS_SEASON!F:F)</f>
        <v>0.14358974358974358</v>
      </c>
      <c r="V571">
        <f>_xlfn.XLOOKUP(D571,
  CALC_TEAMS_SEASON!B:B,
  CALC_TEAMS_SEASON!F:F)</f>
        <v>0.22060439560439565</v>
      </c>
      <c r="W571" t="str">
        <f>RAW_GAMES!R571</f>
        <v>Stezka</v>
      </c>
      <c r="X571" s="7">
        <f>RAW_GAMES!S571</f>
        <v>43</v>
      </c>
      <c r="Y571">
        <f t="shared" si="53"/>
        <v>1</v>
      </c>
      <c r="Z571" t="str">
        <f>RAW_GAMES!V571</f>
        <v>RS</v>
      </c>
    </row>
    <row r="572" spans="1:26" x14ac:dyDescent="0.25">
      <c r="A572" t="str">
        <f>RAW_GAMES!A572</f>
        <v>25/26</v>
      </c>
      <c r="B572" s="3">
        <f>RAW_GAMES!B572</f>
        <v>46038</v>
      </c>
      <c r="C572" s="3" t="str">
        <f>RAW_GAMES!E572</f>
        <v>PCE</v>
      </c>
      <c r="D572" s="3" t="str">
        <f>RAW_GAMES!F572</f>
        <v>MBL</v>
      </c>
      <c r="E572" s="7">
        <f>RAW_GAMES!G572</f>
        <v>0</v>
      </c>
      <c r="F572">
        <f>RAW_GAMES!H572</f>
        <v>2</v>
      </c>
      <c r="G572">
        <f>RAW_GAMES!I572</f>
        <v>4</v>
      </c>
      <c r="H572">
        <f t="shared" si="48"/>
        <v>-2</v>
      </c>
      <c r="I572">
        <f>RAW_GAMES!J572</f>
        <v>32</v>
      </c>
      <c r="J572">
        <f>RAW_GAMES!K572</f>
        <v>15</v>
      </c>
      <c r="K572">
        <f t="shared" si="49"/>
        <v>17</v>
      </c>
      <c r="L572">
        <f>IF(RAW_GAMES!L572="","",RAW_GAMES!L572)</f>
        <v>2.4500000000000002</v>
      </c>
      <c r="M572">
        <f>IF(RAW_GAMES!M572="","",RAW_GAMES!M572)</f>
        <v>2.83</v>
      </c>
      <c r="N572">
        <f t="shared" si="50"/>
        <v>-0.37999999999999989</v>
      </c>
      <c r="O572" s="7">
        <f>RAW_GAMES!O572</f>
        <v>5</v>
      </c>
      <c r="P572">
        <f>RAW_GAMES!N572</f>
        <v>0</v>
      </c>
      <c r="Q572">
        <f t="shared" si="51"/>
        <v>0</v>
      </c>
      <c r="R572" s="7">
        <f>RAW_GAMES!Q572</f>
        <v>6</v>
      </c>
      <c r="S572">
        <f>RAW_GAMES!P572</f>
        <v>1</v>
      </c>
      <c r="T572">
        <f t="shared" si="52"/>
        <v>0.83333333333333337</v>
      </c>
      <c r="U572">
        <f>_xlfn.XLOOKUP(C572,
  CALC_TEAMS_SEASON!B:B,
  CALC_TEAMS_SEASON!F:F)</f>
        <v>0.20297619047619053</v>
      </c>
      <c r="V572">
        <f>_xlfn.XLOOKUP(D572,
  CALC_TEAMS_SEASON!B:B,
  CALC_TEAMS_SEASON!F:F)</f>
        <v>0.11826923076923078</v>
      </c>
      <c r="W572" t="str">
        <f>RAW_GAMES!R572</f>
        <v>Will</v>
      </c>
      <c r="X572" s="7">
        <f>RAW_GAMES!S572</f>
        <v>11</v>
      </c>
      <c r="Y572">
        <f t="shared" si="53"/>
        <v>0</v>
      </c>
      <c r="Z572" t="str">
        <f>RAW_GAMES!V572</f>
        <v>RS</v>
      </c>
    </row>
    <row r="573" spans="1:26" x14ac:dyDescent="0.25">
      <c r="A573" t="str">
        <f>RAW_GAMES!A573</f>
        <v>25/26</v>
      </c>
      <c r="B573" s="3">
        <f>RAW_GAMES!B573</f>
        <v>46038</v>
      </c>
      <c r="C573" s="3" t="str">
        <f>RAW_GAMES!E573</f>
        <v>TRI</v>
      </c>
      <c r="D573" s="3" t="str">
        <f>RAW_GAMES!F573</f>
        <v>LIB</v>
      </c>
      <c r="E573" s="7">
        <f>RAW_GAMES!G573</f>
        <v>0</v>
      </c>
      <c r="F573">
        <f>RAW_GAMES!H573</f>
        <v>3</v>
      </c>
      <c r="G573">
        <f>RAW_GAMES!I573</f>
        <v>5</v>
      </c>
      <c r="H573">
        <f t="shared" si="48"/>
        <v>-2</v>
      </c>
      <c r="I573">
        <f>RAW_GAMES!J573</f>
        <v>35</v>
      </c>
      <c r="J573">
        <f>RAW_GAMES!K573</f>
        <v>23</v>
      </c>
      <c r="K573">
        <f t="shared" si="49"/>
        <v>12</v>
      </c>
      <c r="L573">
        <f>IF(RAW_GAMES!L573="","",RAW_GAMES!L573)</f>
        <v>1.97</v>
      </c>
      <c r="M573">
        <f>IF(RAW_GAMES!M573="","",RAW_GAMES!M573)</f>
        <v>2.2000000000000002</v>
      </c>
      <c r="N573">
        <f t="shared" si="50"/>
        <v>-0.2300000000000002</v>
      </c>
      <c r="O573" s="7">
        <f>RAW_GAMES!O573</f>
        <v>4</v>
      </c>
      <c r="P573">
        <f>RAW_GAMES!N573</f>
        <v>0</v>
      </c>
      <c r="Q573">
        <f t="shared" si="51"/>
        <v>0</v>
      </c>
      <c r="R573" s="7">
        <f>RAW_GAMES!Q573</f>
        <v>4</v>
      </c>
      <c r="S573">
        <f>RAW_GAMES!P573</f>
        <v>1</v>
      </c>
      <c r="T573">
        <f t="shared" si="52"/>
        <v>0.75</v>
      </c>
      <c r="U573">
        <f>_xlfn.XLOOKUP(C573,
  CALC_TEAMS_SEASON!B:B,
  CALC_TEAMS_SEASON!F:F)</f>
        <v>0.17437423687423692</v>
      </c>
      <c r="V573">
        <f>_xlfn.XLOOKUP(D573,
  CALC_TEAMS_SEASON!B:B,
  CALC_TEAMS_SEASON!F:F)</f>
        <v>0.14377289377289379</v>
      </c>
      <c r="W573" t="str">
        <f>RAW_GAMES!R573</f>
        <v>Kacetl</v>
      </c>
      <c r="X573" s="7">
        <f>RAW_GAMES!S573</f>
        <v>18</v>
      </c>
      <c r="Y573">
        <f t="shared" si="53"/>
        <v>0</v>
      </c>
      <c r="Z573" t="str">
        <f>RAW_GAMES!V573</f>
        <v>RS</v>
      </c>
    </row>
    <row r="574" spans="1:26" x14ac:dyDescent="0.25">
      <c r="A574" t="str">
        <f>RAW_GAMES!A574</f>
        <v>25/26</v>
      </c>
      <c r="B574" s="3">
        <f>RAW_GAMES!B574</f>
        <v>46038</v>
      </c>
      <c r="C574" s="3" t="str">
        <f>RAW_GAMES!E574</f>
        <v>CEB</v>
      </c>
      <c r="D574" s="3" t="str">
        <f>RAW_GAMES!F574</f>
        <v>PLZ</v>
      </c>
      <c r="E574" s="7">
        <f>RAW_GAMES!G574</f>
        <v>1</v>
      </c>
      <c r="F574">
        <f>RAW_GAMES!H574</f>
        <v>5</v>
      </c>
      <c r="G574">
        <f>RAW_GAMES!I574</f>
        <v>1</v>
      </c>
      <c r="H574">
        <f t="shared" si="48"/>
        <v>4</v>
      </c>
      <c r="I574">
        <f>RAW_GAMES!J574</f>
        <v>22</v>
      </c>
      <c r="J574">
        <f>RAW_GAMES!K574</f>
        <v>29</v>
      </c>
      <c r="K574">
        <f t="shared" si="49"/>
        <v>-7</v>
      </c>
      <c r="L574" t="str">
        <f>IF(RAW_GAMES!L574="","",RAW_GAMES!L574)</f>
        <v/>
      </c>
      <c r="M574" t="str">
        <f>IF(RAW_GAMES!M574="","",RAW_GAMES!M574)</f>
        <v/>
      </c>
      <c r="N574" t="str">
        <f t="shared" si="50"/>
        <v/>
      </c>
      <c r="O574" s="7">
        <f>RAW_GAMES!O574</f>
        <v>6</v>
      </c>
      <c r="P574">
        <f>RAW_GAMES!N574</f>
        <v>1</v>
      </c>
      <c r="Q574">
        <f t="shared" si="51"/>
        <v>0.16666666666666666</v>
      </c>
      <c r="R574" s="7">
        <f>RAW_GAMES!Q574</f>
        <v>6</v>
      </c>
      <c r="S574">
        <f>RAW_GAMES!P574</f>
        <v>0</v>
      </c>
      <c r="T574">
        <f t="shared" si="52"/>
        <v>1</v>
      </c>
      <c r="U574">
        <f>_xlfn.XLOOKUP(C574,
  CALC_TEAMS_SEASON!B:B,
  CALC_TEAMS_SEASON!F:F)</f>
        <v>0.13021353646353648</v>
      </c>
      <c r="V574">
        <f>_xlfn.XLOOKUP(D574,
  CALC_TEAMS_SEASON!B:B,
  CALC_TEAMS_SEASON!F:F)</f>
        <v>0.17641178266178262</v>
      </c>
      <c r="W574" t="str">
        <f>RAW_GAMES!R574</f>
        <v>Klouček</v>
      </c>
      <c r="X574" s="7">
        <f>RAW_GAMES!S574</f>
        <v>28</v>
      </c>
      <c r="Y574">
        <f t="shared" si="53"/>
        <v>1</v>
      </c>
      <c r="Z574" t="str">
        <f>RAW_GAMES!V574</f>
        <v>RS</v>
      </c>
    </row>
    <row r="575" spans="1:26" x14ac:dyDescent="0.25">
      <c r="A575" t="str">
        <f>RAW_GAMES!A575</f>
        <v>25/26</v>
      </c>
      <c r="B575" s="3">
        <f>RAW_GAMES!B575</f>
        <v>46038</v>
      </c>
      <c r="C575" s="3" t="str">
        <f>RAW_GAMES!E575</f>
        <v>KLA</v>
      </c>
      <c r="D575" s="3" t="str">
        <f>RAW_GAMES!F575</f>
        <v>MHK</v>
      </c>
      <c r="E575" s="7">
        <f>RAW_GAMES!G575</f>
        <v>0</v>
      </c>
      <c r="F575">
        <f>RAW_GAMES!H575</f>
        <v>0</v>
      </c>
      <c r="G575">
        <f>RAW_GAMES!I575</f>
        <v>1</v>
      </c>
      <c r="H575">
        <f t="shared" si="48"/>
        <v>-1</v>
      </c>
      <c r="I575">
        <f>RAW_GAMES!J575</f>
        <v>26</v>
      </c>
      <c r="J575">
        <f>RAW_GAMES!K575</f>
        <v>31</v>
      </c>
      <c r="K575">
        <f t="shared" si="49"/>
        <v>-5</v>
      </c>
      <c r="L575" t="str">
        <f>IF(RAW_GAMES!L575="","",RAW_GAMES!L575)</f>
        <v/>
      </c>
      <c r="M575" t="str">
        <f>IF(RAW_GAMES!M575="","",RAW_GAMES!M575)</f>
        <v/>
      </c>
      <c r="N575" t="str">
        <f t="shared" si="50"/>
        <v/>
      </c>
      <c r="O575" s="7">
        <f>RAW_GAMES!O575</f>
        <v>3</v>
      </c>
      <c r="P575">
        <f>RAW_GAMES!N575</f>
        <v>0</v>
      </c>
      <c r="Q575">
        <f t="shared" si="51"/>
        <v>0</v>
      </c>
      <c r="R575" s="7">
        <f>RAW_GAMES!Q575</f>
        <v>5</v>
      </c>
      <c r="S575">
        <f>RAW_GAMES!P575</f>
        <v>1</v>
      </c>
      <c r="T575">
        <f t="shared" si="52"/>
        <v>0.8</v>
      </c>
      <c r="U575">
        <f>_xlfn.XLOOKUP(C575,
  CALC_TEAMS_SEASON!B:B,
  CALC_TEAMS_SEASON!F:F)</f>
        <v>0.13120421245421243</v>
      </c>
      <c r="V575">
        <f>_xlfn.XLOOKUP(D575,
  CALC_TEAMS_SEASON!B:B,
  CALC_TEAMS_SEASON!F:F)</f>
        <v>0.14184981684981687</v>
      </c>
      <c r="W575" t="str">
        <f>RAW_GAMES!R575</f>
        <v>Brízgala</v>
      </c>
      <c r="X575" s="7">
        <f>RAW_GAMES!S575</f>
        <v>30</v>
      </c>
      <c r="Y575">
        <f t="shared" si="53"/>
        <v>0</v>
      </c>
      <c r="Z575" t="str">
        <f>RAW_GAMES!V575</f>
        <v>RS</v>
      </c>
    </row>
    <row r="576" spans="1:26" x14ac:dyDescent="0.25">
      <c r="A576" t="str">
        <f>RAW_GAMES!A576</f>
        <v>25/26</v>
      </c>
      <c r="B576" s="3">
        <f>RAW_GAMES!B576</f>
        <v>46038</v>
      </c>
      <c r="C576" s="3" t="str">
        <f>RAW_GAMES!E576</f>
        <v>KVA</v>
      </c>
      <c r="D576" s="3" t="str">
        <f>RAW_GAMES!F576</f>
        <v>OLO</v>
      </c>
      <c r="E576" s="7">
        <f>RAW_GAMES!G576</f>
        <v>0</v>
      </c>
      <c r="F576">
        <f>RAW_GAMES!H576</f>
        <v>5</v>
      </c>
      <c r="G576">
        <f>RAW_GAMES!I576</f>
        <v>1</v>
      </c>
      <c r="H576">
        <f t="shared" si="48"/>
        <v>4</v>
      </c>
      <c r="I576">
        <f>RAW_GAMES!J576</f>
        <v>35</v>
      </c>
      <c r="J576">
        <f>RAW_GAMES!K576</f>
        <v>24</v>
      </c>
      <c r="K576">
        <f t="shared" si="49"/>
        <v>11</v>
      </c>
      <c r="L576" t="str">
        <f>IF(RAW_GAMES!L576="","",RAW_GAMES!L576)</f>
        <v/>
      </c>
      <c r="M576" t="str">
        <f>IF(RAW_GAMES!M576="","",RAW_GAMES!M576)</f>
        <v/>
      </c>
      <c r="N576" t="str">
        <f t="shared" si="50"/>
        <v/>
      </c>
      <c r="O576" s="7">
        <f>RAW_GAMES!O576</f>
        <v>3</v>
      </c>
      <c r="P576">
        <f>RAW_GAMES!N576</f>
        <v>2</v>
      </c>
      <c r="Q576">
        <f t="shared" si="51"/>
        <v>0.66666666666666663</v>
      </c>
      <c r="R576" s="7">
        <f>RAW_GAMES!Q576</f>
        <v>2</v>
      </c>
      <c r="S576">
        <f>RAW_GAMES!P576</f>
        <v>0</v>
      </c>
      <c r="T576">
        <f t="shared" si="52"/>
        <v>1</v>
      </c>
      <c r="U576">
        <f>_xlfn.XLOOKUP(C576,
  CALC_TEAMS_SEASON!B:B,
  CALC_TEAMS_SEASON!F:F)</f>
        <v>0.17387057387057389</v>
      </c>
      <c r="V576">
        <f>_xlfn.XLOOKUP(D576,
  CALC_TEAMS_SEASON!B:B,
  CALC_TEAMS_SEASON!F:F)</f>
        <v>0.14989316239316242</v>
      </c>
      <c r="W576" t="str">
        <f>RAW_GAMES!R576</f>
        <v>Král</v>
      </c>
      <c r="X576" s="7">
        <f>RAW_GAMES!S576</f>
        <v>23</v>
      </c>
      <c r="Y576">
        <f t="shared" si="53"/>
        <v>1</v>
      </c>
      <c r="Z576" t="str">
        <f>RAW_GAMES!V576</f>
        <v>RS</v>
      </c>
    </row>
    <row r="577" spans="1:26" x14ac:dyDescent="0.25">
      <c r="A577" t="str">
        <f>RAW_GAMES!A577</f>
        <v>25/26</v>
      </c>
      <c r="B577" s="3">
        <f>RAW_GAMES!B577</f>
        <v>46038</v>
      </c>
      <c r="C577" s="3" t="str">
        <f>RAW_GAMES!E577</f>
        <v>LIB</v>
      </c>
      <c r="D577" s="3" t="str">
        <f>RAW_GAMES!F577</f>
        <v>TRI</v>
      </c>
      <c r="E577" s="7">
        <f>RAW_GAMES!G577</f>
        <v>1</v>
      </c>
      <c r="F577">
        <f>RAW_GAMES!H577</f>
        <v>5</v>
      </c>
      <c r="G577">
        <f>RAW_GAMES!I577</f>
        <v>3</v>
      </c>
      <c r="H577">
        <f t="shared" si="48"/>
        <v>2</v>
      </c>
      <c r="I577">
        <f>RAW_GAMES!J577</f>
        <v>23</v>
      </c>
      <c r="J577">
        <f>RAW_GAMES!K577</f>
        <v>35</v>
      </c>
      <c r="K577">
        <f t="shared" si="49"/>
        <v>-12</v>
      </c>
      <c r="L577">
        <f>IF(RAW_GAMES!L577="","",RAW_GAMES!L577)</f>
        <v>2.2000000000000002</v>
      </c>
      <c r="M577">
        <f>IF(RAW_GAMES!M577="","",RAW_GAMES!M577)</f>
        <v>1.97</v>
      </c>
      <c r="N577">
        <f t="shared" si="50"/>
        <v>0.2300000000000002</v>
      </c>
      <c r="O577" s="7">
        <f>RAW_GAMES!O577</f>
        <v>4</v>
      </c>
      <c r="P577">
        <f>RAW_GAMES!N577</f>
        <v>1</v>
      </c>
      <c r="Q577">
        <f t="shared" si="51"/>
        <v>0.25</v>
      </c>
      <c r="R577" s="7">
        <f>RAW_GAMES!Q577</f>
        <v>4</v>
      </c>
      <c r="S577">
        <f>RAW_GAMES!P577</f>
        <v>0</v>
      </c>
      <c r="T577">
        <f t="shared" si="52"/>
        <v>1</v>
      </c>
      <c r="U577">
        <f>_xlfn.XLOOKUP(C577,
  CALC_TEAMS_SEASON!B:B,
  CALC_TEAMS_SEASON!F:F)</f>
        <v>0.14377289377289379</v>
      </c>
      <c r="V577">
        <f>_xlfn.XLOOKUP(D577,
  CALC_TEAMS_SEASON!B:B,
  CALC_TEAMS_SEASON!F:F)</f>
        <v>0.17437423687423692</v>
      </c>
      <c r="W577" t="str">
        <f>RAW_GAMES!R577</f>
        <v>Kváča</v>
      </c>
      <c r="X577" s="7">
        <f>RAW_GAMES!S577</f>
        <v>32</v>
      </c>
      <c r="Y577">
        <f t="shared" si="53"/>
        <v>1</v>
      </c>
      <c r="Z577" t="str">
        <f>RAW_GAMES!V577</f>
        <v>RS</v>
      </c>
    </row>
    <row r="578" spans="1:26" x14ac:dyDescent="0.25">
      <c r="A578" t="str">
        <f>RAW_GAMES!A578</f>
        <v>25/26</v>
      </c>
      <c r="B578" s="3">
        <f>RAW_GAMES!B578</f>
        <v>46038</v>
      </c>
      <c r="C578" s="3" t="str">
        <f>RAW_GAMES!E578</f>
        <v>LIT</v>
      </c>
      <c r="D578" s="3" t="str">
        <f>RAW_GAMES!F578</f>
        <v>VIT</v>
      </c>
      <c r="E578" s="7">
        <f>RAW_GAMES!G578</f>
        <v>0</v>
      </c>
      <c r="F578">
        <f>RAW_GAMES!H578</f>
        <v>1</v>
      </c>
      <c r="G578">
        <f>RAW_GAMES!I578</f>
        <v>4</v>
      </c>
      <c r="H578">
        <f t="shared" si="48"/>
        <v>-3</v>
      </c>
      <c r="I578">
        <f>RAW_GAMES!J578</f>
        <v>28</v>
      </c>
      <c r="J578">
        <f>RAW_GAMES!K578</f>
        <v>29</v>
      </c>
      <c r="K578">
        <f t="shared" si="49"/>
        <v>-1</v>
      </c>
      <c r="L578" t="str">
        <f>IF(RAW_GAMES!L578="","",RAW_GAMES!L578)</f>
        <v/>
      </c>
      <c r="M578" t="str">
        <f>IF(RAW_GAMES!M578="","",RAW_GAMES!M578)</f>
        <v/>
      </c>
      <c r="N578" t="str">
        <f t="shared" si="50"/>
        <v/>
      </c>
      <c r="O578" s="7">
        <f>RAW_GAMES!O578</f>
        <v>5</v>
      </c>
      <c r="P578">
        <f>RAW_GAMES!N578</f>
        <v>0</v>
      </c>
      <c r="Q578">
        <f t="shared" si="51"/>
        <v>0</v>
      </c>
      <c r="R578" s="7">
        <f>RAW_GAMES!Q578</f>
        <v>4</v>
      </c>
      <c r="S578">
        <f>RAW_GAMES!P578</f>
        <v>1</v>
      </c>
      <c r="T578">
        <f t="shared" si="52"/>
        <v>0.75</v>
      </c>
      <c r="U578">
        <f>_xlfn.XLOOKUP(C578,
  CALC_TEAMS_SEASON!B:B,
  CALC_TEAMS_SEASON!F:F)</f>
        <v>0.10089285714285713</v>
      </c>
      <c r="V578">
        <f>_xlfn.XLOOKUP(D578,
  CALC_TEAMS_SEASON!B:B,
  CALC_TEAMS_SEASON!F:F)</f>
        <v>0.16984890109890113</v>
      </c>
      <c r="W578" t="str">
        <f>RAW_GAMES!R578</f>
        <v>Tomek</v>
      </c>
      <c r="X578" s="7">
        <f>RAW_GAMES!S578</f>
        <v>25</v>
      </c>
      <c r="Y578">
        <f t="shared" si="53"/>
        <v>0</v>
      </c>
      <c r="Z578" t="str">
        <f>RAW_GAMES!V578</f>
        <v>RS</v>
      </c>
    </row>
    <row r="579" spans="1:26" x14ac:dyDescent="0.25">
      <c r="A579" t="str">
        <f>RAW_GAMES!A579</f>
        <v>25/26</v>
      </c>
      <c r="B579" s="3">
        <f>RAW_GAMES!B579</f>
        <v>46038</v>
      </c>
      <c r="C579" s="3" t="str">
        <f>RAW_GAMES!E579</f>
        <v>MBL</v>
      </c>
      <c r="D579" s="3" t="str">
        <f>RAW_GAMES!F579</f>
        <v>PCE</v>
      </c>
      <c r="E579" s="7">
        <f>RAW_GAMES!G579</f>
        <v>1</v>
      </c>
      <c r="F579">
        <f>RAW_GAMES!H579</f>
        <v>4</v>
      </c>
      <c r="G579">
        <f>RAW_GAMES!I579</f>
        <v>2</v>
      </c>
      <c r="H579">
        <f t="shared" ref="H579:H642" si="54">F579-G579</f>
        <v>2</v>
      </c>
      <c r="I579">
        <f>RAW_GAMES!J579</f>
        <v>15</v>
      </c>
      <c r="J579">
        <f>RAW_GAMES!K579</f>
        <v>32</v>
      </c>
      <c r="K579">
        <f t="shared" ref="K579:K642" si="55">I579-J579</f>
        <v>-17</v>
      </c>
      <c r="L579">
        <f>IF(RAW_GAMES!L579="","",RAW_GAMES!L579)</f>
        <v>2.83</v>
      </c>
      <c r="M579">
        <f>IF(RAW_GAMES!M579="","",RAW_GAMES!M579)</f>
        <v>2.4500000000000002</v>
      </c>
      <c r="N579">
        <f t="shared" ref="N579:N642" si="56">IF(L579="","",L579-M579)</f>
        <v>0.37999999999999989</v>
      </c>
      <c r="O579" s="7">
        <f>RAW_GAMES!O579</f>
        <v>6</v>
      </c>
      <c r="P579">
        <f>RAW_GAMES!N579</f>
        <v>1</v>
      </c>
      <c r="Q579">
        <f t="shared" ref="Q579:Q642" si="57">IF(O579&gt;0,P579/O579,0)</f>
        <v>0.16666666666666666</v>
      </c>
      <c r="R579" s="7">
        <f>RAW_GAMES!Q579</f>
        <v>5</v>
      </c>
      <c r="S579">
        <f>RAW_GAMES!P579</f>
        <v>0</v>
      </c>
      <c r="T579">
        <f t="shared" ref="T579:T642" si="58">IF(R579&gt;0, 1-(S579/R579),1)</f>
        <v>1</v>
      </c>
      <c r="U579">
        <f>_xlfn.XLOOKUP(C579,
  CALC_TEAMS_SEASON!B:B,
  CALC_TEAMS_SEASON!F:F)</f>
        <v>0.11826923076923078</v>
      </c>
      <c r="V579">
        <f>_xlfn.XLOOKUP(D579,
  CALC_TEAMS_SEASON!B:B,
  CALC_TEAMS_SEASON!F:F)</f>
        <v>0.20297619047619053</v>
      </c>
      <c r="W579" t="str">
        <f>RAW_GAMES!R579</f>
        <v>Furch</v>
      </c>
      <c r="X579" s="7">
        <f>RAW_GAMES!S579</f>
        <v>31</v>
      </c>
      <c r="Y579">
        <f t="shared" ref="Y579:Y642" si="59">IF(F579&gt;G579,1,0)</f>
        <v>1</v>
      </c>
      <c r="Z579" t="str">
        <f>RAW_GAMES!V579</f>
        <v>RS</v>
      </c>
    </row>
    <row r="580" spans="1:26" x14ac:dyDescent="0.25">
      <c r="A580" t="str">
        <f>RAW_GAMES!A580</f>
        <v>25/26</v>
      </c>
      <c r="B580" s="3">
        <f>RAW_GAMES!B580</f>
        <v>46038</v>
      </c>
      <c r="C580" s="3" t="str">
        <f>RAW_GAMES!E580</f>
        <v>MHK</v>
      </c>
      <c r="D580" s="3" t="str">
        <f>RAW_GAMES!F580</f>
        <v>KLA</v>
      </c>
      <c r="E580" s="7">
        <f>RAW_GAMES!G580</f>
        <v>1</v>
      </c>
      <c r="F580">
        <f>RAW_GAMES!H580</f>
        <v>1</v>
      </c>
      <c r="G580">
        <f>RAW_GAMES!I580</f>
        <v>0</v>
      </c>
      <c r="H580">
        <f t="shared" si="54"/>
        <v>1</v>
      </c>
      <c r="I580">
        <f>RAW_GAMES!J580</f>
        <v>31</v>
      </c>
      <c r="J580">
        <f>RAW_GAMES!K580</f>
        <v>26</v>
      </c>
      <c r="K580">
        <f t="shared" si="55"/>
        <v>5</v>
      </c>
      <c r="L580" t="str">
        <f>IF(RAW_GAMES!L580="","",RAW_GAMES!L580)</f>
        <v/>
      </c>
      <c r="M580" t="str">
        <f>IF(RAW_GAMES!M580="","",RAW_GAMES!M580)</f>
        <v/>
      </c>
      <c r="N580" t="str">
        <f t="shared" si="56"/>
        <v/>
      </c>
      <c r="O580" s="7">
        <f>RAW_GAMES!O580</f>
        <v>5</v>
      </c>
      <c r="P580">
        <f>RAW_GAMES!N580</f>
        <v>1</v>
      </c>
      <c r="Q580">
        <f t="shared" si="57"/>
        <v>0.2</v>
      </c>
      <c r="R580" s="7">
        <f>RAW_GAMES!Q580</f>
        <v>3</v>
      </c>
      <c r="S580">
        <f>RAW_GAMES!P580</f>
        <v>0</v>
      </c>
      <c r="T580">
        <f t="shared" si="58"/>
        <v>1</v>
      </c>
      <c r="U580">
        <f>_xlfn.XLOOKUP(C580,
  CALC_TEAMS_SEASON!B:B,
  CALC_TEAMS_SEASON!F:F)</f>
        <v>0.14184981684981687</v>
      </c>
      <c r="V580">
        <f>_xlfn.XLOOKUP(D580,
  CALC_TEAMS_SEASON!B:B,
  CALC_TEAMS_SEASON!F:F)</f>
        <v>0.13120421245421243</v>
      </c>
      <c r="W580" t="str">
        <f>RAW_GAMES!R580</f>
        <v>Škorvánek</v>
      </c>
      <c r="X580" s="7">
        <f>RAW_GAMES!S580</f>
        <v>26</v>
      </c>
      <c r="Y580">
        <f t="shared" si="59"/>
        <v>1</v>
      </c>
      <c r="Z580" t="str">
        <f>RAW_GAMES!V580</f>
        <v>RS</v>
      </c>
    </row>
    <row r="581" spans="1:26" x14ac:dyDescent="0.25">
      <c r="A581" t="str">
        <f>RAW_GAMES!A581</f>
        <v>25/26</v>
      </c>
      <c r="B581" s="3">
        <f>RAW_GAMES!B581</f>
        <v>46038</v>
      </c>
      <c r="C581" s="3" t="str">
        <f>RAW_GAMES!E581</f>
        <v>OLO</v>
      </c>
      <c r="D581" s="3" t="str">
        <f>RAW_GAMES!F581</f>
        <v>KVA</v>
      </c>
      <c r="E581" s="7">
        <f>RAW_GAMES!G581</f>
        <v>1</v>
      </c>
      <c r="F581">
        <f>RAW_GAMES!H581</f>
        <v>1</v>
      </c>
      <c r="G581">
        <f>RAW_GAMES!I581</f>
        <v>5</v>
      </c>
      <c r="H581">
        <f t="shared" si="54"/>
        <v>-4</v>
      </c>
      <c r="I581">
        <f>RAW_GAMES!J581</f>
        <v>24</v>
      </c>
      <c r="J581">
        <f>RAW_GAMES!K581</f>
        <v>35</v>
      </c>
      <c r="K581">
        <f t="shared" si="55"/>
        <v>-11</v>
      </c>
      <c r="L581" t="str">
        <f>IF(RAW_GAMES!L581="","",RAW_GAMES!L581)</f>
        <v/>
      </c>
      <c r="M581" t="str">
        <f>IF(RAW_GAMES!M581="","",RAW_GAMES!M581)</f>
        <v/>
      </c>
      <c r="N581" t="str">
        <f t="shared" si="56"/>
        <v/>
      </c>
      <c r="O581" s="7">
        <f>RAW_GAMES!O581</f>
        <v>2</v>
      </c>
      <c r="P581">
        <f>RAW_GAMES!N581</f>
        <v>0</v>
      </c>
      <c r="Q581">
        <f t="shared" si="57"/>
        <v>0</v>
      </c>
      <c r="R581" s="7">
        <f>RAW_GAMES!Q581</f>
        <v>3</v>
      </c>
      <c r="S581">
        <f>RAW_GAMES!P581</f>
        <v>2</v>
      </c>
      <c r="T581">
        <f t="shared" si="58"/>
        <v>0.33333333333333337</v>
      </c>
      <c r="U581">
        <f>_xlfn.XLOOKUP(C581,
  CALC_TEAMS_SEASON!B:B,
  CALC_TEAMS_SEASON!F:F)</f>
        <v>0.14989316239316242</v>
      </c>
      <c r="V581">
        <f>_xlfn.XLOOKUP(D581,
  CALC_TEAMS_SEASON!B:B,
  CALC_TEAMS_SEASON!F:F)</f>
        <v>0.17387057387057389</v>
      </c>
      <c r="W581" t="str">
        <f>RAW_GAMES!R581</f>
        <v>Machovský</v>
      </c>
      <c r="X581" s="7">
        <f>RAW_GAMES!S581</f>
        <v>30</v>
      </c>
      <c r="Y581">
        <f t="shared" si="59"/>
        <v>0</v>
      </c>
      <c r="Z581" t="str">
        <f>RAW_GAMES!V581</f>
        <v>RS</v>
      </c>
    </row>
    <row r="582" spans="1:26" x14ac:dyDescent="0.25">
      <c r="A582" t="str">
        <f>RAW_GAMES!A582</f>
        <v>25/26</v>
      </c>
      <c r="B582" s="3">
        <f>RAW_GAMES!B582</f>
        <v>46038</v>
      </c>
      <c r="C582" s="3" t="str">
        <f>RAW_GAMES!E582</f>
        <v>PLZ</v>
      </c>
      <c r="D582" s="3" t="str">
        <f>RAW_GAMES!F582</f>
        <v>CEB</v>
      </c>
      <c r="E582" s="7">
        <f>RAW_GAMES!G582</f>
        <v>0</v>
      </c>
      <c r="F582">
        <f>RAW_GAMES!H582</f>
        <v>1</v>
      </c>
      <c r="G582">
        <f>RAW_GAMES!I582</f>
        <v>5</v>
      </c>
      <c r="H582">
        <f t="shared" si="54"/>
        <v>-4</v>
      </c>
      <c r="I582">
        <f>RAW_GAMES!J582</f>
        <v>29</v>
      </c>
      <c r="J582">
        <f>RAW_GAMES!K582</f>
        <v>22</v>
      </c>
      <c r="K582">
        <f t="shared" si="55"/>
        <v>7</v>
      </c>
      <c r="L582" t="str">
        <f>IF(RAW_GAMES!L582="","",RAW_GAMES!L582)</f>
        <v/>
      </c>
      <c r="M582" t="str">
        <f>IF(RAW_GAMES!M582="","",RAW_GAMES!M582)</f>
        <v/>
      </c>
      <c r="N582" t="str">
        <f t="shared" si="56"/>
        <v/>
      </c>
      <c r="O582" s="7">
        <f>RAW_GAMES!O582</f>
        <v>6</v>
      </c>
      <c r="P582">
        <f>RAW_GAMES!N582</f>
        <v>0</v>
      </c>
      <c r="Q582">
        <f t="shared" si="57"/>
        <v>0</v>
      </c>
      <c r="R582" s="7">
        <f>RAW_GAMES!Q582</f>
        <v>6</v>
      </c>
      <c r="S582">
        <f>RAW_GAMES!P582</f>
        <v>1</v>
      </c>
      <c r="T582">
        <f t="shared" si="58"/>
        <v>0.83333333333333337</v>
      </c>
      <c r="U582">
        <f>_xlfn.XLOOKUP(C582,
  CALC_TEAMS_SEASON!B:B,
  CALC_TEAMS_SEASON!F:F)</f>
        <v>0.17641178266178262</v>
      </c>
      <c r="V582">
        <f>_xlfn.XLOOKUP(D582,
  CALC_TEAMS_SEASON!B:B,
  CALC_TEAMS_SEASON!F:F)</f>
        <v>0.13021353646353648</v>
      </c>
      <c r="W582" t="str">
        <f>RAW_GAMES!R582</f>
        <v>Růžička</v>
      </c>
      <c r="X582" s="7">
        <f>RAW_GAMES!S582</f>
        <v>17</v>
      </c>
      <c r="Y582">
        <f t="shared" si="59"/>
        <v>0</v>
      </c>
      <c r="Z582" t="str">
        <f>RAW_GAMES!V582</f>
        <v>RS</v>
      </c>
    </row>
    <row r="583" spans="1:26" x14ac:dyDescent="0.25">
      <c r="A583" t="str">
        <f>RAW_GAMES!A583</f>
        <v>25/26</v>
      </c>
      <c r="B583" s="3">
        <f>RAW_GAMES!B583</f>
        <v>46038</v>
      </c>
      <c r="C583" s="3" t="str">
        <f>RAW_GAMES!E583</f>
        <v>VIT</v>
      </c>
      <c r="D583" s="3" t="str">
        <f>RAW_GAMES!F583</f>
        <v>LIT</v>
      </c>
      <c r="E583" s="7">
        <f>RAW_GAMES!G583</f>
        <v>1</v>
      </c>
      <c r="F583">
        <f>RAW_GAMES!H583</f>
        <v>4</v>
      </c>
      <c r="G583">
        <f>RAW_GAMES!I583</f>
        <v>1</v>
      </c>
      <c r="H583">
        <f t="shared" si="54"/>
        <v>3</v>
      </c>
      <c r="I583">
        <f>RAW_GAMES!J583</f>
        <v>29</v>
      </c>
      <c r="J583">
        <f>RAW_GAMES!K583</f>
        <v>28</v>
      </c>
      <c r="K583">
        <f t="shared" si="55"/>
        <v>1</v>
      </c>
      <c r="L583" t="str">
        <f>IF(RAW_GAMES!L583="","",RAW_GAMES!L583)</f>
        <v/>
      </c>
      <c r="M583" t="str">
        <f>IF(RAW_GAMES!M583="","",RAW_GAMES!M583)</f>
        <v/>
      </c>
      <c r="N583" t="str">
        <f t="shared" si="56"/>
        <v/>
      </c>
      <c r="O583" s="7">
        <f>RAW_GAMES!O583</f>
        <v>4</v>
      </c>
      <c r="P583">
        <f>RAW_GAMES!N583</f>
        <v>1</v>
      </c>
      <c r="Q583">
        <f t="shared" si="57"/>
        <v>0.25</v>
      </c>
      <c r="R583" s="7">
        <f>RAW_GAMES!Q583</f>
        <v>5</v>
      </c>
      <c r="S583">
        <f>RAW_GAMES!P583</f>
        <v>0</v>
      </c>
      <c r="T583">
        <f t="shared" si="58"/>
        <v>1</v>
      </c>
      <c r="U583">
        <f>_xlfn.XLOOKUP(C583,
  CALC_TEAMS_SEASON!B:B,
  CALC_TEAMS_SEASON!F:F)</f>
        <v>0.16984890109890113</v>
      </c>
      <c r="V583">
        <f>_xlfn.XLOOKUP(D583,
  CALC_TEAMS_SEASON!B:B,
  CALC_TEAMS_SEASON!F:F)</f>
        <v>0.10089285714285713</v>
      </c>
      <c r="W583" t="str">
        <f>RAW_GAMES!R583</f>
        <v>Hrachovina</v>
      </c>
      <c r="X583" s="7">
        <f>RAW_GAMES!S583</f>
        <v>27</v>
      </c>
      <c r="Y583">
        <f t="shared" si="59"/>
        <v>1</v>
      </c>
      <c r="Z583" t="str">
        <f>RAW_GAMES!V583</f>
        <v>RS</v>
      </c>
    </row>
    <row r="584" spans="1:26" x14ac:dyDescent="0.25">
      <c r="A584" t="str">
        <f>RAW_GAMES!A584</f>
        <v>25/26</v>
      </c>
      <c r="B584" s="3">
        <f>RAW_GAMES!B584</f>
        <v>46040</v>
      </c>
      <c r="C584" s="3" t="str">
        <f>RAW_GAMES!E584</f>
        <v>PCE</v>
      </c>
      <c r="D584" s="3" t="str">
        <f>RAW_GAMES!F584</f>
        <v>CEB</v>
      </c>
      <c r="E584" s="7">
        <f>RAW_GAMES!G584</f>
        <v>1</v>
      </c>
      <c r="F584">
        <f>RAW_GAMES!H584</f>
        <v>5</v>
      </c>
      <c r="G584">
        <f>RAW_GAMES!I584</f>
        <v>1</v>
      </c>
      <c r="H584">
        <f t="shared" si="54"/>
        <v>4</v>
      </c>
      <c r="I584">
        <f>RAW_GAMES!J584</f>
        <v>24</v>
      </c>
      <c r="J584">
        <f>RAW_GAMES!K584</f>
        <v>29</v>
      </c>
      <c r="K584">
        <f t="shared" si="55"/>
        <v>-5</v>
      </c>
      <c r="L584">
        <f>IF(RAW_GAMES!L584="","",RAW_GAMES!L584)</f>
        <v>2.38</v>
      </c>
      <c r="M584">
        <f>IF(RAW_GAMES!M584="","",RAW_GAMES!M584)</f>
        <v>3.22</v>
      </c>
      <c r="N584">
        <f t="shared" si="56"/>
        <v>-0.8400000000000003</v>
      </c>
      <c r="O584" s="7">
        <f>RAW_GAMES!O584</f>
        <v>2</v>
      </c>
      <c r="P584">
        <f>RAW_GAMES!N584</f>
        <v>2</v>
      </c>
      <c r="Q584">
        <f t="shared" si="57"/>
        <v>1</v>
      </c>
      <c r="R584" s="7">
        <f>RAW_GAMES!Q584</f>
        <v>4</v>
      </c>
      <c r="S584">
        <f>RAW_GAMES!P584</f>
        <v>0</v>
      </c>
      <c r="T584">
        <f t="shared" si="58"/>
        <v>1</v>
      </c>
      <c r="U584">
        <f>_xlfn.XLOOKUP(C584,
  CALC_TEAMS_SEASON!B:B,
  CALC_TEAMS_SEASON!F:F)</f>
        <v>0.20297619047619053</v>
      </c>
      <c r="V584">
        <f>_xlfn.XLOOKUP(D584,
  CALC_TEAMS_SEASON!B:B,
  CALC_TEAMS_SEASON!F:F)</f>
        <v>0.13021353646353648</v>
      </c>
      <c r="W584" t="str">
        <f>RAW_GAMES!R584</f>
        <v>Will</v>
      </c>
      <c r="X584" s="7">
        <f>RAW_GAMES!S584</f>
        <v>28</v>
      </c>
      <c r="Y584">
        <f t="shared" si="59"/>
        <v>1</v>
      </c>
      <c r="Z584" t="str">
        <f>RAW_GAMES!V584</f>
        <v>RS</v>
      </c>
    </row>
    <row r="585" spans="1:26" x14ac:dyDescent="0.25">
      <c r="A585" t="str">
        <f>RAW_GAMES!A585</f>
        <v>25/26</v>
      </c>
      <c r="B585" s="3">
        <f>RAW_GAMES!B585</f>
        <v>46040</v>
      </c>
      <c r="C585" s="3" t="str">
        <f>RAW_GAMES!E585</f>
        <v>TRI</v>
      </c>
      <c r="D585" s="3" t="str">
        <f>RAW_GAMES!F585</f>
        <v>MBL</v>
      </c>
      <c r="E585" s="7">
        <f>RAW_GAMES!G585</f>
        <v>0</v>
      </c>
      <c r="F585">
        <f>RAW_GAMES!H585</f>
        <v>3</v>
      </c>
      <c r="G585">
        <f>RAW_GAMES!I585</f>
        <v>4</v>
      </c>
      <c r="H585">
        <f t="shared" si="54"/>
        <v>-1</v>
      </c>
      <c r="I585">
        <f>RAW_GAMES!J585</f>
        <v>29</v>
      </c>
      <c r="J585">
        <f>RAW_GAMES!K585</f>
        <v>25</v>
      </c>
      <c r="K585">
        <f t="shared" si="55"/>
        <v>4</v>
      </c>
      <c r="L585">
        <f>IF(RAW_GAMES!L585="","",RAW_GAMES!L585)</f>
        <v>2.17</v>
      </c>
      <c r="M585">
        <f>IF(RAW_GAMES!M585="","",RAW_GAMES!M585)</f>
        <v>1.96</v>
      </c>
      <c r="N585">
        <f t="shared" si="56"/>
        <v>0.20999999999999996</v>
      </c>
      <c r="O585" s="7">
        <f>RAW_GAMES!O585</f>
        <v>1</v>
      </c>
      <c r="P585">
        <f>RAW_GAMES!N585</f>
        <v>1</v>
      </c>
      <c r="Q585">
        <f t="shared" si="57"/>
        <v>1</v>
      </c>
      <c r="R585" s="7">
        <f>RAW_GAMES!Q585</f>
        <v>2</v>
      </c>
      <c r="S585">
        <f>RAW_GAMES!P585</f>
        <v>0</v>
      </c>
      <c r="T585">
        <f t="shared" si="58"/>
        <v>1</v>
      </c>
      <c r="U585">
        <f>_xlfn.XLOOKUP(C585,
  CALC_TEAMS_SEASON!B:B,
  CALC_TEAMS_SEASON!F:F)</f>
        <v>0.17437423687423692</v>
      </c>
      <c r="V585">
        <f>_xlfn.XLOOKUP(D585,
  CALC_TEAMS_SEASON!B:B,
  CALC_TEAMS_SEASON!F:F)</f>
        <v>0.11826923076923078</v>
      </c>
      <c r="W585" t="str">
        <f>RAW_GAMES!R585</f>
        <v>Mazanec</v>
      </c>
      <c r="X585" s="7">
        <f>RAW_GAMES!S585</f>
        <v>22</v>
      </c>
      <c r="Y585">
        <f t="shared" si="59"/>
        <v>0</v>
      </c>
      <c r="Z585" t="str">
        <f>RAW_GAMES!V585</f>
        <v>RS</v>
      </c>
    </row>
    <row r="586" spans="1:26" x14ac:dyDescent="0.25">
      <c r="A586" t="str">
        <f>RAW_GAMES!A586</f>
        <v>25/26</v>
      </c>
      <c r="B586" s="3">
        <f>RAW_GAMES!B586</f>
        <v>46040</v>
      </c>
      <c r="C586" s="3" t="str">
        <f>RAW_GAMES!E586</f>
        <v>KOM</v>
      </c>
      <c r="D586" s="3" t="str">
        <f>RAW_GAMES!F586</f>
        <v>VIT</v>
      </c>
      <c r="E586" s="7">
        <f>RAW_GAMES!G586</f>
        <v>0</v>
      </c>
      <c r="F586">
        <f>RAW_GAMES!H586</f>
        <v>3</v>
      </c>
      <c r="G586">
        <f>RAW_GAMES!I586</f>
        <v>2</v>
      </c>
      <c r="H586">
        <f t="shared" si="54"/>
        <v>1</v>
      </c>
      <c r="I586">
        <f>RAW_GAMES!J586</f>
        <v>24</v>
      </c>
      <c r="J586">
        <f>RAW_GAMES!K586</f>
        <v>27</v>
      </c>
      <c r="K586">
        <f t="shared" si="55"/>
        <v>-3</v>
      </c>
      <c r="L586">
        <f>IF(RAW_GAMES!L586="","",RAW_GAMES!L586)</f>
        <v>1.96</v>
      </c>
      <c r="M586">
        <f>IF(RAW_GAMES!M586="","",RAW_GAMES!M586)</f>
        <v>2.2999999999999998</v>
      </c>
      <c r="N586">
        <f t="shared" si="56"/>
        <v>-0.33999999999999986</v>
      </c>
      <c r="O586" s="7">
        <f>RAW_GAMES!O586</f>
        <v>3</v>
      </c>
      <c r="P586">
        <f>RAW_GAMES!N586</f>
        <v>2</v>
      </c>
      <c r="Q586">
        <f t="shared" si="57"/>
        <v>0.66666666666666663</v>
      </c>
      <c r="R586" s="7">
        <f>RAW_GAMES!Q586</f>
        <v>4</v>
      </c>
      <c r="S586">
        <f>RAW_GAMES!P586</f>
        <v>0</v>
      </c>
      <c r="T586">
        <f t="shared" si="58"/>
        <v>1</v>
      </c>
      <c r="U586">
        <f>_xlfn.XLOOKUP(C586,
  CALC_TEAMS_SEASON!B:B,
  CALC_TEAMS_SEASON!F:F)</f>
        <v>0.14358974358974358</v>
      </c>
      <c r="V586">
        <f>_xlfn.XLOOKUP(D586,
  CALC_TEAMS_SEASON!B:B,
  CALC_TEAMS_SEASON!F:F)</f>
        <v>0.16984890109890113</v>
      </c>
      <c r="W586" t="str">
        <f>RAW_GAMES!R586</f>
        <v>Stezka</v>
      </c>
      <c r="X586" s="7">
        <f>RAW_GAMES!S586</f>
        <v>25</v>
      </c>
      <c r="Y586">
        <f t="shared" si="59"/>
        <v>1</v>
      </c>
      <c r="Z586" t="str">
        <f>RAW_GAMES!V586</f>
        <v>RS</v>
      </c>
    </row>
    <row r="587" spans="1:26" x14ac:dyDescent="0.25">
      <c r="A587" t="str">
        <f>RAW_GAMES!A587</f>
        <v>25/26</v>
      </c>
      <c r="B587" s="3">
        <f>RAW_GAMES!B587</f>
        <v>46040</v>
      </c>
      <c r="C587" s="3" t="str">
        <f>RAW_GAMES!E587</f>
        <v>CEB</v>
      </c>
      <c r="D587" s="3" t="str">
        <f>RAW_GAMES!F587</f>
        <v>PCE</v>
      </c>
      <c r="E587" s="7">
        <f>RAW_GAMES!G587</f>
        <v>0</v>
      </c>
      <c r="F587">
        <f>RAW_GAMES!H587</f>
        <v>1</v>
      </c>
      <c r="G587">
        <f>RAW_GAMES!I587</f>
        <v>5</v>
      </c>
      <c r="H587">
        <f t="shared" si="54"/>
        <v>-4</v>
      </c>
      <c r="I587">
        <f>RAW_GAMES!J587</f>
        <v>29</v>
      </c>
      <c r="J587">
        <f>RAW_GAMES!K587</f>
        <v>24</v>
      </c>
      <c r="K587">
        <f t="shared" si="55"/>
        <v>5</v>
      </c>
      <c r="L587">
        <f>IF(RAW_GAMES!L587="","",RAW_GAMES!L587)</f>
        <v>3.22</v>
      </c>
      <c r="M587">
        <f>IF(RAW_GAMES!M587="","",RAW_GAMES!M587)</f>
        <v>2.38</v>
      </c>
      <c r="N587">
        <f t="shared" si="56"/>
        <v>0.8400000000000003</v>
      </c>
      <c r="O587" s="7">
        <f>RAW_GAMES!O587</f>
        <v>4</v>
      </c>
      <c r="P587">
        <f>RAW_GAMES!N587</f>
        <v>0</v>
      </c>
      <c r="Q587">
        <f t="shared" si="57"/>
        <v>0</v>
      </c>
      <c r="R587" s="7">
        <f>RAW_GAMES!Q587</f>
        <v>2</v>
      </c>
      <c r="S587">
        <f>RAW_GAMES!P587</f>
        <v>2</v>
      </c>
      <c r="T587">
        <f t="shared" si="58"/>
        <v>0</v>
      </c>
      <c r="U587">
        <f>_xlfn.XLOOKUP(C587,
  CALC_TEAMS_SEASON!B:B,
  CALC_TEAMS_SEASON!F:F)</f>
        <v>0.13021353646353648</v>
      </c>
      <c r="V587">
        <f>_xlfn.XLOOKUP(D587,
  CALC_TEAMS_SEASON!B:B,
  CALC_TEAMS_SEASON!F:F)</f>
        <v>0.20297619047619053</v>
      </c>
      <c r="W587" t="str">
        <f>RAW_GAMES!R587</f>
        <v>Klouček</v>
      </c>
      <c r="X587" s="7">
        <f>RAW_GAMES!S587</f>
        <v>19</v>
      </c>
      <c r="Y587">
        <f t="shared" si="59"/>
        <v>0</v>
      </c>
      <c r="Z587" t="str">
        <f>RAW_GAMES!V587</f>
        <v>RS</v>
      </c>
    </row>
    <row r="588" spans="1:26" x14ac:dyDescent="0.25">
      <c r="A588" t="str">
        <f>RAW_GAMES!A588</f>
        <v>25/26</v>
      </c>
      <c r="B588" s="3">
        <f>RAW_GAMES!B588</f>
        <v>46040</v>
      </c>
      <c r="C588" s="3" t="str">
        <f>RAW_GAMES!E588</f>
        <v>KLA</v>
      </c>
      <c r="D588" s="3" t="str">
        <f>RAW_GAMES!F588</f>
        <v>OLO</v>
      </c>
      <c r="E588" s="7">
        <f>RAW_GAMES!G588</f>
        <v>1</v>
      </c>
      <c r="F588">
        <f>RAW_GAMES!H588</f>
        <v>2</v>
      </c>
      <c r="G588">
        <f>RAW_GAMES!I588</f>
        <v>0</v>
      </c>
      <c r="H588">
        <f t="shared" si="54"/>
        <v>2</v>
      </c>
      <c r="I588">
        <f>RAW_GAMES!J588</f>
        <v>36</v>
      </c>
      <c r="J588">
        <f>RAW_GAMES!K588</f>
        <v>17</v>
      </c>
      <c r="K588">
        <f t="shared" si="55"/>
        <v>19</v>
      </c>
      <c r="L588" t="str">
        <f>IF(RAW_GAMES!L588="","",RAW_GAMES!L588)</f>
        <v/>
      </c>
      <c r="M588" t="str">
        <f>IF(RAW_GAMES!M588="","",RAW_GAMES!M588)</f>
        <v/>
      </c>
      <c r="N588" t="str">
        <f t="shared" si="56"/>
        <v/>
      </c>
      <c r="O588" s="7">
        <f>RAW_GAMES!O588</f>
        <v>5</v>
      </c>
      <c r="P588">
        <f>RAW_GAMES!N588</f>
        <v>1</v>
      </c>
      <c r="Q588">
        <f t="shared" si="57"/>
        <v>0.2</v>
      </c>
      <c r="R588" s="7">
        <f>RAW_GAMES!Q588</f>
        <v>4</v>
      </c>
      <c r="S588">
        <f>RAW_GAMES!P588</f>
        <v>0</v>
      </c>
      <c r="T588">
        <f t="shared" si="58"/>
        <v>1</v>
      </c>
      <c r="U588">
        <f>_xlfn.XLOOKUP(C588,
  CALC_TEAMS_SEASON!B:B,
  CALC_TEAMS_SEASON!F:F)</f>
        <v>0.13120421245421243</v>
      </c>
      <c r="V588">
        <f>_xlfn.XLOOKUP(D588,
  CALC_TEAMS_SEASON!B:B,
  CALC_TEAMS_SEASON!F:F)</f>
        <v>0.14989316239316242</v>
      </c>
      <c r="W588" t="str">
        <f>RAW_GAMES!R588</f>
        <v>Brízgala</v>
      </c>
      <c r="X588" s="7">
        <f>RAW_GAMES!S588</f>
        <v>17</v>
      </c>
      <c r="Y588">
        <f t="shared" si="59"/>
        <v>1</v>
      </c>
      <c r="Z588" t="str">
        <f>RAW_GAMES!V588</f>
        <v>RS</v>
      </c>
    </row>
    <row r="589" spans="1:26" x14ac:dyDescent="0.25">
      <c r="A589" t="str">
        <f>RAW_GAMES!A589</f>
        <v>25/26</v>
      </c>
      <c r="B589" s="3">
        <f>RAW_GAMES!B589</f>
        <v>46040</v>
      </c>
      <c r="C589" s="3" t="str">
        <f>RAW_GAMES!E589</f>
        <v>SPA</v>
      </c>
      <c r="D589" s="3" t="str">
        <f>RAW_GAMES!F589</f>
        <v>KVA</v>
      </c>
      <c r="E589" s="7">
        <f>RAW_GAMES!G589</f>
        <v>0</v>
      </c>
      <c r="F589">
        <f>RAW_GAMES!H589</f>
        <v>4</v>
      </c>
      <c r="G589">
        <f>RAW_GAMES!I589</f>
        <v>3</v>
      </c>
      <c r="H589">
        <f t="shared" si="54"/>
        <v>1</v>
      </c>
      <c r="I589">
        <f>RAW_GAMES!J589</f>
        <v>34</v>
      </c>
      <c r="J589">
        <f>RAW_GAMES!K589</f>
        <v>33</v>
      </c>
      <c r="K589">
        <f t="shared" si="55"/>
        <v>1</v>
      </c>
      <c r="L589">
        <f>IF(RAW_GAMES!L589="","",RAW_GAMES!L589)</f>
        <v>3.48</v>
      </c>
      <c r="M589">
        <f>IF(RAW_GAMES!M589="","",RAW_GAMES!M589)</f>
        <v>3.53</v>
      </c>
      <c r="N589">
        <f t="shared" si="56"/>
        <v>-4.9999999999999822E-2</v>
      </c>
      <c r="O589" s="7">
        <f>RAW_GAMES!O589</f>
        <v>6</v>
      </c>
      <c r="P589">
        <f>RAW_GAMES!N589</f>
        <v>0</v>
      </c>
      <c r="Q589">
        <f t="shared" si="57"/>
        <v>0</v>
      </c>
      <c r="R589" s="7">
        <f>RAW_GAMES!Q589</f>
        <v>9</v>
      </c>
      <c r="S589">
        <f>RAW_GAMES!P589</f>
        <v>2</v>
      </c>
      <c r="T589">
        <f t="shared" si="58"/>
        <v>0.77777777777777779</v>
      </c>
      <c r="U589">
        <f>_xlfn.XLOOKUP(C589,
  CALC_TEAMS_SEASON!B:B,
  CALC_TEAMS_SEASON!F:F)</f>
        <v>0.22060439560439565</v>
      </c>
      <c r="V589">
        <f>_xlfn.XLOOKUP(D589,
  CALC_TEAMS_SEASON!B:B,
  CALC_TEAMS_SEASON!F:F)</f>
        <v>0.17387057387057389</v>
      </c>
      <c r="W589" t="str">
        <f>RAW_GAMES!R589</f>
        <v>Kovář</v>
      </c>
      <c r="X589" s="7">
        <f>RAW_GAMES!S589</f>
        <v>30</v>
      </c>
      <c r="Y589">
        <f t="shared" si="59"/>
        <v>1</v>
      </c>
      <c r="Z589" t="str">
        <f>RAW_GAMES!V589</f>
        <v>RS</v>
      </c>
    </row>
    <row r="590" spans="1:26" x14ac:dyDescent="0.25">
      <c r="A590" t="str">
        <f>RAW_GAMES!A590</f>
        <v>25/26</v>
      </c>
      <c r="B590" s="3">
        <f>RAW_GAMES!B590</f>
        <v>46040</v>
      </c>
      <c r="C590" s="3" t="str">
        <f>RAW_GAMES!E590</f>
        <v>KVA</v>
      </c>
      <c r="D590" s="3" t="str">
        <f>RAW_GAMES!F590</f>
        <v>SPA</v>
      </c>
      <c r="E590" s="7">
        <f>RAW_GAMES!G590</f>
        <v>1</v>
      </c>
      <c r="F590">
        <f>RAW_GAMES!H590</f>
        <v>3</v>
      </c>
      <c r="G590">
        <f>RAW_GAMES!I590</f>
        <v>4</v>
      </c>
      <c r="H590">
        <f t="shared" si="54"/>
        <v>-1</v>
      </c>
      <c r="I590">
        <f>RAW_GAMES!J590</f>
        <v>33</v>
      </c>
      <c r="J590">
        <f>RAW_GAMES!K590</f>
        <v>34</v>
      </c>
      <c r="K590">
        <f t="shared" si="55"/>
        <v>-1</v>
      </c>
      <c r="L590">
        <f>IF(RAW_GAMES!L590="","",RAW_GAMES!L590)</f>
        <v>3.53</v>
      </c>
      <c r="M590">
        <f>IF(RAW_GAMES!M590="","",RAW_GAMES!M590)</f>
        <v>3.48</v>
      </c>
      <c r="N590">
        <f t="shared" si="56"/>
        <v>4.9999999999999822E-2</v>
      </c>
      <c r="O590" s="7">
        <f>RAW_GAMES!O590</f>
        <v>9</v>
      </c>
      <c r="P590">
        <f>RAW_GAMES!N590</f>
        <v>2</v>
      </c>
      <c r="Q590">
        <f t="shared" si="57"/>
        <v>0.22222222222222221</v>
      </c>
      <c r="R590" s="7">
        <f>RAW_GAMES!Q590</f>
        <v>6</v>
      </c>
      <c r="S590">
        <f>RAW_GAMES!P590</f>
        <v>0</v>
      </c>
      <c r="T590">
        <f t="shared" si="58"/>
        <v>1</v>
      </c>
      <c r="U590">
        <f>_xlfn.XLOOKUP(C590,
  CALC_TEAMS_SEASON!B:B,
  CALC_TEAMS_SEASON!F:F)</f>
        <v>0.17387057387057389</v>
      </c>
      <c r="V590">
        <f>_xlfn.XLOOKUP(D590,
  CALC_TEAMS_SEASON!B:B,
  CALC_TEAMS_SEASON!F:F)</f>
        <v>0.22060439560439565</v>
      </c>
      <c r="W590" t="str">
        <f>RAW_GAMES!R590</f>
        <v>Král</v>
      </c>
      <c r="X590" s="7">
        <f>RAW_GAMES!S590</f>
        <v>31</v>
      </c>
      <c r="Y590">
        <f t="shared" si="59"/>
        <v>0</v>
      </c>
      <c r="Z590" t="str">
        <f>RAW_GAMES!V590</f>
        <v>RS</v>
      </c>
    </row>
    <row r="591" spans="1:26" x14ac:dyDescent="0.25">
      <c r="A591" t="str">
        <f>RAW_GAMES!A591</f>
        <v>25/26</v>
      </c>
      <c r="B591" s="3">
        <f>RAW_GAMES!B591</f>
        <v>46040</v>
      </c>
      <c r="C591" s="3" t="str">
        <f>RAW_GAMES!E591</f>
        <v>LIB</v>
      </c>
      <c r="D591" s="3" t="str">
        <f>RAW_GAMES!F591</f>
        <v>LIT</v>
      </c>
      <c r="E591" s="7">
        <f>RAW_GAMES!G591</f>
        <v>1</v>
      </c>
      <c r="F591">
        <f>RAW_GAMES!H591</f>
        <v>4</v>
      </c>
      <c r="G591">
        <f>RAW_GAMES!I591</f>
        <v>1</v>
      </c>
      <c r="H591">
        <f t="shared" si="54"/>
        <v>3</v>
      </c>
      <c r="I591">
        <f>RAW_GAMES!J591</f>
        <v>28</v>
      </c>
      <c r="J591">
        <f>RAW_GAMES!K591</f>
        <v>24</v>
      </c>
      <c r="K591">
        <f t="shared" si="55"/>
        <v>4</v>
      </c>
      <c r="L591" t="str">
        <f>IF(RAW_GAMES!L591="","",RAW_GAMES!L591)</f>
        <v/>
      </c>
      <c r="M591" t="str">
        <f>IF(RAW_GAMES!M591="","",RAW_GAMES!M591)</f>
        <v/>
      </c>
      <c r="N591" t="str">
        <f t="shared" si="56"/>
        <v/>
      </c>
      <c r="O591" s="7">
        <f>RAW_GAMES!O591</f>
        <v>5</v>
      </c>
      <c r="P591">
        <f>RAW_GAMES!N591</f>
        <v>0</v>
      </c>
      <c r="Q591">
        <f t="shared" si="57"/>
        <v>0</v>
      </c>
      <c r="R591" s="7">
        <f>RAW_GAMES!Q591</f>
        <v>1</v>
      </c>
      <c r="S591">
        <f>RAW_GAMES!P591</f>
        <v>0</v>
      </c>
      <c r="T591">
        <f t="shared" si="58"/>
        <v>1</v>
      </c>
      <c r="U591">
        <f>_xlfn.XLOOKUP(C591,
  CALC_TEAMS_SEASON!B:B,
  CALC_TEAMS_SEASON!F:F)</f>
        <v>0.14377289377289379</v>
      </c>
      <c r="V591">
        <f>_xlfn.XLOOKUP(D591,
  CALC_TEAMS_SEASON!B:B,
  CALC_TEAMS_SEASON!F:F)</f>
        <v>0.10089285714285713</v>
      </c>
      <c r="W591" t="str">
        <f>RAW_GAMES!R591</f>
        <v>Kváča</v>
      </c>
      <c r="X591" s="7">
        <f>RAW_GAMES!S591</f>
        <v>23</v>
      </c>
      <c r="Y591">
        <f t="shared" si="59"/>
        <v>1</v>
      </c>
      <c r="Z591" t="str">
        <f>RAW_GAMES!V591</f>
        <v>RS</v>
      </c>
    </row>
    <row r="592" spans="1:26" x14ac:dyDescent="0.25">
      <c r="A592" t="str">
        <f>RAW_GAMES!A592</f>
        <v>25/26</v>
      </c>
      <c r="B592" s="3">
        <f>RAW_GAMES!B592</f>
        <v>46040</v>
      </c>
      <c r="C592" s="3" t="str">
        <f>RAW_GAMES!E592</f>
        <v>LIT</v>
      </c>
      <c r="D592" s="3" t="str">
        <f>RAW_GAMES!F592</f>
        <v>LIB</v>
      </c>
      <c r="E592" s="7">
        <f>RAW_GAMES!G592</f>
        <v>0</v>
      </c>
      <c r="F592">
        <f>RAW_GAMES!H592</f>
        <v>1</v>
      </c>
      <c r="G592">
        <f>RAW_GAMES!I592</f>
        <v>4</v>
      </c>
      <c r="H592">
        <f t="shared" si="54"/>
        <v>-3</v>
      </c>
      <c r="I592">
        <f>RAW_GAMES!J592</f>
        <v>24</v>
      </c>
      <c r="J592">
        <f>RAW_GAMES!K592</f>
        <v>28</v>
      </c>
      <c r="K592">
        <f t="shared" si="55"/>
        <v>-4</v>
      </c>
      <c r="L592" t="str">
        <f>IF(RAW_GAMES!L592="","",RAW_GAMES!L592)</f>
        <v/>
      </c>
      <c r="M592" t="str">
        <f>IF(RAW_GAMES!M592="","",RAW_GAMES!M592)</f>
        <v/>
      </c>
      <c r="N592" t="str">
        <f t="shared" si="56"/>
        <v/>
      </c>
      <c r="O592" s="7">
        <f>RAW_GAMES!O592</f>
        <v>1</v>
      </c>
      <c r="P592">
        <f>RAW_GAMES!N592</f>
        <v>0</v>
      </c>
      <c r="Q592">
        <f t="shared" si="57"/>
        <v>0</v>
      </c>
      <c r="R592" s="7">
        <f>RAW_GAMES!Q592</f>
        <v>5</v>
      </c>
      <c r="S592">
        <f>RAW_GAMES!P592</f>
        <v>0</v>
      </c>
      <c r="T592">
        <f t="shared" si="58"/>
        <v>1</v>
      </c>
      <c r="U592">
        <f>_xlfn.XLOOKUP(C592,
  CALC_TEAMS_SEASON!B:B,
  CALC_TEAMS_SEASON!F:F)</f>
        <v>0.10089285714285713</v>
      </c>
      <c r="V592">
        <f>_xlfn.XLOOKUP(D592,
  CALC_TEAMS_SEASON!B:B,
  CALC_TEAMS_SEASON!F:F)</f>
        <v>0.14377289377289379</v>
      </c>
      <c r="W592" t="str">
        <f>RAW_GAMES!R592</f>
        <v>Tomek</v>
      </c>
      <c r="X592" s="7">
        <f>RAW_GAMES!S592</f>
        <v>24</v>
      </c>
      <c r="Y592">
        <f t="shared" si="59"/>
        <v>0</v>
      </c>
      <c r="Z592" t="str">
        <f>RAW_GAMES!V592</f>
        <v>RS</v>
      </c>
    </row>
    <row r="593" spans="1:26" x14ac:dyDescent="0.25">
      <c r="A593" t="str">
        <f>RAW_GAMES!A593</f>
        <v>25/26</v>
      </c>
      <c r="B593" s="3">
        <f>RAW_GAMES!B593</f>
        <v>46040</v>
      </c>
      <c r="C593" s="3" t="str">
        <f>RAW_GAMES!E593</f>
        <v>MBL</v>
      </c>
      <c r="D593" s="3" t="str">
        <f>RAW_GAMES!F593</f>
        <v>TRI</v>
      </c>
      <c r="E593" s="7">
        <f>RAW_GAMES!G593</f>
        <v>1</v>
      </c>
      <c r="F593">
        <f>RAW_GAMES!H593</f>
        <v>4</v>
      </c>
      <c r="G593">
        <f>RAW_GAMES!I593</f>
        <v>3</v>
      </c>
      <c r="H593">
        <f t="shared" si="54"/>
        <v>1</v>
      </c>
      <c r="I593">
        <f>RAW_GAMES!J593</f>
        <v>25</v>
      </c>
      <c r="J593">
        <f>RAW_GAMES!K593</f>
        <v>29</v>
      </c>
      <c r="K593">
        <f t="shared" si="55"/>
        <v>-4</v>
      </c>
      <c r="L593">
        <f>IF(RAW_GAMES!L593="","",RAW_GAMES!L593)</f>
        <v>1.96</v>
      </c>
      <c r="M593">
        <f>IF(RAW_GAMES!M593="","",RAW_GAMES!M593)</f>
        <v>2.17</v>
      </c>
      <c r="N593">
        <f t="shared" si="56"/>
        <v>-0.20999999999999996</v>
      </c>
      <c r="O593" s="7">
        <f>RAW_GAMES!O593</f>
        <v>2</v>
      </c>
      <c r="P593">
        <f>RAW_GAMES!N593</f>
        <v>0</v>
      </c>
      <c r="Q593">
        <f t="shared" si="57"/>
        <v>0</v>
      </c>
      <c r="R593" s="7">
        <f>RAW_GAMES!Q593</f>
        <v>1</v>
      </c>
      <c r="S593">
        <f>RAW_GAMES!P593</f>
        <v>1</v>
      </c>
      <c r="T593">
        <f t="shared" si="58"/>
        <v>0</v>
      </c>
      <c r="U593">
        <f>_xlfn.XLOOKUP(C593,
  CALC_TEAMS_SEASON!B:B,
  CALC_TEAMS_SEASON!F:F)</f>
        <v>0.11826923076923078</v>
      </c>
      <c r="V593">
        <f>_xlfn.XLOOKUP(D593,
  CALC_TEAMS_SEASON!B:B,
  CALC_TEAMS_SEASON!F:F)</f>
        <v>0.17437423687423692</v>
      </c>
      <c r="W593" t="str">
        <f>RAW_GAMES!R593</f>
        <v>Furch</v>
      </c>
      <c r="X593" s="7">
        <f>RAW_GAMES!S593</f>
        <v>26</v>
      </c>
      <c r="Y593">
        <f t="shared" si="59"/>
        <v>1</v>
      </c>
      <c r="Z593" t="str">
        <f>RAW_GAMES!V593</f>
        <v>RS</v>
      </c>
    </row>
    <row r="594" spans="1:26" x14ac:dyDescent="0.25">
      <c r="A594" t="str">
        <f>RAW_GAMES!A594</f>
        <v>25/26</v>
      </c>
      <c r="B594" s="3">
        <f>RAW_GAMES!B594</f>
        <v>46040</v>
      </c>
      <c r="C594" s="3" t="str">
        <f>RAW_GAMES!E594</f>
        <v>MHK</v>
      </c>
      <c r="D594" s="3" t="str">
        <f>RAW_GAMES!F594</f>
        <v>PLZ</v>
      </c>
      <c r="E594" s="7">
        <f>RAW_GAMES!G594</f>
        <v>0</v>
      </c>
      <c r="F594">
        <f>RAW_GAMES!H594</f>
        <v>3</v>
      </c>
      <c r="G594">
        <f>RAW_GAMES!I594</f>
        <v>2</v>
      </c>
      <c r="H594">
        <f t="shared" si="54"/>
        <v>1</v>
      </c>
      <c r="I594">
        <f>RAW_GAMES!J594</f>
        <v>26</v>
      </c>
      <c r="J594">
        <f>RAW_GAMES!K594</f>
        <v>30</v>
      </c>
      <c r="K594">
        <f t="shared" si="55"/>
        <v>-4</v>
      </c>
      <c r="L594" t="str">
        <f>IF(RAW_GAMES!L594="","",RAW_GAMES!L594)</f>
        <v/>
      </c>
      <c r="M594" t="str">
        <f>IF(RAW_GAMES!M594="","",RAW_GAMES!M594)</f>
        <v/>
      </c>
      <c r="N594" t="str">
        <f t="shared" si="56"/>
        <v/>
      </c>
      <c r="O594" s="7">
        <f>RAW_GAMES!O594</f>
        <v>0</v>
      </c>
      <c r="P594">
        <f>RAW_GAMES!N594</f>
        <v>0</v>
      </c>
      <c r="Q594">
        <f t="shared" si="57"/>
        <v>0</v>
      </c>
      <c r="R594" s="7">
        <f>RAW_GAMES!Q594</f>
        <v>3</v>
      </c>
      <c r="S594">
        <f>RAW_GAMES!P594</f>
        <v>1</v>
      </c>
      <c r="T594">
        <f t="shared" si="58"/>
        <v>0.66666666666666674</v>
      </c>
      <c r="U594">
        <f>_xlfn.XLOOKUP(C594,
  CALC_TEAMS_SEASON!B:B,
  CALC_TEAMS_SEASON!F:F)</f>
        <v>0.14184981684981687</v>
      </c>
      <c r="V594">
        <f>_xlfn.XLOOKUP(D594,
  CALC_TEAMS_SEASON!B:B,
  CALC_TEAMS_SEASON!F:F)</f>
        <v>0.17641178266178262</v>
      </c>
      <c r="W594" t="str">
        <f>RAW_GAMES!R594</f>
        <v>Škorvánek</v>
      </c>
      <c r="X594" s="7">
        <f>RAW_GAMES!S594</f>
        <v>28</v>
      </c>
      <c r="Y594">
        <f t="shared" si="59"/>
        <v>1</v>
      </c>
      <c r="Z594" t="str">
        <f>RAW_GAMES!V594</f>
        <v>RS</v>
      </c>
    </row>
    <row r="595" spans="1:26" x14ac:dyDescent="0.25">
      <c r="A595" t="str">
        <f>RAW_GAMES!A595</f>
        <v>25/26</v>
      </c>
      <c r="B595" s="3">
        <f>RAW_GAMES!B595</f>
        <v>46040</v>
      </c>
      <c r="C595" s="3" t="str">
        <f>RAW_GAMES!E595</f>
        <v>OLO</v>
      </c>
      <c r="D595" s="3" t="str">
        <f>RAW_GAMES!F595</f>
        <v>KLA</v>
      </c>
      <c r="E595" s="7">
        <f>RAW_GAMES!G595</f>
        <v>0</v>
      </c>
      <c r="F595">
        <f>RAW_GAMES!H595</f>
        <v>0</v>
      </c>
      <c r="G595">
        <f>RAW_GAMES!I595</f>
        <v>2</v>
      </c>
      <c r="H595">
        <f t="shared" si="54"/>
        <v>-2</v>
      </c>
      <c r="I595">
        <f>RAW_GAMES!J595</f>
        <v>17</v>
      </c>
      <c r="J595">
        <f>RAW_GAMES!K595</f>
        <v>36</v>
      </c>
      <c r="K595">
        <f t="shared" si="55"/>
        <v>-19</v>
      </c>
      <c r="L595" t="str">
        <f>IF(RAW_GAMES!L595="","",RAW_GAMES!L595)</f>
        <v/>
      </c>
      <c r="M595" t="str">
        <f>IF(RAW_GAMES!M595="","",RAW_GAMES!M595)</f>
        <v/>
      </c>
      <c r="N595" t="str">
        <f t="shared" si="56"/>
        <v/>
      </c>
      <c r="O595" s="7">
        <f>RAW_GAMES!O595</f>
        <v>4</v>
      </c>
      <c r="P595">
        <f>RAW_GAMES!N595</f>
        <v>0</v>
      </c>
      <c r="Q595">
        <f t="shared" si="57"/>
        <v>0</v>
      </c>
      <c r="R595" s="7">
        <f>RAW_GAMES!Q595</f>
        <v>5</v>
      </c>
      <c r="S595">
        <f>RAW_GAMES!P595</f>
        <v>1</v>
      </c>
      <c r="T595">
        <f t="shared" si="58"/>
        <v>0.8</v>
      </c>
      <c r="U595">
        <f>_xlfn.XLOOKUP(C595,
  CALC_TEAMS_SEASON!B:B,
  CALC_TEAMS_SEASON!F:F)</f>
        <v>0.14989316239316242</v>
      </c>
      <c r="V595">
        <f>_xlfn.XLOOKUP(D595,
  CALC_TEAMS_SEASON!B:B,
  CALC_TEAMS_SEASON!F:F)</f>
        <v>0.13120421245421243</v>
      </c>
      <c r="W595" t="str">
        <f>RAW_GAMES!R595</f>
        <v>Machovský</v>
      </c>
      <c r="X595" s="7">
        <f>RAW_GAMES!S595</f>
        <v>34</v>
      </c>
      <c r="Y595">
        <f t="shared" si="59"/>
        <v>0</v>
      </c>
      <c r="Z595" t="str">
        <f>RAW_GAMES!V595</f>
        <v>RS</v>
      </c>
    </row>
    <row r="596" spans="1:26" x14ac:dyDescent="0.25">
      <c r="A596" t="str">
        <f>RAW_GAMES!A596</f>
        <v>25/26</v>
      </c>
      <c r="B596" s="3">
        <f>RAW_GAMES!B596</f>
        <v>46040</v>
      </c>
      <c r="C596" s="3" t="str">
        <f>RAW_GAMES!E596</f>
        <v>PLZ</v>
      </c>
      <c r="D596" s="3" t="str">
        <f>RAW_GAMES!F596</f>
        <v>MHK</v>
      </c>
      <c r="E596" s="7">
        <f>RAW_GAMES!G596</f>
        <v>1</v>
      </c>
      <c r="F596">
        <f>RAW_GAMES!H596</f>
        <v>2</v>
      </c>
      <c r="G596">
        <f>RAW_GAMES!I596</f>
        <v>3</v>
      </c>
      <c r="H596">
        <f t="shared" si="54"/>
        <v>-1</v>
      </c>
      <c r="I596">
        <f>RAW_GAMES!J596</f>
        <v>30</v>
      </c>
      <c r="J596">
        <f>RAW_GAMES!K596</f>
        <v>26</v>
      </c>
      <c r="K596">
        <f t="shared" si="55"/>
        <v>4</v>
      </c>
      <c r="L596" t="str">
        <f>IF(RAW_GAMES!L596="","",RAW_GAMES!L596)</f>
        <v/>
      </c>
      <c r="M596" t="str">
        <f>IF(RAW_GAMES!M596="","",RAW_GAMES!M596)</f>
        <v/>
      </c>
      <c r="N596" t="str">
        <f t="shared" si="56"/>
        <v/>
      </c>
      <c r="O596" s="7">
        <f>RAW_GAMES!O596</f>
        <v>3</v>
      </c>
      <c r="P596">
        <f>RAW_GAMES!N596</f>
        <v>1</v>
      </c>
      <c r="Q596">
        <f t="shared" si="57"/>
        <v>0.33333333333333331</v>
      </c>
      <c r="R596" s="7">
        <f>RAW_GAMES!Q596</f>
        <v>0</v>
      </c>
      <c r="S596">
        <f>RAW_GAMES!P596</f>
        <v>0</v>
      </c>
      <c r="T596">
        <f t="shared" si="58"/>
        <v>1</v>
      </c>
      <c r="U596">
        <f>_xlfn.XLOOKUP(C596,
  CALC_TEAMS_SEASON!B:B,
  CALC_TEAMS_SEASON!F:F)</f>
        <v>0.17641178266178262</v>
      </c>
      <c r="V596">
        <f>_xlfn.XLOOKUP(D596,
  CALC_TEAMS_SEASON!B:B,
  CALC_TEAMS_SEASON!F:F)</f>
        <v>0.14184981684981687</v>
      </c>
      <c r="W596" t="str">
        <f>RAW_GAMES!R596</f>
        <v>Malík</v>
      </c>
      <c r="X596" s="7">
        <f>RAW_GAMES!S596</f>
        <v>24</v>
      </c>
      <c r="Y596">
        <f t="shared" si="59"/>
        <v>0</v>
      </c>
      <c r="Z596" t="str">
        <f>RAW_GAMES!V596</f>
        <v>RS</v>
      </c>
    </row>
    <row r="597" spans="1:26" x14ac:dyDescent="0.25">
      <c r="A597" t="str">
        <f>RAW_GAMES!A597</f>
        <v>25/26</v>
      </c>
      <c r="B597" s="3">
        <f>RAW_GAMES!B597</f>
        <v>46040</v>
      </c>
      <c r="C597" s="3" t="str">
        <f>RAW_GAMES!E597</f>
        <v>VIT</v>
      </c>
      <c r="D597" s="3" t="str">
        <f>RAW_GAMES!F597</f>
        <v>KOM</v>
      </c>
      <c r="E597" s="7">
        <f>RAW_GAMES!G597</f>
        <v>1</v>
      </c>
      <c r="F597">
        <f>RAW_GAMES!H597</f>
        <v>2</v>
      </c>
      <c r="G597">
        <f>RAW_GAMES!I597</f>
        <v>3</v>
      </c>
      <c r="H597">
        <f t="shared" si="54"/>
        <v>-1</v>
      </c>
      <c r="I597">
        <f>RAW_GAMES!J597</f>
        <v>27</v>
      </c>
      <c r="J597">
        <f>RAW_GAMES!K597</f>
        <v>24</v>
      </c>
      <c r="K597">
        <f t="shared" si="55"/>
        <v>3</v>
      </c>
      <c r="L597">
        <f>IF(RAW_GAMES!L597="","",RAW_GAMES!L597)</f>
        <v>2.2999999999999998</v>
      </c>
      <c r="M597">
        <f>IF(RAW_GAMES!M597="","",RAW_GAMES!M597)</f>
        <v>1.96</v>
      </c>
      <c r="N597">
        <f t="shared" si="56"/>
        <v>0.33999999999999986</v>
      </c>
      <c r="O597" s="7">
        <f>RAW_GAMES!O597</f>
        <v>4</v>
      </c>
      <c r="P597">
        <f>RAW_GAMES!N597</f>
        <v>0</v>
      </c>
      <c r="Q597">
        <f t="shared" si="57"/>
        <v>0</v>
      </c>
      <c r="R597" s="7">
        <f>RAW_GAMES!Q597</f>
        <v>3</v>
      </c>
      <c r="S597">
        <f>RAW_GAMES!P597</f>
        <v>2</v>
      </c>
      <c r="T597">
        <f t="shared" si="58"/>
        <v>0.33333333333333337</v>
      </c>
      <c r="U597">
        <f>_xlfn.XLOOKUP(C597,
  CALC_TEAMS_SEASON!B:B,
  CALC_TEAMS_SEASON!F:F)</f>
        <v>0.16984890109890113</v>
      </c>
      <c r="V597">
        <f>_xlfn.XLOOKUP(D597,
  CALC_TEAMS_SEASON!B:B,
  CALC_TEAMS_SEASON!F:F)</f>
        <v>0.14358974358974358</v>
      </c>
      <c r="W597" t="str">
        <f>RAW_GAMES!R597</f>
        <v>Hrachovina</v>
      </c>
      <c r="X597" s="7">
        <f>RAW_GAMES!S597</f>
        <v>21</v>
      </c>
      <c r="Y597">
        <f t="shared" si="59"/>
        <v>0</v>
      </c>
      <c r="Z597" t="str">
        <f>RAW_GAMES!V597</f>
        <v>RS</v>
      </c>
    </row>
    <row r="598" spans="1:26" x14ac:dyDescent="0.25">
      <c r="A598" t="str">
        <f>RAW_GAMES!A598</f>
        <v>25/26</v>
      </c>
      <c r="B598" s="3">
        <f>RAW_GAMES!B598</f>
        <v>46042</v>
      </c>
      <c r="C598" s="3" t="str">
        <f>RAW_GAMES!E598</f>
        <v>TRI</v>
      </c>
      <c r="D598" s="3" t="str">
        <f>RAW_GAMES!F598</f>
        <v>PLZ</v>
      </c>
      <c r="E598" s="7">
        <f>RAW_GAMES!G598</f>
        <v>0</v>
      </c>
      <c r="F598">
        <f>RAW_GAMES!H598</f>
        <v>1</v>
      </c>
      <c r="G598">
        <f>RAW_GAMES!I598</f>
        <v>2</v>
      </c>
      <c r="H598">
        <f t="shared" si="54"/>
        <v>-1</v>
      </c>
      <c r="I598">
        <f>RAW_GAMES!J598</f>
        <v>23</v>
      </c>
      <c r="J598">
        <f>RAW_GAMES!K598</f>
        <v>22</v>
      </c>
      <c r="K598">
        <f t="shared" si="55"/>
        <v>1</v>
      </c>
      <c r="L598">
        <f>IF(RAW_GAMES!L598="","",RAW_GAMES!L598)</f>
        <v>2.64</v>
      </c>
      <c r="M598">
        <f>IF(RAW_GAMES!M598="","",RAW_GAMES!M598)</f>
        <v>1.84</v>
      </c>
      <c r="N598">
        <f t="shared" si="56"/>
        <v>0.8</v>
      </c>
      <c r="O598" s="7">
        <f>RAW_GAMES!O598</f>
        <v>3</v>
      </c>
      <c r="P598">
        <f>RAW_GAMES!N598</f>
        <v>0</v>
      </c>
      <c r="Q598">
        <f t="shared" si="57"/>
        <v>0</v>
      </c>
      <c r="R598" s="7">
        <f>RAW_GAMES!Q598</f>
        <v>3</v>
      </c>
      <c r="S598">
        <f>RAW_GAMES!P598</f>
        <v>0</v>
      </c>
      <c r="T598">
        <f t="shared" si="58"/>
        <v>1</v>
      </c>
      <c r="U598">
        <f>_xlfn.XLOOKUP(C598,
  CALC_TEAMS_SEASON!B:B,
  CALC_TEAMS_SEASON!F:F)</f>
        <v>0.17437423687423692</v>
      </c>
      <c r="V598">
        <f>_xlfn.XLOOKUP(D598,
  CALC_TEAMS_SEASON!B:B,
  CALC_TEAMS_SEASON!F:F)</f>
        <v>0.17641178266178262</v>
      </c>
      <c r="W598" t="str">
        <f>RAW_GAMES!R598</f>
        <v>Mazanec</v>
      </c>
      <c r="X598" s="7">
        <f>RAW_GAMES!S598</f>
        <v>21</v>
      </c>
      <c r="Y598">
        <f t="shared" si="59"/>
        <v>0</v>
      </c>
      <c r="Z598" t="str">
        <f>RAW_GAMES!V598</f>
        <v>RS</v>
      </c>
    </row>
    <row r="599" spans="1:26" x14ac:dyDescent="0.25">
      <c r="A599" t="str">
        <f>RAW_GAMES!A599</f>
        <v>25/26</v>
      </c>
      <c r="B599" s="3">
        <f>RAW_GAMES!B599</f>
        <v>46042</v>
      </c>
      <c r="C599" s="3" t="str">
        <f>RAW_GAMES!E599</f>
        <v>SPA</v>
      </c>
      <c r="D599" s="3" t="str">
        <f>RAW_GAMES!F599</f>
        <v>MHK</v>
      </c>
      <c r="E599" s="7">
        <f>RAW_GAMES!G599</f>
        <v>1</v>
      </c>
      <c r="F599">
        <f>RAW_GAMES!H599</f>
        <v>1</v>
      </c>
      <c r="G599">
        <f>RAW_GAMES!I599</f>
        <v>2</v>
      </c>
      <c r="H599">
        <f t="shared" si="54"/>
        <v>-1</v>
      </c>
      <c r="I599">
        <f>RAW_GAMES!J599</f>
        <v>42</v>
      </c>
      <c r="J599">
        <f>RAW_GAMES!K599</f>
        <v>34</v>
      </c>
      <c r="K599">
        <f t="shared" si="55"/>
        <v>8</v>
      </c>
      <c r="L599">
        <f>IF(RAW_GAMES!L599="","",RAW_GAMES!L599)</f>
        <v>3.04</v>
      </c>
      <c r="M599">
        <f>IF(RAW_GAMES!M599="","",RAW_GAMES!M599)</f>
        <v>3.1</v>
      </c>
      <c r="N599">
        <f t="shared" si="56"/>
        <v>-6.0000000000000053E-2</v>
      </c>
      <c r="O599" s="7">
        <f>RAW_GAMES!O599</f>
        <v>2</v>
      </c>
      <c r="P599">
        <f>RAW_GAMES!N599</f>
        <v>0</v>
      </c>
      <c r="Q599">
        <f t="shared" si="57"/>
        <v>0</v>
      </c>
      <c r="R599" s="7">
        <f>RAW_GAMES!Q599</f>
        <v>3</v>
      </c>
      <c r="S599">
        <f>RAW_GAMES!P599</f>
        <v>0</v>
      </c>
      <c r="T599">
        <f t="shared" si="58"/>
        <v>1</v>
      </c>
      <c r="U599">
        <f>_xlfn.XLOOKUP(C599,
  CALC_TEAMS_SEASON!B:B,
  CALC_TEAMS_SEASON!F:F)</f>
        <v>0.22060439560439565</v>
      </c>
      <c r="V599">
        <f>_xlfn.XLOOKUP(D599,
  CALC_TEAMS_SEASON!B:B,
  CALC_TEAMS_SEASON!F:F)</f>
        <v>0.14184981684981687</v>
      </c>
      <c r="W599" t="str">
        <f>RAW_GAMES!R599</f>
        <v>Kovář</v>
      </c>
      <c r="X599" s="7">
        <f>RAW_GAMES!S599</f>
        <v>33</v>
      </c>
      <c r="Y599">
        <f t="shared" si="59"/>
        <v>0</v>
      </c>
      <c r="Z599" t="str">
        <f>RAW_GAMES!V599</f>
        <v>RS</v>
      </c>
    </row>
    <row r="600" spans="1:26" x14ac:dyDescent="0.25">
      <c r="A600" t="str">
        <f>RAW_GAMES!A600</f>
        <v>25/26</v>
      </c>
      <c r="B600" s="3">
        <f>RAW_GAMES!B600</f>
        <v>46042</v>
      </c>
      <c r="C600" s="3" t="str">
        <f>RAW_GAMES!E600</f>
        <v>MHK</v>
      </c>
      <c r="D600" s="3" t="str">
        <f>RAW_GAMES!F600</f>
        <v>SPA</v>
      </c>
      <c r="E600" s="7">
        <f>RAW_GAMES!G600</f>
        <v>0</v>
      </c>
      <c r="F600">
        <f>RAW_GAMES!H600</f>
        <v>2</v>
      </c>
      <c r="G600">
        <f>RAW_GAMES!I600</f>
        <v>1</v>
      </c>
      <c r="H600">
        <f t="shared" si="54"/>
        <v>1</v>
      </c>
      <c r="I600">
        <f>RAW_GAMES!J600</f>
        <v>34</v>
      </c>
      <c r="J600">
        <f>RAW_GAMES!K600</f>
        <v>42</v>
      </c>
      <c r="K600">
        <f t="shared" si="55"/>
        <v>-8</v>
      </c>
      <c r="L600">
        <f>IF(RAW_GAMES!L600="","",RAW_GAMES!L600)</f>
        <v>3.1</v>
      </c>
      <c r="M600">
        <f>IF(RAW_GAMES!M600="","",RAW_GAMES!M600)</f>
        <v>3.04</v>
      </c>
      <c r="N600">
        <f t="shared" si="56"/>
        <v>6.0000000000000053E-2</v>
      </c>
      <c r="O600" s="7">
        <f>RAW_GAMES!O600</f>
        <v>3</v>
      </c>
      <c r="P600">
        <f>RAW_GAMES!N600</f>
        <v>0</v>
      </c>
      <c r="Q600">
        <f t="shared" si="57"/>
        <v>0</v>
      </c>
      <c r="R600" s="7">
        <f>RAW_GAMES!Q600</f>
        <v>2</v>
      </c>
      <c r="S600">
        <f>RAW_GAMES!P600</f>
        <v>0</v>
      </c>
      <c r="T600">
        <f t="shared" si="58"/>
        <v>1</v>
      </c>
      <c r="U600">
        <f>_xlfn.XLOOKUP(C600,
  CALC_TEAMS_SEASON!B:B,
  CALC_TEAMS_SEASON!F:F)</f>
        <v>0.14184981684981687</v>
      </c>
      <c r="V600">
        <f>_xlfn.XLOOKUP(D600,
  CALC_TEAMS_SEASON!B:B,
  CALC_TEAMS_SEASON!F:F)</f>
        <v>0.22060439560439565</v>
      </c>
      <c r="W600" t="str">
        <f>RAW_GAMES!R600</f>
        <v>Škorvánek</v>
      </c>
      <c r="X600" s="7">
        <f>RAW_GAMES!S600</f>
        <v>41</v>
      </c>
      <c r="Y600">
        <f t="shared" si="59"/>
        <v>1</v>
      </c>
      <c r="Z600" t="str">
        <f>RAW_GAMES!V600</f>
        <v>RS</v>
      </c>
    </row>
    <row r="601" spans="1:26" x14ac:dyDescent="0.25">
      <c r="A601" t="str">
        <f>RAW_GAMES!A601</f>
        <v>25/26</v>
      </c>
      <c r="B601" s="3">
        <f>RAW_GAMES!B601</f>
        <v>46042</v>
      </c>
      <c r="C601" s="3" t="str">
        <f>RAW_GAMES!E601</f>
        <v>PLZ</v>
      </c>
      <c r="D601" s="3" t="str">
        <f>RAW_GAMES!F601</f>
        <v>TRI</v>
      </c>
      <c r="E601" s="7">
        <f>RAW_GAMES!G601</f>
        <v>1</v>
      </c>
      <c r="F601">
        <f>RAW_GAMES!H601</f>
        <v>2</v>
      </c>
      <c r="G601">
        <f>RAW_GAMES!I601</f>
        <v>1</v>
      </c>
      <c r="H601">
        <f t="shared" si="54"/>
        <v>1</v>
      </c>
      <c r="I601">
        <f>RAW_GAMES!J601</f>
        <v>22</v>
      </c>
      <c r="J601">
        <f>RAW_GAMES!K601</f>
        <v>23</v>
      </c>
      <c r="K601">
        <f t="shared" si="55"/>
        <v>-1</v>
      </c>
      <c r="L601">
        <f>IF(RAW_GAMES!L601="","",RAW_GAMES!L601)</f>
        <v>1.84</v>
      </c>
      <c r="M601">
        <f>IF(RAW_GAMES!M601="","",RAW_GAMES!M601)</f>
        <v>2.64</v>
      </c>
      <c r="N601">
        <f t="shared" si="56"/>
        <v>-0.8</v>
      </c>
      <c r="O601" s="7">
        <f>RAW_GAMES!O601</f>
        <v>3</v>
      </c>
      <c r="P601">
        <f>RAW_GAMES!N601</f>
        <v>0</v>
      </c>
      <c r="Q601">
        <f t="shared" si="57"/>
        <v>0</v>
      </c>
      <c r="R601" s="7">
        <f>RAW_GAMES!Q601</f>
        <v>3</v>
      </c>
      <c r="S601">
        <f>RAW_GAMES!P601</f>
        <v>0</v>
      </c>
      <c r="T601">
        <f t="shared" si="58"/>
        <v>1</v>
      </c>
      <c r="U601">
        <f>_xlfn.XLOOKUP(C601,
  CALC_TEAMS_SEASON!B:B,
  CALC_TEAMS_SEASON!F:F)</f>
        <v>0.17641178266178262</v>
      </c>
      <c r="V601">
        <f>_xlfn.XLOOKUP(D601,
  CALC_TEAMS_SEASON!B:B,
  CALC_TEAMS_SEASON!F:F)</f>
        <v>0.17437423687423692</v>
      </c>
      <c r="W601" t="str">
        <f>RAW_GAMES!R601</f>
        <v>Malík</v>
      </c>
      <c r="X601" s="7">
        <f>RAW_GAMES!S601</f>
        <v>22</v>
      </c>
      <c r="Y601">
        <f t="shared" si="59"/>
        <v>1</v>
      </c>
      <c r="Z601" t="str">
        <f>RAW_GAMES!V601</f>
        <v>RS</v>
      </c>
    </row>
    <row r="602" spans="1:26" x14ac:dyDescent="0.25">
      <c r="A602" t="str">
        <f>RAW_GAMES!A602</f>
        <v>25/26</v>
      </c>
      <c r="B602" s="3">
        <f>RAW_GAMES!B602</f>
        <v>46043</v>
      </c>
      <c r="C602" s="3" t="str">
        <f>RAW_GAMES!E602</f>
        <v>PCE</v>
      </c>
      <c r="D602" s="3" t="str">
        <f>RAW_GAMES!F602</f>
        <v>KOM</v>
      </c>
      <c r="E602" s="7">
        <f>RAW_GAMES!G602</f>
        <v>1</v>
      </c>
      <c r="F602">
        <f>RAW_GAMES!H602</f>
        <v>7</v>
      </c>
      <c r="G602">
        <f>RAW_GAMES!I602</f>
        <v>1</v>
      </c>
      <c r="H602">
        <f t="shared" si="54"/>
        <v>6</v>
      </c>
      <c r="I602">
        <f>RAW_GAMES!J602</f>
        <v>44</v>
      </c>
      <c r="J602">
        <f>RAW_GAMES!K602</f>
        <v>19</v>
      </c>
      <c r="K602">
        <f t="shared" si="55"/>
        <v>25</v>
      </c>
      <c r="L602">
        <f>IF(RAW_GAMES!L602="","",RAW_GAMES!L602)</f>
        <v>4.18</v>
      </c>
      <c r="M602">
        <f>IF(RAW_GAMES!M602="","",RAW_GAMES!M602)</f>
        <v>2.2200000000000002</v>
      </c>
      <c r="N602">
        <f t="shared" si="56"/>
        <v>1.9599999999999995</v>
      </c>
      <c r="O602" s="7">
        <f>RAW_GAMES!O602</f>
        <v>5</v>
      </c>
      <c r="P602">
        <f>RAW_GAMES!N602</f>
        <v>2</v>
      </c>
      <c r="Q602">
        <f t="shared" si="57"/>
        <v>0.4</v>
      </c>
      <c r="R602" s="7">
        <f>RAW_GAMES!Q602</f>
        <v>2</v>
      </c>
      <c r="S602">
        <f>RAW_GAMES!P602</f>
        <v>0</v>
      </c>
      <c r="T602">
        <f t="shared" si="58"/>
        <v>1</v>
      </c>
      <c r="U602">
        <f>_xlfn.XLOOKUP(C602,
  CALC_TEAMS_SEASON!B:B,
  CALC_TEAMS_SEASON!F:F)</f>
        <v>0.20297619047619053</v>
      </c>
      <c r="V602">
        <f>_xlfn.XLOOKUP(D602,
  CALC_TEAMS_SEASON!B:B,
  CALC_TEAMS_SEASON!F:F)</f>
        <v>0.14358974358974358</v>
      </c>
      <c r="W602" t="str">
        <f>RAW_GAMES!R602</f>
        <v>Will</v>
      </c>
      <c r="X602" s="7">
        <f>RAW_GAMES!S602</f>
        <v>18</v>
      </c>
      <c r="Y602">
        <f t="shared" si="59"/>
        <v>1</v>
      </c>
      <c r="Z602" t="str">
        <f>RAW_GAMES!V602</f>
        <v>RS</v>
      </c>
    </row>
    <row r="603" spans="1:26" x14ac:dyDescent="0.25">
      <c r="A603" t="str">
        <f>RAW_GAMES!A603</f>
        <v>25/26</v>
      </c>
      <c r="B603" s="3">
        <f>RAW_GAMES!B603</f>
        <v>46043</v>
      </c>
      <c r="C603" s="3" t="str">
        <f>RAW_GAMES!E603</f>
        <v>KOM</v>
      </c>
      <c r="D603" s="3" t="str">
        <f>RAW_GAMES!F603</f>
        <v>PCE</v>
      </c>
      <c r="E603" s="7">
        <f>RAW_GAMES!G603</f>
        <v>0</v>
      </c>
      <c r="F603">
        <f>RAW_GAMES!H603</f>
        <v>1</v>
      </c>
      <c r="G603">
        <f>RAW_GAMES!I603</f>
        <v>7</v>
      </c>
      <c r="H603">
        <f t="shared" si="54"/>
        <v>-6</v>
      </c>
      <c r="I603">
        <f>RAW_GAMES!J603</f>
        <v>19</v>
      </c>
      <c r="J603">
        <f>RAW_GAMES!K603</f>
        <v>44</v>
      </c>
      <c r="K603">
        <f t="shared" si="55"/>
        <v>-25</v>
      </c>
      <c r="L603">
        <f>IF(RAW_GAMES!L603="","",RAW_GAMES!L603)</f>
        <v>2.2200000000000002</v>
      </c>
      <c r="M603">
        <f>IF(RAW_GAMES!M603="","",RAW_GAMES!M603)</f>
        <v>4.18</v>
      </c>
      <c r="N603">
        <f t="shared" si="56"/>
        <v>-1.9599999999999995</v>
      </c>
      <c r="O603" s="7">
        <f>RAW_GAMES!O603</f>
        <v>2</v>
      </c>
      <c r="P603">
        <f>RAW_GAMES!N603</f>
        <v>0</v>
      </c>
      <c r="Q603">
        <f t="shared" si="57"/>
        <v>0</v>
      </c>
      <c r="R603" s="7">
        <f>RAW_GAMES!Q603</f>
        <v>5</v>
      </c>
      <c r="S603">
        <f>RAW_GAMES!P603</f>
        <v>2</v>
      </c>
      <c r="T603">
        <f t="shared" si="58"/>
        <v>0.6</v>
      </c>
      <c r="U603">
        <f>_xlfn.XLOOKUP(C603,
  CALC_TEAMS_SEASON!B:B,
  CALC_TEAMS_SEASON!F:F)</f>
        <v>0.14358974358974358</v>
      </c>
      <c r="V603">
        <f>_xlfn.XLOOKUP(D603,
  CALC_TEAMS_SEASON!B:B,
  CALC_TEAMS_SEASON!F:F)</f>
        <v>0.20297619047619053</v>
      </c>
      <c r="W603" t="str">
        <f>RAW_GAMES!R603</f>
        <v>Krošelj</v>
      </c>
      <c r="X603" s="7">
        <f>RAW_GAMES!S603</f>
        <v>37</v>
      </c>
      <c r="Y603">
        <f t="shared" si="59"/>
        <v>0</v>
      </c>
      <c r="Z603" t="str">
        <f>RAW_GAMES!V603</f>
        <v>RS</v>
      </c>
    </row>
    <row r="604" spans="1:26" x14ac:dyDescent="0.25">
      <c r="A604" t="str">
        <f>RAW_GAMES!A604</f>
        <v>25/26</v>
      </c>
      <c r="B604" s="3">
        <f>RAW_GAMES!B604</f>
        <v>46045</v>
      </c>
      <c r="C604" s="3" t="str">
        <f>RAW_GAMES!E604</f>
        <v>PCE</v>
      </c>
      <c r="D604" s="3" t="str">
        <f>RAW_GAMES!F604</f>
        <v>OLO</v>
      </c>
      <c r="E604" s="7">
        <f>RAW_GAMES!G604</f>
        <v>0</v>
      </c>
      <c r="F604">
        <f>RAW_GAMES!H604</f>
        <v>3</v>
      </c>
      <c r="G604">
        <f>RAW_GAMES!I604</f>
        <v>2</v>
      </c>
      <c r="H604">
        <f t="shared" si="54"/>
        <v>1</v>
      </c>
      <c r="I604">
        <f>RAW_GAMES!J604</f>
        <v>33</v>
      </c>
      <c r="J604">
        <f>RAW_GAMES!K604</f>
        <v>30</v>
      </c>
      <c r="K604">
        <f t="shared" si="55"/>
        <v>3</v>
      </c>
      <c r="L604">
        <f>IF(RAW_GAMES!L604="","",RAW_GAMES!L604)</f>
        <v>3.04</v>
      </c>
      <c r="M604">
        <f>IF(RAW_GAMES!M604="","",RAW_GAMES!M604)</f>
        <v>2.58</v>
      </c>
      <c r="N604">
        <f t="shared" si="56"/>
        <v>0.45999999999999996</v>
      </c>
      <c r="O604" s="7">
        <f>RAW_GAMES!O604</f>
        <v>3</v>
      </c>
      <c r="P604">
        <f>RAW_GAMES!N604</f>
        <v>1</v>
      </c>
      <c r="Q604">
        <f t="shared" si="57"/>
        <v>0.33333333333333331</v>
      </c>
      <c r="R604" s="7">
        <f>RAW_GAMES!Q604</f>
        <v>7</v>
      </c>
      <c r="S604">
        <f>RAW_GAMES!P604</f>
        <v>1</v>
      </c>
      <c r="T604">
        <f t="shared" si="58"/>
        <v>0.85714285714285721</v>
      </c>
      <c r="U604">
        <f>_xlfn.XLOOKUP(C604,
  CALC_TEAMS_SEASON!B:B,
  CALC_TEAMS_SEASON!F:F)</f>
        <v>0.20297619047619053</v>
      </c>
      <c r="V604">
        <f>_xlfn.XLOOKUP(D604,
  CALC_TEAMS_SEASON!B:B,
  CALC_TEAMS_SEASON!F:F)</f>
        <v>0.14989316239316242</v>
      </c>
      <c r="W604" t="str">
        <f>RAW_GAMES!R604</f>
        <v>Vomáčka</v>
      </c>
      <c r="X604" s="7">
        <f>RAW_GAMES!S604</f>
        <v>28</v>
      </c>
      <c r="Y604">
        <f t="shared" si="59"/>
        <v>1</v>
      </c>
      <c r="Z604" t="str">
        <f>RAW_GAMES!V604</f>
        <v>RS</v>
      </c>
    </row>
    <row r="605" spans="1:26" x14ac:dyDescent="0.25">
      <c r="A605" t="str">
        <f>RAW_GAMES!A605</f>
        <v>25/26</v>
      </c>
      <c r="B605" s="3">
        <f>RAW_GAMES!B605</f>
        <v>46045</v>
      </c>
      <c r="C605" s="3" t="str">
        <f>RAW_GAMES!E605</f>
        <v>KOM</v>
      </c>
      <c r="D605" s="3" t="str">
        <f>RAW_GAMES!F605</f>
        <v>LIB</v>
      </c>
      <c r="E605" s="7">
        <f>RAW_GAMES!G605</f>
        <v>0</v>
      </c>
      <c r="F605">
        <f>RAW_GAMES!H605</f>
        <v>0</v>
      </c>
      <c r="G605">
        <f>RAW_GAMES!I605</f>
        <v>4</v>
      </c>
      <c r="H605">
        <f t="shared" si="54"/>
        <v>-4</v>
      </c>
      <c r="I605">
        <f>RAW_GAMES!J605</f>
        <v>18</v>
      </c>
      <c r="J605">
        <f>RAW_GAMES!K605</f>
        <v>30</v>
      </c>
      <c r="K605">
        <f t="shared" si="55"/>
        <v>-12</v>
      </c>
      <c r="L605">
        <f>IF(RAW_GAMES!L605="","",RAW_GAMES!L605)</f>
        <v>2.27</v>
      </c>
      <c r="M605">
        <f>IF(RAW_GAMES!M605="","",RAW_GAMES!M605)</f>
        <v>3.46</v>
      </c>
      <c r="N605">
        <f t="shared" si="56"/>
        <v>-1.19</v>
      </c>
      <c r="O605" s="7">
        <f>RAW_GAMES!O605</f>
        <v>2</v>
      </c>
      <c r="P605">
        <f>RAW_GAMES!N605</f>
        <v>0</v>
      </c>
      <c r="Q605">
        <f t="shared" si="57"/>
        <v>0</v>
      </c>
      <c r="R605" s="7">
        <f>RAW_GAMES!Q605</f>
        <v>2</v>
      </c>
      <c r="S605">
        <f>RAW_GAMES!P605</f>
        <v>0</v>
      </c>
      <c r="T605">
        <f t="shared" si="58"/>
        <v>1</v>
      </c>
      <c r="U605">
        <f>_xlfn.XLOOKUP(C605,
  CALC_TEAMS_SEASON!B:B,
  CALC_TEAMS_SEASON!F:F)</f>
        <v>0.14358974358974358</v>
      </c>
      <c r="V605">
        <f>_xlfn.XLOOKUP(D605,
  CALC_TEAMS_SEASON!B:B,
  CALC_TEAMS_SEASON!F:F)</f>
        <v>0.14377289377289379</v>
      </c>
      <c r="W605" t="str">
        <f>RAW_GAMES!R605</f>
        <v>Stezka</v>
      </c>
      <c r="X605" s="7">
        <f>RAW_GAMES!S605</f>
        <v>26</v>
      </c>
      <c r="Y605">
        <f t="shared" si="59"/>
        <v>0</v>
      </c>
      <c r="Z605" t="str">
        <f>RAW_GAMES!V605</f>
        <v>RS</v>
      </c>
    </row>
    <row r="606" spans="1:26" x14ac:dyDescent="0.25">
      <c r="A606" t="str">
        <f>RAW_GAMES!A606</f>
        <v>25/26</v>
      </c>
      <c r="B606" s="3">
        <f>RAW_GAMES!B606</f>
        <v>46045</v>
      </c>
      <c r="C606" s="3" t="str">
        <f>RAW_GAMES!E606</f>
        <v>CEB</v>
      </c>
      <c r="D606" s="3" t="str">
        <f>RAW_GAMES!F606</f>
        <v>KLA</v>
      </c>
      <c r="E606" s="7">
        <f>RAW_GAMES!G606</f>
        <v>1</v>
      </c>
      <c r="F606">
        <f>RAW_GAMES!H606</f>
        <v>2</v>
      </c>
      <c r="G606">
        <f>RAW_GAMES!I606</f>
        <v>3</v>
      </c>
      <c r="H606">
        <f t="shared" si="54"/>
        <v>-1</v>
      </c>
      <c r="I606">
        <f>RAW_GAMES!J606</f>
        <v>28</v>
      </c>
      <c r="J606">
        <f>RAW_GAMES!K606</f>
        <v>37</v>
      </c>
      <c r="K606">
        <f t="shared" si="55"/>
        <v>-9</v>
      </c>
      <c r="L606" t="str">
        <f>IF(RAW_GAMES!L606="","",RAW_GAMES!L606)</f>
        <v/>
      </c>
      <c r="M606" t="str">
        <f>IF(RAW_GAMES!M606="","",RAW_GAMES!M606)</f>
        <v/>
      </c>
      <c r="N606" t="str">
        <f t="shared" si="56"/>
        <v/>
      </c>
      <c r="O606" s="7">
        <f>RAW_GAMES!O606</f>
        <v>1</v>
      </c>
      <c r="P606">
        <f>RAW_GAMES!N606</f>
        <v>0</v>
      </c>
      <c r="Q606">
        <f t="shared" si="57"/>
        <v>0</v>
      </c>
      <c r="R606" s="7">
        <f>RAW_GAMES!Q606</f>
        <v>3</v>
      </c>
      <c r="S606">
        <f>RAW_GAMES!P606</f>
        <v>0</v>
      </c>
      <c r="T606">
        <f t="shared" si="58"/>
        <v>1</v>
      </c>
      <c r="U606">
        <f>_xlfn.XLOOKUP(C606,
  CALC_TEAMS_SEASON!B:B,
  CALC_TEAMS_SEASON!F:F)</f>
        <v>0.13021353646353648</v>
      </c>
      <c r="V606">
        <f>_xlfn.XLOOKUP(D606,
  CALC_TEAMS_SEASON!B:B,
  CALC_TEAMS_SEASON!F:F)</f>
        <v>0.13120421245421243</v>
      </c>
      <c r="W606" t="str">
        <f>RAW_GAMES!R606</f>
        <v>Klouček</v>
      </c>
      <c r="X606" s="7">
        <f>RAW_GAMES!S606</f>
        <v>34</v>
      </c>
      <c r="Y606">
        <f t="shared" si="59"/>
        <v>0</v>
      </c>
      <c r="Z606" t="str">
        <f>RAW_GAMES!V606</f>
        <v>RS</v>
      </c>
    </row>
    <row r="607" spans="1:26" x14ac:dyDescent="0.25">
      <c r="A607" t="str">
        <f>RAW_GAMES!A607</f>
        <v>25/26</v>
      </c>
      <c r="B607" s="3">
        <f>RAW_GAMES!B607</f>
        <v>46045</v>
      </c>
      <c r="C607" s="3" t="str">
        <f>RAW_GAMES!E607</f>
        <v>KLA</v>
      </c>
      <c r="D607" s="3" t="str">
        <f>RAW_GAMES!F607</f>
        <v>CEB</v>
      </c>
      <c r="E607" s="7">
        <f>RAW_GAMES!G607</f>
        <v>0</v>
      </c>
      <c r="F607">
        <f>RAW_GAMES!H607</f>
        <v>3</v>
      </c>
      <c r="G607">
        <f>RAW_GAMES!I607</f>
        <v>2</v>
      </c>
      <c r="H607">
        <f t="shared" si="54"/>
        <v>1</v>
      </c>
      <c r="I607">
        <f>RAW_GAMES!J607</f>
        <v>37</v>
      </c>
      <c r="J607">
        <f>RAW_GAMES!K607</f>
        <v>28</v>
      </c>
      <c r="K607">
        <f t="shared" si="55"/>
        <v>9</v>
      </c>
      <c r="L607" t="str">
        <f>IF(RAW_GAMES!L607="","",RAW_GAMES!L607)</f>
        <v/>
      </c>
      <c r="M607" t="str">
        <f>IF(RAW_GAMES!M607="","",RAW_GAMES!M607)</f>
        <v/>
      </c>
      <c r="N607" t="str">
        <f t="shared" si="56"/>
        <v/>
      </c>
      <c r="O607" s="7">
        <f>RAW_GAMES!O607</f>
        <v>3</v>
      </c>
      <c r="P607">
        <f>RAW_GAMES!N607</f>
        <v>0</v>
      </c>
      <c r="Q607">
        <f t="shared" si="57"/>
        <v>0</v>
      </c>
      <c r="R607" s="7">
        <f>RAW_GAMES!Q607</f>
        <v>1</v>
      </c>
      <c r="S607">
        <f>RAW_GAMES!P607</f>
        <v>0</v>
      </c>
      <c r="T607">
        <f t="shared" si="58"/>
        <v>1</v>
      </c>
      <c r="U607">
        <f>_xlfn.XLOOKUP(C607,
  CALC_TEAMS_SEASON!B:B,
  CALC_TEAMS_SEASON!F:F)</f>
        <v>0.13120421245421243</v>
      </c>
      <c r="V607">
        <f>_xlfn.XLOOKUP(D607,
  CALC_TEAMS_SEASON!B:B,
  CALC_TEAMS_SEASON!F:F)</f>
        <v>0.13021353646353648</v>
      </c>
      <c r="W607" t="str">
        <f>RAW_GAMES!R607</f>
        <v>Brízgala</v>
      </c>
      <c r="X607" s="7">
        <f>RAW_GAMES!S607</f>
        <v>34</v>
      </c>
      <c r="Y607">
        <f t="shared" si="59"/>
        <v>1</v>
      </c>
      <c r="Z607" t="str">
        <f>RAW_GAMES!V607</f>
        <v>RS</v>
      </c>
    </row>
    <row r="608" spans="1:26" x14ac:dyDescent="0.25">
      <c r="A608" t="str">
        <f>RAW_GAMES!A608</f>
        <v>25/26</v>
      </c>
      <c r="B608" s="3">
        <f>RAW_GAMES!B608</f>
        <v>46045</v>
      </c>
      <c r="C608" s="3" t="str">
        <f>RAW_GAMES!E608</f>
        <v>KVA</v>
      </c>
      <c r="D608" s="3" t="str">
        <f>RAW_GAMES!F608</f>
        <v>MHK</v>
      </c>
      <c r="E608" s="7">
        <f>RAW_GAMES!G608</f>
        <v>0</v>
      </c>
      <c r="F608">
        <f>RAW_GAMES!H608</f>
        <v>3</v>
      </c>
      <c r="G608">
        <f>RAW_GAMES!I608</f>
        <v>2</v>
      </c>
      <c r="H608">
        <f t="shared" si="54"/>
        <v>1</v>
      </c>
      <c r="I608">
        <f>RAW_GAMES!J608</f>
        <v>22</v>
      </c>
      <c r="J608">
        <f>RAW_GAMES!K608</f>
        <v>21</v>
      </c>
      <c r="K608">
        <f t="shared" si="55"/>
        <v>1</v>
      </c>
      <c r="L608" t="str">
        <f>IF(RAW_GAMES!L608="","",RAW_GAMES!L608)</f>
        <v/>
      </c>
      <c r="M608" t="str">
        <f>IF(RAW_GAMES!M608="","",RAW_GAMES!M608)</f>
        <v/>
      </c>
      <c r="N608" t="str">
        <f t="shared" si="56"/>
        <v/>
      </c>
      <c r="O608" s="7">
        <f>RAW_GAMES!O608</f>
        <v>6</v>
      </c>
      <c r="P608">
        <f>RAW_GAMES!N608</f>
        <v>0</v>
      </c>
      <c r="Q608">
        <f t="shared" si="57"/>
        <v>0</v>
      </c>
      <c r="R608" s="7">
        <f>RAW_GAMES!Q608</f>
        <v>3</v>
      </c>
      <c r="S608">
        <f>RAW_GAMES!P608</f>
        <v>0</v>
      </c>
      <c r="T608">
        <f t="shared" si="58"/>
        <v>1</v>
      </c>
      <c r="U608">
        <f>_xlfn.XLOOKUP(C608,
  CALC_TEAMS_SEASON!B:B,
  CALC_TEAMS_SEASON!F:F)</f>
        <v>0.17387057387057389</v>
      </c>
      <c r="V608">
        <f>_xlfn.XLOOKUP(D608,
  CALC_TEAMS_SEASON!B:B,
  CALC_TEAMS_SEASON!F:F)</f>
        <v>0.14184981684981687</v>
      </c>
      <c r="W608" t="str">
        <f>RAW_GAMES!R608</f>
        <v>Král</v>
      </c>
      <c r="X608" s="7">
        <f>RAW_GAMES!S608</f>
        <v>19</v>
      </c>
      <c r="Y608">
        <f t="shared" si="59"/>
        <v>1</v>
      </c>
      <c r="Z608" t="str">
        <f>RAW_GAMES!V608</f>
        <v>RS</v>
      </c>
    </row>
    <row r="609" spans="1:26" x14ac:dyDescent="0.25">
      <c r="A609" t="str">
        <f>RAW_GAMES!A609</f>
        <v>25/26</v>
      </c>
      <c r="B609" s="3">
        <f>RAW_GAMES!B609</f>
        <v>46045</v>
      </c>
      <c r="C609" s="3" t="str">
        <f>RAW_GAMES!E609</f>
        <v>LIB</v>
      </c>
      <c r="D609" s="3" t="str">
        <f>RAW_GAMES!F609</f>
        <v>KOM</v>
      </c>
      <c r="E609" s="7">
        <f>RAW_GAMES!G609</f>
        <v>1</v>
      </c>
      <c r="F609">
        <f>RAW_GAMES!H609</f>
        <v>4</v>
      </c>
      <c r="G609">
        <f>RAW_GAMES!I609</f>
        <v>0</v>
      </c>
      <c r="H609">
        <f t="shared" si="54"/>
        <v>4</v>
      </c>
      <c r="I609">
        <f>RAW_GAMES!J609</f>
        <v>30</v>
      </c>
      <c r="J609">
        <f>RAW_GAMES!K609</f>
        <v>18</v>
      </c>
      <c r="K609">
        <f t="shared" si="55"/>
        <v>12</v>
      </c>
      <c r="L609">
        <f>IF(RAW_GAMES!L609="","",RAW_GAMES!L609)</f>
        <v>3.46</v>
      </c>
      <c r="M609">
        <f>IF(RAW_GAMES!M609="","",RAW_GAMES!M609)</f>
        <v>2.27</v>
      </c>
      <c r="N609">
        <f t="shared" si="56"/>
        <v>1.19</v>
      </c>
      <c r="O609" s="7">
        <f>RAW_GAMES!O609</f>
        <v>2</v>
      </c>
      <c r="P609">
        <f>RAW_GAMES!N609</f>
        <v>0</v>
      </c>
      <c r="Q609">
        <f t="shared" si="57"/>
        <v>0</v>
      </c>
      <c r="R609" s="7">
        <f>RAW_GAMES!Q609</f>
        <v>2</v>
      </c>
      <c r="S609">
        <f>RAW_GAMES!P609</f>
        <v>0</v>
      </c>
      <c r="T609">
        <f t="shared" si="58"/>
        <v>1</v>
      </c>
      <c r="U609">
        <f>_xlfn.XLOOKUP(C609,
  CALC_TEAMS_SEASON!B:B,
  CALC_TEAMS_SEASON!F:F)</f>
        <v>0.14377289377289379</v>
      </c>
      <c r="V609">
        <f>_xlfn.XLOOKUP(D609,
  CALC_TEAMS_SEASON!B:B,
  CALC_TEAMS_SEASON!F:F)</f>
        <v>0.14358974358974358</v>
      </c>
      <c r="W609" t="str">
        <f>RAW_GAMES!R609</f>
        <v>Kváča</v>
      </c>
      <c r="X609" s="7">
        <f>RAW_GAMES!S609</f>
        <v>18</v>
      </c>
      <c r="Y609">
        <f t="shared" si="59"/>
        <v>1</v>
      </c>
      <c r="Z609" t="str">
        <f>RAW_GAMES!V609</f>
        <v>RS</v>
      </c>
    </row>
    <row r="610" spans="1:26" x14ac:dyDescent="0.25">
      <c r="A610" t="str">
        <f>RAW_GAMES!A610</f>
        <v>25/26</v>
      </c>
      <c r="B610" s="3">
        <f>RAW_GAMES!B610</f>
        <v>46045</v>
      </c>
      <c r="C610" s="3" t="str">
        <f>RAW_GAMES!E610</f>
        <v>MBL</v>
      </c>
      <c r="D610" s="3" t="str">
        <f>RAW_GAMES!F610</f>
        <v>VIT</v>
      </c>
      <c r="E610" s="7">
        <f>RAW_GAMES!G610</f>
        <v>1</v>
      </c>
      <c r="F610">
        <f>RAW_GAMES!H610</f>
        <v>2</v>
      </c>
      <c r="G610">
        <f>RAW_GAMES!I610</f>
        <v>1</v>
      </c>
      <c r="H610">
        <f t="shared" si="54"/>
        <v>1</v>
      </c>
      <c r="I610">
        <f>RAW_GAMES!J610</f>
        <v>30</v>
      </c>
      <c r="J610">
        <f>RAW_GAMES!K610</f>
        <v>18</v>
      </c>
      <c r="K610">
        <f t="shared" si="55"/>
        <v>12</v>
      </c>
      <c r="L610" t="str">
        <f>IF(RAW_GAMES!L610="","",RAW_GAMES!L610)</f>
        <v/>
      </c>
      <c r="M610" t="str">
        <f>IF(RAW_GAMES!M610="","",RAW_GAMES!M610)</f>
        <v/>
      </c>
      <c r="N610" t="str">
        <f t="shared" si="56"/>
        <v/>
      </c>
      <c r="O610" s="7">
        <f>RAW_GAMES!O610</f>
        <v>5</v>
      </c>
      <c r="P610">
        <f>RAW_GAMES!N610</f>
        <v>0</v>
      </c>
      <c r="Q610">
        <f t="shared" si="57"/>
        <v>0</v>
      </c>
      <c r="R610" s="7">
        <f>RAW_GAMES!Q610</f>
        <v>5</v>
      </c>
      <c r="S610">
        <f>RAW_GAMES!P610</f>
        <v>1</v>
      </c>
      <c r="T610">
        <f t="shared" si="58"/>
        <v>0.8</v>
      </c>
      <c r="U610">
        <f>_xlfn.XLOOKUP(C610,
  CALC_TEAMS_SEASON!B:B,
  CALC_TEAMS_SEASON!F:F)</f>
        <v>0.11826923076923078</v>
      </c>
      <c r="V610">
        <f>_xlfn.XLOOKUP(D610,
  CALC_TEAMS_SEASON!B:B,
  CALC_TEAMS_SEASON!F:F)</f>
        <v>0.16984890109890113</v>
      </c>
      <c r="W610" t="str">
        <f>RAW_GAMES!R610</f>
        <v>Furch</v>
      </c>
      <c r="X610" s="7">
        <f>RAW_GAMES!S610</f>
        <v>17</v>
      </c>
      <c r="Y610">
        <f t="shared" si="59"/>
        <v>1</v>
      </c>
      <c r="Z610" t="str">
        <f>RAW_GAMES!V610</f>
        <v>RS</v>
      </c>
    </row>
    <row r="611" spans="1:26" x14ac:dyDescent="0.25">
      <c r="A611" t="str">
        <f>RAW_GAMES!A611</f>
        <v>25/26</v>
      </c>
      <c r="B611" s="3">
        <f>RAW_GAMES!B611</f>
        <v>46045</v>
      </c>
      <c r="C611" s="3" t="str">
        <f>RAW_GAMES!E611</f>
        <v>MHK</v>
      </c>
      <c r="D611" s="3" t="str">
        <f>RAW_GAMES!F611</f>
        <v>KVA</v>
      </c>
      <c r="E611" s="7">
        <f>RAW_GAMES!G611</f>
        <v>1</v>
      </c>
      <c r="F611">
        <f>RAW_GAMES!H611</f>
        <v>2</v>
      </c>
      <c r="G611">
        <f>RAW_GAMES!I611</f>
        <v>3</v>
      </c>
      <c r="H611">
        <f t="shared" si="54"/>
        <v>-1</v>
      </c>
      <c r="I611">
        <f>RAW_GAMES!J611</f>
        <v>21</v>
      </c>
      <c r="J611">
        <f>RAW_GAMES!K611</f>
        <v>22</v>
      </c>
      <c r="K611">
        <f t="shared" si="55"/>
        <v>-1</v>
      </c>
      <c r="L611" t="str">
        <f>IF(RAW_GAMES!L611="","",RAW_GAMES!L611)</f>
        <v/>
      </c>
      <c r="M611" t="str">
        <f>IF(RAW_GAMES!M611="","",RAW_GAMES!M611)</f>
        <v/>
      </c>
      <c r="N611" t="str">
        <f t="shared" si="56"/>
        <v/>
      </c>
      <c r="O611" s="7">
        <f>RAW_GAMES!O611</f>
        <v>3</v>
      </c>
      <c r="P611">
        <f>RAW_GAMES!N611</f>
        <v>0</v>
      </c>
      <c r="Q611">
        <f t="shared" si="57"/>
        <v>0</v>
      </c>
      <c r="R611" s="7">
        <f>RAW_GAMES!Q611</f>
        <v>6</v>
      </c>
      <c r="S611">
        <f>RAW_GAMES!P611</f>
        <v>0</v>
      </c>
      <c r="T611">
        <f t="shared" si="58"/>
        <v>1</v>
      </c>
      <c r="U611">
        <f>_xlfn.XLOOKUP(C611,
  CALC_TEAMS_SEASON!B:B,
  CALC_TEAMS_SEASON!F:F)</f>
        <v>0.14184981684981687</v>
      </c>
      <c r="V611">
        <f>_xlfn.XLOOKUP(D611,
  CALC_TEAMS_SEASON!B:B,
  CALC_TEAMS_SEASON!F:F)</f>
        <v>0.17387057387057389</v>
      </c>
      <c r="W611" t="str">
        <f>RAW_GAMES!R611</f>
        <v>Škorvánek</v>
      </c>
      <c r="X611" s="7">
        <f>RAW_GAMES!S611</f>
        <v>19</v>
      </c>
      <c r="Y611">
        <f t="shared" si="59"/>
        <v>0</v>
      </c>
      <c r="Z611" t="str">
        <f>RAW_GAMES!V611</f>
        <v>RS</v>
      </c>
    </row>
    <row r="612" spans="1:26" x14ac:dyDescent="0.25">
      <c r="A612" t="str">
        <f>RAW_GAMES!A612</f>
        <v>25/26</v>
      </c>
      <c r="B612" s="3">
        <f>RAW_GAMES!B612</f>
        <v>46045</v>
      </c>
      <c r="C612" s="3" t="str">
        <f>RAW_GAMES!E612</f>
        <v>OLO</v>
      </c>
      <c r="D612" s="3" t="str">
        <f>RAW_GAMES!F612</f>
        <v>PCE</v>
      </c>
      <c r="E612" s="7">
        <f>RAW_GAMES!G612</f>
        <v>1</v>
      </c>
      <c r="F612">
        <f>RAW_GAMES!H612</f>
        <v>2</v>
      </c>
      <c r="G612">
        <f>RAW_GAMES!I612</f>
        <v>3</v>
      </c>
      <c r="H612">
        <f t="shared" si="54"/>
        <v>-1</v>
      </c>
      <c r="I612">
        <f>RAW_GAMES!J612</f>
        <v>30</v>
      </c>
      <c r="J612">
        <f>RAW_GAMES!K612</f>
        <v>33</v>
      </c>
      <c r="K612">
        <f t="shared" si="55"/>
        <v>-3</v>
      </c>
      <c r="L612">
        <f>IF(RAW_GAMES!L612="","",RAW_GAMES!L612)</f>
        <v>2.58</v>
      </c>
      <c r="M612">
        <f>IF(RAW_GAMES!M612="","",RAW_GAMES!M612)</f>
        <v>3.04</v>
      </c>
      <c r="N612">
        <f t="shared" si="56"/>
        <v>-0.45999999999999996</v>
      </c>
      <c r="O612" s="7">
        <f>RAW_GAMES!O612</f>
        <v>7</v>
      </c>
      <c r="P612">
        <f>RAW_GAMES!N612</f>
        <v>1</v>
      </c>
      <c r="Q612">
        <f t="shared" si="57"/>
        <v>0.14285714285714285</v>
      </c>
      <c r="R612" s="7">
        <f>RAW_GAMES!Q612</f>
        <v>3</v>
      </c>
      <c r="S612">
        <f>RAW_GAMES!P612</f>
        <v>1</v>
      </c>
      <c r="T612">
        <f t="shared" si="58"/>
        <v>0.66666666666666674</v>
      </c>
      <c r="U612">
        <f>_xlfn.XLOOKUP(C612,
  CALC_TEAMS_SEASON!B:B,
  CALC_TEAMS_SEASON!F:F)</f>
        <v>0.14989316239316242</v>
      </c>
      <c r="V612">
        <f>_xlfn.XLOOKUP(D612,
  CALC_TEAMS_SEASON!B:B,
  CALC_TEAMS_SEASON!F:F)</f>
        <v>0.20297619047619053</v>
      </c>
      <c r="W612" t="str">
        <f>RAW_GAMES!R612</f>
        <v>Cichoň</v>
      </c>
      <c r="X612" s="7">
        <f>RAW_GAMES!S612</f>
        <v>30</v>
      </c>
      <c r="Y612">
        <f t="shared" si="59"/>
        <v>0</v>
      </c>
      <c r="Z612" t="str">
        <f>RAW_GAMES!V612</f>
        <v>RS</v>
      </c>
    </row>
    <row r="613" spans="1:26" x14ac:dyDescent="0.25">
      <c r="A613" t="str">
        <f>RAW_GAMES!A613</f>
        <v>25/26</v>
      </c>
      <c r="B613" s="3">
        <f>RAW_GAMES!B613</f>
        <v>46045</v>
      </c>
      <c r="C613" s="3" t="str">
        <f>RAW_GAMES!E613</f>
        <v>VIT</v>
      </c>
      <c r="D613" s="3" t="str">
        <f>RAW_GAMES!F613</f>
        <v>MBL</v>
      </c>
      <c r="E613" s="7">
        <f>RAW_GAMES!G613</f>
        <v>0</v>
      </c>
      <c r="F613">
        <f>RAW_GAMES!H613</f>
        <v>1</v>
      </c>
      <c r="G613">
        <f>RAW_GAMES!I613</f>
        <v>2</v>
      </c>
      <c r="H613">
        <f t="shared" si="54"/>
        <v>-1</v>
      </c>
      <c r="I613">
        <f>RAW_GAMES!J613</f>
        <v>18</v>
      </c>
      <c r="J613">
        <f>RAW_GAMES!K613</f>
        <v>30</v>
      </c>
      <c r="K613">
        <f t="shared" si="55"/>
        <v>-12</v>
      </c>
      <c r="L613" t="str">
        <f>IF(RAW_GAMES!L613="","",RAW_GAMES!L613)</f>
        <v/>
      </c>
      <c r="M613" t="str">
        <f>IF(RAW_GAMES!M613="","",RAW_GAMES!M613)</f>
        <v/>
      </c>
      <c r="N613" t="str">
        <f t="shared" si="56"/>
        <v/>
      </c>
      <c r="O613" s="7">
        <f>RAW_GAMES!O613</f>
        <v>5</v>
      </c>
      <c r="P613">
        <f>RAW_GAMES!N613</f>
        <v>1</v>
      </c>
      <c r="Q613">
        <f t="shared" si="57"/>
        <v>0.2</v>
      </c>
      <c r="R613" s="7">
        <f>RAW_GAMES!Q613</f>
        <v>5</v>
      </c>
      <c r="S613">
        <f>RAW_GAMES!P613</f>
        <v>0</v>
      </c>
      <c r="T613">
        <f t="shared" si="58"/>
        <v>1</v>
      </c>
      <c r="U613">
        <f>_xlfn.XLOOKUP(C613,
  CALC_TEAMS_SEASON!B:B,
  CALC_TEAMS_SEASON!F:F)</f>
        <v>0.16984890109890113</v>
      </c>
      <c r="V613">
        <f>_xlfn.XLOOKUP(D613,
  CALC_TEAMS_SEASON!B:B,
  CALC_TEAMS_SEASON!F:F)</f>
        <v>0.11826923076923078</v>
      </c>
      <c r="W613" t="str">
        <f>RAW_GAMES!R613</f>
        <v>Hrachovina</v>
      </c>
      <c r="X613" s="7">
        <f>RAW_GAMES!S613</f>
        <v>28</v>
      </c>
      <c r="Y613">
        <f t="shared" si="59"/>
        <v>0</v>
      </c>
      <c r="Z613" t="str">
        <f>RAW_GAMES!V613</f>
        <v>RS</v>
      </c>
    </row>
    <row r="614" spans="1:26" x14ac:dyDescent="0.25">
      <c r="A614" t="str">
        <f>RAW_GAMES!A614</f>
        <v>25/26</v>
      </c>
      <c r="B614" s="3">
        <f>RAW_GAMES!B614</f>
        <v>46047</v>
      </c>
      <c r="C614" s="3" t="str">
        <f>RAW_GAMES!E614</f>
        <v>PCE</v>
      </c>
      <c r="D614" s="3" t="str">
        <f>RAW_GAMES!F614</f>
        <v>PLZ</v>
      </c>
      <c r="E614" s="7">
        <f>RAW_GAMES!G614</f>
        <v>1</v>
      </c>
      <c r="F614">
        <f>RAW_GAMES!H614</f>
        <v>3</v>
      </c>
      <c r="G614">
        <f>RAW_GAMES!I614</f>
        <v>4</v>
      </c>
      <c r="H614">
        <f t="shared" si="54"/>
        <v>-1</v>
      </c>
      <c r="I614">
        <f>RAW_GAMES!J614</f>
        <v>52</v>
      </c>
      <c r="J614">
        <f>RAW_GAMES!K614</f>
        <v>23</v>
      </c>
      <c r="K614">
        <f t="shared" si="55"/>
        <v>29</v>
      </c>
      <c r="L614">
        <f>IF(RAW_GAMES!L614="","",RAW_GAMES!L614)</f>
        <v>5.1100000000000003</v>
      </c>
      <c r="M614">
        <f>IF(RAW_GAMES!M614="","",RAW_GAMES!M614)</f>
        <v>2.33</v>
      </c>
      <c r="N614">
        <f t="shared" si="56"/>
        <v>2.7800000000000002</v>
      </c>
      <c r="O614" s="7">
        <f>RAW_GAMES!O614</f>
        <v>7</v>
      </c>
      <c r="P614">
        <f>RAW_GAMES!N614</f>
        <v>1</v>
      </c>
      <c r="Q614">
        <f t="shared" si="57"/>
        <v>0.14285714285714285</v>
      </c>
      <c r="R614" s="7">
        <f>RAW_GAMES!Q614</f>
        <v>2</v>
      </c>
      <c r="S614">
        <f>RAW_GAMES!P614</f>
        <v>2</v>
      </c>
      <c r="T614">
        <f t="shared" si="58"/>
        <v>0</v>
      </c>
      <c r="U614">
        <f>_xlfn.XLOOKUP(C614,
  CALC_TEAMS_SEASON!B:B,
  CALC_TEAMS_SEASON!F:F)</f>
        <v>0.20297619047619053</v>
      </c>
      <c r="V614">
        <f>_xlfn.XLOOKUP(D614,
  CALC_TEAMS_SEASON!B:B,
  CALC_TEAMS_SEASON!F:F)</f>
        <v>0.17641178266178262</v>
      </c>
      <c r="W614" t="str">
        <f>RAW_GAMES!R614</f>
        <v>Will</v>
      </c>
      <c r="X614" s="7">
        <f>RAW_GAMES!S614</f>
        <v>19</v>
      </c>
      <c r="Y614">
        <f t="shared" si="59"/>
        <v>0</v>
      </c>
      <c r="Z614" t="str">
        <f>RAW_GAMES!V614</f>
        <v>RS</v>
      </c>
    </row>
    <row r="615" spans="1:26" x14ac:dyDescent="0.25">
      <c r="A615" t="str">
        <f>RAW_GAMES!A615</f>
        <v>25/26</v>
      </c>
      <c r="B615" s="3">
        <f>RAW_GAMES!B615</f>
        <v>46047</v>
      </c>
      <c r="C615" s="3" t="str">
        <f>RAW_GAMES!E615</f>
        <v>TRI</v>
      </c>
      <c r="D615" s="3" t="str">
        <f>RAW_GAMES!F615</f>
        <v>CEB</v>
      </c>
      <c r="E615" s="7">
        <f>RAW_GAMES!G615</f>
        <v>1</v>
      </c>
      <c r="F615">
        <f>RAW_GAMES!H615</f>
        <v>2</v>
      </c>
      <c r="G615">
        <f>RAW_GAMES!I615</f>
        <v>1</v>
      </c>
      <c r="H615">
        <f t="shared" si="54"/>
        <v>1</v>
      </c>
      <c r="I615">
        <f>RAW_GAMES!J615</f>
        <v>26</v>
      </c>
      <c r="J615">
        <f>RAW_GAMES!K615</f>
        <v>19</v>
      </c>
      <c r="K615">
        <f t="shared" si="55"/>
        <v>7</v>
      </c>
      <c r="L615">
        <f>IF(RAW_GAMES!L615="","",RAW_GAMES!L615)</f>
        <v>2.72</v>
      </c>
      <c r="M615">
        <f>IF(RAW_GAMES!M615="","",RAW_GAMES!M615)</f>
        <v>1.28</v>
      </c>
      <c r="N615">
        <f t="shared" si="56"/>
        <v>1.4400000000000002</v>
      </c>
      <c r="O615" s="7">
        <f>RAW_GAMES!O615</f>
        <v>7</v>
      </c>
      <c r="P615">
        <f>RAW_GAMES!N615</f>
        <v>0</v>
      </c>
      <c r="Q615">
        <f t="shared" si="57"/>
        <v>0</v>
      </c>
      <c r="R615" s="7">
        <f>RAW_GAMES!Q615</f>
        <v>4</v>
      </c>
      <c r="S615">
        <f>RAW_GAMES!P615</f>
        <v>0</v>
      </c>
      <c r="T615">
        <f t="shared" si="58"/>
        <v>1</v>
      </c>
      <c r="U615">
        <f>_xlfn.XLOOKUP(C615,
  CALC_TEAMS_SEASON!B:B,
  CALC_TEAMS_SEASON!F:F)</f>
        <v>0.17437423687423692</v>
      </c>
      <c r="V615">
        <f>_xlfn.XLOOKUP(D615,
  CALC_TEAMS_SEASON!B:B,
  CALC_TEAMS_SEASON!F:F)</f>
        <v>0.13021353646353648</v>
      </c>
      <c r="W615" t="str">
        <f>RAW_GAMES!R615</f>
        <v>Mazanec</v>
      </c>
      <c r="X615" s="7">
        <f>RAW_GAMES!S615</f>
        <v>18</v>
      </c>
      <c r="Y615">
        <f t="shared" si="59"/>
        <v>1</v>
      </c>
      <c r="Z615" t="str">
        <f>RAW_GAMES!V615</f>
        <v>RS</v>
      </c>
    </row>
    <row r="616" spans="1:26" x14ac:dyDescent="0.25">
      <c r="A616" t="str">
        <f>RAW_GAMES!A616</f>
        <v>25/26</v>
      </c>
      <c r="B616" s="3">
        <f>RAW_GAMES!B616</f>
        <v>46047</v>
      </c>
      <c r="C616" s="3" t="str">
        <f>RAW_GAMES!E616</f>
        <v>KOM</v>
      </c>
      <c r="D616" s="3" t="str">
        <f>RAW_GAMES!F616</f>
        <v>MHK</v>
      </c>
      <c r="E616" s="7">
        <f>RAW_GAMES!G616</f>
        <v>1</v>
      </c>
      <c r="F616">
        <f>RAW_GAMES!H616</f>
        <v>4</v>
      </c>
      <c r="G616">
        <f>RAW_GAMES!I616</f>
        <v>3</v>
      </c>
      <c r="H616">
        <f t="shared" si="54"/>
        <v>1</v>
      </c>
      <c r="I616">
        <f>RAW_GAMES!J616</f>
        <v>22</v>
      </c>
      <c r="J616">
        <f>RAW_GAMES!K616</f>
        <v>33</v>
      </c>
      <c r="K616">
        <f t="shared" si="55"/>
        <v>-11</v>
      </c>
      <c r="L616">
        <f>IF(RAW_GAMES!L616="","",RAW_GAMES!L616)</f>
        <v>2.34</v>
      </c>
      <c r="M616">
        <f>IF(RAW_GAMES!M616="","",RAW_GAMES!M616)</f>
        <v>3.11</v>
      </c>
      <c r="N616">
        <f t="shared" si="56"/>
        <v>-0.77</v>
      </c>
      <c r="O616" s="7">
        <f>RAW_GAMES!O616</f>
        <v>5</v>
      </c>
      <c r="P616">
        <f>RAW_GAMES!N616</f>
        <v>0</v>
      </c>
      <c r="Q616">
        <f t="shared" si="57"/>
        <v>0</v>
      </c>
      <c r="R616" s="7">
        <f>RAW_GAMES!Q616</f>
        <v>5</v>
      </c>
      <c r="S616">
        <f>RAW_GAMES!P616</f>
        <v>1</v>
      </c>
      <c r="T616">
        <f t="shared" si="58"/>
        <v>0.8</v>
      </c>
      <c r="U616">
        <f>_xlfn.XLOOKUP(C616,
  CALC_TEAMS_SEASON!B:B,
  CALC_TEAMS_SEASON!F:F)</f>
        <v>0.14358974358974358</v>
      </c>
      <c r="V616">
        <f>_xlfn.XLOOKUP(D616,
  CALC_TEAMS_SEASON!B:B,
  CALC_TEAMS_SEASON!F:F)</f>
        <v>0.14184981684981687</v>
      </c>
      <c r="W616" t="str">
        <f>RAW_GAMES!R616</f>
        <v>Stezka</v>
      </c>
      <c r="X616" s="7">
        <f>RAW_GAMES!S616</f>
        <v>30</v>
      </c>
      <c r="Y616">
        <f t="shared" si="59"/>
        <v>1</v>
      </c>
      <c r="Z616" t="str">
        <f>RAW_GAMES!V616</f>
        <v>RS</v>
      </c>
    </row>
    <row r="617" spans="1:26" x14ac:dyDescent="0.25">
      <c r="A617" t="str">
        <f>RAW_GAMES!A617</f>
        <v>25/26</v>
      </c>
      <c r="B617" s="3">
        <f>RAW_GAMES!B617</f>
        <v>46047</v>
      </c>
      <c r="C617" s="3" t="str">
        <f>RAW_GAMES!E617</f>
        <v>CEB</v>
      </c>
      <c r="D617" s="3" t="str">
        <f>RAW_GAMES!F617</f>
        <v>TRI</v>
      </c>
      <c r="E617" s="7">
        <f>RAW_GAMES!G617</f>
        <v>0</v>
      </c>
      <c r="F617">
        <f>RAW_GAMES!H617</f>
        <v>1</v>
      </c>
      <c r="G617">
        <f>RAW_GAMES!I617</f>
        <v>2</v>
      </c>
      <c r="H617">
        <f t="shared" si="54"/>
        <v>-1</v>
      </c>
      <c r="I617">
        <f>RAW_GAMES!J617</f>
        <v>19</v>
      </c>
      <c r="J617">
        <f>RAW_GAMES!K617</f>
        <v>26</v>
      </c>
      <c r="K617">
        <f t="shared" si="55"/>
        <v>-7</v>
      </c>
      <c r="L617">
        <f>IF(RAW_GAMES!L617="","",RAW_GAMES!L617)</f>
        <v>1.28</v>
      </c>
      <c r="M617">
        <f>IF(RAW_GAMES!M617="","",RAW_GAMES!M617)</f>
        <v>2.72</v>
      </c>
      <c r="N617">
        <f t="shared" si="56"/>
        <v>-1.4400000000000002</v>
      </c>
      <c r="O617" s="7">
        <f>RAW_GAMES!O617</f>
        <v>4</v>
      </c>
      <c r="P617">
        <f>RAW_GAMES!N617</f>
        <v>0</v>
      </c>
      <c r="Q617">
        <f t="shared" si="57"/>
        <v>0</v>
      </c>
      <c r="R617" s="7">
        <f>RAW_GAMES!Q617</f>
        <v>7</v>
      </c>
      <c r="S617">
        <f>RAW_GAMES!P617</f>
        <v>0</v>
      </c>
      <c r="T617">
        <f t="shared" si="58"/>
        <v>1</v>
      </c>
      <c r="U617">
        <f>_xlfn.XLOOKUP(C617,
  CALC_TEAMS_SEASON!B:B,
  CALC_TEAMS_SEASON!F:F)</f>
        <v>0.13021353646353648</v>
      </c>
      <c r="V617">
        <f>_xlfn.XLOOKUP(D617,
  CALC_TEAMS_SEASON!B:B,
  CALC_TEAMS_SEASON!F:F)</f>
        <v>0.17437423687423692</v>
      </c>
      <c r="W617" t="str">
        <f>RAW_GAMES!R617</f>
        <v>Klouček</v>
      </c>
      <c r="X617" s="7">
        <f>RAW_GAMES!S617</f>
        <v>24</v>
      </c>
      <c r="Y617">
        <f t="shared" si="59"/>
        <v>0</v>
      </c>
      <c r="Z617" t="str">
        <f>RAW_GAMES!V617</f>
        <v>RS</v>
      </c>
    </row>
    <row r="618" spans="1:26" x14ac:dyDescent="0.25">
      <c r="A618" t="str">
        <f>RAW_GAMES!A618</f>
        <v>25/26</v>
      </c>
      <c r="B618" s="3">
        <f>RAW_GAMES!B618</f>
        <v>46047</v>
      </c>
      <c r="C618" s="3" t="str">
        <f>RAW_GAMES!E618</f>
        <v>KLA</v>
      </c>
      <c r="D618" s="3" t="str">
        <f>RAW_GAMES!F618</f>
        <v>LIB</v>
      </c>
      <c r="E618" s="7">
        <f>RAW_GAMES!G618</f>
        <v>1</v>
      </c>
      <c r="F618">
        <f>RAW_GAMES!H618</f>
        <v>0</v>
      </c>
      <c r="G618">
        <f>RAW_GAMES!I618</f>
        <v>2</v>
      </c>
      <c r="H618">
        <f t="shared" si="54"/>
        <v>-2</v>
      </c>
      <c r="I618">
        <f>RAW_GAMES!J618</f>
        <v>37</v>
      </c>
      <c r="J618">
        <f>RAW_GAMES!K618</f>
        <v>38</v>
      </c>
      <c r="K618">
        <f t="shared" si="55"/>
        <v>-1</v>
      </c>
      <c r="L618" t="str">
        <f>IF(RAW_GAMES!L618="","",RAW_GAMES!L618)</f>
        <v/>
      </c>
      <c r="M618" t="str">
        <f>IF(RAW_GAMES!M618="","",RAW_GAMES!M618)</f>
        <v/>
      </c>
      <c r="N618" t="str">
        <f t="shared" si="56"/>
        <v/>
      </c>
      <c r="O618" s="7">
        <f>RAW_GAMES!O618</f>
        <v>5</v>
      </c>
      <c r="P618">
        <f>RAW_GAMES!N618</f>
        <v>0</v>
      </c>
      <c r="Q618">
        <f t="shared" si="57"/>
        <v>0</v>
      </c>
      <c r="R618" s="7">
        <f>RAW_GAMES!Q618</f>
        <v>3</v>
      </c>
      <c r="S618">
        <f>RAW_GAMES!P618</f>
        <v>0</v>
      </c>
      <c r="T618">
        <f t="shared" si="58"/>
        <v>1</v>
      </c>
      <c r="U618">
        <f>_xlfn.XLOOKUP(C618,
  CALC_TEAMS_SEASON!B:B,
  CALC_TEAMS_SEASON!F:F)</f>
        <v>0.13120421245421243</v>
      </c>
      <c r="V618">
        <f>_xlfn.XLOOKUP(D618,
  CALC_TEAMS_SEASON!B:B,
  CALC_TEAMS_SEASON!F:F)</f>
        <v>0.14377289377289379</v>
      </c>
      <c r="W618" t="str">
        <f>RAW_GAMES!R618</f>
        <v>Dansk</v>
      </c>
      <c r="X618" s="7">
        <f>RAW_GAMES!S618</f>
        <v>35</v>
      </c>
      <c r="Y618">
        <f t="shared" si="59"/>
        <v>0</v>
      </c>
      <c r="Z618" t="str">
        <f>RAW_GAMES!V618</f>
        <v>RS</v>
      </c>
    </row>
    <row r="619" spans="1:26" x14ac:dyDescent="0.25">
      <c r="A619" t="str">
        <f>RAW_GAMES!A619</f>
        <v>25/26</v>
      </c>
      <c r="B619" s="3">
        <f>RAW_GAMES!B619</f>
        <v>46047</v>
      </c>
      <c r="C619" s="3" t="str">
        <f>RAW_GAMES!E619</f>
        <v>KVA</v>
      </c>
      <c r="D619" s="3" t="str">
        <f>RAW_GAMES!F619</f>
        <v>MBL</v>
      </c>
      <c r="E619" s="7">
        <f>RAW_GAMES!G619</f>
        <v>1</v>
      </c>
      <c r="F619">
        <f>RAW_GAMES!H619</f>
        <v>4</v>
      </c>
      <c r="G619">
        <f>RAW_GAMES!I619</f>
        <v>0</v>
      </c>
      <c r="H619">
        <f t="shared" si="54"/>
        <v>4</v>
      </c>
      <c r="I619">
        <f>RAW_GAMES!J619</f>
        <v>43</v>
      </c>
      <c r="J619">
        <f>RAW_GAMES!K619</f>
        <v>12</v>
      </c>
      <c r="K619">
        <f t="shared" si="55"/>
        <v>31</v>
      </c>
      <c r="L619" t="str">
        <f>IF(RAW_GAMES!L619="","",RAW_GAMES!L619)</f>
        <v/>
      </c>
      <c r="M619" t="str">
        <f>IF(RAW_GAMES!M619="","",RAW_GAMES!M619)</f>
        <v/>
      </c>
      <c r="N619" t="str">
        <f t="shared" si="56"/>
        <v/>
      </c>
      <c r="O619" s="7">
        <f>RAW_GAMES!O619</f>
        <v>4</v>
      </c>
      <c r="P619">
        <f>RAW_GAMES!N619</f>
        <v>2</v>
      </c>
      <c r="Q619">
        <f t="shared" si="57"/>
        <v>0.5</v>
      </c>
      <c r="R619" s="7">
        <f>RAW_GAMES!Q619</f>
        <v>3</v>
      </c>
      <c r="S619">
        <f>RAW_GAMES!P619</f>
        <v>0</v>
      </c>
      <c r="T619">
        <f t="shared" si="58"/>
        <v>1</v>
      </c>
      <c r="U619">
        <f>_xlfn.XLOOKUP(C619,
  CALC_TEAMS_SEASON!B:B,
  CALC_TEAMS_SEASON!F:F)</f>
        <v>0.17387057387057389</v>
      </c>
      <c r="V619">
        <f>_xlfn.XLOOKUP(D619,
  CALC_TEAMS_SEASON!B:B,
  CALC_TEAMS_SEASON!F:F)</f>
        <v>0.11826923076923078</v>
      </c>
      <c r="W619" t="str">
        <f>RAW_GAMES!R619</f>
        <v>Frodl</v>
      </c>
      <c r="X619" s="7">
        <f>RAW_GAMES!S619</f>
        <v>12</v>
      </c>
      <c r="Y619">
        <f t="shared" si="59"/>
        <v>1</v>
      </c>
      <c r="Z619" t="str">
        <f>RAW_GAMES!V619</f>
        <v>RS</v>
      </c>
    </row>
    <row r="620" spans="1:26" x14ac:dyDescent="0.25">
      <c r="A620" t="str">
        <f>RAW_GAMES!A620</f>
        <v>25/26</v>
      </c>
      <c r="B620" s="3">
        <f>RAW_GAMES!B620</f>
        <v>46047</v>
      </c>
      <c r="C620" s="3" t="str">
        <f>RAW_GAMES!E620</f>
        <v>LIB</v>
      </c>
      <c r="D620" s="3" t="str">
        <f>RAW_GAMES!F620</f>
        <v>KLA</v>
      </c>
      <c r="E620" s="7">
        <f>RAW_GAMES!G620</f>
        <v>0</v>
      </c>
      <c r="F620">
        <f>RAW_GAMES!H620</f>
        <v>2</v>
      </c>
      <c r="G620">
        <f>RAW_GAMES!I620</f>
        <v>0</v>
      </c>
      <c r="H620">
        <f t="shared" si="54"/>
        <v>2</v>
      </c>
      <c r="I620">
        <f>RAW_GAMES!J620</f>
        <v>38</v>
      </c>
      <c r="J620">
        <f>RAW_GAMES!K620</f>
        <v>37</v>
      </c>
      <c r="K620">
        <f t="shared" si="55"/>
        <v>1</v>
      </c>
      <c r="L620" t="str">
        <f>IF(RAW_GAMES!L620="","",RAW_GAMES!L620)</f>
        <v/>
      </c>
      <c r="M620" t="str">
        <f>IF(RAW_GAMES!M620="","",RAW_GAMES!M620)</f>
        <v/>
      </c>
      <c r="N620" t="str">
        <f t="shared" si="56"/>
        <v/>
      </c>
      <c r="O620" s="7">
        <f>RAW_GAMES!O620</f>
        <v>3</v>
      </c>
      <c r="P620">
        <f>RAW_GAMES!N620</f>
        <v>0</v>
      </c>
      <c r="Q620">
        <f t="shared" si="57"/>
        <v>0</v>
      </c>
      <c r="R620" s="7">
        <f>RAW_GAMES!Q620</f>
        <v>5</v>
      </c>
      <c r="S620">
        <f>RAW_GAMES!P620</f>
        <v>0</v>
      </c>
      <c r="T620">
        <f t="shared" si="58"/>
        <v>1</v>
      </c>
      <c r="U620">
        <f>_xlfn.XLOOKUP(C620,
  CALC_TEAMS_SEASON!B:B,
  CALC_TEAMS_SEASON!F:F)</f>
        <v>0.14377289377289379</v>
      </c>
      <c r="V620">
        <f>_xlfn.XLOOKUP(D620,
  CALC_TEAMS_SEASON!B:B,
  CALC_TEAMS_SEASON!F:F)</f>
        <v>0.13120421245421243</v>
      </c>
      <c r="W620" t="str">
        <f>RAW_GAMES!R620</f>
        <v>Kváča</v>
      </c>
      <c r="X620" s="7">
        <f>RAW_GAMES!S620</f>
        <v>37</v>
      </c>
      <c r="Y620">
        <f t="shared" si="59"/>
        <v>1</v>
      </c>
      <c r="Z620" t="str">
        <f>RAW_GAMES!V620</f>
        <v>RS</v>
      </c>
    </row>
    <row r="621" spans="1:26" x14ac:dyDescent="0.25">
      <c r="A621" t="str">
        <f>RAW_GAMES!A621</f>
        <v>25/26</v>
      </c>
      <c r="B621" s="3">
        <f>RAW_GAMES!B621</f>
        <v>46047</v>
      </c>
      <c r="C621" s="3" t="str">
        <f>RAW_GAMES!E621</f>
        <v>LIT</v>
      </c>
      <c r="D621" s="3" t="str">
        <f>RAW_GAMES!F621</f>
        <v>OLO</v>
      </c>
      <c r="E621" s="7">
        <f>RAW_GAMES!G621</f>
        <v>1</v>
      </c>
      <c r="F621">
        <f>RAW_GAMES!H621</f>
        <v>3</v>
      </c>
      <c r="G621">
        <f>RAW_GAMES!I621</f>
        <v>5</v>
      </c>
      <c r="H621">
        <f t="shared" si="54"/>
        <v>-2</v>
      </c>
      <c r="I621">
        <f>RAW_GAMES!J621</f>
        <v>25</v>
      </c>
      <c r="J621">
        <f>RAW_GAMES!K621</f>
        <v>34</v>
      </c>
      <c r="K621">
        <f t="shared" si="55"/>
        <v>-9</v>
      </c>
      <c r="L621" t="str">
        <f>IF(RAW_GAMES!L621="","",RAW_GAMES!L621)</f>
        <v/>
      </c>
      <c r="M621" t="str">
        <f>IF(RAW_GAMES!M621="","",RAW_GAMES!M621)</f>
        <v/>
      </c>
      <c r="N621" t="str">
        <f t="shared" si="56"/>
        <v/>
      </c>
      <c r="O621" s="7">
        <f>RAW_GAMES!O621</f>
        <v>4</v>
      </c>
      <c r="P621">
        <f>RAW_GAMES!N621</f>
        <v>2</v>
      </c>
      <c r="Q621">
        <f t="shared" si="57"/>
        <v>0.5</v>
      </c>
      <c r="R621" s="7">
        <f>RAW_GAMES!Q621</f>
        <v>3</v>
      </c>
      <c r="S621">
        <f>RAW_GAMES!P621</f>
        <v>2</v>
      </c>
      <c r="T621">
        <f t="shared" si="58"/>
        <v>0.33333333333333337</v>
      </c>
      <c r="U621">
        <f>_xlfn.XLOOKUP(C621,
  CALC_TEAMS_SEASON!B:B,
  CALC_TEAMS_SEASON!F:F)</f>
        <v>0.10089285714285713</v>
      </c>
      <c r="V621">
        <f>_xlfn.XLOOKUP(D621,
  CALC_TEAMS_SEASON!B:B,
  CALC_TEAMS_SEASON!F:F)</f>
        <v>0.14989316239316242</v>
      </c>
      <c r="W621" t="str">
        <f>RAW_GAMES!R621</f>
        <v>Čajan</v>
      </c>
      <c r="X621" s="7">
        <f>RAW_GAMES!S621</f>
        <v>29</v>
      </c>
      <c r="Y621">
        <f t="shared" si="59"/>
        <v>0</v>
      </c>
      <c r="Z621" t="str">
        <f>RAW_GAMES!V621</f>
        <v>RS</v>
      </c>
    </row>
    <row r="622" spans="1:26" x14ac:dyDescent="0.25">
      <c r="A622" t="str">
        <f>RAW_GAMES!A622</f>
        <v>25/26</v>
      </c>
      <c r="B622" s="3">
        <f>RAW_GAMES!B622</f>
        <v>46047</v>
      </c>
      <c r="C622" s="3" t="str">
        <f>RAW_GAMES!E622</f>
        <v>MBL</v>
      </c>
      <c r="D622" s="3" t="str">
        <f>RAW_GAMES!F622</f>
        <v>KVA</v>
      </c>
      <c r="E622" s="7">
        <f>RAW_GAMES!G622</f>
        <v>0</v>
      </c>
      <c r="F622">
        <f>RAW_GAMES!H622</f>
        <v>0</v>
      </c>
      <c r="G622">
        <f>RAW_GAMES!I622</f>
        <v>4</v>
      </c>
      <c r="H622">
        <f t="shared" si="54"/>
        <v>-4</v>
      </c>
      <c r="I622">
        <f>RAW_GAMES!J622</f>
        <v>12</v>
      </c>
      <c r="J622">
        <f>RAW_GAMES!K622</f>
        <v>43</v>
      </c>
      <c r="K622">
        <f t="shared" si="55"/>
        <v>-31</v>
      </c>
      <c r="L622" t="str">
        <f>IF(RAW_GAMES!L622="","",RAW_GAMES!L622)</f>
        <v/>
      </c>
      <c r="M622" t="str">
        <f>IF(RAW_GAMES!M622="","",RAW_GAMES!M622)</f>
        <v/>
      </c>
      <c r="N622" t="str">
        <f t="shared" si="56"/>
        <v/>
      </c>
      <c r="O622" s="7">
        <f>RAW_GAMES!O622</f>
        <v>3</v>
      </c>
      <c r="P622">
        <f>RAW_GAMES!N622</f>
        <v>0</v>
      </c>
      <c r="Q622">
        <f t="shared" si="57"/>
        <v>0</v>
      </c>
      <c r="R622" s="7">
        <f>RAW_GAMES!Q622</f>
        <v>4</v>
      </c>
      <c r="S622">
        <f>RAW_GAMES!P622</f>
        <v>2</v>
      </c>
      <c r="T622">
        <f t="shared" si="58"/>
        <v>0.5</v>
      </c>
      <c r="U622">
        <f>_xlfn.XLOOKUP(C622,
  CALC_TEAMS_SEASON!B:B,
  CALC_TEAMS_SEASON!F:F)</f>
        <v>0.11826923076923078</v>
      </c>
      <c r="V622">
        <f>_xlfn.XLOOKUP(D622,
  CALC_TEAMS_SEASON!B:B,
  CALC_TEAMS_SEASON!F:F)</f>
        <v>0.17387057387057389</v>
      </c>
      <c r="W622" t="str">
        <f>RAW_GAMES!R622</f>
        <v>Mokry</v>
      </c>
      <c r="X622" s="7">
        <f>RAW_GAMES!S622</f>
        <v>39</v>
      </c>
      <c r="Y622">
        <f t="shared" si="59"/>
        <v>0</v>
      </c>
      <c r="Z622" t="str">
        <f>RAW_GAMES!V622</f>
        <v>RS</v>
      </c>
    </row>
    <row r="623" spans="1:26" x14ac:dyDescent="0.25">
      <c r="A623" t="str">
        <f>RAW_GAMES!A623</f>
        <v>25/26</v>
      </c>
      <c r="B623" s="3">
        <f>RAW_GAMES!B623</f>
        <v>46047</v>
      </c>
      <c r="C623" s="3" t="str">
        <f>RAW_GAMES!E623</f>
        <v>MHK</v>
      </c>
      <c r="D623" s="3" t="str">
        <f>RAW_GAMES!F623</f>
        <v>KOM</v>
      </c>
      <c r="E623" s="7">
        <f>RAW_GAMES!G623</f>
        <v>0</v>
      </c>
      <c r="F623">
        <f>RAW_GAMES!H623</f>
        <v>3</v>
      </c>
      <c r="G623">
        <f>RAW_GAMES!I623</f>
        <v>4</v>
      </c>
      <c r="H623">
        <f t="shared" si="54"/>
        <v>-1</v>
      </c>
      <c r="I623">
        <f>RAW_GAMES!J623</f>
        <v>33</v>
      </c>
      <c r="J623">
        <f>RAW_GAMES!K623</f>
        <v>22</v>
      </c>
      <c r="K623">
        <f t="shared" si="55"/>
        <v>11</v>
      </c>
      <c r="L623">
        <f>IF(RAW_GAMES!L623="","",RAW_GAMES!L623)</f>
        <v>3.11</v>
      </c>
      <c r="M623">
        <f>IF(RAW_GAMES!M623="","",RAW_GAMES!M623)</f>
        <v>2.34</v>
      </c>
      <c r="N623">
        <f t="shared" si="56"/>
        <v>0.77</v>
      </c>
      <c r="O623" s="7">
        <f>RAW_GAMES!O623</f>
        <v>5</v>
      </c>
      <c r="P623">
        <f>RAW_GAMES!N623</f>
        <v>1</v>
      </c>
      <c r="Q623">
        <f t="shared" si="57"/>
        <v>0.2</v>
      </c>
      <c r="R623" s="7">
        <f>RAW_GAMES!Q623</f>
        <v>5</v>
      </c>
      <c r="S623">
        <f>RAW_GAMES!P623</f>
        <v>0</v>
      </c>
      <c r="T623">
        <f t="shared" si="58"/>
        <v>1</v>
      </c>
      <c r="U623">
        <f>_xlfn.XLOOKUP(C623,
  CALC_TEAMS_SEASON!B:B,
  CALC_TEAMS_SEASON!F:F)</f>
        <v>0.14184981684981687</v>
      </c>
      <c r="V623">
        <f>_xlfn.XLOOKUP(D623,
  CALC_TEAMS_SEASON!B:B,
  CALC_TEAMS_SEASON!F:F)</f>
        <v>0.14358974358974358</v>
      </c>
      <c r="W623" t="str">
        <f>RAW_GAMES!R623</f>
        <v>Novotný</v>
      </c>
      <c r="X623" s="7">
        <f>RAW_GAMES!S623</f>
        <v>18</v>
      </c>
      <c r="Y623">
        <f t="shared" si="59"/>
        <v>0</v>
      </c>
      <c r="Z623" t="str">
        <f>RAW_GAMES!V623</f>
        <v>RS</v>
      </c>
    </row>
    <row r="624" spans="1:26" x14ac:dyDescent="0.25">
      <c r="A624" t="str">
        <f>RAW_GAMES!A624</f>
        <v>25/26</v>
      </c>
      <c r="B624" s="3">
        <f>RAW_GAMES!B624</f>
        <v>46047</v>
      </c>
      <c r="C624" s="3" t="str">
        <f>RAW_GAMES!E624</f>
        <v>OLO</v>
      </c>
      <c r="D624" s="3" t="str">
        <f>RAW_GAMES!F624</f>
        <v>LIT</v>
      </c>
      <c r="E624" s="7">
        <f>RAW_GAMES!G624</f>
        <v>0</v>
      </c>
      <c r="F624">
        <f>RAW_GAMES!H624</f>
        <v>5</v>
      </c>
      <c r="G624">
        <f>RAW_GAMES!I624</f>
        <v>3</v>
      </c>
      <c r="H624">
        <f t="shared" si="54"/>
        <v>2</v>
      </c>
      <c r="I624">
        <f>RAW_GAMES!J624</f>
        <v>34</v>
      </c>
      <c r="J624">
        <f>RAW_GAMES!K624</f>
        <v>25</v>
      </c>
      <c r="K624">
        <f t="shared" si="55"/>
        <v>9</v>
      </c>
      <c r="L624" t="str">
        <f>IF(RAW_GAMES!L624="","",RAW_GAMES!L624)</f>
        <v/>
      </c>
      <c r="M624" t="str">
        <f>IF(RAW_GAMES!M624="","",RAW_GAMES!M624)</f>
        <v/>
      </c>
      <c r="N624" t="str">
        <f t="shared" si="56"/>
        <v/>
      </c>
      <c r="O624" s="7">
        <f>RAW_GAMES!O624</f>
        <v>3</v>
      </c>
      <c r="P624">
        <f>RAW_GAMES!N624</f>
        <v>2</v>
      </c>
      <c r="Q624">
        <f t="shared" si="57"/>
        <v>0.66666666666666663</v>
      </c>
      <c r="R624" s="7">
        <f>RAW_GAMES!Q624</f>
        <v>4</v>
      </c>
      <c r="S624">
        <f>RAW_GAMES!P624</f>
        <v>2</v>
      </c>
      <c r="T624">
        <f t="shared" si="58"/>
        <v>0.5</v>
      </c>
      <c r="U624">
        <f>_xlfn.XLOOKUP(C624,
  CALC_TEAMS_SEASON!B:B,
  CALC_TEAMS_SEASON!F:F)</f>
        <v>0.14989316239316242</v>
      </c>
      <c r="V624">
        <f>_xlfn.XLOOKUP(D624,
  CALC_TEAMS_SEASON!B:B,
  CALC_TEAMS_SEASON!F:F)</f>
        <v>0.10089285714285713</v>
      </c>
      <c r="W624" t="str">
        <f>RAW_GAMES!R624</f>
        <v>Machovský</v>
      </c>
      <c r="X624" s="7">
        <f>RAW_GAMES!S624</f>
        <v>21</v>
      </c>
      <c r="Y624">
        <f t="shared" si="59"/>
        <v>1</v>
      </c>
      <c r="Z624" t="str">
        <f>RAW_GAMES!V624</f>
        <v>RS</v>
      </c>
    </row>
    <row r="625" spans="1:26" x14ac:dyDescent="0.25">
      <c r="A625" t="str">
        <f>RAW_GAMES!A625</f>
        <v>25/26</v>
      </c>
      <c r="B625" s="3">
        <f>RAW_GAMES!B625</f>
        <v>46047</v>
      </c>
      <c r="C625" s="3" t="str">
        <f>RAW_GAMES!E625</f>
        <v>PLZ</v>
      </c>
      <c r="D625" s="3" t="str">
        <f>RAW_GAMES!F625</f>
        <v>PCE</v>
      </c>
      <c r="E625" s="7">
        <f>RAW_GAMES!G625</f>
        <v>0</v>
      </c>
      <c r="F625">
        <f>RAW_GAMES!H625</f>
        <v>4</v>
      </c>
      <c r="G625">
        <f>RAW_GAMES!I625</f>
        <v>3</v>
      </c>
      <c r="H625">
        <f t="shared" si="54"/>
        <v>1</v>
      </c>
      <c r="I625">
        <f>RAW_GAMES!J625</f>
        <v>23</v>
      </c>
      <c r="J625">
        <f>RAW_GAMES!K625</f>
        <v>52</v>
      </c>
      <c r="K625">
        <f t="shared" si="55"/>
        <v>-29</v>
      </c>
      <c r="L625">
        <f>IF(RAW_GAMES!L625="","",RAW_GAMES!L625)</f>
        <v>2.33</v>
      </c>
      <c r="M625">
        <f>IF(RAW_GAMES!M625="","",RAW_GAMES!M625)</f>
        <v>5.1100000000000003</v>
      </c>
      <c r="N625">
        <f t="shared" si="56"/>
        <v>-2.7800000000000002</v>
      </c>
      <c r="O625" s="7">
        <f>RAW_GAMES!O625</f>
        <v>2</v>
      </c>
      <c r="P625">
        <f>RAW_GAMES!N625</f>
        <v>2</v>
      </c>
      <c r="Q625">
        <f t="shared" si="57"/>
        <v>1</v>
      </c>
      <c r="R625" s="7">
        <f>RAW_GAMES!Q625</f>
        <v>7</v>
      </c>
      <c r="S625">
        <f>RAW_GAMES!P625</f>
        <v>1</v>
      </c>
      <c r="T625">
        <f t="shared" si="58"/>
        <v>0.85714285714285721</v>
      </c>
      <c r="U625">
        <f>_xlfn.XLOOKUP(C625,
  CALC_TEAMS_SEASON!B:B,
  CALC_TEAMS_SEASON!F:F)</f>
        <v>0.17641178266178262</v>
      </c>
      <c r="V625">
        <f>_xlfn.XLOOKUP(D625,
  CALC_TEAMS_SEASON!B:B,
  CALC_TEAMS_SEASON!F:F)</f>
        <v>0.20297619047619053</v>
      </c>
      <c r="W625" t="str">
        <f>RAW_GAMES!R625</f>
        <v>Malík</v>
      </c>
      <c r="X625" s="7">
        <f>RAW_GAMES!S625</f>
        <v>49</v>
      </c>
      <c r="Y625">
        <f t="shared" si="59"/>
        <v>1</v>
      </c>
      <c r="Z625" t="str">
        <f>RAW_GAMES!V625</f>
        <v>RS</v>
      </c>
    </row>
    <row r="626" spans="1:26" x14ac:dyDescent="0.25">
      <c r="A626" t="str">
        <f>RAW_GAMES!A626</f>
        <v>25/26</v>
      </c>
      <c r="B626" s="3">
        <f>RAW_GAMES!B626</f>
        <v>46048</v>
      </c>
      <c r="C626" s="3" t="str">
        <f>RAW_GAMES!E626</f>
        <v>SPA</v>
      </c>
      <c r="D626" s="3" t="str">
        <f>RAW_GAMES!F626</f>
        <v>OLO</v>
      </c>
      <c r="E626" s="7">
        <f>RAW_GAMES!G626</f>
        <v>1</v>
      </c>
      <c r="F626">
        <f>RAW_GAMES!H626</f>
        <v>6</v>
      </c>
      <c r="G626">
        <f>RAW_GAMES!I626</f>
        <v>3</v>
      </c>
      <c r="H626">
        <f t="shared" si="54"/>
        <v>3</v>
      </c>
      <c r="I626">
        <f>RAW_GAMES!J626</f>
        <v>39</v>
      </c>
      <c r="J626">
        <f>RAW_GAMES!K626</f>
        <v>29</v>
      </c>
      <c r="K626">
        <f t="shared" si="55"/>
        <v>10</v>
      </c>
      <c r="L626">
        <f>IF(RAW_GAMES!L626="","",RAW_GAMES!L626)</f>
        <v>5.18</v>
      </c>
      <c r="M626">
        <f>IF(RAW_GAMES!M626="","",RAW_GAMES!M626)</f>
        <v>2.17</v>
      </c>
      <c r="N626">
        <f t="shared" si="56"/>
        <v>3.01</v>
      </c>
      <c r="O626" s="7">
        <f>RAW_GAMES!O626</f>
        <v>3</v>
      </c>
      <c r="P626">
        <f>RAW_GAMES!N626</f>
        <v>1</v>
      </c>
      <c r="Q626">
        <f t="shared" si="57"/>
        <v>0.33333333333333331</v>
      </c>
      <c r="R626" s="7">
        <f>RAW_GAMES!Q626</f>
        <v>2</v>
      </c>
      <c r="S626">
        <f>RAW_GAMES!P626</f>
        <v>0</v>
      </c>
      <c r="T626">
        <f t="shared" si="58"/>
        <v>1</v>
      </c>
      <c r="U626">
        <f>_xlfn.XLOOKUP(C626,
  CALC_TEAMS_SEASON!B:B,
  CALC_TEAMS_SEASON!F:F)</f>
        <v>0.22060439560439565</v>
      </c>
      <c r="V626">
        <f>_xlfn.XLOOKUP(D626,
  CALC_TEAMS_SEASON!B:B,
  CALC_TEAMS_SEASON!F:F)</f>
        <v>0.14989316239316242</v>
      </c>
      <c r="W626" t="str">
        <f>RAW_GAMES!R626</f>
        <v>Kovář</v>
      </c>
      <c r="X626" s="7">
        <f>RAW_GAMES!S626</f>
        <v>26</v>
      </c>
      <c r="Y626">
        <f t="shared" si="59"/>
        <v>1</v>
      </c>
      <c r="Z626" t="str">
        <f>RAW_GAMES!V626</f>
        <v>RS</v>
      </c>
    </row>
    <row r="627" spans="1:26" x14ac:dyDescent="0.25">
      <c r="A627" t="str">
        <f>RAW_GAMES!A627</f>
        <v>25/26</v>
      </c>
      <c r="B627" s="3">
        <f>RAW_GAMES!B627</f>
        <v>46048</v>
      </c>
      <c r="C627" s="3" t="str">
        <f>RAW_GAMES!E627</f>
        <v>OLO</v>
      </c>
      <c r="D627" s="3" t="str">
        <f>RAW_GAMES!F627</f>
        <v>SPA</v>
      </c>
      <c r="E627" s="7">
        <f>RAW_GAMES!G627</f>
        <v>0</v>
      </c>
      <c r="F627">
        <f>RAW_GAMES!H627</f>
        <v>3</v>
      </c>
      <c r="G627">
        <f>RAW_GAMES!I627</f>
        <v>6</v>
      </c>
      <c r="H627">
        <f t="shared" si="54"/>
        <v>-3</v>
      </c>
      <c r="I627">
        <f>RAW_GAMES!J627</f>
        <v>29</v>
      </c>
      <c r="J627">
        <f>RAW_GAMES!K627</f>
        <v>39</v>
      </c>
      <c r="K627">
        <f t="shared" si="55"/>
        <v>-10</v>
      </c>
      <c r="L627">
        <f>IF(RAW_GAMES!L627="","",RAW_GAMES!L627)</f>
        <v>2.17</v>
      </c>
      <c r="M627">
        <f>IF(RAW_GAMES!M627="","",RAW_GAMES!M627)</f>
        <v>5.18</v>
      </c>
      <c r="N627">
        <f t="shared" si="56"/>
        <v>-3.01</v>
      </c>
      <c r="O627" s="7">
        <f>RAW_GAMES!O627</f>
        <v>2</v>
      </c>
      <c r="P627">
        <f>RAW_GAMES!N627</f>
        <v>0</v>
      </c>
      <c r="Q627">
        <f t="shared" si="57"/>
        <v>0</v>
      </c>
      <c r="R627" s="7">
        <f>RAW_GAMES!Q627</f>
        <v>3</v>
      </c>
      <c r="S627">
        <f>RAW_GAMES!P627</f>
        <v>1</v>
      </c>
      <c r="T627">
        <f t="shared" si="58"/>
        <v>0.66666666666666674</v>
      </c>
      <c r="U627">
        <f>_xlfn.XLOOKUP(C627,
  CALC_TEAMS_SEASON!B:B,
  CALC_TEAMS_SEASON!F:F)</f>
        <v>0.14989316239316242</v>
      </c>
      <c r="V627">
        <f>_xlfn.XLOOKUP(D627,
  CALC_TEAMS_SEASON!B:B,
  CALC_TEAMS_SEASON!F:F)</f>
        <v>0.22060439560439565</v>
      </c>
      <c r="W627" t="str">
        <f>RAW_GAMES!R627</f>
        <v>Machovský</v>
      </c>
      <c r="X627" s="7">
        <f>RAW_GAMES!S627</f>
        <v>33</v>
      </c>
      <c r="Y627">
        <f t="shared" si="59"/>
        <v>0</v>
      </c>
      <c r="Z627" t="str">
        <f>RAW_GAMES!V627</f>
        <v>RS</v>
      </c>
    </row>
    <row r="628" spans="1:26" x14ac:dyDescent="0.25">
      <c r="A628" t="str">
        <f>RAW_GAMES!A628</f>
        <v>25/26</v>
      </c>
      <c r="B628" s="3">
        <f>RAW_GAMES!B628</f>
        <v>46049</v>
      </c>
      <c r="C628" s="3" t="str">
        <f>RAW_GAMES!E628</f>
        <v>PCE</v>
      </c>
      <c r="D628" s="3" t="str">
        <f>RAW_GAMES!F628</f>
        <v>KLA</v>
      </c>
      <c r="E628" s="7">
        <f>RAW_GAMES!G628</f>
        <v>1</v>
      </c>
      <c r="F628">
        <f>RAW_GAMES!H628</f>
        <v>2</v>
      </c>
      <c r="G628">
        <f>RAW_GAMES!I628</f>
        <v>1</v>
      </c>
      <c r="H628">
        <f t="shared" si="54"/>
        <v>1</v>
      </c>
      <c r="I628">
        <f>RAW_GAMES!J628</f>
        <v>32</v>
      </c>
      <c r="J628">
        <f>RAW_GAMES!K628</f>
        <v>22</v>
      </c>
      <c r="K628">
        <f t="shared" si="55"/>
        <v>10</v>
      </c>
      <c r="L628">
        <f>IF(RAW_GAMES!L628="","",RAW_GAMES!L628)</f>
        <v>2.38</v>
      </c>
      <c r="M628">
        <f>IF(RAW_GAMES!M628="","",RAW_GAMES!M628)</f>
        <v>2.33</v>
      </c>
      <c r="N628">
        <f t="shared" si="56"/>
        <v>4.9999999999999822E-2</v>
      </c>
      <c r="O628" s="7">
        <f>RAW_GAMES!O628</f>
        <v>2</v>
      </c>
      <c r="P628">
        <f>RAW_GAMES!N628</f>
        <v>0</v>
      </c>
      <c r="Q628">
        <f t="shared" si="57"/>
        <v>0</v>
      </c>
      <c r="R628" s="7">
        <f>RAW_GAMES!Q628</f>
        <v>1</v>
      </c>
      <c r="S628">
        <f>RAW_GAMES!P628</f>
        <v>0</v>
      </c>
      <c r="T628">
        <f t="shared" si="58"/>
        <v>1</v>
      </c>
      <c r="U628">
        <f>_xlfn.XLOOKUP(C628,
  CALC_TEAMS_SEASON!B:B,
  CALC_TEAMS_SEASON!F:F)</f>
        <v>0.20297619047619053</v>
      </c>
      <c r="V628">
        <f>_xlfn.XLOOKUP(D628,
  CALC_TEAMS_SEASON!B:B,
  CALC_TEAMS_SEASON!F:F)</f>
        <v>0.13120421245421243</v>
      </c>
      <c r="W628" t="str">
        <f>RAW_GAMES!R628</f>
        <v>Will</v>
      </c>
      <c r="X628" s="7">
        <f>RAW_GAMES!S628</f>
        <v>21</v>
      </c>
      <c r="Y628">
        <f t="shared" si="59"/>
        <v>1</v>
      </c>
      <c r="Z628" t="str">
        <f>RAW_GAMES!V628</f>
        <v>RS</v>
      </c>
    </row>
    <row r="629" spans="1:26" x14ac:dyDescent="0.25">
      <c r="A629" t="str">
        <f>RAW_GAMES!A629</f>
        <v>25/26</v>
      </c>
      <c r="B629" s="3">
        <f>RAW_GAMES!B629</f>
        <v>46049</v>
      </c>
      <c r="C629" s="3" t="str">
        <f>RAW_GAMES!E629</f>
        <v>TRI</v>
      </c>
      <c r="D629" s="3" t="str">
        <f>RAW_GAMES!F629</f>
        <v>MHK</v>
      </c>
      <c r="E629" s="7">
        <f>RAW_GAMES!G629</f>
        <v>0</v>
      </c>
      <c r="F629">
        <f>RAW_GAMES!H629</f>
        <v>0</v>
      </c>
      <c r="G629">
        <f>RAW_GAMES!I629</f>
        <v>3</v>
      </c>
      <c r="H629">
        <f t="shared" si="54"/>
        <v>-3</v>
      </c>
      <c r="I629">
        <f>RAW_GAMES!J629</f>
        <v>22</v>
      </c>
      <c r="J629">
        <f>RAW_GAMES!K629</f>
        <v>22</v>
      </c>
      <c r="K629">
        <f t="shared" si="55"/>
        <v>0</v>
      </c>
      <c r="L629">
        <f>IF(RAW_GAMES!L629="","",RAW_GAMES!L629)</f>
        <v>3.67</v>
      </c>
      <c r="M629">
        <f>IF(RAW_GAMES!M629="","",RAW_GAMES!M629)</f>
        <v>2.68</v>
      </c>
      <c r="N629">
        <f t="shared" si="56"/>
        <v>0.98999999999999977</v>
      </c>
      <c r="O629" s="7">
        <f>RAW_GAMES!O629</f>
        <v>3</v>
      </c>
      <c r="P629">
        <f>RAW_GAMES!N629</f>
        <v>0</v>
      </c>
      <c r="Q629">
        <f t="shared" si="57"/>
        <v>0</v>
      </c>
      <c r="R629" s="7">
        <f>RAW_GAMES!Q629</f>
        <v>2</v>
      </c>
      <c r="S629">
        <f>RAW_GAMES!P629</f>
        <v>0</v>
      </c>
      <c r="T629">
        <f t="shared" si="58"/>
        <v>1</v>
      </c>
      <c r="U629">
        <f>_xlfn.XLOOKUP(C629,
  CALC_TEAMS_SEASON!B:B,
  CALC_TEAMS_SEASON!F:F)</f>
        <v>0.17437423687423692</v>
      </c>
      <c r="V629">
        <f>_xlfn.XLOOKUP(D629,
  CALC_TEAMS_SEASON!B:B,
  CALC_TEAMS_SEASON!F:F)</f>
        <v>0.14184981684981687</v>
      </c>
      <c r="W629" t="str">
        <f>RAW_GAMES!R629</f>
        <v>Mazanec</v>
      </c>
      <c r="X629" s="7">
        <f>RAW_GAMES!S629</f>
        <v>19</v>
      </c>
      <c r="Y629">
        <f t="shared" si="59"/>
        <v>0</v>
      </c>
      <c r="Z629" t="str">
        <f>RAW_GAMES!V629</f>
        <v>RS</v>
      </c>
    </row>
    <row r="630" spans="1:26" x14ac:dyDescent="0.25">
      <c r="A630" t="str">
        <f>RAW_GAMES!A630</f>
        <v>25/26</v>
      </c>
      <c r="B630" s="3">
        <f>RAW_GAMES!B630</f>
        <v>46049</v>
      </c>
      <c r="C630" s="3" t="str">
        <f>RAW_GAMES!E630</f>
        <v>KOM</v>
      </c>
      <c r="D630" s="3" t="str">
        <f>RAW_GAMES!F630</f>
        <v>PLZ</v>
      </c>
      <c r="E630" s="7">
        <f>RAW_GAMES!G630</f>
        <v>0</v>
      </c>
      <c r="F630">
        <f>RAW_GAMES!H630</f>
        <v>0</v>
      </c>
      <c r="G630">
        <f>RAW_GAMES!I630</f>
        <v>4</v>
      </c>
      <c r="H630">
        <f t="shared" si="54"/>
        <v>-4</v>
      </c>
      <c r="I630">
        <f>RAW_GAMES!J630</f>
        <v>19</v>
      </c>
      <c r="J630">
        <f>RAW_GAMES!K630</f>
        <v>26</v>
      </c>
      <c r="K630">
        <f t="shared" si="55"/>
        <v>-7</v>
      </c>
      <c r="L630">
        <f>IF(RAW_GAMES!L630="","",RAW_GAMES!L630)</f>
        <v>2</v>
      </c>
      <c r="M630">
        <f>IF(RAW_GAMES!M630="","",RAW_GAMES!M630)</f>
        <v>2.66</v>
      </c>
      <c r="N630">
        <f t="shared" si="56"/>
        <v>-0.66000000000000014</v>
      </c>
      <c r="O630" s="7">
        <f>RAW_GAMES!O630</f>
        <v>7</v>
      </c>
      <c r="P630">
        <f>RAW_GAMES!N630</f>
        <v>0</v>
      </c>
      <c r="Q630">
        <f t="shared" si="57"/>
        <v>0</v>
      </c>
      <c r="R630" s="7">
        <f>RAW_GAMES!Q630</f>
        <v>10</v>
      </c>
      <c r="S630">
        <f>RAW_GAMES!P630</f>
        <v>2</v>
      </c>
      <c r="T630">
        <f t="shared" si="58"/>
        <v>0.8</v>
      </c>
      <c r="U630">
        <f>_xlfn.XLOOKUP(C630,
  CALC_TEAMS_SEASON!B:B,
  CALC_TEAMS_SEASON!F:F)</f>
        <v>0.14358974358974358</v>
      </c>
      <c r="V630">
        <f>_xlfn.XLOOKUP(D630,
  CALC_TEAMS_SEASON!B:B,
  CALC_TEAMS_SEASON!F:F)</f>
        <v>0.17641178266178262</v>
      </c>
      <c r="W630" t="str">
        <f>RAW_GAMES!R630</f>
        <v>Stezka</v>
      </c>
      <c r="X630" s="7">
        <f>RAW_GAMES!S630</f>
        <v>22</v>
      </c>
      <c r="Y630">
        <f t="shared" si="59"/>
        <v>0</v>
      </c>
      <c r="Z630" t="str">
        <f>RAW_GAMES!V630</f>
        <v>RS</v>
      </c>
    </row>
    <row r="631" spans="1:26" x14ac:dyDescent="0.25">
      <c r="A631" t="str">
        <f>RAW_GAMES!A631</f>
        <v>25/26</v>
      </c>
      <c r="B631" s="3">
        <f>RAW_GAMES!B631</f>
        <v>46049</v>
      </c>
      <c r="C631" s="3" t="str">
        <f>RAW_GAMES!E631</f>
        <v>CEB</v>
      </c>
      <c r="D631" s="3" t="str">
        <f>RAW_GAMES!F631</f>
        <v>KVA</v>
      </c>
      <c r="E631" s="7">
        <f>RAW_GAMES!G631</f>
        <v>1</v>
      </c>
      <c r="F631">
        <f>RAW_GAMES!H631</f>
        <v>3</v>
      </c>
      <c r="G631">
        <f>RAW_GAMES!I631</f>
        <v>6</v>
      </c>
      <c r="H631">
        <f t="shared" si="54"/>
        <v>-3</v>
      </c>
      <c r="I631">
        <f>RAW_GAMES!J631</f>
        <v>22</v>
      </c>
      <c r="J631">
        <f>RAW_GAMES!K631</f>
        <v>33</v>
      </c>
      <c r="K631">
        <f t="shared" si="55"/>
        <v>-11</v>
      </c>
      <c r="L631" t="str">
        <f>IF(RAW_GAMES!L631="","",RAW_GAMES!L631)</f>
        <v/>
      </c>
      <c r="M631" t="str">
        <f>IF(RAW_GAMES!M631="","",RAW_GAMES!M631)</f>
        <v/>
      </c>
      <c r="N631" t="str">
        <f t="shared" si="56"/>
        <v/>
      </c>
      <c r="O631" s="7">
        <f>RAW_GAMES!O631</f>
        <v>0</v>
      </c>
      <c r="P631">
        <f>RAW_GAMES!N631</f>
        <v>0</v>
      </c>
      <c r="Q631">
        <f t="shared" si="57"/>
        <v>0</v>
      </c>
      <c r="R631" s="7">
        <f>RAW_GAMES!Q631</f>
        <v>4</v>
      </c>
      <c r="S631">
        <f>RAW_GAMES!P631</f>
        <v>1</v>
      </c>
      <c r="T631">
        <f t="shared" si="58"/>
        <v>0.75</v>
      </c>
      <c r="U631">
        <f>_xlfn.XLOOKUP(C631,
  CALC_TEAMS_SEASON!B:B,
  CALC_TEAMS_SEASON!F:F)</f>
        <v>0.13021353646353648</v>
      </c>
      <c r="V631">
        <f>_xlfn.XLOOKUP(D631,
  CALC_TEAMS_SEASON!B:B,
  CALC_TEAMS_SEASON!F:F)</f>
        <v>0.17387057387057389</v>
      </c>
      <c r="W631" t="str">
        <f>RAW_GAMES!R631</f>
        <v>Strmeň</v>
      </c>
      <c r="X631" s="7">
        <f>RAW_GAMES!S631</f>
        <v>27</v>
      </c>
      <c r="Y631">
        <f t="shared" si="59"/>
        <v>0</v>
      </c>
      <c r="Z631" t="str">
        <f>RAW_GAMES!V631</f>
        <v>RS</v>
      </c>
    </row>
    <row r="632" spans="1:26" x14ac:dyDescent="0.25">
      <c r="A632" t="str">
        <f>RAW_GAMES!A632</f>
        <v>25/26</v>
      </c>
      <c r="B632" s="3">
        <f>RAW_GAMES!B632</f>
        <v>46049</v>
      </c>
      <c r="C632" s="3" t="str">
        <f>RAW_GAMES!E632</f>
        <v>KLA</v>
      </c>
      <c r="D632" s="3" t="str">
        <f>RAW_GAMES!F632</f>
        <v>PCE</v>
      </c>
      <c r="E632" s="7">
        <f>RAW_GAMES!G632</f>
        <v>0</v>
      </c>
      <c r="F632">
        <f>RAW_GAMES!H632</f>
        <v>1</v>
      </c>
      <c r="G632">
        <f>RAW_GAMES!I632</f>
        <v>2</v>
      </c>
      <c r="H632">
        <f t="shared" si="54"/>
        <v>-1</v>
      </c>
      <c r="I632">
        <f>RAW_GAMES!J632</f>
        <v>22</v>
      </c>
      <c r="J632">
        <f>RAW_GAMES!K632</f>
        <v>32</v>
      </c>
      <c r="K632">
        <f t="shared" si="55"/>
        <v>-10</v>
      </c>
      <c r="L632">
        <f>IF(RAW_GAMES!L632="","",RAW_GAMES!L632)</f>
        <v>2.33</v>
      </c>
      <c r="M632">
        <f>IF(RAW_GAMES!M632="","",RAW_GAMES!M632)</f>
        <v>2.38</v>
      </c>
      <c r="N632">
        <f t="shared" si="56"/>
        <v>-4.9999999999999822E-2</v>
      </c>
      <c r="O632" s="7">
        <f>RAW_GAMES!O632</f>
        <v>1</v>
      </c>
      <c r="P632">
        <f>RAW_GAMES!N632</f>
        <v>0</v>
      </c>
      <c r="Q632">
        <f t="shared" si="57"/>
        <v>0</v>
      </c>
      <c r="R632" s="7">
        <f>RAW_GAMES!Q632</f>
        <v>2</v>
      </c>
      <c r="S632">
        <f>RAW_GAMES!P632</f>
        <v>0</v>
      </c>
      <c r="T632">
        <f t="shared" si="58"/>
        <v>1</v>
      </c>
      <c r="U632">
        <f>_xlfn.XLOOKUP(C632,
  CALC_TEAMS_SEASON!B:B,
  CALC_TEAMS_SEASON!F:F)</f>
        <v>0.13120421245421243</v>
      </c>
      <c r="V632">
        <f>_xlfn.XLOOKUP(D632,
  CALC_TEAMS_SEASON!B:B,
  CALC_TEAMS_SEASON!F:F)</f>
        <v>0.20297619047619053</v>
      </c>
      <c r="W632" t="str">
        <f>RAW_GAMES!R632</f>
        <v>Brízgala</v>
      </c>
      <c r="X632" s="7">
        <f>RAW_GAMES!S632</f>
        <v>30</v>
      </c>
      <c r="Y632">
        <f t="shared" si="59"/>
        <v>0</v>
      </c>
      <c r="Z632" t="str">
        <f>RAW_GAMES!V632</f>
        <v>RS</v>
      </c>
    </row>
    <row r="633" spans="1:26" x14ac:dyDescent="0.25">
      <c r="A633" t="str">
        <f>RAW_GAMES!A633</f>
        <v>25/26</v>
      </c>
      <c r="B633" s="3">
        <f>RAW_GAMES!B633</f>
        <v>46049</v>
      </c>
      <c r="C633" s="3" t="str">
        <f>RAW_GAMES!E633</f>
        <v>KVA</v>
      </c>
      <c r="D633" s="3" t="str">
        <f>RAW_GAMES!F633</f>
        <v>CEB</v>
      </c>
      <c r="E633" s="7">
        <f>RAW_GAMES!G633</f>
        <v>0</v>
      </c>
      <c r="F633">
        <f>RAW_GAMES!H633</f>
        <v>6</v>
      </c>
      <c r="G633">
        <f>RAW_GAMES!I633</f>
        <v>3</v>
      </c>
      <c r="H633">
        <f t="shared" si="54"/>
        <v>3</v>
      </c>
      <c r="I633">
        <f>RAW_GAMES!J633</f>
        <v>33</v>
      </c>
      <c r="J633">
        <f>RAW_GAMES!K633</f>
        <v>22</v>
      </c>
      <c r="K633">
        <f t="shared" si="55"/>
        <v>11</v>
      </c>
      <c r="L633" t="str">
        <f>IF(RAW_GAMES!L633="","",RAW_GAMES!L633)</f>
        <v/>
      </c>
      <c r="M633" t="str">
        <f>IF(RAW_GAMES!M633="","",RAW_GAMES!M633)</f>
        <v/>
      </c>
      <c r="N633" t="str">
        <f t="shared" si="56"/>
        <v/>
      </c>
      <c r="O633" s="7">
        <f>RAW_GAMES!O633</f>
        <v>4</v>
      </c>
      <c r="P633">
        <f>RAW_GAMES!N633</f>
        <v>1</v>
      </c>
      <c r="Q633">
        <f t="shared" si="57"/>
        <v>0.25</v>
      </c>
      <c r="R633" s="7">
        <f>RAW_GAMES!Q633</f>
        <v>0</v>
      </c>
      <c r="S633">
        <f>RAW_GAMES!P633</f>
        <v>0</v>
      </c>
      <c r="T633">
        <f t="shared" si="58"/>
        <v>1</v>
      </c>
      <c r="U633">
        <f>_xlfn.XLOOKUP(C633,
  CALC_TEAMS_SEASON!B:B,
  CALC_TEAMS_SEASON!F:F)</f>
        <v>0.17387057387057389</v>
      </c>
      <c r="V633">
        <f>_xlfn.XLOOKUP(D633,
  CALC_TEAMS_SEASON!B:B,
  CALC_TEAMS_SEASON!F:F)</f>
        <v>0.13021353646353648</v>
      </c>
      <c r="W633" t="str">
        <f>RAW_GAMES!R633</f>
        <v>Král</v>
      </c>
      <c r="X633" s="7">
        <f>RAW_GAMES!S633</f>
        <v>19</v>
      </c>
      <c r="Y633">
        <f t="shared" si="59"/>
        <v>1</v>
      </c>
      <c r="Z633" t="str">
        <f>RAW_GAMES!V633</f>
        <v>RS</v>
      </c>
    </row>
    <row r="634" spans="1:26" x14ac:dyDescent="0.25">
      <c r="A634" t="str">
        <f>RAW_GAMES!A634</f>
        <v>25/26</v>
      </c>
      <c r="B634" s="3">
        <f>RAW_GAMES!B634</f>
        <v>46049</v>
      </c>
      <c r="C634" s="3" t="str">
        <f>RAW_GAMES!E634</f>
        <v>LIB</v>
      </c>
      <c r="D634" s="3" t="str">
        <f>RAW_GAMES!F634</f>
        <v>VIT</v>
      </c>
      <c r="E634" s="7">
        <f>RAW_GAMES!G634</f>
        <v>1</v>
      </c>
      <c r="F634">
        <f>RAW_GAMES!H634</f>
        <v>6</v>
      </c>
      <c r="G634">
        <f>RAW_GAMES!I634</f>
        <v>2</v>
      </c>
      <c r="H634">
        <f t="shared" si="54"/>
        <v>4</v>
      </c>
      <c r="I634">
        <f>RAW_GAMES!J634</f>
        <v>38</v>
      </c>
      <c r="J634">
        <f>RAW_GAMES!K634</f>
        <v>32</v>
      </c>
      <c r="K634">
        <f t="shared" si="55"/>
        <v>6</v>
      </c>
      <c r="L634" t="str">
        <f>IF(RAW_GAMES!L634="","",RAW_GAMES!L634)</f>
        <v/>
      </c>
      <c r="M634" t="str">
        <f>IF(RAW_GAMES!M634="","",RAW_GAMES!M634)</f>
        <v/>
      </c>
      <c r="N634" t="str">
        <f t="shared" si="56"/>
        <v/>
      </c>
      <c r="O634" s="7">
        <f>RAW_GAMES!O634</f>
        <v>4</v>
      </c>
      <c r="P634">
        <f>RAW_GAMES!N634</f>
        <v>3</v>
      </c>
      <c r="Q634">
        <f t="shared" si="57"/>
        <v>0.75</v>
      </c>
      <c r="R634" s="7">
        <f>RAW_GAMES!Q634</f>
        <v>3</v>
      </c>
      <c r="S634">
        <f>RAW_GAMES!P634</f>
        <v>1</v>
      </c>
      <c r="T634">
        <f t="shared" si="58"/>
        <v>0.66666666666666674</v>
      </c>
      <c r="U634">
        <f>_xlfn.XLOOKUP(C634,
  CALC_TEAMS_SEASON!B:B,
  CALC_TEAMS_SEASON!F:F)</f>
        <v>0.14377289377289379</v>
      </c>
      <c r="V634">
        <f>_xlfn.XLOOKUP(D634,
  CALC_TEAMS_SEASON!B:B,
  CALC_TEAMS_SEASON!F:F)</f>
        <v>0.16984890109890113</v>
      </c>
      <c r="W634" t="str">
        <f>RAW_GAMES!R634</f>
        <v>Lukeš</v>
      </c>
      <c r="X634" s="7">
        <f>RAW_GAMES!S634</f>
        <v>30</v>
      </c>
      <c r="Y634">
        <f t="shared" si="59"/>
        <v>1</v>
      </c>
      <c r="Z634" t="str">
        <f>RAW_GAMES!V634</f>
        <v>RS</v>
      </c>
    </row>
    <row r="635" spans="1:26" x14ac:dyDescent="0.25">
      <c r="A635" t="str">
        <f>RAW_GAMES!A635</f>
        <v>25/26</v>
      </c>
      <c r="B635" s="3">
        <f>RAW_GAMES!B635</f>
        <v>46049</v>
      </c>
      <c r="C635" s="3" t="str">
        <f>RAW_GAMES!E635</f>
        <v>LIT</v>
      </c>
      <c r="D635" s="3" t="str">
        <f>RAW_GAMES!F635</f>
        <v>MBL</v>
      </c>
      <c r="E635" s="7">
        <f>RAW_GAMES!G635</f>
        <v>0</v>
      </c>
      <c r="F635">
        <f>RAW_GAMES!H635</f>
        <v>0</v>
      </c>
      <c r="G635">
        <f>RAW_GAMES!I635</f>
        <v>1</v>
      </c>
      <c r="H635">
        <f t="shared" si="54"/>
        <v>-1</v>
      </c>
      <c r="I635">
        <f>RAW_GAMES!J635</f>
        <v>20</v>
      </c>
      <c r="J635">
        <f>RAW_GAMES!K635</f>
        <v>33</v>
      </c>
      <c r="K635">
        <f t="shared" si="55"/>
        <v>-13</v>
      </c>
      <c r="L635" t="str">
        <f>IF(RAW_GAMES!L635="","",RAW_GAMES!L635)</f>
        <v/>
      </c>
      <c r="M635" t="str">
        <f>IF(RAW_GAMES!M635="","",RAW_GAMES!M635)</f>
        <v/>
      </c>
      <c r="N635" t="str">
        <f t="shared" si="56"/>
        <v/>
      </c>
      <c r="O635" s="7">
        <f>RAW_GAMES!O635</f>
        <v>2</v>
      </c>
      <c r="P635">
        <f>RAW_GAMES!N635</f>
        <v>0</v>
      </c>
      <c r="Q635">
        <f t="shared" si="57"/>
        <v>0</v>
      </c>
      <c r="R635" s="7">
        <f>RAW_GAMES!Q635</f>
        <v>3</v>
      </c>
      <c r="S635">
        <f>RAW_GAMES!P635</f>
        <v>0</v>
      </c>
      <c r="T635">
        <f t="shared" si="58"/>
        <v>1</v>
      </c>
      <c r="U635">
        <f>_xlfn.XLOOKUP(C635,
  CALC_TEAMS_SEASON!B:B,
  CALC_TEAMS_SEASON!F:F)</f>
        <v>0.10089285714285713</v>
      </c>
      <c r="V635">
        <f>_xlfn.XLOOKUP(D635,
  CALC_TEAMS_SEASON!B:B,
  CALC_TEAMS_SEASON!F:F)</f>
        <v>0.11826923076923078</v>
      </c>
      <c r="W635" t="str">
        <f>RAW_GAMES!R635</f>
        <v>Tomek</v>
      </c>
      <c r="X635" s="7">
        <f>RAW_GAMES!S635</f>
        <v>32</v>
      </c>
      <c r="Y635">
        <f t="shared" si="59"/>
        <v>0</v>
      </c>
      <c r="Z635" t="str">
        <f>RAW_GAMES!V635</f>
        <v>RS</v>
      </c>
    </row>
    <row r="636" spans="1:26" x14ac:dyDescent="0.25">
      <c r="A636" t="str">
        <f>RAW_GAMES!A636</f>
        <v>25/26</v>
      </c>
      <c r="B636" s="3">
        <f>RAW_GAMES!B636</f>
        <v>46049</v>
      </c>
      <c r="C636" s="3" t="str">
        <f>RAW_GAMES!E636</f>
        <v>MBL</v>
      </c>
      <c r="D636" s="3" t="str">
        <f>RAW_GAMES!F636</f>
        <v>LIT</v>
      </c>
      <c r="E636" s="7">
        <f>RAW_GAMES!G636</f>
        <v>1</v>
      </c>
      <c r="F636">
        <f>RAW_GAMES!H636</f>
        <v>1</v>
      </c>
      <c r="G636">
        <f>RAW_GAMES!I636</f>
        <v>0</v>
      </c>
      <c r="H636">
        <f t="shared" si="54"/>
        <v>1</v>
      </c>
      <c r="I636">
        <f>RAW_GAMES!J636</f>
        <v>33</v>
      </c>
      <c r="J636">
        <f>RAW_GAMES!K636</f>
        <v>20</v>
      </c>
      <c r="K636">
        <f t="shared" si="55"/>
        <v>13</v>
      </c>
      <c r="L636" t="str">
        <f>IF(RAW_GAMES!L636="","",RAW_GAMES!L636)</f>
        <v/>
      </c>
      <c r="M636" t="str">
        <f>IF(RAW_GAMES!M636="","",RAW_GAMES!M636)</f>
        <v/>
      </c>
      <c r="N636" t="str">
        <f t="shared" si="56"/>
        <v/>
      </c>
      <c r="O636" s="7">
        <f>RAW_GAMES!O636</f>
        <v>3</v>
      </c>
      <c r="P636">
        <f>RAW_GAMES!N636</f>
        <v>0</v>
      </c>
      <c r="Q636">
        <f t="shared" si="57"/>
        <v>0</v>
      </c>
      <c r="R636" s="7">
        <f>RAW_GAMES!Q636</f>
        <v>2</v>
      </c>
      <c r="S636">
        <f>RAW_GAMES!P636</f>
        <v>0</v>
      </c>
      <c r="T636">
        <f t="shared" si="58"/>
        <v>1</v>
      </c>
      <c r="U636">
        <f>_xlfn.XLOOKUP(C636,
  CALC_TEAMS_SEASON!B:B,
  CALC_TEAMS_SEASON!F:F)</f>
        <v>0.11826923076923078</v>
      </c>
      <c r="V636">
        <f>_xlfn.XLOOKUP(D636,
  CALC_TEAMS_SEASON!B:B,
  CALC_TEAMS_SEASON!F:F)</f>
        <v>0.10089285714285713</v>
      </c>
      <c r="W636" t="str">
        <f>RAW_GAMES!R636</f>
        <v>Furch</v>
      </c>
      <c r="X636" s="7">
        <f>RAW_GAMES!S636</f>
        <v>20</v>
      </c>
      <c r="Y636">
        <f t="shared" si="59"/>
        <v>1</v>
      </c>
      <c r="Z636" t="str">
        <f>RAW_GAMES!V636</f>
        <v>RS</v>
      </c>
    </row>
    <row r="637" spans="1:26" x14ac:dyDescent="0.25">
      <c r="A637" t="str">
        <f>RAW_GAMES!A637</f>
        <v>25/26</v>
      </c>
      <c r="B637" s="3">
        <f>RAW_GAMES!B637</f>
        <v>46049</v>
      </c>
      <c r="C637" s="3" t="str">
        <f>RAW_GAMES!E637</f>
        <v>MHK</v>
      </c>
      <c r="D637" s="3" t="str">
        <f>RAW_GAMES!F637</f>
        <v>TRI</v>
      </c>
      <c r="E637" s="7">
        <f>RAW_GAMES!G637</f>
        <v>1</v>
      </c>
      <c r="F637">
        <f>RAW_GAMES!H637</f>
        <v>3</v>
      </c>
      <c r="G637">
        <f>RAW_GAMES!I637</f>
        <v>0</v>
      </c>
      <c r="H637">
        <f t="shared" si="54"/>
        <v>3</v>
      </c>
      <c r="I637">
        <f>RAW_GAMES!J637</f>
        <v>22</v>
      </c>
      <c r="J637">
        <f>RAW_GAMES!K637</f>
        <v>22</v>
      </c>
      <c r="K637">
        <f t="shared" si="55"/>
        <v>0</v>
      </c>
      <c r="L637">
        <f>IF(RAW_GAMES!L637="","",RAW_GAMES!L637)</f>
        <v>2.68</v>
      </c>
      <c r="M637">
        <f>IF(RAW_GAMES!M637="","",RAW_GAMES!M637)</f>
        <v>3.67</v>
      </c>
      <c r="N637">
        <f t="shared" si="56"/>
        <v>-0.98999999999999977</v>
      </c>
      <c r="O637" s="7">
        <f>RAW_GAMES!O637</f>
        <v>2</v>
      </c>
      <c r="P637">
        <f>RAW_GAMES!N637</f>
        <v>0</v>
      </c>
      <c r="Q637">
        <f t="shared" si="57"/>
        <v>0</v>
      </c>
      <c r="R637" s="7">
        <f>RAW_GAMES!Q637</f>
        <v>3</v>
      </c>
      <c r="S637">
        <f>RAW_GAMES!P637</f>
        <v>0</v>
      </c>
      <c r="T637">
        <f t="shared" si="58"/>
        <v>1</v>
      </c>
      <c r="U637">
        <f>_xlfn.XLOOKUP(C637,
  CALC_TEAMS_SEASON!B:B,
  CALC_TEAMS_SEASON!F:F)</f>
        <v>0.14184981684981687</v>
      </c>
      <c r="V637">
        <f>_xlfn.XLOOKUP(D637,
  CALC_TEAMS_SEASON!B:B,
  CALC_TEAMS_SEASON!F:F)</f>
        <v>0.17437423687423692</v>
      </c>
      <c r="W637" t="str">
        <f>RAW_GAMES!R637</f>
        <v>Škorvánek</v>
      </c>
      <c r="X637" s="7">
        <f>RAW_GAMES!S637</f>
        <v>21</v>
      </c>
      <c r="Y637">
        <f t="shared" si="59"/>
        <v>1</v>
      </c>
      <c r="Z637" t="str">
        <f>RAW_GAMES!V637</f>
        <v>RS</v>
      </c>
    </row>
    <row r="638" spans="1:26" x14ac:dyDescent="0.25">
      <c r="A638" t="str">
        <f>RAW_GAMES!A638</f>
        <v>25/26</v>
      </c>
      <c r="B638" s="3">
        <f>RAW_GAMES!B638</f>
        <v>46049</v>
      </c>
      <c r="C638" s="3" t="str">
        <f>RAW_GAMES!E638</f>
        <v>PLZ</v>
      </c>
      <c r="D638" s="3" t="str">
        <f>RAW_GAMES!F638</f>
        <v>KOM</v>
      </c>
      <c r="E638" s="7">
        <f>RAW_GAMES!G638</f>
        <v>1</v>
      </c>
      <c r="F638">
        <f>RAW_GAMES!H638</f>
        <v>4</v>
      </c>
      <c r="G638">
        <f>RAW_GAMES!I638</f>
        <v>0</v>
      </c>
      <c r="H638">
        <f t="shared" si="54"/>
        <v>4</v>
      </c>
      <c r="I638">
        <f>RAW_GAMES!J638</f>
        <v>26</v>
      </c>
      <c r="J638">
        <f>RAW_GAMES!K638</f>
        <v>19</v>
      </c>
      <c r="K638">
        <f t="shared" si="55"/>
        <v>7</v>
      </c>
      <c r="L638">
        <f>IF(RAW_GAMES!L638="","",RAW_GAMES!L638)</f>
        <v>2.66</v>
      </c>
      <c r="M638">
        <f>IF(RAW_GAMES!M638="","",RAW_GAMES!M638)</f>
        <v>2</v>
      </c>
      <c r="N638">
        <f t="shared" si="56"/>
        <v>0.66000000000000014</v>
      </c>
      <c r="O638" s="7">
        <f>RAW_GAMES!O638</f>
        <v>10</v>
      </c>
      <c r="P638">
        <f>RAW_GAMES!N638</f>
        <v>2</v>
      </c>
      <c r="Q638">
        <f t="shared" si="57"/>
        <v>0.2</v>
      </c>
      <c r="R638" s="7">
        <f>RAW_GAMES!Q638</f>
        <v>7</v>
      </c>
      <c r="S638">
        <f>RAW_GAMES!P638</f>
        <v>0</v>
      </c>
      <c r="T638">
        <f t="shared" si="58"/>
        <v>1</v>
      </c>
      <c r="U638">
        <f>_xlfn.XLOOKUP(C638,
  CALC_TEAMS_SEASON!B:B,
  CALC_TEAMS_SEASON!F:F)</f>
        <v>0.17641178266178262</v>
      </c>
      <c r="V638">
        <f>_xlfn.XLOOKUP(D638,
  CALC_TEAMS_SEASON!B:B,
  CALC_TEAMS_SEASON!F:F)</f>
        <v>0.14358974358974358</v>
      </c>
      <c r="W638" t="str">
        <f>RAW_GAMES!R638</f>
        <v>Malík</v>
      </c>
      <c r="X638" s="7">
        <f>RAW_GAMES!S638</f>
        <v>19</v>
      </c>
      <c r="Y638">
        <f t="shared" si="59"/>
        <v>1</v>
      </c>
      <c r="Z638" t="str">
        <f>RAW_GAMES!V638</f>
        <v>RS</v>
      </c>
    </row>
    <row r="639" spans="1:26" x14ac:dyDescent="0.25">
      <c r="A639" t="str">
        <f>RAW_GAMES!A639</f>
        <v>25/26</v>
      </c>
      <c r="B639" s="3">
        <f>RAW_GAMES!B639</f>
        <v>46049</v>
      </c>
      <c r="C639" s="3" t="str">
        <f>RAW_GAMES!E639</f>
        <v>VIT</v>
      </c>
      <c r="D639" s="3" t="str">
        <f>RAW_GAMES!F639</f>
        <v>LIB</v>
      </c>
      <c r="E639" s="7">
        <f>RAW_GAMES!G639</f>
        <v>0</v>
      </c>
      <c r="F639">
        <f>RAW_GAMES!H639</f>
        <v>2</v>
      </c>
      <c r="G639">
        <f>RAW_GAMES!I639</f>
        <v>6</v>
      </c>
      <c r="H639">
        <f t="shared" si="54"/>
        <v>-4</v>
      </c>
      <c r="I639">
        <f>RAW_GAMES!J639</f>
        <v>32</v>
      </c>
      <c r="J639">
        <f>RAW_GAMES!K639</f>
        <v>38</v>
      </c>
      <c r="K639">
        <f t="shared" si="55"/>
        <v>-6</v>
      </c>
      <c r="L639" t="str">
        <f>IF(RAW_GAMES!L639="","",RAW_GAMES!L639)</f>
        <v/>
      </c>
      <c r="M639" t="str">
        <f>IF(RAW_GAMES!M639="","",RAW_GAMES!M639)</f>
        <v/>
      </c>
      <c r="N639" t="str">
        <f t="shared" si="56"/>
        <v/>
      </c>
      <c r="O639" s="7">
        <f>RAW_GAMES!O639</f>
        <v>3</v>
      </c>
      <c r="P639">
        <f>RAW_GAMES!N639</f>
        <v>1</v>
      </c>
      <c r="Q639">
        <f t="shared" si="57"/>
        <v>0.33333333333333331</v>
      </c>
      <c r="R639" s="7">
        <f>RAW_GAMES!Q639</f>
        <v>4</v>
      </c>
      <c r="S639">
        <f>RAW_GAMES!P639</f>
        <v>3</v>
      </c>
      <c r="T639">
        <f t="shared" si="58"/>
        <v>0.25</v>
      </c>
      <c r="U639">
        <f>_xlfn.XLOOKUP(C639,
  CALC_TEAMS_SEASON!B:B,
  CALC_TEAMS_SEASON!F:F)</f>
        <v>0.16984890109890113</v>
      </c>
      <c r="V639">
        <f>_xlfn.XLOOKUP(D639,
  CALC_TEAMS_SEASON!B:B,
  CALC_TEAMS_SEASON!F:F)</f>
        <v>0.14377289377289379</v>
      </c>
      <c r="W639" t="str">
        <f>RAW_GAMES!R639</f>
        <v>Hrachovina</v>
      </c>
      <c r="X639" s="7">
        <f>RAW_GAMES!S639</f>
        <v>32</v>
      </c>
      <c r="Y639">
        <f t="shared" si="59"/>
        <v>0</v>
      </c>
      <c r="Z639" t="str">
        <f>RAW_GAMES!V639</f>
        <v>RS</v>
      </c>
    </row>
    <row r="640" spans="1:26" x14ac:dyDescent="0.25">
      <c r="A640" t="str">
        <f>RAW_GAMES!A640</f>
        <v>25/26</v>
      </c>
      <c r="B640" s="3">
        <f>RAW_GAMES!B640</f>
        <v>46051</v>
      </c>
      <c r="C640" s="3" t="str">
        <f>RAW_GAMES!E640</f>
        <v>PCE</v>
      </c>
      <c r="D640" s="3" t="str">
        <f>RAW_GAMES!F640</f>
        <v>TRI</v>
      </c>
      <c r="E640" s="7">
        <f>RAW_GAMES!G640</f>
        <v>0</v>
      </c>
      <c r="F640">
        <f>RAW_GAMES!H640</f>
        <v>2</v>
      </c>
      <c r="G640">
        <f>RAW_GAMES!I640</f>
        <v>3</v>
      </c>
      <c r="H640">
        <f t="shared" si="54"/>
        <v>-1</v>
      </c>
      <c r="I640">
        <f>RAW_GAMES!J640</f>
        <v>31</v>
      </c>
      <c r="J640">
        <f>RAW_GAMES!K640</f>
        <v>32</v>
      </c>
      <c r="K640">
        <f t="shared" si="55"/>
        <v>-1</v>
      </c>
      <c r="L640">
        <f>IF(RAW_GAMES!L640="","",RAW_GAMES!L640)</f>
        <v>2.41</v>
      </c>
      <c r="M640">
        <f>IF(RAW_GAMES!M640="","",RAW_GAMES!M640)</f>
        <v>4.6100000000000003</v>
      </c>
      <c r="N640">
        <f t="shared" si="56"/>
        <v>-2.2000000000000002</v>
      </c>
      <c r="O640" s="7">
        <f>RAW_GAMES!O640</f>
        <v>6</v>
      </c>
      <c r="P640">
        <f>RAW_GAMES!N640</f>
        <v>1</v>
      </c>
      <c r="Q640">
        <f t="shared" si="57"/>
        <v>0.16666666666666666</v>
      </c>
      <c r="R640" s="7">
        <f>RAW_GAMES!Q640</f>
        <v>6</v>
      </c>
      <c r="S640">
        <f>RAW_GAMES!P640</f>
        <v>1</v>
      </c>
      <c r="T640">
        <f t="shared" si="58"/>
        <v>0.83333333333333337</v>
      </c>
      <c r="U640">
        <f>_xlfn.XLOOKUP(C640,
  CALC_TEAMS_SEASON!B:B,
  CALC_TEAMS_SEASON!F:F)</f>
        <v>0.20297619047619053</v>
      </c>
      <c r="V640">
        <f>_xlfn.XLOOKUP(D640,
  CALC_TEAMS_SEASON!B:B,
  CALC_TEAMS_SEASON!F:F)</f>
        <v>0.17437423687423692</v>
      </c>
      <c r="W640" t="str">
        <f>RAW_GAMES!R640</f>
        <v>Subban</v>
      </c>
      <c r="X640" s="7">
        <f>RAW_GAMES!S640</f>
        <v>29</v>
      </c>
      <c r="Y640">
        <f t="shared" si="59"/>
        <v>0</v>
      </c>
      <c r="Z640" t="str">
        <f>RAW_GAMES!V640</f>
        <v>RS</v>
      </c>
    </row>
    <row r="641" spans="1:26" x14ac:dyDescent="0.25">
      <c r="A641" t="str">
        <f>RAW_GAMES!A641</f>
        <v>25/26</v>
      </c>
      <c r="B641" s="3">
        <f>RAW_GAMES!B641</f>
        <v>46051</v>
      </c>
      <c r="C641" s="3" t="str">
        <f>RAW_GAMES!E641</f>
        <v>TRI</v>
      </c>
      <c r="D641" s="3" t="str">
        <f>RAW_GAMES!F641</f>
        <v>PCE</v>
      </c>
      <c r="E641" s="7">
        <f>RAW_GAMES!G641</f>
        <v>1</v>
      </c>
      <c r="F641">
        <f>RAW_GAMES!H641</f>
        <v>3</v>
      </c>
      <c r="G641">
        <f>RAW_GAMES!I641</f>
        <v>2</v>
      </c>
      <c r="H641">
        <f t="shared" si="54"/>
        <v>1</v>
      </c>
      <c r="I641">
        <f>RAW_GAMES!J641</f>
        <v>32</v>
      </c>
      <c r="J641">
        <f>RAW_GAMES!K641</f>
        <v>31</v>
      </c>
      <c r="K641">
        <f t="shared" si="55"/>
        <v>1</v>
      </c>
      <c r="L641">
        <f>IF(RAW_GAMES!L641="","",RAW_GAMES!L641)</f>
        <v>4.6100000000000003</v>
      </c>
      <c r="M641">
        <f>IF(RAW_GAMES!M641="","",RAW_GAMES!M641)</f>
        <v>2.41</v>
      </c>
      <c r="N641">
        <f t="shared" si="56"/>
        <v>2.2000000000000002</v>
      </c>
      <c r="O641" s="7">
        <f>RAW_GAMES!O641</f>
        <v>6</v>
      </c>
      <c r="P641">
        <f>RAW_GAMES!N641</f>
        <v>1</v>
      </c>
      <c r="Q641">
        <f t="shared" si="57"/>
        <v>0.16666666666666666</v>
      </c>
      <c r="R641" s="7">
        <f>RAW_GAMES!Q641</f>
        <v>6</v>
      </c>
      <c r="S641">
        <f>RAW_GAMES!P641</f>
        <v>1</v>
      </c>
      <c r="T641">
        <f t="shared" si="58"/>
        <v>0.83333333333333337</v>
      </c>
      <c r="U641">
        <f>_xlfn.XLOOKUP(C641,
  CALC_TEAMS_SEASON!B:B,
  CALC_TEAMS_SEASON!F:F)</f>
        <v>0.17437423687423692</v>
      </c>
      <c r="V641">
        <f>_xlfn.XLOOKUP(D641,
  CALC_TEAMS_SEASON!B:B,
  CALC_TEAMS_SEASON!F:F)</f>
        <v>0.20297619047619053</v>
      </c>
      <c r="W641" t="str">
        <f>RAW_GAMES!R641</f>
        <v>Mazanec</v>
      </c>
      <c r="X641" s="7">
        <f>RAW_GAMES!S641</f>
        <v>29</v>
      </c>
      <c r="Y641">
        <f t="shared" si="59"/>
        <v>1</v>
      </c>
      <c r="Z641" t="str">
        <f>RAW_GAMES!V641</f>
        <v>RS</v>
      </c>
    </row>
    <row r="642" spans="1:26" x14ac:dyDescent="0.25">
      <c r="A642" t="str">
        <f>RAW_GAMES!A642</f>
        <v>25/26</v>
      </c>
      <c r="B642" s="3">
        <f>RAW_GAMES!B642</f>
        <v>46051</v>
      </c>
      <c r="C642" s="3" t="str">
        <f>RAW_GAMES!E642</f>
        <v>SPA</v>
      </c>
      <c r="D642" s="3" t="str">
        <f>RAW_GAMES!F642</f>
        <v>MBL</v>
      </c>
      <c r="E642" s="7">
        <f>RAW_GAMES!G642</f>
        <v>1</v>
      </c>
      <c r="F642">
        <f>RAW_GAMES!H642</f>
        <v>4</v>
      </c>
      <c r="G642">
        <f>RAW_GAMES!I642</f>
        <v>1</v>
      </c>
      <c r="H642">
        <f t="shared" si="54"/>
        <v>3</v>
      </c>
      <c r="I642">
        <f>RAW_GAMES!J642</f>
        <v>34</v>
      </c>
      <c r="J642">
        <f>RAW_GAMES!K642</f>
        <v>29</v>
      </c>
      <c r="K642">
        <f t="shared" si="55"/>
        <v>5</v>
      </c>
      <c r="L642">
        <f>IF(RAW_GAMES!L642="","",RAW_GAMES!L642)</f>
        <v>2.68</v>
      </c>
      <c r="M642">
        <f>IF(RAW_GAMES!M642="","",RAW_GAMES!M642)</f>
        <v>1.83</v>
      </c>
      <c r="N642">
        <f t="shared" si="56"/>
        <v>0.85000000000000009</v>
      </c>
      <c r="O642" s="7">
        <f>RAW_GAMES!O642</f>
        <v>3</v>
      </c>
      <c r="P642">
        <f>RAW_GAMES!N642</f>
        <v>2</v>
      </c>
      <c r="Q642">
        <f t="shared" si="57"/>
        <v>0.66666666666666663</v>
      </c>
      <c r="R642" s="7">
        <f>RAW_GAMES!Q642</f>
        <v>4</v>
      </c>
      <c r="S642">
        <f>RAW_GAMES!P642</f>
        <v>1</v>
      </c>
      <c r="T642">
        <f t="shared" si="58"/>
        <v>0.75</v>
      </c>
      <c r="U642">
        <f>_xlfn.XLOOKUP(C642,
  CALC_TEAMS_SEASON!B:B,
  CALC_TEAMS_SEASON!F:F)</f>
        <v>0.22060439560439565</v>
      </c>
      <c r="V642">
        <f>_xlfn.XLOOKUP(D642,
  CALC_TEAMS_SEASON!B:B,
  CALC_TEAMS_SEASON!F:F)</f>
        <v>0.11826923076923078</v>
      </c>
      <c r="W642" t="str">
        <f>RAW_GAMES!R642</f>
        <v>Kovář</v>
      </c>
      <c r="X642" s="7">
        <f>RAW_GAMES!S642</f>
        <v>28</v>
      </c>
      <c r="Y642">
        <f t="shared" si="59"/>
        <v>1</v>
      </c>
      <c r="Z642" t="str">
        <f>RAW_GAMES!V642</f>
        <v>RS</v>
      </c>
    </row>
    <row r="643" spans="1:26" x14ac:dyDescent="0.25">
      <c r="A643" t="str">
        <f>RAW_GAMES!A643</f>
        <v>25/26</v>
      </c>
      <c r="B643" s="3">
        <f>RAW_GAMES!B643</f>
        <v>46051</v>
      </c>
      <c r="C643" s="3" t="str">
        <f>RAW_GAMES!E643</f>
        <v>KLA</v>
      </c>
      <c r="D643" s="3" t="str">
        <f>RAW_GAMES!F643</f>
        <v>PLZ</v>
      </c>
      <c r="E643" s="7">
        <f>RAW_GAMES!G643</f>
        <v>1</v>
      </c>
      <c r="F643">
        <f>RAW_GAMES!H643</f>
        <v>4</v>
      </c>
      <c r="G643">
        <f>RAW_GAMES!I643</f>
        <v>1</v>
      </c>
      <c r="H643">
        <f t="shared" ref="H643:H706" si="60">F643-G643</f>
        <v>3</v>
      </c>
      <c r="I643">
        <f>RAW_GAMES!J643</f>
        <v>26</v>
      </c>
      <c r="J643">
        <f>RAW_GAMES!K643</f>
        <v>23</v>
      </c>
      <c r="K643">
        <f t="shared" ref="K643:K706" si="61">I643-J643</f>
        <v>3</v>
      </c>
      <c r="L643" t="str">
        <f>IF(RAW_GAMES!L643="","",RAW_GAMES!L643)</f>
        <v/>
      </c>
      <c r="M643" t="str">
        <f>IF(RAW_GAMES!M643="","",RAW_GAMES!M643)</f>
        <v/>
      </c>
      <c r="N643" t="str">
        <f t="shared" ref="N643:N706" si="62">IF(L643="","",L643-M643)</f>
        <v/>
      </c>
      <c r="O643" s="7">
        <f>RAW_GAMES!O643</f>
        <v>0</v>
      </c>
      <c r="P643">
        <f>RAW_GAMES!N643</f>
        <v>0</v>
      </c>
      <c r="Q643">
        <f t="shared" ref="Q643:Q706" si="63">IF(O643&gt;0,P643/O643,0)</f>
        <v>0</v>
      </c>
      <c r="R643" s="7">
        <f>RAW_GAMES!Q643</f>
        <v>1</v>
      </c>
      <c r="S643">
        <f>RAW_GAMES!P643</f>
        <v>0</v>
      </c>
      <c r="T643">
        <f t="shared" ref="T643:T706" si="64">IF(R643&gt;0, 1-(S643/R643),1)</f>
        <v>1</v>
      </c>
      <c r="U643">
        <f>_xlfn.XLOOKUP(C643,
  CALC_TEAMS_SEASON!B:B,
  CALC_TEAMS_SEASON!F:F)</f>
        <v>0.13120421245421243</v>
      </c>
      <c r="V643">
        <f>_xlfn.XLOOKUP(D643,
  CALC_TEAMS_SEASON!B:B,
  CALC_TEAMS_SEASON!F:F)</f>
        <v>0.17641178266178262</v>
      </c>
      <c r="W643" t="str">
        <f>RAW_GAMES!R643</f>
        <v>Brízgala</v>
      </c>
      <c r="X643" s="7">
        <f>RAW_GAMES!S643</f>
        <v>22</v>
      </c>
      <c r="Y643">
        <f t="shared" ref="Y643:Y706" si="65">IF(F643&gt;G643,1,0)</f>
        <v>1</v>
      </c>
      <c r="Z643" t="str">
        <f>RAW_GAMES!V643</f>
        <v>RS</v>
      </c>
    </row>
    <row r="644" spans="1:26" x14ac:dyDescent="0.25">
      <c r="A644" t="str">
        <f>RAW_GAMES!A644</f>
        <v>25/26</v>
      </c>
      <c r="B644" s="3">
        <f>RAW_GAMES!B644</f>
        <v>46051</v>
      </c>
      <c r="C644" s="3" t="str">
        <f>RAW_GAMES!E644</f>
        <v>KVA</v>
      </c>
      <c r="D644" s="3" t="str">
        <f>RAW_GAMES!F644</f>
        <v>LIB</v>
      </c>
      <c r="E644" s="7">
        <f>RAW_GAMES!G644</f>
        <v>1</v>
      </c>
      <c r="F644">
        <f>RAW_GAMES!H644</f>
        <v>3</v>
      </c>
      <c r="G644">
        <f>RAW_GAMES!I644</f>
        <v>2</v>
      </c>
      <c r="H644">
        <f t="shared" si="60"/>
        <v>1</v>
      </c>
      <c r="I644">
        <f>RAW_GAMES!J644</f>
        <v>35</v>
      </c>
      <c r="J644">
        <f>RAW_GAMES!K644</f>
        <v>34</v>
      </c>
      <c r="K644">
        <f t="shared" si="61"/>
        <v>1</v>
      </c>
      <c r="L644" t="str">
        <f>IF(RAW_GAMES!L644="","",RAW_GAMES!L644)</f>
        <v/>
      </c>
      <c r="M644" t="str">
        <f>IF(RAW_GAMES!M644="","",RAW_GAMES!M644)</f>
        <v/>
      </c>
      <c r="N644" t="str">
        <f t="shared" si="62"/>
        <v/>
      </c>
      <c r="O644" s="7">
        <f>RAW_GAMES!O644</f>
        <v>4</v>
      </c>
      <c r="P644">
        <f>RAW_GAMES!N644</f>
        <v>1</v>
      </c>
      <c r="Q644">
        <f t="shared" si="63"/>
        <v>0.25</v>
      </c>
      <c r="R644" s="7">
        <f>RAW_GAMES!Q644</f>
        <v>5</v>
      </c>
      <c r="S644">
        <f>RAW_GAMES!P644</f>
        <v>1</v>
      </c>
      <c r="T644">
        <f t="shared" si="64"/>
        <v>0.8</v>
      </c>
      <c r="U644">
        <f>_xlfn.XLOOKUP(C644,
  CALC_TEAMS_SEASON!B:B,
  CALC_TEAMS_SEASON!F:F)</f>
        <v>0.17387057387057389</v>
      </c>
      <c r="V644">
        <f>_xlfn.XLOOKUP(D644,
  CALC_TEAMS_SEASON!B:B,
  CALC_TEAMS_SEASON!F:F)</f>
        <v>0.14377289377289379</v>
      </c>
      <c r="W644" t="str">
        <f>RAW_GAMES!R644</f>
        <v>Frodl</v>
      </c>
      <c r="X644" s="7">
        <f>RAW_GAMES!S644</f>
        <v>32</v>
      </c>
      <c r="Y644">
        <f t="shared" si="65"/>
        <v>1</v>
      </c>
      <c r="Z644" t="str">
        <f>RAW_GAMES!V644</f>
        <v>RS</v>
      </c>
    </row>
    <row r="645" spans="1:26" x14ac:dyDescent="0.25">
      <c r="A645" t="str">
        <f>RAW_GAMES!A645</f>
        <v>25/26</v>
      </c>
      <c r="B645" s="3">
        <f>RAW_GAMES!B645</f>
        <v>46051</v>
      </c>
      <c r="C645" s="3" t="str">
        <f>RAW_GAMES!E645</f>
        <v>LIB</v>
      </c>
      <c r="D645" s="3" t="str">
        <f>RAW_GAMES!F645</f>
        <v>KVA</v>
      </c>
      <c r="E645" s="7">
        <f>RAW_GAMES!G645</f>
        <v>0</v>
      </c>
      <c r="F645">
        <f>RAW_GAMES!H645</f>
        <v>2</v>
      </c>
      <c r="G645">
        <f>RAW_GAMES!I645</f>
        <v>3</v>
      </c>
      <c r="H645">
        <f t="shared" si="60"/>
        <v>-1</v>
      </c>
      <c r="I645">
        <f>RAW_GAMES!J645</f>
        <v>34</v>
      </c>
      <c r="J645">
        <f>RAW_GAMES!K645</f>
        <v>35</v>
      </c>
      <c r="K645">
        <f t="shared" si="61"/>
        <v>-1</v>
      </c>
      <c r="L645" t="str">
        <f>IF(RAW_GAMES!L645="","",RAW_GAMES!L645)</f>
        <v/>
      </c>
      <c r="M645" t="str">
        <f>IF(RAW_GAMES!M645="","",RAW_GAMES!M645)</f>
        <v/>
      </c>
      <c r="N645" t="str">
        <f t="shared" si="62"/>
        <v/>
      </c>
      <c r="O645" s="7">
        <f>RAW_GAMES!O645</f>
        <v>5</v>
      </c>
      <c r="P645">
        <f>RAW_GAMES!N645</f>
        <v>1</v>
      </c>
      <c r="Q645">
        <f t="shared" si="63"/>
        <v>0.2</v>
      </c>
      <c r="R645" s="7">
        <f>RAW_GAMES!Q645</f>
        <v>4</v>
      </c>
      <c r="S645">
        <f>RAW_GAMES!P645</f>
        <v>1</v>
      </c>
      <c r="T645">
        <f t="shared" si="64"/>
        <v>0.75</v>
      </c>
      <c r="U645">
        <f>_xlfn.XLOOKUP(C645,
  CALC_TEAMS_SEASON!B:B,
  CALC_TEAMS_SEASON!F:F)</f>
        <v>0.14377289377289379</v>
      </c>
      <c r="V645">
        <f>_xlfn.XLOOKUP(D645,
  CALC_TEAMS_SEASON!B:B,
  CALC_TEAMS_SEASON!F:F)</f>
        <v>0.17387057387057389</v>
      </c>
      <c r="W645" t="str">
        <f>RAW_GAMES!R645</f>
        <v>Kváča</v>
      </c>
      <c r="X645" s="7">
        <f>RAW_GAMES!S645</f>
        <v>33</v>
      </c>
      <c r="Y645">
        <f t="shared" si="65"/>
        <v>0</v>
      </c>
      <c r="Z645" t="str">
        <f>RAW_GAMES!V645</f>
        <v>RS</v>
      </c>
    </row>
    <row r="646" spans="1:26" x14ac:dyDescent="0.25">
      <c r="A646" t="str">
        <f>RAW_GAMES!A646</f>
        <v>25/26</v>
      </c>
      <c r="B646" s="3">
        <f>RAW_GAMES!B646</f>
        <v>46051</v>
      </c>
      <c r="C646" s="3" t="str">
        <f>RAW_GAMES!E646</f>
        <v>LIT</v>
      </c>
      <c r="D646" s="3" t="str">
        <f>RAW_GAMES!F646</f>
        <v>MHK</v>
      </c>
      <c r="E646" s="7">
        <f>RAW_GAMES!G646</f>
        <v>1</v>
      </c>
      <c r="F646">
        <f>RAW_GAMES!H646</f>
        <v>3</v>
      </c>
      <c r="G646">
        <f>RAW_GAMES!I646</f>
        <v>6</v>
      </c>
      <c r="H646">
        <f t="shared" si="60"/>
        <v>-3</v>
      </c>
      <c r="I646">
        <f>RAW_GAMES!J646</f>
        <v>33</v>
      </c>
      <c r="J646">
        <f>RAW_GAMES!K646</f>
        <v>31</v>
      </c>
      <c r="K646">
        <f t="shared" si="61"/>
        <v>2</v>
      </c>
      <c r="L646" t="str">
        <f>IF(RAW_GAMES!L646="","",RAW_GAMES!L646)</f>
        <v/>
      </c>
      <c r="M646" t="str">
        <f>IF(RAW_GAMES!M646="","",RAW_GAMES!M646)</f>
        <v/>
      </c>
      <c r="N646" t="str">
        <f t="shared" si="62"/>
        <v/>
      </c>
      <c r="O646" s="7">
        <f>RAW_GAMES!O646</f>
        <v>4</v>
      </c>
      <c r="P646">
        <f>RAW_GAMES!N646</f>
        <v>1</v>
      </c>
      <c r="Q646">
        <f t="shared" si="63"/>
        <v>0.25</v>
      </c>
      <c r="R646" s="7">
        <f>RAW_GAMES!Q646</f>
        <v>1</v>
      </c>
      <c r="S646">
        <f>RAW_GAMES!P646</f>
        <v>1</v>
      </c>
      <c r="T646">
        <f t="shared" si="64"/>
        <v>0</v>
      </c>
      <c r="U646">
        <f>_xlfn.XLOOKUP(C646,
  CALC_TEAMS_SEASON!B:B,
  CALC_TEAMS_SEASON!F:F)</f>
        <v>0.10089285714285713</v>
      </c>
      <c r="V646">
        <f>_xlfn.XLOOKUP(D646,
  CALC_TEAMS_SEASON!B:B,
  CALC_TEAMS_SEASON!F:F)</f>
        <v>0.14184981684981687</v>
      </c>
      <c r="W646" t="str">
        <f>RAW_GAMES!R646</f>
        <v>Kubík</v>
      </c>
      <c r="X646" s="7">
        <f>RAW_GAMES!S646</f>
        <v>25</v>
      </c>
      <c r="Y646">
        <f t="shared" si="65"/>
        <v>0</v>
      </c>
      <c r="Z646" t="str">
        <f>RAW_GAMES!V646</f>
        <v>RS</v>
      </c>
    </row>
    <row r="647" spans="1:26" x14ac:dyDescent="0.25">
      <c r="A647" t="str">
        <f>RAW_GAMES!A647</f>
        <v>25/26</v>
      </c>
      <c r="B647" s="3">
        <f>RAW_GAMES!B647</f>
        <v>46051</v>
      </c>
      <c r="C647" s="3" t="str">
        <f>RAW_GAMES!E647</f>
        <v>MBL</v>
      </c>
      <c r="D647" s="3" t="str">
        <f>RAW_GAMES!F647</f>
        <v>SPA</v>
      </c>
      <c r="E647" s="7">
        <f>RAW_GAMES!G647</f>
        <v>0</v>
      </c>
      <c r="F647">
        <f>RAW_GAMES!H647</f>
        <v>1</v>
      </c>
      <c r="G647">
        <f>RAW_GAMES!I647</f>
        <v>4</v>
      </c>
      <c r="H647">
        <f t="shared" si="60"/>
        <v>-3</v>
      </c>
      <c r="I647">
        <f>RAW_GAMES!J647</f>
        <v>29</v>
      </c>
      <c r="J647">
        <f>RAW_GAMES!K647</f>
        <v>34</v>
      </c>
      <c r="K647">
        <f t="shared" si="61"/>
        <v>-5</v>
      </c>
      <c r="L647">
        <f>IF(RAW_GAMES!L647="","",RAW_GAMES!L647)</f>
        <v>1.83</v>
      </c>
      <c r="M647">
        <f>IF(RAW_GAMES!M647="","",RAW_GAMES!M647)</f>
        <v>2.68</v>
      </c>
      <c r="N647">
        <f t="shared" si="62"/>
        <v>-0.85000000000000009</v>
      </c>
      <c r="O647" s="7">
        <f>RAW_GAMES!O647</f>
        <v>4</v>
      </c>
      <c r="P647">
        <f>RAW_GAMES!N647</f>
        <v>1</v>
      </c>
      <c r="Q647">
        <f t="shared" si="63"/>
        <v>0.25</v>
      </c>
      <c r="R647" s="7">
        <f>RAW_GAMES!Q647</f>
        <v>3</v>
      </c>
      <c r="S647">
        <f>RAW_GAMES!P647</f>
        <v>2</v>
      </c>
      <c r="T647">
        <f t="shared" si="64"/>
        <v>0.33333333333333337</v>
      </c>
      <c r="U647">
        <f>_xlfn.XLOOKUP(C647,
  CALC_TEAMS_SEASON!B:B,
  CALC_TEAMS_SEASON!F:F)</f>
        <v>0.11826923076923078</v>
      </c>
      <c r="V647">
        <f>_xlfn.XLOOKUP(D647,
  CALC_TEAMS_SEASON!B:B,
  CALC_TEAMS_SEASON!F:F)</f>
        <v>0.22060439560439565</v>
      </c>
      <c r="W647" t="str">
        <f>RAW_GAMES!R647</f>
        <v>Mokry</v>
      </c>
      <c r="X647" s="7">
        <f>RAW_GAMES!S647</f>
        <v>30</v>
      </c>
      <c r="Y647">
        <f t="shared" si="65"/>
        <v>0</v>
      </c>
      <c r="Z647" t="str">
        <f>RAW_GAMES!V647</f>
        <v>RS</v>
      </c>
    </row>
    <row r="648" spans="1:26" x14ac:dyDescent="0.25">
      <c r="A648" t="str">
        <f>RAW_GAMES!A648</f>
        <v>25/26</v>
      </c>
      <c r="B648" s="3">
        <f>RAW_GAMES!B648</f>
        <v>46051</v>
      </c>
      <c r="C648" s="3" t="str">
        <f>RAW_GAMES!E648</f>
        <v>MHK</v>
      </c>
      <c r="D648" s="3" t="str">
        <f>RAW_GAMES!F648</f>
        <v>LIT</v>
      </c>
      <c r="E648" s="7">
        <f>RAW_GAMES!G648</f>
        <v>0</v>
      </c>
      <c r="F648">
        <f>RAW_GAMES!H648</f>
        <v>6</v>
      </c>
      <c r="G648">
        <f>RAW_GAMES!I648</f>
        <v>3</v>
      </c>
      <c r="H648">
        <f t="shared" si="60"/>
        <v>3</v>
      </c>
      <c r="I648">
        <f>RAW_GAMES!J648</f>
        <v>31</v>
      </c>
      <c r="J648">
        <f>RAW_GAMES!K648</f>
        <v>33</v>
      </c>
      <c r="K648">
        <f t="shared" si="61"/>
        <v>-2</v>
      </c>
      <c r="L648" t="str">
        <f>IF(RAW_GAMES!L648="","",RAW_GAMES!L648)</f>
        <v/>
      </c>
      <c r="M648" t="str">
        <f>IF(RAW_GAMES!M648="","",RAW_GAMES!M648)</f>
        <v/>
      </c>
      <c r="N648" t="str">
        <f t="shared" si="62"/>
        <v/>
      </c>
      <c r="O648" s="7">
        <f>RAW_GAMES!O648</f>
        <v>1</v>
      </c>
      <c r="P648">
        <f>RAW_GAMES!N648</f>
        <v>1</v>
      </c>
      <c r="Q648">
        <f t="shared" si="63"/>
        <v>1</v>
      </c>
      <c r="R648" s="7">
        <f>RAW_GAMES!Q648</f>
        <v>4</v>
      </c>
      <c r="S648">
        <f>RAW_GAMES!P648</f>
        <v>1</v>
      </c>
      <c r="T648">
        <f t="shared" si="64"/>
        <v>0.75</v>
      </c>
      <c r="U648">
        <f>_xlfn.XLOOKUP(C648,
  CALC_TEAMS_SEASON!B:B,
  CALC_TEAMS_SEASON!F:F)</f>
        <v>0.14184981684981687</v>
      </c>
      <c r="V648">
        <f>_xlfn.XLOOKUP(D648,
  CALC_TEAMS_SEASON!B:B,
  CALC_TEAMS_SEASON!F:F)</f>
        <v>0.10089285714285713</v>
      </c>
      <c r="W648" t="str">
        <f>RAW_GAMES!R648</f>
        <v>Škorvánek</v>
      </c>
      <c r="X648" s="7">
        <f>RAW_GAMES!S648</f>
        <v>18</v>
      </c>
      <c r="Y648">
        <f t="shared" si="65"/>
        <v>1</v>
      </c>
      <c r="Z648" t="str">
        <f>RAW_GAMES!V648</f>
        <v>RS</v>
      </c>
    </row>
    <row r="649" spans="1:26" x14ac:dyDescent="0.25">
      <c r="A649" t="str">
        <f>RAW_GAMES!A649</f>
        <v>25/26</v>
      </c>
      <c r="B649" s="3">
        <f>RAW_GAMES!B649</f>
        <v>46051</v>
      </c>
      <c r="C649" s="3" t="str">
        <f>RAW_GAMES!E649</f>
        <v>PLZ</v>
      </c>
      <c r="D649" s="3" t="str">
        <f>RAW_GAMES!F649</f>
        <v>KLA</v>
      </c>
      <c r="E649" s="7">
        <f>RAW_GAMES!G649</f>
        <v>0</v>
      </c>
      <c r="F649">
        <f>RAW_GAMES!H649</f>
        <v>1</v>
      </c>
      <c r="G649">
        <f>RAW_GAMES!I649</f>
        <v>4</v>
      </c>
      <c r="H649">
        <f t="shared" si="60"/>
        <v>-3</v>
      </c>
      <c r="I649">
        <f>RAW_GAMES!J649</f>
        <v>23</v>
      </c>
      <c r="J649">
        <f>RAW_GAMES!K649</f>
        <v>26</v>
      </c>
      <c r="K649">
        <f t="shared" si="61"/>
        <v>-3</v>
      </c>
      <c r="L649" t="str">
        <f>IF(RAW_GAMES!L649="","",RAW_GAMES!L649)</f>
        <v/>
      </c>
      <c r="M649" t="str">
        <f>IF(RAW_GAMES!M649="","",RAW_GAMES!M649)</f>
        <v/>
      </c>
      <c r="N649" t="str">
        <f t="shared" si="62"/>
        <v/>
      </c>
      <c r="O649" s="7">
        <f>RAW_GAMES!O649</f>
        <v>1</v>
      </c>
      <c r="P649">
        <f>RAW_GAMES!N649</f>
        <v>0</v>
      </c>
      <c r="Q649">
        <f t="shared" si="63"/>
        <v>0</v>
      </c>
      <c r="R649" s="7">
        <f>RAW_GAMES!Q649</f>
        <v>0</v>
      </c>
      <c r="S649">
        <f>RAW_GAMES!P649</f>
        <v>0</v>
      </c>
      <c r="T649">
        <f t="shared" si="64"/>
        <v>1</v>
      </c>
      <c r="U649">
        <f>_xlfn.XLOOKUP(C649,
  CALC_TEAMS_SEASON!B:B,
  CALC_TEAMS_SEASON!F:F)</f>
        <v>0.17641178266178262</v>
      </c>
      <c r="V649">
        <f>_xlfn.XLOOKUP(D649,
  CALC_TEAMS_SEASON!B:B,
  CALC_TEAMS_SEASON!F:F)</f>
        <v>0.13120421245421243</v>
      </c>
      <c r="W649" t="str">
        <f>RAW_GAMES!R649</f>
        <v>Růžička</v>
      </c>
      <c r="X649" s="7">
        <f>RAW_GAMES!S649</f>
        <v>22</v>
      </c>
      <c r="Y649">
        <f t="shared" si="65"/>
        <v>0</v>
      </c>
      <c r="Z649" t="str">
        <f>RAW_GAMES!V649</f>
        <v>RS</v>
      </c>
    </row>
    <row r="650" spans="1:26" x14ac:dyDescent="0.25">
      <c r="A650" t="str">
        <f>RAW_GAMES!A650</f>
        <v>25/26</v>
      </c>
      <c r="B650" s="3">
        <f>RAW_GAMES!B650</f>
        <v>46052</v>
      </c>
      <c r="C650" s="3" t="str">
        <f>RAW_GAMES!E650</f>
        <v>KOM</v>
      </c>
      <c r="D650" s="3" t="str">
        <f>RAW_GAMES!F650</f>
        <v>CEB</v>
      </c>
      <c r="E650" s="7">
        <f>RAW_GAMES!G650</f>
        <v>1</v>
      </c>
      <c r="F650">
        <f>RAW_GAMES!H650</f>
        <v>4</v>
      </c>
      <c r="G650">
        <f>RAW_GAMES!I650</f>
        <v>3</v>
      </c>
      <c r="H650">
        <f t="shared" si="60"/>
        <v>1</v>
      </c>
      <c r="I650">
        <f>RAW_GAMES!J650</f>
        <v>40</v>
      </c>
      <c r="J650">
        <f>RAW_GAMES!K650</f>
        <v>25</v>
      </c>
      <c r="K650">
        <f t="shared" si="61"/>
        <v>15</v>
      </c>
      <c r="L650">
        <f>IF(RAW_GAMES!L650="","",RAW_GAMES!L650)</f>
        <v>3.07</v>
      </c>
      <c r="M650">
        <f>IF(RAW_GAMES!M650="","",RAW_GAMES!M650)</f>
        <v>4.16</v>
      </c>
      <c r="N650">
        <f t="shared" si="62"/>
        <v>-1.0900000000000003</v>
      </c>
      <c r="O650" s="7">
        <f>RAW_GAMES!O650</f>
        <v>6</v>
      </c>
      <c r="P650">
        <f>RAW_GAMES!N650</f>
        <v>1</v>
      </c>
      <c r="Q650">
        <f t="shared" si="63"/>
        <v>0.16666666666666666</v>
      </c>
      <c r="R650" s="7">
        <f>RAW_GAMES!Q650</f>
        <v>7</v>
      </c>
      <c r="S650">
        <f>RAW_GAMES!P650</f>
        <v>2</v>
      </c>
      <c r="T650">
        <f t="shared" si="64"/>
        <v>0.7142857142857143</v>
      </c>
      <c r="U650">
        <f>_xlfn.XLOOKUP(C650,
  CALC_TEAMS_SEASON!B:B,
  CALC_TEAMS_SEASON!F:F)</f>
        <v>0.14358974358974358</v>
      </c>
      <c r="V650">
        <f>_xlfn.XLOOKUP(D650,
  CALC_TEAMS_SEASON!B:B,
  CALC_TEAMS_SEASON!F:F)</f>
        <v>0.13021353646353648</v>
      </c>
      <c r="W650" t="str">
        <f>RAW_GAMES!R650</f>
        <v>Stezka</v>
      </c>
      <c r="X650" s="7">
        <f>RAW_GAMES!S650</f>
        <v>35</v>
      </c>
      <c r="Y650">
        <f t="shared" si="65"/>
        <v>1</v>
      </c>
      <c r="Z650" t="str">
        <f>RAW_GAMES!V650</f>
        <v>RS</v>
      </c>
    </row>
    <row r="651" spans="1:26" x14ac:dyDescent="0.25">
      <c r="A651" t="str">
        <f>RAW_GAMES!A651</f>
        <v>25/26</v>
      </c>
      <c r="B651" s="3">
        <f>RAW_GAMES!B651</f>
        <v>46052</v>
      </c>
      <c r="C651" s="3" t="str">
        <f>RAW_GAMES!E651</f>
        <v>CEB</v>
      </c>
      <c r="D651" s="3" t="str">
        <f>RAW_GAMES!F651</f>
        <v>KOM</v>
      </c>
      <c r="E651" s="7">
        <f>RAW_GAMES!G651</f>
        <v>0</v>
      </c>
      <c r="F651">
        <f>RAW_GAMES!H651</f>
        <v>3</v>
      </c>
      <c r="G651">
        <f>RAW_GAMES!I651</f>
        <v>4</v>
      </c>
      <c r="H651">
        <f t="shared" si="60"/>
        <v>-1</v>
      </c>
      <c r="I651">
        <f>RAW_GAMES!J651</f>
        <v>25</v>
      </c>
      <c r="J651">
        <f>RAW_GAMES!K651</f>
        <v>40</v>
      </c>
      <c r="K651">
        <f t="shared" si="61"/>
        <v>-15</v>
      </c>
      <c r="L651">
        <f>IF(RAW_GAMES!L651="","",RAW_GAMES!L651)</f>
        <v>4.16</v>
      </c>
      <c r="M651">
        <f>IF(RAW_GAMES!M651="","",RAW_GAMES!M651)</f>
        <v>3.07</v>
      </c>
      <c r="N651">
        <f t="shared" si="62"/>
        <v>1.0900000000000003</v>
      </c>
      <c r="O651" s="7">
        <f>RAW_GAMES!O651</f>
        <v>7</v>
      </c>
      <c r="P651">
        <f>RAW_GAMES!N651</f>
        <v>2</v>
      </c>
      <c r="Q651">
        <f t="shared" si="63"/>
        <v>0.2857142857142857</v>
      </c>
      <c r="R651" s="7">
        <f>RAW_GAMES!Q651</f>
        <v>6</v>
      </c>
      <c r="S651">
        <f>RAW_GAMES!P651</f>
        <v>1</v>
      </c>
      <c r="T651">
        <f t="shared" si="64"/>
        <v>0.83333333333333337</v>
      </c>
      <c r="U651">
        <f>_xlfn.XLOOKUP(C651,
  CALC_TEAMS_SEASON!B:B,
  CALC_TEAMS_SEASON!F:F)</f>
        <v>0.13021353646353648</v>
      </c>
      <c r="V651">
        <f>_xlfn.XLOOKUP(D651,
  CALC_TEAMS_SEASON!B:B,
  CALC_TEAMS_SEASON!F:F)</f>
        <v>0.14358974358974358</v>
      </c>
      <c r="W651" t="str">
        <f>RAW_GAMES!R651</f>
        <v>Klouček</v>
      </c>
      <c r="X651" s="7">
        <f>RAW_GAMES!S651</f>
        <v>20</v>
      </c>
      <c r="Y651">
        <f t="shared" si="65"/>
        <v>0</v>
      </c>
      <c r="Z651" t="str">
        <f>RAW_GAMES!V651</f>
        <v>RS</v>
      </c>
    </row>
    <row r="652" spans="1:26" x14ac:dyDescent="0.25">
      <c r="A652" t="str">
        <f>RAW_GAMES!A652</f>
        <v>25/26</v>
      </c>
      <c r="B652" s="3">
        <f>RAW_GAMES!B652</f>
        <v>46052</v>
      </c>
      <c r="C652" s="3" t="str">
        <f>RAW_GAMES!E652</f>
        <v>KVA</v>
      </c>
      <c r="D652" s="3" t="str">
        <f>RAW_GAMES!F652</f>
        <v>LIB</v>
      </c>
      <c r="E652" s="7">
        <f>RAW_GAMES!G652</f>
        <v>1</v>
      </c>
      <c r="F652">
        <f>RAW_GAMES!H652</f>
        <v>3</v>
      </c>
      <c r="G652">
        <f>RAW_GAMES!I652</f>
        <v>2</v>
      </c>
      <c r="H652">
        <f t="shared" si="60"/>
        <v>1</v>
      </c>
      <c r="I652">
        <f>RAW_GAMES!J652</f>
        <v>32</v>
      </c>
      <c r="J652">
        <f>RAW_GAMES!K652</f>
        <v>44</v>
      </c>
      <c r="K652">
        <f t="shared" si="61"/>
        <v>-12</v>
      </c>
      <c r="L652" t="str">
        <f>IF(RAW_GAMES!L652="","",RAW_GAMES!L652)</f>
        <v/>
      </c>
      <c r="M652" t="str">
        <f>IF(RAW_GAMES!M652="","",RAW_GAMES!M652)</f>
        <v/>
      </c>
      <c r="N652" t="str">
        <f t="shared" si="62"/>
        <v/>
      </c>
      <c r="O652" s="7">
        <f>RAW_GAMES!O652</f>
        <v>3</v>
      </c>
      <c r="P652">
        <f>RAW_GAMES!N652</f>
        <v>1</v>
      </c>
      <c r="Q652">
        <f t="shared" si="63"/>
        <v>0.33333333333333331</v>
      </c>
      <c r="R652" s="7">
        <f>RAW_GAMES!Q652</f>
        <v>4</v>
      </c>
      <c r="S652">
        <f>RAW_GAMES!P652</f>
        <v>0</v>
      </c>
      <c r="T652">
        <f t="shared" si="64"/>
        <v>1</v>
      </c>
      <c r="U652">
        <f>_xlfn.XLOOKUP(C652,
  CALC_TEAMS_SEASON!B:B,
  CALC_TEAMS_SEASON!F:F)</f>
        <v>0.17387057387057389</v>
      </c>
      <c r="V652">
        <f>_xlfn.XLOOKUP(D652,
  CALC_TEAMS_SEASON!B:B,
  CALC_TEAMS_SEASON!F:F)</f>
        <v>0.14377289377289379</v>
      </c>
      <c r="W652" t="str">
        <f>RAW_GAMES!R652</f>
        <v>Frodl</v>
      </c>
      <c r="X652" s="7">
        <f>RAW_GAMES!S652</f>
        <v>42</v>
      </c>
      <c r="Y652">
        <f t="shared" si="65"/>
        <v>1</v>
      </c>
      <c r="Z652" t="str">
        <f>RAW_GAMES!V652</f>
        <v>RS</v>
      </c>
    </row>
    <row r="653" spans="1:26" x14ac:dyDescent="0.25">
      <c r="A653" t="str">
        <f>RAW_GAMES!A653</f>
        <v>25/26</v>
      </c>
      <c r="B653" s="3">
        <f>RAW_GAMES!B653</f>
        <v>46052</v>
      </c>
      <c r="C653" s="3" t="str">
        <f>RAW_GAMES!E653</f>
        <v>LIB</v>
      </c>
      <c r="D653" s="3" t="str">
        <f>RAW_GAMES!F653</f>
        <v>KVA</v>
      </c>
      <c r="E653" s="7">
        <f>RAW_GAMES!G653</f>
        <v>0</v>
      </c>
      <c r="F653">
        <f>RAW_GAMES!H653</f>
        <v>2</v>
      </c>
      <c r="G653">
        <f>RAW_GAMES!I653</f>
        <v>3</v>
      </c>
      <c r="H653">
        <f t="shared" si="60"/>
        <v>-1</v>
      </c>
      <c r="I653">
        <f>RAW_GAMES!J653</f>
        <v>44</v>
      </c>
      <c r="J653">
        <f>RAW_GAMES!K653</f>
        <v>32</v>
      </c>
      <c r="K653">
        <f t="shared" si="61"/>
        <v>12</v>
      </c>
      <c r="L653" t="str">
        <f>IF(RAW_GAMES!L653="","",RAW_GAMES!L653)</f>
        <v/>
      </c>
      <c r="M653" t="str">
        <f>IF(RAW_GAMES!M653="","",RAW_GAMES!M653)</f>
        <v/>
      </c>
      <c r="N653" t="str">
        <f t="shared" si="62"/>
        <v/>
      </c>
      <c r="O653" s="7">
        <f>RAW_GAMES!O653</f>
        <v>4</v>
      </c>
      <c r="P653">
        <f>RAW_GAMES!N653</f>
        <v>0</v>
      </c>
      <c r="Q653">
        <f t="shared" si="63"/>
        <v>0</v>
      </c>
      <c r="R653" s="7">
        <f>RAW_GAMES!Q653</f>
        <v>3</v>
      </c>
      <c r="S653">
        <f>RAW_GAMES!P653</f>
        <v>1</v>
      </c>
      <c r="T653">
        <f t="shared" si="64"/>
        <v>0.66666666666666674</v>
      </c>
      <c r="U653">
        <f>_xlfn.XLOOKUP(C653,
  CALC_TEAMS_SEASON!B:B,
  CALC_TEAMS_SEASON!F:F)</f>
        <v>0.14377289377289379</v>
      </c>
      <c r="V653">
        <f>_xlfn.XLOOKUP(D653,
  CALC_TEAMS_SEASON!B:B,
  CALC_TEAMS_SEASON!F:F)</f>
        <v>0.17387057387057389</v>
      </c>
      <c r="W653" t="str">
        <f>RAW_GAMES!R653</f>
        <v>Kváča</v>
      </c>
      <c r="X653" s="7">
        <f>RAW_GAMES!S653</f>
        <v>30</v>
      </c>
      <c r="Y653">
        <f t="shared" si="65"/>
        <v>0</v>
      </c>
      <c r="Z653" t="str">
        <f>RAW_GAMES!V653</f>
        <v>RS</v>
      </c>
    </row>
    <row r="654" spans="1:26" x14ac:dyDescent="0.25">
      <c r="A654" t="str">
        <f>RAW_GAMES!A654</f>
        <v>25/26</v>
      </c>
      <c r="B654" s="3">
        <f>RAW_GAMES!B654</f>
        <v>46054</v>
      </c>
      <c r="C654" s="3" t="str">
        <f>RAW_GAMES!E654</f>
        <v>SPA</v>
      </c>
      <c r="D654" s="3" t="str">
        <f>RAW_GAMES!F654</f>
        <v>CEB</v>
      </c>
      <c r="E654" s="7">
        <f>RAW_GAMES!G654</f>
        <v>1</v>
      </c>
      <c r="F654">
        <f>RAW_GAMES!H654</f>
        <v>4</v>
      </c>
      <c r="G654">
        <f>RAW_GAMES!I654</f>
        <v>3</v>
      </c>
      <c r="H654">
        <f t="shared" si="60"/>
        <v>1</v>
      </c>
      <c r="I654">
        <f>RAW_GAMES!J654</f>
        <v>34</v>
      </c>
      <c r="J654">
        <f>RAW_GAMES!K654</f>
        <v>29</v>
      </c>
      <c r="K654">
        <f t="shared" si="61"/>
        <v>5</v>
      </c>
      <c r="L654" t="str">
        <f>IF(RAW_GAMES!L654="","",RAW_GAMES!L654)</f>
        <v/>
      </c>
      <c r="M654" t="str">
        <f>IF(RAW_GAMES!M654="","",RAW_GAMES!M654)</f>
        <v/>
      </c>
      <c r="N654" t="str">
        <f t="shared" si="62"/>
        <v/>
      </c>
      <c r="O654" s="7">
        <f>RAW_GAMES!O654</f>
        <v>6</v>
      </c>
      <c r="P654">
        <f>RAW_GAMES!N654</f>
        <v>2</v>
      </c>
      <c r="Q654">
        <f t="shared" si="63"/>
        <v>0.33333333333333331</v>
      </c>
      <c r="R654" s="7">
        <f>RAW_GAMES!Q654</f>
        <v>5</v>
      </c>
      <c r="S654">
        <f>RAW_GAMES!P654</f>
        <v>1</v>
      </c>
      <c r="T654">
        <f t="shared" si="64"/>
        <v>0.8</v>
      </c>
      <c r="U654">
        <f>_xlfn.XLOOKUP(C654,
  CALC_TEAMS_SEASON!B:B,
  CALC_TEAMS_SEASON!F:F)</f>
        <v>0.22060439560439565</v>
      </c>
      <c r="V654">
        <f>_xlfn.XLOOKUP(D654,
  CALC_TEAMS_SEASON!B:B,
  CALC_TEAMS_SEASON!F:F)</f>
        <v>0.13021353646353648</v>
      </c>
      <c r="W654" t="str">
        <f>RAW_GAMES!R654</f>
        <v>Kořenář</v>
      </c>
      <c r="X654" s="7">
        <f>RAW_GAMES!S654</f>
        <v>26</v>
      </c>
      <c r="Y654">
        <f t="shared" si="65"/>
        <v>1</v>
      </c>
      <c r="Z654" t="str">
        <f>RAW_GAMES!V654</f>
        <v>RS</v>
      </c>
    </row>
    <row r="655" spans="1:26" x14ac:dyDescent="0.25">
      <c r="A655" t="str">
        <f>RAW_GAMES!A655</f>
        <v>25/26</v>
      </c>
      <c r="B655" s="3">
        <f>RAW_GAMES!B655</f>
        <v>46054</v>
      </c>
      <c r="C655" s="3" t="str">
        <f>RAW_GAMES!E655</f>
        <v>CEB</v>
      </c>
      <c r="D655" s="3" t="str">
        <f>RAW_GAMES!F655</f>
        <v>SPA</v>
      </c>
      <c r="E655" s="7">
        <f>RAW_GAMES!G655</f>
        <v>0</v>
      </c>
      <c r="F655">
        <f>RAW_GAMES!H655</f>
        <v>3</v>
      </c>
      <c r="G655">
        <f>RAW_GAMES!I655</f>
        <v>4</v>
      </c>
      <c r="H655">
        <f t="shared" si="60"/>
        <v>-1</v>
      </c>
      <c r="I655">
        <f>RAW_GAMES!J655</f>
        <v>29</v>
      </c>
      <c r="J655">
        <f>RAW_GAMES!K655</f>
        <v>34</v>
      </c>
      <c r="K655">
        <f t="shared" si="61"/>
        <v>-5</v>
      </c>
      <c r="L655" t="str">
        <f>IF(RAW_GAMES!L655="","",RAW_GAMES!L655)</f>
        <v/>
      </c>
      <c r="M655" t="str">
        <f>IF(RAW_GAMES!M655="","",RAW_GAMES!M655)</f>
        <v/>
      </c>
      <c r="N655" t="str">
        <f t="shared" si="62"/>
        <v/>
      </c>
      <c r="O655" s="7">
        <f>RAW_GAMES!O655</f>
        <v>5</v>
      </c>
      <c r="P655">
        <f>RAW_GAMES!N655</f>
        <v>1</v>
      </c>
      <c r="Q655">
        <f t="shared" si="63"/>
        <v>0.2</v>
      </c>
      <c r="R655" s="7">
        <f>RAW_GAMES!Q655</f>
        <v>6</v>
      </c>
      <c r="S655">
        <f>RAW_GAMES!P655</f>
        <v>2</v>
      </c>
      <c r="T655">
        <f t="shared" si="64"/>
        <v>0.66666666666666674</v>
      </c>
      <c r="U655">
        <f>_xlfn.XLOOKUP(C655,
  CALC_TEAMS_SEASON!B:B,
  CALC_TEAMS_SEASON!F:F)</f>
        <v>0.13021353646353648</v>
      </c>
      <c r="V655">
        <f>_xlfn.XLOOKUP(D655,
  CALC_TEAMS_SEASON!B:B,
  CALC_TEAMS_SEASON!F:F)</f>
        <v>0.22060439560439565</v>
      </c>
      <c r="W655" t="str">
        <f>RAW_GAMES!R655</f>
        <v>Klouček</v>
      </c>
      <c r="X655" s="7">
        <f>RAW_GAMES!S655</f>
        <v>30</v>
      </c>
      <c r="Y655">
        <f t="shared" si="65"/>
        <v>0</v>
      </c>
      <c r="Z655" t="str">
        <f>RAW_GAMES!V655</f>
        <v>RS</v>
      </c>
    </row>
    <row r="656" spans="1:26" x14ac:dyDescent="0.25">
      <c r="A656" t="str">
        <f>RAW_GAMES!A656</f>
        <v>25/26</v>
      </c>
      <c r="B656" s="3">
        <f>RAW_GAMES!B656</f>
        <v>46055</v>
      </c>
      <c r="C656" s="3" t="str">
        <f>RAW_GAMES!E656</f>
        <v>SPA</v>
      </c>
      <c r="D656" s="3" t="str">
        <f>RAW_GAMES!F656</f>
        <v>PLZ</v>
      </c>
      <c r="E656" s="7">
        <f>RAW_GAMES!G656</f>
        <v>0</v>
      </c>
      <c r="F656">
        <f>RAW_GAMES!H656</f>
        <v>1</v>
      </c>
      <c r="G656">
        <f>RAW_GAMES!I656</f>
        <v>4</v>
      </c>
      <c r="H656">
        <f t="shared" si="60"/>
        <v>-3</v>
      </c>
      <c r="I656">
        <f>RAW_GAMES!J656</f>
        <v>18</v>
      </c>
      <c r="J656">
        <f>RAW_GAMES!K656</f>
        <v>33</v>
      </c>
      <c r="K656">
        <f t="shared" si="61"/>
        <v>-15</v>
      </c>
      <c r="L656">
        <f>IF(RAW_GAMES!L656="","",RAW_GAMES!L656)</f>
        <v>1.53</v>
      </c>
      <c r="M656">
        <f>IF(RAW_GAMES!M656="","",RAW_GAMES!M656)</f>
        <v>3.07</v>
      </c>
      <c r="N656">
        <f t="shared" si="62"/>
        <v>-1.5399999999999998</v>
      </c>
      <c r="O656" s="7">
        <f>RAW_GAMES!O656</f>
        <v>3</v>
      </c>
      <c r="P656">
        <f>RAW_GAMES!N656</f>
        <v>0</v>
      </c>
      <c r="Q656">
        <f t="shared" si="63"/>
        <v>0</v>
      </c>
      <c r="R656" s="7">
        <f>RAW_GAMES!Q656</f>
        <v>9</v>
      </c>
      <c r="S656">
        <f>RAW_GAMES!P656</f>
        <v>2</v>
      </c>
      <c r="T656">
        <f t="shared" si="64"/>
        <v>0.77777777777777779</v>
      </c>
      <c r="U656">
        <f>_xlfn.XLOOKUP(C656,
  CALC_TEAMS_SEASON!B:B,
  CALC_TEAMS_SEASON!F:F)</f>
        <v>0.22060439560439565</v>
      </c>
      <c r="V656">
        <f>_xlfn.XLOOKUP(D656,
  CALC_TEAMS_SEASON!B:B,
  CALC_TEAMS_SEASON!F:F)</f>
        <v>0.17641178266178262</v>
      </c>
      <c r="W656" t="str">
        <f>RAW_GAMES!R656</f>
        <v>Kovář</v>
      </c>
      <c r="X656" s="7">
        <f>RAW_GAMES!S656</f>
        <v>29</v>
      </c>
      <c r="Y656">
        <f t="shared" si="65"/>
        <v>0</v>
      </c>
      <c r="Z656" t="str">
        <f>RAW_GAMES!V656</f>
        <v>RS</v>
      </c>
    </row>
    <row r="657" spans="1:26" x14ac:dyDescent="0.25">
      <c r="A657" t="str">
        <f>RAW_GAMES!A657</f>
        <v>25/26</v>
      </c>
      <c r="B657" s="3">
        <f>RAW_GAMES!B657</f>
        <v>46055</v>
      </c>
      <c r="C657" s="3" t="str">
        <f>RAW_GAMES!E657</f>
        <v>PLZ</v>
      </c>
      <c r="D657" s="3" t="str">
        <f>RAW_GAMES!F657</f>
        <v>SPA</v>
      </c>
      <c r="E657" s="7">
        <f>RAW_GAMES!G657</f>
        <v>1</v>
      </c>
      <c r="F657">
        <f>RAW_GAMES!H657</f>
        <v>4</v>
      </c>
      <c r="G657">
        <f>RAW_GAMES!I657</f>
        <v>1</v>
      </c>
      <c r="H657">
        <f t="shared" si="60"/>
        <v>3</v>
      </c>
      <c r="I657">
        <f>RAW_GAMES!J657</f>
        <v>33</v>
      </c>
      <c r="J657">
        <f>RAW_GAMES!K657</f>
        <v>18</v>
      </c>
      <c r="K657">
        <f t="shared" si="61"/>
        <v>15</v>
      </c>
      <c r="L657">
        <f>IF(RAW_GAMES!L657="","",RAW_GAMES!L657)</f>
        <v>3.07</v>
      </c>
      <c r="M657">
        <f>IF(RAW_GAMES!M657="","",RAW_GAMES!M657)</f>
        <v>1.53</v>
      </c>
      <c r="N657">
        <f t="shared" si="62"/>
        <v>1.5399999999999998</v>
      </c>
      <c r="O657" s="7">
        <f>RAW_GAMES!O657</f>
        <v>9</v>
      </c>
      <c r="P657">
        <f>RAW_GAMES!N657</f>
        <v>2</v>
      </c>
      <c r="Q657">
        <f t="shared" si="63"/>
        <v>0.22222222222222221</v>
      </c>
      <c r="R657" s="7">
        <f>RAW_GAMES!Q657</f>
        <v>3</v>
      </c>
      <c r="S657">
        <f>RAW_GAMES!P657</f>
        <v>0</v>
      </c>
      <c r="T657">
        <f t="shared" si="64"/>
        <v>1</v>
      </c>
      <c r="U657">
        <f>_xlfn.XLOOKUP(C657,
  CALC_TEAMS_SEASON!B:B,
  CALC_TEAMS_SEASON!F:F)</f>
        <v>0.17641178266178262</v>
      </c>
      <c r="V657">
        <f>_xlfn.XLOOKUP(D657,
  CALC_TEAMS_SEASON!B:B,
  CALC_TEAMS_SEASON!F:F)</f>
        <v>0.22060439560439565</v>
      </c>
      <c r="W657" t="str">
        <f>RAW_GAMES!R657</f>
        <v>Malík</v>
      </c>
      <c r="X657" s="7">
        <f>RAW_GAMES!S657</f>
        <v>17</v>
      </c>
      <c r="Y657">
        <f t="shared" si="65"/>
        <v>1</v>
      </c>
      <c r="Z657" t="str">
        <f>RAW_GAMES!V657</f>
        <v>RS</v>
      </c>
    </row>
    <row r="658" spans="1:26" x14ac:dyDescent="0.25">
      <c r="A658" t="str">
        <f>RAW_GAMES!A658</f>
        <v>25/26</v>
      </c>
      <c r="B658" s="3">
        <f>RAW_GAMES!B658</f>
        <v>46075</v>
      </c>
      <c r="C658" s="3" t="str">
        <f>RAW_GAMES!E658</f>
        <v>SPA</v>
      </c>
      <c r="D658" s="3" t="str">
        <f>RAW_GAMES!F658</f>
        <v>MBL</v>
      </c>
      <c r="E658" s="7">
        <f>RAW_GAMES!G658</f>
        <v>0</v>
      </c>
      <c r="F658">
        <f>RAW_GAMES!H658</f>
        <v>3</v>
      </c>
      <c r="G658">
        <f>RAW_GAMES!I658</f>
        <v>2</v>
      </c>
      <c r="H658">
        <f t="shared" si="60"/>
        <v>1</v>
      </c>
      <c r="I658">
        <f>RAW_GAMES!J658</f>
        <v>29</v>
      </c>
      <c r="J658">
        <f>RAW_GAMES!K658</f>
        <v>28</v>
      </c>
      <c r="K658">
        <f t="shared" si="61"/>
        <v>1</v>
      </c>
      <c r="L658">
        <f>IF(RAW_GAMES!L658="","",RAW_GAMES!L658)</f>
        <v>2.06</v>
      </c>
      <c r="M658">
        <f>IF(RAW_GAMES!M658="","",RAW_GAMES!M658)</f>
        <v>2.04</v>
      </c>
      <c r="N658">
        <f t="shared" si="62"/>
        <v>2.0000000000000018E-2</v>
      </c>
      <c r="O658" s="7">
        <f>RAW_GAMES!O658</f>
        <v>2</v>
      </c>
      <c r="P658">
        <f>RAW_GAMES!N658</f>
        <v>1</v>
      </c>
      <c r="Q658">
        <f t="shared" si="63"/>
        <v>0.5</v>
      </c>
      <c r="R658" s="7">
        <f>RAW_GAMES!Q658</f>
        <v>4</v>
      </c>
      <c r="S658">
        <f>RAW_GAMES!P658</f>
        <v>1</v>
      </c>
      <c r="T658">
        <f t="shared" si="64"/>
        <v>0.75</v>
      </c>
      <c r="U658">
        <f>_xlfn.XLOOKUP(C658,
  CALC_TEAMS_SEASON!B:B,
  CALC_TEAMS_SEASON!F:F)</f>
        <v>0.22060439560439565</v>
      </c>
      <c r="V658">
        <f>_xlfn.XLOOKUP(D658,
  CALC_TEAMS_SEASON!B:B,
  CALC_TEAMS_SEASON!F:F)</f>
        <v>0.11826923076923078</v>
      </c>
      <c r="W658" t="str">
        <f>RAW_GAMES!R658</f>
        <v>Kořenář</v>
      </c>
      <c r="X658" s="7">
        <f>RAW_GAMES!S658</f>
        <v>26</v>
      </c>
      <c r="Y658">
        <f t="shared" si="65"/>
        <v>1</v>
      </c>
      <c r="Z658" t="str">
        <f>RAW_GAMES!V658</f>
        <v>RS</v>
      </c>
    </row>
    <row r="659" spans="1:26" x14ac:dyDescent="0.25">
      <c r="A659" t="str">
        <f>RAW_GAMES!A659</f>
        <v>25/26</v>
      </c>
      <c r="B659" s="3">
        <f>RAW_GAMES!B659</f>
        <v>46075</v>
      </c>
      <c r="C659" s="3" t="str">
        <f>RAW_GAMES!E659</f>
        <v>MBL</v>
      </c>
      <c r="D659" s="3" t="str">
        <f>RAW_GAMES!F659</f>
        <v>SPA</v>
      </c>
      <c r="E659" s="7">
        <f>RAW_GAMES!G659</f>
        <v>1</v>
      </c>
      <c r="F659">
        <f>RAW_GAMES!H659</f>
        <v>2</v>
      </c>
      <c r="G659">
        <f>RAW_GAMES!I659</f>
        <v>3</v>
      </c>
      <c r="H659">
        <f t="shared" si="60"/>
        <v>-1</v>
      </c>
      <c r="I659">
        <f>RAW_GAMES!J659</f>
        <v>28</v>
      </c>
      <c r="J659">
        <f>RAW_GAMES!K659</f>
        <v>29</v>
      </c>
      <c r="K659">
        <f t="shared" si="61"/>
        <v>-1</v>
      </c>
      <c r="L659">
        <f>IF(RAW_GAMES!L659="","",RAW_GAMES!L659)</f>
        <v>2.04</v>
      </c>
      <c r="M659">
        <f>IF(RAW_GAMES!M659="","",RAW_GAMES!M659)</f>
        <v>2.06</v>
      </c>
      <c r="N659">
        <f t="shared" si="62"/>
        <v>-2.0000000000000018E-2</v>
      </c>
      <c r="O659" s="7">
        <f>RAW_GAMES!O659</f>
        <v>4</v>
      </c>
      <c r="P659">
        <f>RAW_GAMES!N659</f>
        <v>1</v>
      </c>
      <c r="Q659">
        <f t="shared" si="63"/>
        <v>0.25</v>
      </c>
      <c r="R659" s="7">
        <f>RAW_GAMES!Q659</f>
        <v>2</v>
      </c>
      <c r="S659">
        <f>RAW_GAMES!P659</f>
        <v>1</v>
      </c>
      <c r="T659">
        <f t="shared" si="64"/>
        <v>0.5</v>
      </c>
      <c r="U659">
        <f>_xlfn.XLOOKUP(C659,
  CALC_TEAMS_SEASON!B:B,
  CALC_TEAMS_SEASON!F:F)</f>
        <v>0.11826923076923078</v>
      </c>
      <c r="V659">
        <f>_xlfn.XLOOKUP(D659,
  CALC_TEAMS_SEASON!B:B,
  CALC_TEAMS_SEASON!F:F)</f>
        <v>0.22060439560439565</v>
      </c>
      <c r="W659" t="str">
        <f>RAW_GAMES!R659</f>
        <v>Furch</v>
      </c>
      <c r="X659" s="7">
        <f>RAW_GAMES!S659</f>
        <v>26</v>
      </c>
      <c r="Y659">
        <f t="shared" si="65"/>
        <v>0</v>
      </c>
      <c r="Z659" t="str">
        <f>RAW_GAMES!V659</f>
        <v>RS</v>
      </c>
    </row>
    <row r="660" spans="1:26" x14ac:dyDescent="0.25">
      <c r="A660" t="str">
        <f>RAW_GAMES!A660</f>
        <v>25/26</v>
      </c>
      <c r="B660" s="3">
        <f>RAW_GAMES!B660</f>
        <v>46077</v>
      </c>
      <c r="C660" s="3" t="str">
        <f>RAW_GAMES!E660</f>
        <v>MBL</v>
      </c>
      <c r="D660" s="3" t="str">
        <f>RAW_GAMES!F660</f>
        <v>OLO</v>
      </c>
      <c r="E660" s="7">
        <f>RAW_GAMES!G660</f>
        <v>1</v>
      </c>
      <c r="F660">
        <f>RAW_GAMES!H660</f>
        <v>3</v>
      </c>
      <c r="G660">
        <f>RAW_GAMES!I660</f>
        <v>2</v>
      </c>
      <c r="H660">
        <f t="shared" si="60"/>
        <v>1</v>
      </c>
      <c r="I660">
        <f>RAW_GAMES!J660</f>
        <v>40</v>
      </c>
      <c r="J660">
        <f>RAW_GAMES!K660</f>
        <v>20</v>
      </c>
      <c r="K660">
        <f t="shared" si="61"/>
        <v>20</v>
      </c>
      <c r="L660" t="str">
        <f>IF(RAW_GAMES!L660="","",RAW_GAMES!L660)</f>
        <v/>
      </c>
      <c r="M660" t="str">
        <f>IF(RAW_GAMES!M660="","",RAW_GAMES!M660)</f>
        <v/>
      </c>
      <c r="N660" t="str">
        <f t="shared" si="62"/>
        <v/>
      </c>
      <c r="O660" s="7">
        <f>RAW_GAMES!O660</f>
        <v>4</v>
      </c>
      <c r="P660">
        <f>RAW_GAMES!N660</f>
        <v>0</v>
      </c>
      <c r="Q660">
        <f t="shared" si="63"/>
        <v>0</v>
      </c>
      <c r="R660" s="7">
        <f>RAW_GAMES!Q660</f>
        <v>2</v>
      </c>
      <c r="S660">
        <f>RAW_GAMES!P660</f>
        <v>0</v>
      </c>
      <c r="T660">
        <f t="shared" si="64"/>
        <v>1</v>
      </c>
      <c r="U660">
        <f>_xlfn.XLOOKUP(C660,
  CALC_TEAMS_SEASON!B:B,
  CALC_TEAMS_SEASON!F:F)</f>
        <v>0.11826923076923078</v>
      </c>
      <c r="V660">
        <f>_xlfn.XLOOKUP(D660,
  CALC_TEAMS_SEASON!B:B,
  CALC_TEAMS_SEASON!F:F)</f>
        <v>0.14989316239316242</v>
      </c>
      <c r="W660" t="str">
        <f>RAW_GAMES!R660</f>
        <v>Furch</v>
      </c>
      <c r="X660" s="7">
        <f>RAW_GAMES!S660</f>
        <v>18</v>
      </c>
      <c r="Y660">
        <f t="shared" si="65"/>
        <v>1</v>
      </c>
      <c r="Z660" t="str">
        <f>RAW_GAMES!V660</f>
        <v>RS</v>
      </c>
    </row>
    <row r="661" spans="1:26" x14ac:dyDescent="0.25">
      <c r="A661" t="str">
        <f>RAW_GAMES!A661</f>
        <v>25/26</v>
      </c>
      <c r="B661" s="3">
        <f>RAW_GAMES!B661</f>
        <v>46077</v>
      </c>
      <c r="C661" s="3" t="str">
        <f>RAW_GAMES!E661</f>
        <v>OLO</v>
      </c>
      <c r="D661" s="3" t="str">
        <f>RAW_GAMES!F661</f>
        <v>MBL</v>
      </c>
      <c r="E661" s="7">
        <f>RAW_GAMES!G661</f>
        <v>0</v>
      </c>
      <c r="F661">
        <f>RAW_GAMES!H661</f>
        <v>2</v>
      </c>
      <c r="G661">
        <f>RAW_GAMES!I661</f>
        <v>3</v>
      </c>
      <c r="H661">
        <f t="shared" si="60"/>
        <v>-1</v>
      </c>
      <c r="I661">
        <f>RAW_GAMES!J661</f>
        <v>20</v>
      </c>
      <c r="J661">
        <f>RAW_GAMES!K661</f>
        <v>40</v>
      </c>
      <c r="K661">
        <f t="shared" si="61"/>
        <v>-20</v>
      </c>
      <c r="L661" t="str">
        <f>IF(RAW_GAMES!L661="","",RAW_GAMES!L661)</f>
        <v/>
      </c>
      <c r="M661" t="str">
        <f>IF(RAW_GAMES!M661="","",RAW_GAMES!M661)</f>
        <v/>
      </c>
      <c r="N661" t="str">
        <f t="shared" si="62"/>
        <v/>
      </c>
      <c r="O661" s="7">
        <f>RAW_GAMES!O661</f>
        <v>2</v>
      </c>
      <c r="P661">
        <f>RAW_GAMES!N661</f>
        <v>0</v>
      </c>
      <c r="Q661">
        <f t="shared" si="63"/>
        <v>0</v>
      </c>
      <c r="R661" s="7">
        <f>RAW_GAMES!Q661</f>
        <v>4</v>
      </c>
      <c r="S661">
        <f>RAW_GAMES!P661</f>
        <v>0</v>
      </c>
      <c r="T661">
        <f t="shared" si="64"/>
        <v>1</v>
      </c>
      <c r="U661">
        <f>_xlfn.XLOOKUP(C661,
  CALC_TEAMS_SEASON!B:B,
  CALC_TEAMS_SEASON!F:F)</f>
        <v>0.14989316239316242</v>
      </c>
      <c r="V661">
        <f>_xlfn.XLOOKUP(D661,
  CALC_TEAMS_SEASON!B:B,
  CALC_TEAMS_SEASON!F:F)</f>
        <v>0.11826923076923078</v>
      </c>
      <c r="W661" t="str">
        <f>RAW_GAMES!R661</f>
        <v>Machovský</v>
      </c>
      <c r="X661" s="7">
        <f>RAW_GAMES!S661</f>
        <v>37</v>
      </c>
      <c r="Y661">
        <f t="shared" si="65"/>
        <v>0</v>
      </c>
      <c r="Z661" t="str">
        <f>RAW_GAMES!V661</f>
        <v>RS</v>
      </c>
    </row>
    <row r="662" spans="1:26" x14ac:dyDescent="0.25">
      <c r="A662" t="str">
        <f>RAW_GAMES!A662</f>
        <v>25/26</v>
      </c>
      <c r="B662" s="3">
        <f>RAW_GAMES!B662</f>
        <v>46078</v>
      </c>
      <c r="C662" s="3" t="str">
        <f>RAW_GAMES!E662</f>
        <v>PCE</v>
      </c>
      <c r="D662" s="3" t="str">
        <f>RAW_GAMES!F662</f>
        <v>KOM</v>
      </c>
      <c r="E662" s="7">
        <f>RAW_GAMES!G662</f>
        <v>1</v>
      </c>
      <c r="F662">
        <f>RAW_GAMES!H662</f>
        <v>4</v>
      </c>
      <c r="G662">
        <f>RAW_GAMES!I662</f>
        <v>2</v>
      </c>
      <c r="H662">
        <f t="shared" si="60"/>
        <v>2</v>
      </c>
      <c r="I662">
        <f>RAW_GAMES!J662</f>
        <v>33</v>
      </c>
      <c r="J662">
        <f>RAW_GAMES!K662</f>
        <v>26</v>
      </c>
      <c r="K662">
        <f t="shared" si="61"/>
        <v>7</v>
      </c>
      <c r="L662">
        <f>IF(RAW_GAMES!L662="","",RAW_GAMES!L662)</f>
        <v>4.6399999999999997</v>
      </c>
      <c r="M662">
        <f>IF(RAW_GAMES!M662="","",RAW_GAMES!M662)</f>
        <v>2.16</v>
      </c>
      <c r="N662">
        <f t="shared" si="62"/>
        <v>2.4799999999999995</v>
      </c>
      <c r="O662" s="7">
        <f>RAW_GAMES!O662</f>
        <v>4</v>
      </c>
      <c r="P662">
        <f>RAW_GAMES!N662</f>
        <v>0</v>
      </c>
      <c r="Q662">
        <f t="shared" si="63"/>
        <v>0</v>
      </c>
      <c r="R662" s="7">
        <f>RAW_GAMES!Q662</f>
        <v>4</v>
      </c>
      <c r="S662">
        <f>RAW_GAMES!P662</f>
        <v>0</v>
      </c>
      <c r="T662">
        <f t="shared" si="64"/>
        <v>1</v>
      </c>
      <c r="U662">
        <f>_xlfn.XLOOKUP(C662,
  CALC_TEAMS_SEASON!B:B,
  CALC_TEAMS_SEASON!F:F)</f>
        <v>0.20297619047619053</v>
      </c>
      <c r="V662">
        <f>_xlfn.XLOOKUP(D662,
  CALC_TEAMS_SEASON!B:B,
  CALC_TEAMS_SEASON!F:F)</f>
        <v>0.14358974358974358</v>
      </c>
      <c r="W662" t="str">
        <f>RAW_GAMES!R662</f>
        <v>Subban</v>
      </c>
      <c r="X662" s="7">
        <f>RAW_GAMES!S662</f>
        <v>24</v>
      </c>
      <c r="Y662">
        <f t="shared" si="65"/>
        <v>1</v>
      </c>
      <c r="Z662" t="str">
        <f>RAW_GAMES!V662</f>
        <v>RS</v>
      </c>
    </row>
    <row r="663" spans="1:26" x14ac:dyDescent="0.25">
      <c r="A663" t="str">
        <f>RAW_GAMES!A663</f>
        <v>25/26</v>
      </c>
      <c r="B663" s="3">
        <f>RAW_GAMES!B663</f>
        <v>46078</v>
      </c>
      <c r="C663" s="3" t="str">
        <f>RAW_GAMES!E663</f>
        <v>TRI</v>
      </c>
      <c r="D663" s="3" t="str">
        <f>RAW_GAMES!F663</f>
        <v>KLA</v>
      </c>
      <c r="E663" s="7">
        <f>RAW_GAMES!G663</f>
        <v>0</v>
      </c>
      <c r="F663">
        <f>RAW_GAMES!H663</f>
        <v>3</v>
      </c>
      <c r="G663">
        <f>RAW_GAMES!I663</f>
        <v>1</v>
      </c>
      <c r="H663">
        <f t="shared" si="60"/>
        <v>2</v>
      </c>
      <c r="I663">
        <f>RAW_GAMES!J663</f>
        <v>24</v>
      </c>
      <c r="J663">
        <f>RAW_GAMES!K663</f>
        <v>21</v>
      </c>
      <c r="K663">
        <f t="shared" si="61"/>
        <v>3</v>
      </c>
      <c r="L663">
        <f>IF(RAW_GAMES!L663="","",RAW_GAMES!L663)</f>
        <v>3.27</v>
      </c>
      <c r="M663">
        <f>IF(RAW_GAMES!M663="","",RAW_GAMES!M663)</f>
        <v>1.74</v>
      </c>
      <c r="N663">
        <f t="shared" si="62"/>
        <v>1.53</v>
      </c>
      <c r="O663" s="7">
        <f>RAW_GAMES!O663</f>
        <v>3</v>
      </c>
      <c r="P663">
        <f>RAW_GAMES!N663</f>
        <v>1</v>
      </c>
      <c r="Q663">
        <f t="shared" si="63"/>
        <v>0.33333333333333331</v>
      </c>
      <c r="R663" s="7">
        <f>RAW_GAMES!Q663</f>
        <v>4</v>
      </c>
      <c r="S663">
        <f>RAW_GAMES!P663</f>
        <v>1</v>
      </c>
      <c r="T663">
        <f t="shared" si="64"/>
        <v>0.75</v>
      </c>
      <c r="U663">
        <f>_xlfn.XLOOKUP(C663,
  CALC_TEAMS_SEASON!B:B,
  CALC_TEAMS_SEASON!F:F)</f>
        <v>0.17437423687423692</v>
      </c>
      <c r="V663">
        <f>_xlfn.XLOOKUP(D663,
  CALC_TEAMS_SEASON!B:B,
  CALC_TEAMS_SEASON!F:F)</f>
        <v>0.13120421245421243</v>
      </c>
      <c r="W663" t="str">
        <f>RAW_GAMES!R663</f>
        <v>Mazanec</v>
      </c>
      <c r="X663" s="7">
        <f>RAW_GAMES!S663</f>
        <v>20</v>
      </c>
      <c r="Y663">
        <f t="shared" si="65"/>
        <v>1</v>
      </c>
      <c r="Z663" t="str">
        <f>RAW_GAMES!V663</f>
        <v>RS</v>
      </c>
    </row>
    <row r="664" spans="1:26" x14ac:dyDescent="0.25">
      <c r="A664" t="str">
        <f>RAW_GAMES!A664</f>
        <v>25/26</v>
      </c>
      <c r="B664" s="3">
        <f>RAW_GAMES!B664</f>
        <v>46078</v>
      </c>
      <c r="C664" s="3" t="str">
        <f>RAW_GAMES!E664</f>
        <v>SPA</v>
      </c>
      <c r="D664" s="3" t="str">
        <f>RAW_GAMES!F664</f>
        <v>LIB</v>
      </c>
      <c r="E664" s="7">
        <f>RAW_GAMES!G664</f>
        <v>0</v>
      </c>
      <c r="F664">
        <f>RAW_GAMES!H664</f>
        <v>2</v>
      </c>
      <c r="G664">
        <f>RAW_GAMES!I664</f>
        <v>1</v>
      </c>
      <c r="H664">
        <f t="shared" si="60"/>
        <v>1</v>
      </c>
      <c r="I664">
        <f>RAW_GAMES!J664</f>
        <v>18</v>
      </c>
      <c r="J664">
        <f>RAW_GAMES!K664</f>
        <v>37</v>
      </c>
      <c r="K664">
        <f t="shared" si="61"/>
        <v>-19</v>
      </c>
      <c r="L664">
        <f>IF(RAW_GAMES!L664="","",RAW_GAMES!L664)</f>
        <v>2.3199999999999998</v>
      </c>
      <c r="M664">
        <f>IF(RAW_GAMES!M664="","",RAW_GAMES!M664)</f>
        <v>3.71</v>
      </c>
      <c r="N664">
        <f t="shared" si="62"/>
        <v>-1.3900000000000001</v>
      </c>
      <c r="O664" s="7">
        <f>RAW_GAMES!O664</f>
        <v>5</v>
      </c>
      <c r="P664">
        <f>RAW_GAMES!N664</f>
        <v>0</v>
      </c>
      <c r="Q664">
        <f t="shared" si="63"/>
        <v>0</v>
      </c>
      <c r="R664" s="7">
        <f>RAW_GAMES!Q664</f>
        <v>8</v>
      </c>
      <c r="S664">
        <f>RAW_GAMES!P664</f>
        <v>1</v>
      </c>
      <c r="T664">
        <f t="shared" si="64"/>
        <v>0.875</v>
      </c>
      <c r="U664">
        <f>_xlfn.XLOOKUP(C664,
  CALC_TEAMS_SEASON!B:B,
  CALC_TEAMS_SEASON!F:F)</f>
        <v>0.22060439560439565</v>
      </c>
      <c r="V664">
        <f>_xlfn.XLOOKUP(D664,
  CALC_TEAMS_SEASON!B:B,
  CALC_TEAMS_SEASON!F:F)</f>
        <v>0.14377289377289379</v>
      </c>
      <c r="W664" t="str">
        <f>RAW_GAMES!R664</f>
        <v>Kořenář</v>
      </c>
      <c r="X664" s="7">
        <f>RAW_GAMES!S664</f>
        <v>36</v>
      </c>
      <c r="Y664">
        <f t="shared" si="65"/>
        <v>1</v>
      </c>
      <c r="Z664" t="str">
        <f>RAW_GAMES!V664</f>
        <v>RS</v>
      </c>
    </row>
    <row r="665" spans="1:26" x14ac:dyDescent="0.25">
      <c r="A665" t="str">
        <f>RAW_GAMES!A665</f>
        <v>25/26</v>
      </c>
      <c r="B665" s="3">
        <f>RAW_GAMES!B665</f>
        <v>46078</v>
      </c>
      <c r="C665" s="3" t="str">
        <f>RAW_GAMES!E665</f>
        <v>KOM</v>
      </c>
      <c r="D665" s="3" t="str">
        <f>RAW_GAMES!F665</f>
        <v>PCE</v>
      </c>
      <c r="E665" s="7">
        <f>RAW_GAMES!G665</f>
        <v>0</v>
      </c>
      <c r="F665">
        <f>RAW_GAMES!H665</f>
        <v>2</v>
      </c>
      <c r="G665">
        <f>RAW_GAMES!I665</f>
        <v>4</v>
      </c>
      <c r="H665">
        <f t="shared" si="60"/>
        <v>-2</v>
      </c>
      <c r="I665">
        <f>RAW_GAMES!J665</f>
        <v>26</v>
      </c>
      <c r="J665">
        <f>RAW_GAMES!K665</f>
        <v>33</v>
      </c>
      <c r="K665">
        <f t="shared" si="61"/>
        <v>-7</v>
      </c>
      <c r="L665">
        <f>IF(RAW_GAMES!L665="","",RAW_GAMES!L665)</f>
        <v>2.16</v>
      </c>
      <c r="M665">
        <f>IF(RAW_GAMES!M665="","",RAW_GAMES!M665)</f>
        <v>4.6399999999999997</v>
      </c>
      <c r="N665">
        <f t="shared" si="62"/>
        <v>-2.4799999999999995</v>
      </c>
      <c r="O665" s="7">
        <f>RAW_GAMES!O665</f>
        <v>4</v>
      </c>
      <c r="P665">
        <f>RAW_GAMES!N665</f>
        <v>0</v>
      </c>
      <c r="Q665">
        <f t="shared" si="63"/>
        <v>0</v>
      </c>
      <c r="R665" s="7">
        <f>RAW_GAMES!Q665</f>
        <v>4</v>
      </c>
      <c r="S665">
        <f>RAW_GAMES!P665</f>
        <v>0</v>
      </c>
      <c r="T665">
        <f t="shared" si="64"/>
        <v>1</v>
      </c>
      <c r="U665">
        <f>_xlfn.XLOOKUP(C665,
  CALC_TEAMS_SEASON!B:B,
  CALC_TEAMS_SEASON!F:F)</f>
        <v>0.14358974358974358</v>
      </c>
      <c r="V665">
        <f>_xlfn.XLOOKUP(D665,
  CALC_TEAMS_SEASON!B:B,
  CALC_TEAMS_SEASON!F:F)</f>
        <v>0.20297619047619053</v>
      </c>
      <c r="W665" t="str">
        <f>RAW_GAMES!R665</f>
        <v>Krošelj</v>
      </c>
      <c r="X665" s="7">
        <f>RAW_GAMES!S665</f>
        <v>29</v>
      </c>
      <c r="Y665">
        <f t="shared" si="65"/>
        <v>0</v>
      </c>
      <c r="Z665" t="str">
        <f>RAW_GAMES!V665</f>
        <v>RS</v>
      </c>
    </row>
    <row r="666" spans="1:26" x14ac:dyDescent="0.25">
      <c r="A666" t="str">
        <f>RAW_GAMES!A666</f>
        <v>25/26</v>
      </c>
      <c r="B666" s="3">
        <f>RAW_GAMES!B666</f>
        <v>46078</v>
      </c>
      <c r="C666" s="3" t="str">
        <f>RAW_GAMES!E666</f>
        <v>CEB</v>
      </c>
      <c r="D666" s="3" t="str">
        <f>RAW_GAMES!F666</f>
        <v>LIT</v>
      </c>
      <c r="E666" s="7">
        <f>RAW_GAMES!G666</f>
        <v>1</v>
      </c>
      <c r="F666">
        <f>RAW_GAMES!H666</f>
        <v>4</v>
      </c>
      <c r="G666">
        <f>RAW_GAMES!I666</f>
        <v>2</v>
      </c>
      <c r="H666">
        <f t="shared" si="60"/>
        <v>2</v>
      </c>
      <c r="I666">
        <f>RAW_GAMES!J666</f>
        <v>40</v>
      </c>
      <c r="J666">
        <f>RAW_GAMES!K666</f>
        <v>23</v>
      </c>
      <c r="K666">
        <f t="shared" si="61"/>
        <v>17</v>
      </c>
      <c r="L666" t="str">
        <f>IF(RAW_GAMES!L666="","",RAW_GAMES!L666)</f>
        <v/>
      </c>
      <c r="M666" t="str">
        <f>IF(RAW_GAMES!M666="","",RAW_GAMES!M666)</f>
        <v/>
      </c>
      <c r="N666" t="str">
        <f t="shared" si="62"/>
        <v/>
      </c>
      <c r="O666" s="7">
        <f>RAW_GAMES!O666</f>
        <v>11</v>
      </c>
      <c r="P666">
        <f>RAW_GAMES!N666</f>
        <v>2</v>
      </c>
      <c r="Q666">
        <f t="shared" si="63"/>
        <v>0.18181818181818182</v>
      </c>
      <c r="R666" s="7">
        <f>RAW_GAMES!Q666</f>
        <v>4</v>
      </c>
      <c r="S666">
        <f>RAW_GAMES!P666</f>
        <v>1</v>
      </c>
      <c r="T666">
        <f t="shared" si="64"/>
        <v>0.75</v>
      </c>
      <c r="U666">
        <f>_xlfn.XLOOKUP(C666,
  CALC_TEAMS_SEASON!B:B,
  CALC_TEAMS_SEASON!F:F)</f>
        <v>0.13021353646353648</v>
      </c>
      <c r="V666">
        <f>_xlfn.XLOOKUP(D666,
  CALC_TEAMS_SEASON!B:B,
  CALC_TEAMS_SEASON!F:F)</f>
        <v>0.10089285714285713</v>
      </c>
      <c r="W666" t="str">
        <f>RAW_GAMES!R666</f>
        <v>Klouček</v>
      </c>
      <c r="X666" s="7">
        <f>RAW_GAMES!S666</f>
        <v>21</v>
      </c>
      <c r="Y666">
        <f t="shared" si="65"/>
        <v>1</v>
      </c>
      <c r="Z666" t="str">
        <f>RAW_GAMES!V666</f>
        <v>RS</v>
      </c>
    </row>
    <row r="667" spans="1:26" x14ac:dyDescent="0.25">
      <c r="A667" t="str">
        <f>RAW_GAMES!A667</f>
        <v>25/26</v>
      </c>
      <c r="B667" s="3">
        <f>RAW_GAMES!B667</f>
        <v>46078</v>
      </c>
      <c r="C667" s="3" t="str">
        <f>RAW_GAMES!E667</f>
        <v>KLA</v>
      </c>
      <c r="D667" s="3" t="str">
        <f>RAW_GAMES!F667</f>
        <v>TRI</v>
      </c>
      <c r="E667" s="7">
        <f>RAW_GAMES!G667</f>
        <v>1</v>
      </c>
      <c r="F667">
        <f>RAW_GAMES!H667</f>
        <v>1</v>
      </c>
      <c r="G667">
        <f>RAW_GAMES!I667</f>
        <v>3</v>
      </c>
      <c r="H667">
        <f t="shared" si="60"/>
        <v>-2</v>
      </c>
      <c r="I667">
        <f>RAW_GAMES!J667</f>
        <v>21</v>
      </c>
      <c r="J667">
        <f>RAW_GAMES!K667</f>
        <v>24</v>
      </c>
      <c r="K667">
        <f t="shared" si="61"/>
        <v>-3</v>
      </c>
      <c r="L667">
        <f>IF(RAW_GAMES!L667="","",RAW_GAMES!L667)</f>
        <v>1.74</v>
      </c>
      <c r="M667">
        <f>IF(RAW_GAMES!M667="","",RAW_GAMES!M667)</f>
        <v>3.27</v>
      </c>
      <c r="N667">
        <f t="shared" si="62"/>
        <v>-1.53</v>
      </c>
      <c r="O667" s="7">
        <f>RAW_GAMES!O667</f>
        <v>4</v>
      </c>
      <c r="P667">
        <f>RAW_GAMES!N667</f>
        <v>1</v>
      </c>
      <c r="Q667">
        <f t="shared" si="63"/>
        <v>0.25</v>
      </c>
      <c r="R667" s="7">
        <f>RAW_GAMES!Q667</f>
        <v>3</v>
      </c>
      <c r="S667">
        <f>RAW_GAMES!P667</f>
        <v>1</v>
      </c>
      <c r="T667">
        <f t="shared" si="64"/>
        <v>0.66666666666666674</v>
      </c>
      <c r="U667">
        <f>_xlfn.XLOOKUP(C667,
  CALC_TEAMS_SEASON!B:B,
  CALC_TEAMS_SEASON!F:F)</f>
        <v>0.13120421245421243</v>
      </c>
      <c r="V667">
        <f>_xlfn.XLOOKUP(D667,
  CALC_TEAMS_SEASON!B:B,
  CALC_TEAMS_SEASON!F:F)</f>
        <v>0.17437423687423692</v>
      </c>
      <c r="W667" t="str">
        <f>RAW_GAMES!R667</f>
        <v>Brízgala</v>
      </c>
      <c r="X667" s="7">
        <f>RAW_GAMES!S667</f>
        <v>21</v>
      </c>
      <c r="Y667">
        <f t="shared" si="65"/>
        <v>0</v>
      </c>
      <c r="Z667" t="str">
        <f>RAW_GAMES!V667</f>
        <v>RS</v>
      </c>
    </row>
    <row r="668" spans="1:26" x14ac:dyDescent="0.25">
      <c r="A668" t="str">
        <f>RAW_GAMES!A668</f>
        <v>25/26</v>
      </c>
      <c r="B668" s="3">
        <f>RAW_GAMES!B668</f>
        <v>46078</v>
      </c>
      <c r="C668" s="3" t="str">
        <f>RAW_GAMES!E668</f>
        <v>KVA</v>
      </c>
      <c r="D668" s="3" t="str">
        <f>RAW_GAMES!F668</f>
        <v>PLZ</v>
      </c>
      <c r="E668" s="7">
        <f>RAW_GAMES!G668</f>
        <v>0</v>
      </c>
      <c r="F668">
        <f>RAW_GAMES!H668</f>
        <v>0</v>
      </c>
      <c r="G668">
        <f>RAW_GAMES!I668</f>
        <v>2</v>
      </c>
      <c r="H668">
        <f t="shared" si="60"/>
        <v>-2</v>
      </c>
      <c r="I668">
        <f>RAW_GAMES!J668</f>
        <v>23</v>
      </c>
      <c r="J668">
        <f>RAW_GAMES!K668</f>
        <v>32</v>
      </c>
      <c r="K668">
        <f t="shared" si="61"/>
        <v>-9</v>
      </c>
      <c r="L668" t="str">
        <f>IF(RAW_GAMES!L668="","",RAW_GAMES!L668)</f>
        <v/>
      </c>
      <c r="M668" t="str">
        <f>IF(RAW_GAMES!M668="","",RAW_GAMES!M668)</f>
        <v/>
      </c>
      <c r="N668" t="str">
        <f t="shared" si="62"/>
        <v/>
      </c>
      <c r="O668" s="7">
        <f>RAW_GAMES!O668</f>
        <v>1</v>
      </c>
      <c r="P668">
        <f>RAW_GAMES!N668</f>
        <v>0</v>
      </c>
      <c r="Q668">
        <f t="shared" si="63"/>
        <v>0</v>
      </c>
      <c r="R668" s="7">
        <f>RAW_GAMES!Q668</f>
        <v>3</v>
      </c>
      <c r="S668">
        <f>RAW_GAMES!P668</f>
        <v>0</v>
      </c>
      <c r="T668">
        <f t="shared" si="64"/>
        <v>1</v>
      </c>
      <c r="U668">
        <f>_xlfn.XLOOKUP(C668,
  CALC_TEAMS_SEASON!B:B,
  CALC_TEAMS_SEASON!F:F)</f>
        <v>0.17387057387057389</v>
      </c>
      <c r="V668">
        <f>_xlfn.XLOOKUP(D668,
  CALC_TEAMS_SEASON!B:B,
  CALC_TEAMS_SEASON!F:F)</f>
        <v>0.17641178266178262</v>
      </c>
      <c r="W668" t="str">
        <f>RAW_GAMES!R668</f>
        <v>Frodl</v>
      </c>
      <c r="X668" s="7">
        <f>RAW_GAMES!S668</f>
        <v>30</v>
      </c>
      <c r="Y668">
        <f t="shared" si="65"/>
        <v>0</v>
      </c>
      <c r="Z668" t="str">
        <f>RAW_GAMES!V668</f>
        <v>RS</v>
      </c>
    </row>
    <row r="669" spans="1:26" x14ac:dyDescent="0.25">
      <c r="A669" t="str">
        <f>RAW_GAMES!A669</f>
        <v>25/26</v>
      </c>
      <c r="B669" s="3">
        <f>RAW_GAMES!B669</f>
        <v>46078</v>
      </c>
      <c r="C669" s="3" t="str">
        <f>RAW_GAMES!E669</f>
        <v>LIB</v>
      </c>
      <c r="D669" s="3" t="str">
        <f>RAW_GAMES!F669</f>
        <v>SPA</v>
      </c>
      <c r="E669" s="7">
        <f>RAW_GAMES!G669</f>
        <v>1</v>
      </c>
      <c r="F669">
        <f>RAW_GAMES!H669</f>
        <v>1</v>
      </c>
      <c r="G669">
        <f>RAW_GAMES!I669</f>
        <v>2</v>
      </c>
      <c r="H669">
        <f t="shared" si="60"/>
        <v>-1</v>
      </c>
      <c r="I669">
        <f>RAW_GAMES!J669</f>
        <v>37</v>
      </c>
      <c r="J669">
        <f>RAW_GAMES!K669</f>
        <v>18</v>
      </c>
      <c r="K669">
        <f t="shared" si="61"/>
        <v>19</v>
      </c>
      <c r="L669">
        <f>IF(RAW_GAMES!L669="","",RAW_GAMES!L669)</f>
        <v>3.71</v>
      </c>
      <c r="M669">
        <f>IF(RAW_GAMES!M669="","",RAW_GAMES!M669)</f>
        <v>2.3199999999999998</v>
      </c>
      <c r="N669">
        <f t="shared" si="62"/>
        <v>1.3900000000000001</v>
      </c>
      <c r="O669" s="7">
        <f>RAW_GAMES!O669</f>
        <v>8</v>
      </c>
      <c r="P669">
        <f>RAW_GAMES!N669</f>
        <v>1</v>
      </c>
      <c r="Q669">
        <f t="shared" si="63"/>
        <v>0.125</v>
      </c>
      <c r="R669" s="7">
        <f>RAW_GAMES!Q669</f>
        <v>5</v>
      </c>
      <c r="S669">
        <f>RAW_GAMES!P669</f>
        <v>0</v>
      </c>
      <c r="T669">
        <f t="shared" si="64"/>
        <v>1</v>
      </c>
      <c r="U669">
        <f>_xlfn.XLOOKUP(C669,
  CALC_TEAMS_SEASON!B:B,
  CALC_TEAMS_SEASON!F:F)</f>
        <v>0.14377289377289379</v>
      </c>
      <c r="V669">
        <f>_xlfn.XLOOKUP(D669,
  CALC_TEAMS_SEASON!B:B,
  CALC_TEAMS_SEASON!F:F)</f>
        <v>0.22060439560439565</v>
      </c>
      <c r="W669" t="str">
        <f>RAW_GAMES!R669</f>
        <v>Kváča</v>
      </c>
      <c r="X669" s="7">
        <f>RAW_GAMES!S669</f>
        <v>15</v>
      </c>
      <c r="Y669">
        <f t="shared" si="65"/>
        <v>0</v>
      </c>
      <c r="Z669" t="str">
        <f>RAW_GAMES!V669</f>
        <v>RS</v>
      </c>
    </row>
    <row r="670" spans="1:26" x14ac:dyDescent="0.25">
      <c r="A670" t="str">
        <f>RAW_GAMES!A670</f>
        <v>25/26</v>
      </c>
      <c r="B670" s="3">
        <f>RAW_GAMES!B670</f>
        <v>46078</v>
      </c>
      <c r="C670" s="3" t="str">
        <f>RAW_GAMES!E670</f>
        <v>LIT</v>
      </c>
      <c r="D670" s="3" t="str">
        <f>RAW_GAMES!F670</f>
        <v>CEB</v>
      </c>
      <c r="E670" s="7">
        <f>RAW_GAMES!G670</f>
        <v>0</v>
      </c>
      <c r="F670">
        <f>RAW_GAMES!H670</f>
        <v>2</v>
      </c>
      <c r="G670">
        <f>RAW_GAMES!I670</f>
        <v>4</v>
      </c>
      <c r="H670">
        <f t="shared" si="60"/>
        <v>-2</v>
      </c>
      <c r="I670">
        <f>RAW_GAMES!J670</f>
        <v>23</v>
      </c>
      <c r="J670">
        <f>RAW_GAMES!K670</f>
        <v>40</v>
      </c>
      <c r="K670">
        <f t="shared" si="61"/>
        <v>-17</v>
      </c>
      <c r="L670" t="str">
        <f>IF(RAW_GAMES!L670="","",RAW_GAMES!L670)</f>
        <v/>
      </c>
      <c r="M670" t="str">
        <f>IF(RAW_GAMES!M670="","",RAW_GAMES!M670)</f>
        <v/>
      </c>
      <c r="N670" t="str">
        <f t="shared" si="62"/>
        <v/>
      </c>
      <c r="O670" s="7">
        <f>RAW_GAMES!O670</f>
        <v>4</v>
      </c>
      <c r="P670">
        <f>RAW_GAMES!N670</f>
        <v>1</v>
      </c>
      <c r="Q670">
        <f t="shared" si="63"/>
        <v>0.25</v>
      </c>
      <c r="R670" s="7">
        <f>RAW_GAMES!Q670</f>
        <v>11</v>
      </c>
      <c r="S670">
        <f>RAW_GAMES!P670</f>
        <v>2</v>
      </c>
      <c r="T670">
        <f t="shared" si="64"/>
        <v>0.81818181818181812</v>
      </c>
      <c r="U670">
        <f>_xlfn.XLOOKUP(C670,
  CALC_TEAMS_SEASON!B:B,
  CALC_TEAMS_SEASON!F:F)</f>
        <v>0.10089285714285713</v>
      </c>
      <c r="V670">
        <f>_xlfn.XLOOKUP(D670,
  CALC_TEAMS_SEASON!B:B,
  CALC_TEAMS_SEASON!F:F)</f>
        <v>0.13021353646353648</v>
      </c>
      <c r="W670" t="str">
        <f>RAW_GAMES!R670</f>
        <v>Čajan</v>
      </c>
      <c r="X670" s="7">
        <f>RAW_GAMES!S670</f>
        <v>36</v>
      </c>
      <c r="Y670">
        <f t="shared" si="65"/>
        <v>0</v>
      </c>
      <c r="Z670" t="str">
        <f>RAW_GAMES!V670</f>
        <v>RS</v>
      </c>
    </row>
    <row r="671" spans="1:26" x14ac:dyDescent="0.25">
      <c r="A671" t="str">
        <f>RAW_GAMES!A671</f>
        <v>25/26</v>
      </c>
      <c r="B671" s="3">
        <f>RAW_GAMES!B671</f>
        <v>46078</v>
      </c>
      <c r="C671" s="3" t="str">
        <f>RAW_GAMES!E671</f>
        <v>MHK</v>
      </c>
      <c r="D671" s="3" t="str">
        <f>RAW_GAMES!F671</f>
        <v>VIT</v>
      </c>
      <c r="E671" s="7">
        <f>RAW_GAMES!G671</f>
        <v>1</v>
      </c>
      <c r="F671">
        <f>RAW_GAMES!H671</f>
        <v>4</v>
      </c>
      <c r="G671">
        <f>RAW_GAMES!I671</f>
        <v>0</v>
      </c>
      <c r="H671">
        <f t="shared" si="60"/>
        <v>4</v>
      </c>
      <c r="I671">
        <f>RAW_GAMES!J671</f>
        <v>26</v>
      </c>
      <c r="J671">
        <f>RAW_GAMES!K671</f>
        <v>25</v>
      </c>
      <c r="K671">
        <f t="shared" si="61"/>
        <v>1</v>
      </c>
      <c r="L671" t="str">
        <f>IF(RAW_GAMES!L671="","",RAW_GAMES!L671)</f>
        <v/>
      </c>
      <c r="M671" t="str">
        <f>IF(RAW_GAMES!M671="","",RAW_GAMES!M671)</f>
        <v/>
      </c>
      <c r="N671" t="str">
        <f t="shared" si="62"/>
        <v/>
      </c>
      <c r="O671" s="7">
        <f>RAW_GAMES!O671</f>
        <v>5</v>
      </c>
      <c r="P671">
        <f>RAW_GAMES!N671</f>
        <v>1</v>
      </c>
      <c r="Q671">
        <f t="shared" si="63"/>
        <v>0.2</v>
      </c>
      <c r="R671" s="7">
        <f>RAW_GAMES!Q671</f>
        <v>6</v>
      </c>
      <c r="S671">
        <f>RAW_GAMES!P671</f>
        <v>0</v>
      </c>
      <c r="T671">
        <f t="shared" si="64"/>
        <v>1</v>
      </c>
      <c r="U671">
        <f>_xlfn.XLOOKUP(C671,
  CALC_TEAMS_SEASON!B:B,
  CALC_TEAMS_SEASON!F:F)</f>
        <v>0.14184981684981687</v>
      </c>
      <c r="V671">
        <f>_xlfn.XLOOKUP(D671,
  CALC_TEAMS_SEASON!B:B,
  CALC_TEAMS_SEASON!F:F)</f>
        <v>0.16984890109890113</v>
      </c>
      <c r="W671" t="str">
        <f>RAW_GAMES!R671</f>
        <v>Škorvánek</v>
      </c>
      <c r="X671" s="7">
        <f>RAW_GAMES!S671</f>
        <v>25</v>
      </c>
      <c r="Y671">
        <f t="shared" si="65"/>
        <v>1</v>
      </c>
      <c r="Z671" t="str">
        <f>RAW_GAMES!V671</f>
        <v>RS</v>
      </c>
    </row>
    <row r="672" spans="1:26" x14ac:dyDescent="0.25">
      <c r="A672" t="str">
        <f>RAW_GAMES!A672</f>
        <v>25/26</v>
      </c>
      <c r="B672" s="3">
        <f>RAW_GAMES!B672</f>
        <v>46078</v>
      </c>
      <c r="C672" s="3" t="str">
        <f>RAW_GAMES!E672</f>
        <v>PLZ</v>
      </c>
      <c r="D672" s="3" t="str">
        <f>RAW_GAMES!F672</f>
        <v>KVA</v>
      </c>
      <c r="E672" s="7">
        <f>RAW_GAMES!G672</f>
        <v>1</v>
      </c>
      <c r="F672">
        <f>RAW_GAMES!H672</f>
        <v>2</v>
      </c>
      <c r="G672">
        <f>RAW_GAMES!I672</f>
        <v>0</v>
      </c>
      <c r="H672">
        <f t="shared" si="60"/>
        <v>2</v>
      </c>
      <c r="I672">
        <f>RAW_GAMES!J672</f>
        <v>32</v>
      </c>
      <c r="J672">
        <f>RAW_GAMES!K672</f>
        <v>23</v>
      </c>
      <c r="K672">
        <f t="shared" si="61"/>
        <v>9</v>
      </c>
      <c r="L672" t="str">
        <f>IF(RAW_GAMES!L672="","",RAW_GAMES!L672)</f>
        <v/>
      </c>
      <c r="M672" t="str">
        <f>IF(RAW_GAMES!M672="","",RAW_GAMES!M672)</f>
        <v/>
      </c>
      <c r="N672" t="str">
        <f t="shared" si="62"/>
        <v/>
      </c>
      <c r="O672" s="7">
        <f>RAW_GAMES!O672</f>
        <v>3</v>
      </c>
      <c r="P672">
        <f>RAW_GAMES!N672</f>
        <v>0</v>
      </c>
      <c r="Q672">
        <f t="shared" si="63"/>
        <v>0</v>
      </c>
      <c r="R672" s="7">
        <f>RAW_GAMES!Q672</f>
        <v>1</v>
      </c>
      <c r="S672">
        <f>RAW_GAMES!P672</f>
        <v>0</v>
      </c>
      <c r="T672">
        <f t="shared" si="64"/>
        <v>1</v>
      </c>
      <c r="U672">
        <f>_xlfn.XLOOKUP(C672,
  CALC_TEAMS_SEASON!B:B,
  CALC_TEAMS_SEASON!F:F)</f>
        <v>0.17641178266178262</v>
      </c>
      <c r="V672">
        <f>_xlfn.XLOOKUP(D672,
  CALC_TEAMS_SEASON!B:B,
  CALC_TEAMS_SEASON!F:F)</f>
        <v>0.17387057387057389</v>
      </c>
      <c r="W672" t="str">
        <f>RAW_GAMES!R672</f>
        <v>Malík</v>
      </c>
      <c r="X672" s="7">
        <f>RAW_GAMES!S672</f>
        <v>23</v>
      </c>
      <c r="Y672">
        <f t="shared" si="65"/>
        <v>1</v>
      </c>
      <c r="Z672" t="str">
        <f>RAW_GAMES!V672</f>
        <v>RS</v>
      </c>
    </row>
    <row r="673" spans="1:26" x14ac:dyDescent="0.25">
      <c r="A673" t="str">
        <f>RAW_GAMES!A673</f>
        <v>25/26</v>
      </c>
      <c r="B673" s="3">
        <f>RAW_GAMES!B673</f>
        <v>46078</v>
      </c>
      <c r="C673" s="3" t="str">
        <f>RAW_GAMES!E673</f>
        <v>VIT</v>
      </c>
      <c r="D673" s="3" t="str">
        <f>RAW_GAMES!F673</f>
        <v>MHK</v>
      </c>
      <c r="E673" s="7">
        <f>RAW_GAMES!G673</f>
        <v>0</v>
      </c>
      <c r="F673">
        <f>RAW_GAMES!H673</f>
        <v>0</v>
      </c>
      <c r="G673">
        <f>RAW_GAMES!I673</f>
        <v>4</v>
      </c>
      <c r="H673">
        <f t="shared" si="60"/>
        <v>-4</v>
      </c>
      <c r="I673">
        <f>RAW_GAMES!J673</f>
        <v>25</v>
      </c>
      <c r="J673">
        <f>RAW_GAMES!K673</f>
        <v>26</v>
      </c>
      <c r="K673">
        <f t="shared" si="61"/>
        <v>-1</v>
      </c>
      <c r="L673" t="str">
        <f>IF(RAW_GAMES!L673="","",RAW_GAMES!L673)</f>
        <v/>
      </c>
      <c r="M673" t="str">
        <f>IF(RAW_GAMES!M673="","",RAW_GAMES!M673)</f>
        <v/>
      </c>
      <c r="N673" t="str">
        <f t="shared" si="62"/>
        <v/>
      </c>
      <c r="O673" s="7">
        <f>RAW_GAMES!O673</f>
        <v>6</v>
      </c>
      <c r="P673">
        <f>RAW_GAMES!N673</f>
        <v>0</v>
      </c>
      <c r="Q673">
        <f t="shared" si="63"/>
        <v>0</v>
      </c>
      <c r="R673" s="7">
        <f>RAW_GAMES!Q673</f>
        <v>5</v>
      </c>
      <c r="S673">
        <f>RAW_GAMES!P673</f>
        <v>1</v>
      </c>
      <c r="T673">
        <f t="shared" si="64"/>
        <v>0.8</v>
      </c>
      <c r="U673">
        <f>_xlfn.XLOOKUP(C673,
  CALC_TEAMS_SEASON!B:B,
  CALC_TEAMS_SEASON!F:F)</f>
        <v>0.16984890109890113</v>
      </c>
      <c r="V673">
        <f>_xlfn.XLOOKUP(D673,
  CALC_TEAMS_SEASON!B:B,
  CALC_TEAMS_SEASON!F:F)</f>
        <v>0.14184981684981687</v>
      </c>
      <c r="W673" t="str">
        <f>RAW_GAMES!R673</f>
        <v>Hrachovina</v>
      </c>
      <c r="X673" s="7">
        <f>RAW_GAMES!S673</f>
        <v>22</v>
      </c>
      <c r="Y673">
        <f t="shared" si="65"/>
        <v>0</v>
      </c>
      <c r="Z673" t="str">
        <f>RAW_GAMES!V673</f>
        <v>RS</v>
      </c>
    </row>
    <row r="674" spans="1:26" x14ac:dyDescent="0.25">
      <c r="A674" t="str">
        <f>RAW_GAMES!A674</f>
        <v>25/26</v>
      </c>
      <c r="B674" s="3">
        <f>RAW_GAMES!B674</f>
        <v>46080</v>
      </c>
      <c r="C674" s="3" t="str">
        <f>RAW_GAMES!E674</f>
        <v>PCE</v>
      </c>
      <c r="D674" s="3" t="str">
        <f>RAW_GAMES!F674</f>
        <v>LIT</v>
      </c>
      <c r="E674" s="7">
        <f>RAW_GAMES!G674</f>
        <v>0</v>
      </c>
      <c r="F674">
        <f>RAW_GAMES!H674</f>
        <v>4</v>
      </c>
      <c r="G674">
        <f>RAW_GAMES!I674</f>
        <v>1</v>
      </c>
      <c r="H674">
        <f t="shared" si="60"/>
        <v>3</v>
      </c>
      <c r="I674">
        <f>RAW_GAMES!J674</f>
        <v>25</v>
      </c>
      <c r="J674">
        <f>RAW_GAMES!K674</f>
        <v>26</v>
      </c>
      <c r="K674">
        <f t="shared" si="61"/>
        <v>-1</v>
      </c>
      <c r="L674">
        <f>IF(RAW_GAMES!L674="","",RAW_GAMES!L674)</f>
        <v>2.72</v>
      </c>
      <c r="M674">
        <f>IF(RAW_GAMES!M674="","",RAW_GAMES!M674)</f>
        <v>2.09</v>
      </c>
      <c r="N674">
        <f t="shared" si="62"/>
        <v>0.63000000000000034</v>
      </c>
      <c r="O674" s="7">
        <f>RAW_GAMES!O674</f>
        <v>5</v>
      </c>
      <c r="P674">
        <f>RAW_GAMES!N674</f>
        <v>2</v>
      </c>
      <c r="Q674">
        <f t="shared" si="63"/>
        <v>0.4</v>
      </c>
      <c r="R674" s="7">
        <f>RAW_GAMES!Q674</f>
        <v>4</v>
      </c>
      <c r="S674">
        <f>RAW_GAMES!P674</f>
        <v>1</v>
      </c>
      <c r="T674">
        <f t="shared" si="64"/>
        <v>0.75</v>
      </c>
      <c r="U674">
        <f>_xlfn.XLOOKUP(C674,
  CALC_TEAMS_SEASON!B:B,
  CALC_TEAMS_SEASON!F:F)</f>
        <v>0.20297619047619053</v>
      </c>
      <c r="V674">
        <f>_xlfn.XLOOKUP(D674,
  CALC_TEAMS_SEASON!B:B,
  CALC_TEAMS_SEASON!F:F)</f>
        <v>0.10089285714285713</v>
      </c>
      <c r="W674" t="str">
        <f>RAW_GAMES!R674</f>
        <v>Will</v>
      </c>
      <c r="X674" s="7">
        <f>RAW_GAMES!S674</f>
        <v>25</v>
      </c>
      <c r="Y674">
        <f t="shared" si="65"/>
        <v>1</v>
      </c>
      <c r="Z674" t="str">
        <f>RAW_GAMES!V674</f>
        <v>RS</v>
      </c>
    </row>
    <row r="675" spans="1:26" x14ac:dyDescent="0.25">
      <c r="A675" t="str">
        <f>RAW_GAMES!A675</f>
        <v>25/26</v>
      </c>
      <c r="B675" s="3">
        <f>RAW_GAMES!B675</f>
        <v>46080</v>
      </c>
      <c r="C675" s="3" t="str">
        <f>RAW_GAMES!E675</f>
        <v>TRI</v>
      </c>
      <c r="D675" s="3" t="str">
        <f>RAW_GAMES!F675</f>
        <v>KOM</v>
      </c>
      <c r="E675" s="7">
        <f>RAW_GAMES!G675</f>
        <v>0</v>
      </c>
      <c r="F675">
        <f>RAW_GAMES!H675</f>
        <v>1</v>
      </c>
      <c r="G675">
        <f>RAW_GAMES!I675</f>
        <v>5</v>
      </c>
      <c r="H675">
        <f t="shared" si="60"/>
        <v>-4</v>
      </c>
      <c r="I675">
        <f>RAW_GAMES!J675</f>
        <v>43</v>
      </c>
      <c r="J675">
        <f>RAW_GAMES!K675</f>
        <v>29</v>
      </c>
      <c r="K675">
        <f t="shared" si="61"/>
        <v>14</v>
      </c>
      <c r="L675">
        <f>IF(RAW_GAMES!L675="","",RAW_GAMES!L675)</f>
        <v>3.65</v>
      </c>
      <c r="M675">
        <f>IF(RAW_GAMES!M675="","",RAW_GAMES!M675)</f>
        <v>2.5299999999999998</v>
      </c>
      <c r="N675">
        <f t="shared" si="62"/>
        <v>1.1200000000000001</v>
      </c>
      <c r="O675" s="7">
        <f>RAW_GAMES!O675</f>
        <v>3</v>
      </c>
      <c r="P675">
        <f>RAW_GAMES!N675</f>
        <v>0</v>
      </c>
      <c r="Q675">
        <f t="shared" si="63"/>
        <v>0</v>
      </c>
      <c r="R675" s="7">
        <f>RAW_GAMES!Q675</f>
        <v>3</v>
      </c>
      <c r="S675">
        <f>RAW_GAMES!P675</f>
        <v>0</v>
      </c>
      <c r="T675">
        <f t="shared" si="64"/>
        <v>1</v>
      </c>
      <c r="U675">
        <f>_xlfn.XLOOKUP(C675,
  CALC_TEAMS_SEASON!B:B,
  CALC_TEAMS_SEASON!F:F)</f>
        <v>0.17437423687423692</v>
      </c>
      <c r="V675">
        <f>_xlfn.XLOOKUP(D675,
  CALC_TEAMS_SEASON!B:B,
  CALC_TEAMS_SEASON!F:F)</f>
        <v>0.14358974358974358</v>
      </c>
      <c r="W675" t="str">
        <f>RAW_GAMES!R675</f>
        <v>Mazanec</v>
      </c>
      <c r="X675" s="7">
        <f>RAW_GAMES!S675</f>
        <v>24</v>
      </c>
      <c r="Y675">
        <f t="shared" si="65"/>
        <v>0</v>
      </c>
      <c r="Z675" t="str">
        <f>RAW_GAMES!V675</f>
        <v>RS</v>
      </c>
    </row>
    <row r="676" spans="1:26" x14ac:dyDescent="0.25">
      <c r="A676" t="str">
        <f>RAW_GAMES!A676</f>
        <v>25/26</v>
      </c>
      <c r="B676" s="3">
        <f>RAW_GAMES!B676</f>
        <v>46080</v>
      </c>
      <c r="C676" s="3" t="str">
        <f>RAW_GAMES!E676</f>
        <v>SPA</v>
      </c>
      <c r="D676" s="3" t="str">
        <f>RAW_GAMES!F676</f>
        <v>PLZ</v>
      </c>
      <c r="E676" s="7">
        <f>RAW_GAMES!G676</f>
        <v>1</v>
      </c>
      <c r="F676">
        <f>RAW_GAMES!H676</f>
        <v>3</v>
      </c>
      <c r="G676">
        <f>RAW_GAMES!I676</f>
        <v>0</v>
      </c>
      <c r="H676">
        <f t="shared" si="60"/>
        <v>3</v>
      </c>
      <c r="I676">
        <f>RAW_GAMES!J676</f>
        <v>24</v>
      </c>
      <c r="J676">
        <f>RAW_GAMES!K676</f>
        <v>28</v>
      </c>
      <c r="K676">
        <f t="shared" si="61"/>
        <v>-4</v>
      </c>
      <c r="L676">
        <f>IF(RAW_GAMES!L676="","",RAW_GAMES!L676)</f>
        <v>2.2599999999999998</v>
      </c>
      <c r="M676">
        <f>IF(RAW_GAMES!M676="","",RAW_GAMES!M676)</f>
        <v>2.73</v>
      </c>
      <c r="N676">
        <f t="shared" si="62"/>
        <v>-0.4700000000000002</v>
      </c>
      <c r="O676" s="7">
        <f>RAW_GAMES!O676</f>
        <v>2</v>
      </c>
      <c r="P676">
        <f>RAW_GAMES!N676</f>
        <v>1</v>
      </c>
      <c r="Q676">
        <f t="shared" si="63"/>
        <v>0.5</v>
      </c>
      <c r="R676" s="7">
        <f>RAW_GAMES!Q676</f>
        <v>3</v>
      </c>
      <c r="S676">
        <f>RAW_GAMES!P676</f>
        <v>0</v>
      </c>
      <c r="T676">
        <f t="shared" si="64"/>
        <v>1</v>
      </c>
      <c r="U676">
        <f>_xlfn.XLOOKUP(C676,
  CALC_TEAMS_SEASON!B:B,
  CALC_TEAMS_SEASON!F:F)</f>
        <v>0.22060439560439565</v>
      </c>
      <c r="V676">
        <f>_xlfn.XLOOKUP(D676,
  CALC_TEAMS_SEASON!B:B,
  CALC_TEAMS_SEASON!F:F)</f>
        <v>0.17641178266178262</v>
      </c>
      <c r="W676" t="str">
        <f>RAW_GAMES!R676</f>
        <v>Kořenář</v>
      </c>
      <c r="X676" s="7">
        <f>RAW_GAMES!S676</f>
        <v>28</v>
      </c>
      <c r="Y676">
        <f t="shared" si="65"/>
        <v>1</v>
      </c>
      <c r="Z676" t="str">
        <f>RAW_GAMES!V676</f>
        <v>RS</v>
      </c>
    </row>
    <row r="677" spans="1:26" x14ac:dyDescent="0.25">
      <c r="A677" t="str">
        <f>RAW_GAMES!A677</f>
        <v>25/26</v>
      </c>
      <c r="B677" s="3">
        <f>RAW_GAMES!B677</f>
        <v>46080</v>
      </c>
      <c r="C677" s="3" t="str">
        <f>RAW_GAMES!E677</f>
        <v>KOM</v>
      </c>
      <c r="D677" s="3" t="str">
        <f>RAW_GAMES!F677</f>
        <v>TRI</v>
      </c>
      <c r="E677" s="7">
        <f>RAW_GAMES!G677</f>
        <v>1</v>
      </c>
      <c r="F677">
        <f>RAW_GAMES!H677</f>
        <v>5</v>
      </c>
      <c r="G677">
        <f>RAW_GAMES!I677</f>
        <v>1</v>
      </c>
      <c r="H677">
        <f t="shared" si="60"/>
        <v>4</v>
      </c>
      <c r="I677">
        <f>RAW_GAMES!J677</f>
        <v>29</v>
      </c>
      <c r="J677">
        <f>RAW_GAMES!K677</f>
        <v>43</v>
      </c>
      <c r="K677">
        <f t="shared" si="61"/>
        <v>-14</v>
      </c>
      <c r="L677">
        <f>IF(RAW_GAMES!L677="","",RAW_GAMES!L677)</f>
        <v>2.5299999999999998</v>
      </c>
      <c r="M677">
        <f>IF(RAW_GAMES!M677="","",RAW_GAMES!M677)</f>
        <v>3.65</v>
      </c>
      <c r="N677">
        <f t="shared" si="62"/>
        <v>-1.1200000000000001</v>
      </c>
      <c r="O677" s="7">
        <f>RAW_GAMES!O677</f>
        <v>3</v>
      </c>
      <c r="P677">
        <f>RAW_GAMES!N677</f>
        <v>0</v>
      </c>
      <c r="Q677">
        <f t="shared" si="63"/>
        <v>0</v>
      </c>
      <c r="R677" s="7">
        <f>RAW_GAMES!Q677</f>
        <v>3</v>
      </c>
      <c r="S677">
        <f>RAW_GAMES!P677</f>
        <v>0</v>
      </c>
      <c r="T677">
        <f t="shared" si="64"/>
        <v>1</v>
      </c>
      <c r="U677">
        <f>_xlfn.XLOOKUP(C677,
  CALC_TEAMS_SEASON!B:B,
  CALC_TEAMS_SEASON!F:F)</f>
        <v>0.14358974358974358</v>
      </c>
      <c r="V677">
        <f>_xlfn.XLOOKUP(D677,
  CALC_TEAMS_SEASON!B:B,
  CALC_TEAMS_SEASON!F:F)</f>
        <v>0.17437423687423692</v>
      </c>
      <c r="W677" t="str">
        <f>RAW_GAMES!R677</f>
        <v>Stezka</v>
      </c>
      <c r="X677" s="7">
        <f>RAW_GAMES!S677</f>
        <v>42</v>
      </c>
      <c r="Y677">
        <f t="shared" si="65"/>
        <v>1</v>
      </c>
      <c r="Z677" t="str">
        <f>RAW_GAMES!V677</f>
        <v>RS</v>
      </c>
    </row>
    <row r="678" spans="1:26" x14ac:dyDescent="0.25">
      <c r="A678" t="str">
        <f>RAW_GAMES!A678</f>
        <v>25/26</v>
      </c>
      <c r="B678" s="3">
        <f>RAW_GAMES!B678</f>
        <v>46080</v>
      </c>
      <c r="C678" s="3" t="str">
        <f>RAW_GAMES!E678</f>
        <v>CEB</v>
      </c>
      <c r="D678" s="3" t="str">
        <f>RAW_GAMES!F678</f>
        <v>VIT</v>
      </c>
      <c r="E678" s="7">
        <f>RAW_GAMES!G678</f>
        <v>0</v>
      </c>
      <c r="F678">
        <f>RAW_GAMES!H678</f>
        <v>4</v>
      </c>
      <c r="G678">
        <f>RAW_GAMES!I678</f>
        <v>5</v>
      </c>
      <c r="H678">
        <f t="shared" si="60"/>
        <v>-1</v>
      </c>
      <c r="I678">
        <f>RAW_GAMES!J678</f>
        <v>39</v>
      </c>
      <c r="J678">
        <f>RAW_GAMES!K678</f>
        <v>32</v>
      </c>
      <c r="K678">
        <f t="shared" si="61"/>
        <v>7</v>
      </c>
      <c r="L678" t="str">
        <f>IF(RAW_GAMES!L678="","",RAW_GAMES!L678)</f>
        <v/>
      </c>
      <c r="M678" t="str">
        <f>IF(RAW_GAMES!M678="","",RAW_GAMES!M678)</f>
        <v/>
      </c>
      <c r="N678" t="str">
        <f t="shared" si="62"/>
        <v/>
      </c>
      <c r="O678" s="7">
        <f>RAW_GAMES!O678</f>
        <v>4</v>
      </c>
      <c r="P678">
        <f>RAW_GAMES!N678</f>
        <v>1</v>
      </c>
      <c r="Q678">
        <f t="shared" si="63"/>
        <v>0.25</v>
      </c>
      <c r="R678" s="7">
        <f>RAW_GAMES!Q678</f>
        <v>4</v>
      </c>
      <c r="S678">
        <f>RAW_GAMES!P678</f>
        <v>2</v>
      </c>
      <c r="T678">
        <f t="shared" si="64"/>
        <v>0.5</v>
      </c>
      <c r="U678">
        <f>_xlfn.XLOOKUP(C678,
  CALC_TEAMS_SEASON!B:B,
  CALC_TEAMS_SEASON!F:F)</f>
        <v>0.13021353646353648</v>
      </c>
      <c r="V678">
        <f>_xlfn.XLOOKUP(D678,
  CALC_TEAMS_SEASON!B:B,
  CALC_TEAMS_SEASON!F:F)</f>
        <v>0.16984890109890113</v>
      </c>
      <c r="W678" t="str">
        <f>RAW_GAMES!R678</f>
        <v>Klouček</v>
      </c>
      <c r="X678" s="7">
        <f>RAW_GAMES!S678</f>
        <v>27</v>
      </c>
      <c r="Y678">
        <f t="shared" si="65"/>
        <v>0</v>
      </c>
      <c r="Z678" t="str">
        <f>RAW_GAMES!V678</f>
        <v>RS</v>
      </c>
    </row>
    <row r="679" spans="1:26" x14ac:dyDescent="0.25">
      <c r="A679" t="str">
        <f>RAW_GAMES!A679</f>
        <v>25/26</v>
      </c>
      <c r="B679" s="3">
        <f>RAW_GAMES!B679</f>
        <v>46080</v>
      </c>
      <c r="C679" s="3" t="str">
        <f>RAW_GAMES!E679</f>
        <v>KLA</v>
      </c>
      <c r="D679" s="3" t="str">
        <f>RAW_GAMES!F679</f>
        <v>KVA</v>
      </c>
      <c r="E679" s="7">
        <f>RAW_GAMES!G679</f>
        <v>0</v>
      </c>
      <c r="F679">
        <f>RAW_GAMES!H679</f>
        <v>4</v>
      </c>
      <c r="G679">
        <f>RAW_GAMES!I679</f>
        <v>2</v>
      </c>
      <c r="H679">
        <f t="shared" si="60"/>
        <v>2</v>
      </c>
      <c r="I679">
        <f>RAW_GAMES!J679</f>
        <v>24</v>
      </c>
      <c r="J679">
        <f>RAW_GAMES!K679</f>
        <v>27</v>
      </c>
      <c r="K679">
        <f t="shared" si="61"/>
        <v>-3</v>
      </c>
      <c r="L679" t="str">
        <f>IF(RAW_GAMES!L679="","",RAW_GAMES!L679)</f>
        <v/>
      </c>
      <c r="M679" t="str">
        <f>IF(RAW_GAMES!M679="","",RAW_GAMES!M679)</f>
        <v/>
      </c>
      <c r="N679" t="str">
        <f t="shared" si="62"/>
        <v/>
      </c>
      <c r="O679" s="7">
        <f>RAW_GAMES!O679</f>
        <v>2</v>
      </c>
      <c r="P679">
        <f>RAW_GAMES!N679</f>
        <v>0</v>
      </c>
      <c r="Q679">
        <f t="shared" si="63"/>
        <v>0</v>
      </c>
      <c r="R679" s="7">
        <f>RAW_GAMES!Q679</f>
        <v>8</v>
      </c>
      <c r="S679">
        <f>RAW_GAMES!P679</f>
        <v>0</v>
      </c>
      <c r="T679">
        <f t="shared" si="64"/>
        <v>1</v>
      </c>
      <c r="U679">
        <f>_xlfn.XLOOKUP(C679,
  CALC_TEAMS_SEASON!B:B,
  CALC_TEAMS_SEASON!F:F)</f>
        <v>0.13120421245421243</v>
      </c>
      <c r="V679">
        <f>_xlfn.XLOOKUP(D679,
  CALC_TEAMS_SEASON!B:B,
  CALC_TEAMS_SEASON!F:F)</f>
        <v>0.17387057387057389</v>
      </c>
      <c r="W679" t="str">
        <f>RAW_GAMES!R679</f>
        <v>Brízgala</v>
      </c>
      <c r="X679" s="7">
        <f>RAW_GAMES!S679</f>
        <v>25</v>
      </c>
      <c r="Y679">
        <f t="shared" si="65"/>
        <v>1</v>
      </c>
      <c r="Z679" t="str">
        <f>RAW_GAMES!V679</f>
        <v>RS</v>
      </c>
    </row>
    <row r="680" spans="1:26" x14ac:dyDescent="0.25">
      <c r="A680" t="str">
        <f>RAW_GAMES!A680</f>
        <v>25/26</v>
      </c>
      <c r="B680" s="3">
        <f>RAW_GAMES!B680</f>
        <v>46080</v>
      </c>
      <c r="C680" s="3" t="str">
        <f>RAW_GAMES!E680</f>
        <v>KVA</v>
      </c>
      <c r="D680" s="3" t="str">
        <f>RAW_GAMES!F680</f>
        <v>KLA</v>
      </c>
      <c r="E680" s="7">
        <f>RAW_GAMES!G680</f>
        <v>1</v>
      </c>
      <c r="F680">
        <f>RAW_GAMES!H680</f>
        <v>2</v>
      </c>
      <c r="G680">
        <f>RAW_GAMES!I680</f>
        <v>4</v>
      </c>
      <c r="H680">
        <f t="shared" si="60"/>
        <v>-2</v>
      </c>
      <c r="I680">
        <f>RAW_GAMES!J680</f>
        <v>27</v>
      </c>
      <c r="J680">
        <f>RAW_GAMES!K680</f>
        <v>24</v>
      </c>
      <c r="K680">
        <f t="shared" si="61"/>
        <v>3</v>
      </c>
      <c r="L680" t="str">
        <f>IF(RAW_GAMES!L680="","",RAW_GAMES!L680)</f>
        <v/>
      </c>
      <c r="M680" t="str">
        <f>IF(RAW_GAMES!M680="","",RAW_GAMES!M680)</f>
        <v/>
      </c>
      <c r="N680" t="str">
        <f t="shared" si="62"/>
        <v/>
      </c>
      <c r="O680" s="7">
        <f>RAW_GAMES!O680</f>
        <v>8</v>
      </c>
      <c r="P680">
        <f>RAW_GAMES!N680</f>
        <v>0</v>
      </c>
      <c r="Q680">
        <f t="shared" si="63"/>
        <v>0</v>
      </c>
      <c r="R680" s="7">
        <f>RAW_GAMES!Q680</f>
        <v>2</v>
      </c>
      <c r="S680">
        <f>RAW_GAMES!P680</f>
        <v>0</v>
      </c>
      <c r="T680">
        <f t="shared" si="64"/>
        <v>1</v>
      </c>
      <c r="U680">
        <f>_xlfn.XLOOKUP(C680,
  CALC_TEAMS_SEASON!B:B,
  CALC_TEAMS_SEASON!F:F)</f>
        <v>0.17387057387057389</v>
      </c>
      <c r="V680">
        <f>_xlfn.XLOOKUP(D680,
  CALC_TEAMS_SEASON!B:B,
  CALC_TEAMS_SEASON!F:F)</f>
        <v>0.13120421245421243</v>
      </c>
      <c r="W680" t="str">
        <f>RAW_GAMES!R680</f>
        <v>Frodl</v>
      </c>
      <c r="X680" s="7">
        <f>RAW_GAMES!S680</f>
        <v>20</v>
      </c>
      <c r="Y680">
        <f t="shared" si="65"/>
        <v>0</v>
      </c>
      <c r="Z680" t="str">
        <f>RAW_GAMES!V680</f>
        <v>RS</v>
      </c>
    </row>
    <row r="681" spans="1:26" x14ac:dyDescent="0.25">
      <c r="A681" t="str">
        <f>RAW_GAMES!A681</f>
        <v>25/26</v>
      </c>
      <c r="B681" s="3">
        <f>RAW_GAMES!B681</f>
        <v>46080</v>
      </c>
      <c r="C681" s="3" t="str">
        <f>RAW_GAMES!E681</f>
        <v>LIB</v>
      </c>
      <c r="D681" s="3" t="str">
        <f>RAW_GAMES!F681</f>
        <v>MBL</v>
      </c>
      <c r="E681" s="7">
        <f>RAW_GAMES!G681</f>
        <v>0</v>
      </c>
      <c r="F681">
        <f>RAW_GAMES!H681</f>
        <v>5</v>
      </c>
      <c r="G681">
        <f>RAW_GAMES!I681</f>
        <v>4</v>
      </c>
      <c r="H681">
        <f t="shared" si="60"/>
        <v>1</v>
      </c>
      <c r="I681">
        <f>RAW_GAMES!J681</f>
        <v>28</v>
      </c>
      <c r="J681">
        <f>RAW_GAMES!K681</f>
        <v>35</v>
      </c>
      <c r="K681">
        <f t="shared" si="61"/>
        <v>-7</v>
      </c>
      <c r="L681" t="str">
        <f>IF(RAW_GAMES!L681="","",RAW_GAMES!L681)</f>
        <v/>
      </c>
      <c r="M681" t="str">
        <f>IF(RAW_GAMES!M681="","",RAW_GAMES!M681)</f>
        <v/>
      </c>
      <c r="N681" t="str">
        <f t="shared" si="62"/>
        <v/>
      </c>
      <c r="O681" s="7">
        <f>RAW_GAMES!O681</f>
        <v>4</v>
      </c>
      <c r="P681">
        <f>RAW_GAMES!N681</f>
        <v>1</v>
      </c>
      <c r="Q681">
        <f t="shared" si="63"/>
        <v>0.25</v>
      </c>
      <c r="R681" s="7">
        <f>RAW_GAMES!Q681</f>
        <v>5</v>
      </c>
      <c r="S681">
        <f>RAW_GAMES!P681</f>
        <v>0</v>
      </c>
      <c r="T681">
        <f t="shared" si="64"/>
        <v>1</v>
      </c>
      <c r="U681">
        <f>_xlfn.XLOOKUP(C681,
  CALC_TEAMS_SEASON!B:B,
  CALC_TEAMS_SEASON!F:F)</f>
        <v>0.14377289377289379</v>
      </c>
      <c r="V681">
        <f>_xlfn.XLOOKUP(D681,
  CALC_TEAMS_SEASON!B:B,
  CALC_TEAMS_SEASON!F:F)</f>
        <v>0.11826923076923078</v>
      </c>
      <c r="W681" t="str">
        <f>RAW_GAMES!R681</f>
        <v>Kváča</v>
      </c>
      <c r="X681" s="7">
        <f>RAW_GAMES!S681</f>
        <v>31</v>
      </c>
      <c r="Y681">
        <f t="shared" si="65"/>
        <v>1</v>
      </c>
      <c r="Z681" t="str">
        <f>RAW_GAMES!V681</f>
        <v>RS</v>
      </c>
    </row>
    <row r="682" spans="1:26" x14ac:dyDescent="0.25">
      <c r="A682" t="str">
        <f>RAW_GAMES!A682</f>
        <v>25/26</v>
      </c>
      <c r="B682" s="3">
        <f>RAW_GAMES!B682</f>
        <v>46080</v>
      </c>
      <c r="C682" s="3" t="str">
        <f>RAW_GAMES!E682</f>
        <v>LIT</v>
      </c>
      <c r="D682" s="3" t="str">
        <f>RAW_GAMES!F682</f>
        <v>PCE</v>
      </c>
      <c r="E682" s="7">
        <f>RAW_GAMES!G682</f>
        <v>1</v>
      </c>
      <c r="F682">
        <f>RAW_GAMES!H682</f>
        <v>1</v>
      </c>
      <c r="G682">
        <f>RAW_GAMES!I682</f>
        <v>4</v>
      </c>
      <c r="H682">
        <f t="shared" si="60"/>
        <v>-3</v>
      </c>
      <c r="I682">
        <f>RAW_GAMES!J682</f>
        <v>26</v>
      </c>
      <c r="J682">
        <f>RAW_GAMES!K682</f>
        <v>25</v>
      </c>
      <c r="K682">
        <f t="shared" si="61"/>
        <v>1</v>
      </c>
      <c r="L682">
        <f>IF(RAW_GAMES!L682="","",RAW_GAMES!L682)</f>
        <v>2.09</v>
      </c>
      <c r="M682">
        <f>IF(RAW_GAMES!M682="","",RAW_GAMES!M682)</f>
        <v>2.72</v>
      </c>
      <c r="N682">
        <f t="shared" si="62"/>
        <v>-0.63000000000000034</v>
      </c>
      <c r="O682" s="7">
        <f>RAW_GAMES!O682</f>
        <v>4</v>
      </c>
      <c r="P682">
        <f>RAW_GAMES!N682</f>
        <v>1</v>
      </c>
      <c r="Q682">
        <f t="shared" si="63"/>
        <v>0.25</v>
      </c>
      <c r="R682" s="7">
        <f>RAW_GAMES!Q682</f>
        <v>5</v>
      </c>
      <c r="S682">
        <f>RAW_GAMES!P682</f>
        <v>2</v>
      </c>
      <c r="T682">
        <f t="shared" si="64"/>
        <v>0.6</v>
      </c>
      <c r="U682">
        <f>_xlfn.XLOOKUP(C682,
  CALC_TEAMS_SEASON!B:B,
  CALC_TEAMS_SEASON!F:F)</f>
        <v>0.10089285714285713</v>
      </c>
      <c r="V682">
        <f>_xlfn.XLOOKUP(D682,
  CALC_TEAMS_SEASON!B:B,
  CALC_TEAMS_SEASON!F:F)</f>
        <v>0.20297619047619053</v>
      </c>
      <c r="W682" t="str">
        <f>RAW_GAMES!R682</f>
        <v>Čajan</v>
      </c>
      <c r="X682" s="7">
        <f>RAW_GAMES!S682</f>
        <v>21</v>
      </c>
      <c r="Y682">
        <f t="shared" si="65"/>
        <v>0</v>
      </c>
      <c r="Z682" t="str">
        <f>RAW_GAMES!V682</f>
        <v>RS</v>
      </c>
    </row>
    <row r="683" spans="1:26" x14ac:dyDescent="0.25">
      <c r="A683" t="str">
        <f>RAW_GAMES!A683</f>
        <v>25/26</v>
      </c>
      <c r="B683" s="3">
        <f>RAW_GAMES!B683</f>
        <v>46080</v>
      </c>
      <c r="C683" s="3" t="str">
        <f>RAW_GAMES!E683</f>
        <v>MBL</v>
      </c>
      <c r="D683" s="3" t="str">
        <f>RAW_GAMES!F683</f>
        <v>LIB</v>
      </c>
      <c r="E683" s="7">
        <f>RAW_GAMES!G683</f>
        <v>1</v>
      </c>
      <c r="F683">
        <f>RAW_GAMES!H683</f>
        <v>4</v>
      </c>
      <c r="G683">
        <f>RAW_GAMES!I683</f>
        <v>5</v>
      </c>
      <c r="H683">
        <f t="shared" si="60"/>
        <v>-1</v>
      </c>
      <c r="I683">
        <f>RAW_GAMES!J683</f>
        <v>35</v>
      </c>
      <c r="J683">
        <f>RAW_GAMES!K683</f>
        <v>28</v>
      </c>
      <c r="K683">
        <f t="shared" si="61"/>
        <v>7</v>
      </c>
      <c r="L683" t="str">
        <f>IF(RAW_GAMES!L683="","",RAW_GAMES!L683)</f>
        <v/>
      </c>
      <c r="M683" t="str">
        <f>IF(RAW_GAMES!M683="","",RAW_GAMES!M683)</f>
        <v/>
      </c>
      <c r="N683" t="str">
        <f t="shared" si="62"/>
        <v/>
      </c>
      <c r="O683" s="7">
        <f>RAW_GAMES!O683</f>
        <v>5</v>
      </c>
      <c r="P683">
        <f>RAW_GAMES!N683</f>
        <v>0</v>
      </c>
      <c r="Q683">
        <f t="shared" si="63"/>
        <v>0</v>
      </c>
      <c r="R683" s="7">
        <f>RAW_GAMES!Q683</f>
        <v>4</v>
      </c>
      <c r="S683">
        <f>RAW_GAMES!P683</f>
        <v>1</v>
      </c>
      <c r="T683">
        <f t="shared" si="64"/>
        <v>0.75</v>
      </c>
      <c r="U683">
        <f>_xlfn.XLOOKUP(C683,
  CALC_TEAMS_SEASON!B:B,
  CALC_TEAMS_SEASON!F:F)</f>
        <v>0.11826923076923078</v>
      </c>
      <c r="V683">
        <f>_xlfn.XLOOKUP(D683,
  CALC_TEAMS_SEASON!B:B,
  CALC_TEAMS_SEASON!F:F)</f>
        <v>0.14377289377289379</v>
      </c>
      <c r="W683" t="str">
        <f>RAW_GAMES!R683</f>
        <v>Furch</v>
      </c>
      <c r="X683" s="7">
        <f>RAW_GAMES!S683</f>
        <v>23</v>
      </c>
      <c r="Y683">
        <f t="shared" si="65"/>
        <v>0</v>
      </c>
      <c r="Z683" t="str">
        <f>RAW_GAMES!V683</f>
        <v>RS</v>
      </c>
    </row>
    <row r="684" spans="1:26" x14ac:dyDescent="0.25">
      <c r="A684" t="str">
        <f>RAW_GAMES!A684</f>
        <v>25/26</v>
      </c>
      <c r="B684" s="3">
        <f>RAW_GAMES!B684</f>
        <v>46080</v>
      </c>
      <c r="C684" s="3" t="str">
        <f>RAW_GAMES!E684</f>
        <v>MHK</v>
      </c>
      <c r="D684" s="3" t="str">
        <f>RAW_GAMES!F684</f>
        <v>OLO</v>
      </c>
      <c r="E684" s="7">
        <f>RAW_GAMES!G684</f>
        <v>0</v>
      </c>
      <c r="F684">
        <f>RAW_GAMES!H684</f>
        <v>4</v>
      </c>
      <c r="G684">
        <f>RAW_GAMES!I684</f>
        <v>2</v>
      </c>
      <c r="H684">
        <f t="shared" si="60"/>
        <v>2</v>
      </c>
      <c r="I684">
        <f>RAW_GAMES!J684</f>
        <v>26</v>
      </c>
      <c r="J684">
        <f>RAW_GAMES!K684</f>
        <v>33</v>
      </c>
      <c r="K684">
        <f t="shared" si="61"/>
        <v>-7</v>
      </c>
      <c r="L684" t="str">
        <f>IF(RAW_GAMES!L684="","",RAW_GAMES!L684)</f>
        <v/>
      </c>
      <c r="M684" t="str">
        <f>IF(RAW_GAMES!M684="","",RAW_GAMES!M684)</f>
        <v/>
      </c>
      <c r="N684" t="str">
        <f t="shared" si="62"/>
        <v/>
      </c>
      <c r="O684" s="7">
        <f>RAW_GAMES!O684</f>
        <v>1</v>
      </c>
      <c r="P684">
        <f>RAW_GAMES!N684</f>
        <v>0</v>
      </c>
      <c r="Q684">
        <f t="shared" si="63"/>
        <v>0</v>
      </c>
      <c r="R684" s="7">
        <f>RAW_GAMES!Q684</f>
        <v>4</v>
      </c>
      <c r="S684">
        <f>RAW_GAMES!P684</f>
        <v>1</v>
      </c>
      <c r="T684">
        <f t="shared" si="64"/>
        <v>0.75</v>
      </c>
      <c r="U684">
        <f>_xlfn.XLOOKUP(C684,
  CALC_TEAMS_SEASON!B:B,
  CALC_TEAMS_SEASON!F:F)</f>
        <v>0.14184981684981687</v>
      </c>
      <c r="V684">
        <f>_xlfn.XLOOKUP(D684,
  CALC_TEAMS_SEASON!B:B,
  CALC_TEAMS_SEASON!F:F)</f>
        <v>0.14989316239316242</v>
      </c>
      <c r="W684" t="str">
        <f>RAW_GAMES!R684</f>
        <v>Škorvánek</v>
      </c>
      <c r="X684" s="7">
        <f>RAW_GAMES!S684</f>
        <v>31</v>
      </c>
      <c r="Y684">
        <f t="shared" si="65"/>
        <v>1</v>
      </c>
      <c r="Z684" t="str">
        <f>RAW_GAMES!V684</f>
        <v>RS</v>
      </c>
    </row>
    <row r="685" spans="1:26" x14ac:dyDescent="0.25">
      <c r="A685" t="str">
        <f>RAW_GAMES!A685</f>
        <v>25/26</v>
      </c>
      <c r="B685" s="3">
        <f>RAW_GAMES!B685</f>
        <v>46080</v>
      </c>
      <c r="C685" s="3" t="str">
        <f>RAW_GAMES!E685</f>
        <v>OLO</v>
      </c>
      <c r="D685" s="3" t="str">
        <f>RAW_GAMES!F685</f>
        <v>MHK</v>
      </c>
      <c r="E685" s="7">
        <f>RAW_GAMES!G685</f>
        <v>1</v>
      </c>
      <c r="F685">
        <f>RAW_GAMES!H685</f>
        <v>2</v>
      </c>
      <c r="G685">
        <f>RAW_GAMES!I685</f>
        <v>4</v>
      </c>
      <c r="H685">
        <f t="shared" si="60"/>
        <v>-2</v>
      </c>
      <c r="I685">
        <f>RAW_GAMES!J685</f>
        <v>33</v>
      </c>
      <c r="J685">
        <f>RAW_GAMES!K685</f>
        <v>26</v>
      </c>
      <c r="K685">
        <f t="shared" si="61"/>
        <v>7</v>
      </c>
      <c r="L685" t="str">
        <f>IF(RAW_GAMES!L685="","",RAW_GAMES!L685)</f>
        <v/>
      </c>
      <c r="M685" t="str">
        <f>IF(RAW_GAMES!M685="","",RAW_GAMES!M685)</f>
        <v/>
      </c>
      <c r="N685" t="str">
        <f t="shared" si="62"/>
        <v/>
      </c>
      <c r="O685" s="7">
        <f>RAW_GAMES!O685</f>
        <v>4</v>
      </c>
      <c r="P685">
        <f>RAW_GAMES!N685</f>
        <v>1</v>
      </c>
      <c r="Q685">
        <f t="shared" si="63"/>
        <v>0.25</v>
      </c>
      <c r="R685" s="7">
        <f>RAW_GAMES!Q685</f>
        <v>1</v>
      </c>
      <c r="S685">
        <f>RAW_GAMES!P685</f>
        <v>0</v>
      </c>
      <c r="T685">
        <f t="shared" si="64"/>
        <v>1</v>
      </c>
      <c r="U685">
        <f>_xlfn.XLOOKUP(C685,
  CALC_TEAMS_SEASON!B:B,
  CALC_TEAMS_SEASON!F:F)</f>
        <v>0.14989316239316242</v>
      </c>
      <c r="V685">
        <f>_xlfn.XLOOKUP(D685,
  CALC_TEAMS_SEASON!B:B,
  CALC_TEAMS_SEASON!F:F)</f>
        <v>0.14184981684981687</v>
      </c>
      <c r="W685" t="str">
        <f>RAW_GAMES!R685</f>
        <v>Machovský</v>
      </c>
      <c r="X685" s="7">
        <f>RAW_GAMES!S685</f>
        <v>22</v>
      </c>
      <c r="Y685">
        <f t="shared" si="65"/>
        <v>0</v>
      </c>
      <c r="Z685" t="str">
        <f>RAW_GAMES!V685</f>
        <v>RS</v>
      </c>
    </row>
    <row r="686" spans="1:26" x14ac:dyDescent="0.25">
      <c r="A686" t="str">
        <f>RAW_GAMES!A686</f>
        <v>25/26</v>
      </c>
      <c r="B686" s="3">
        <f>RAW_GAMES!B686</f>
        <v>46080</v>
      </c>
      <c r="C686" s="3" t="str">
        <f>RAW_GAMES!E686</f>
        <v>PLZ</v>
      </c>
      <c r="D686" s="3" t="str">
        <f>RAW_GAMES!F686</f>
        <v>SPA</v>
      </c>
      <c r="E686" s="7">
        <f>RAW_GAMES!G686</f>
        <v>0</v>
      </c>
      <c r="F686">
        <f>RAW_GAMES!H686</f>
        <v>0</v>
      </c>
      <c r="G686">
        <f>RAW_GAMES!I686</f>
        <v>3</v>
      </c>
      <c r="H686">
        <f t="shared" si="60"/>
        <v>-3</v>
      </c>
      <c r="I686">
        <f>RAW_GAMES!J686</f>
        <v>28</v>
      </c>
      <c r="J686">
        <f>RAW_GAMES!K686</f>
        <v>24</v>
      </c>
      <c r="K686">
        <f t="shared" si="61"/>
        <v>4</v>
      </c>
      <c r="L686">
        <f>IF(RAW_GAMES!L686="","",RAW_GAMES!L686)</f>
        <v>2.73</v>
      </c>
      <c r="M686">
        <f>IF(RAW_GAMES!M686="","",RAW_GAMES!M686)</f>
        <v>2.23</v>
      </c>
      <c r="N686">
        <f t="shared" si="62"/>
        <v>0.5</v>
      </c>
      <c r="O686" s="7">
        <f>RAW_GAMES!O686</f>
        <v>3</v>
      </c>
      <c r="P686">
        <f>RAW_GAMES!N686</f>
        <v>0</v>
      </c>
      <c r="Q686">
        <f t="shared" si="63"/>
        <v>0</v>
      </c>
      <c r="R686" s="7">
        <f>RAW_GAMES!Q686</f>
        <v>2</v>
      </c>
      <c r="S686">
        <f>RAW_GAMES!P686</f>
        <v>1</v>
      </c>
      <c r="T686">
        <f t="shared" si="64"/>
        <v>0.5</v>
      </c>
      <c r="U686">
        <f>_xlfn.XLOOKUP(C686,
  CALC_TEAMS_SEASON!B:B,
  CALC_TEAMS_SEASON!F:F)</f>
        <v>0.17641178266178262</v>
      </c>
      <c r="V686">
        <f>_xlfn.XLOOKUP(D686,
  CALC_TEAMS_SEASON!B:B,
  CALC_TEAMS_SEASON!F:F)</f>
        <v>0.22060439560439565</v>
      </c>
      <c r="W686" t="str">
        <f>RAW_GAMES!R686</f>
        <v>Malík</v>
      </c>
      <c r="X686" s="7">
        <f>RAW_GAMES!S686</f>
        <v>21</v>
      </c>
      <c r="Y686">
        <f t="shared" si="65"/>
        <v>0</v>
      </c>
      <c r="Z686" t="str">
        <f>RAW_GAMES!V686</f>
        <v>RS</v>
      </c>
    </row>
    <row r="687" spans="1:26" x14ac:dyDescent="0.25">
      <c r="A687" t="str">
        <f>RAW_GAMES!A687</f>
        <v>25/26</v>
      </c>
      <c r="B687" s="3">
        <f>RAW_GAMES!B687</f>
        <v>46080</v>
      </c>
      <c r="C687" s="3" t="str">
        <f>RAW_GAMES!E687</f>
        <v>VIT</v>
      </c>
      <c r="D687" s="3" t="str">
        <f>RAW_GAMES!F687</f>
        <v>CEB</v>
      </c>
      <c r="E687" s="7">
        <f>RAW_GAMES!G687</f>
        <v>1</v>
      </c>
      <c r="F687">
        <f>RAW_GAMES!H687</f>
        <v>5</v>
      </c>
      <c r="G687">
        <f>RAW_GAMES!I687</f>
        <v>4</v>
      </c>
      <c r="H687">
        <f t="shared" si="60"/>
        <v>1</v>
      </c>
      <c r="I687">
        <f>RAW_GAMES!J687</f>
        <v>32</v>
      </c>
      <c r="J687">
        <f>RAW_GAMES!K687</f>
        <v>39</v>
      </c>
      <c r="K687">
        <f t="shared" si="61"/>
        <v>-7</v>
      </c>
      <c r="L687" t="str">
        <f>IF(RAW_GAMES!L687="","",RAW_GAMES!L687)</f>
        <v/>
      </c>
      <c r="M687" t="str">
        <f>IF(RAW_GAMES!M687="","",RAW_GAMES!M687)</f>
        <v/>
      </c>
      <c r="N687" t="str">
        <f t="shared" si="62"/>
        <v/>
      </c>
      <c r="O687" s="7">
        <f>RAW_GAMES!O687</f>
        <v>4</v>
      </c>
      <c r="P687">
        <f>RAW_GAMES!N687</f>
        <v>2</v>
      </c>
      <c r="Q687">
        <f t="shared" si="63"/>
        <v>0.5</v>
      </c>
      <c r="R687" s="7">
        <f>RAW_GAMES!Q687</f>
        <v>4</v>
      </c>
      <c r="S687">
        <f>RAW_GAMES!P687</f>
        <v>1</v>
      </c>
      <c r="T687">
        <f t="shared" si="64"/>
        <v>0.75</v>
      </c>
      <c r="U687">
        <f>_xlfn.XLOOKUP(C687,
  CALC_TEAMS_SEASON!B:B,
  CALC_TEAMS_SEASON!F:F)</f>
        <v>0.16984890109890113</v>
      </c>
      <c r="V687">
        <f>_xlfn.XLOOKUP(D687,
  CALC_TEAMS_SEASON!B:B,
  CALC_TEAMS_SEASON!F:F)</f>
        <v>0.13021353646353648</v>
      </c>
      <c r="W687" t="str">
        <f>RAW_GAMES!R687</f>
        <v>Hrachovina</v>
      </c>
      <c r="X687" s="7">
        <f>RAW_GAMES!S687</f>
        <v>35</v>
      </c>
      <c r="Y687">
        <f t="shared" si="65"/>
        <v>1</v>
      </c>
      <c r="Z687" t="str">
        <f>RAW_GAMES!V687</f>
        <v>RS</v>
      </c>
    </row>
    <row r="688" spans="1:26" x14ac:dyDescent="0.25">
      <c r="A688" t="str">
        <f>RAW_GAMES!A688</f>
        <v>25/26</v>
      </c>
      <c r="B688" s="3">
        <f>RAW_GAMES!B688</f>
        <v>46082</v>
      </c>
      <c r="C688" s="3" t="str">
        <f>RAW_GAMES!E688</f>
        <v>PCE</v>
      </c>
      <c r="D688" s="3" t="str">
        <f>RAW_GAMES!F688</f>
        <v>KVA</v>
      </c>
      <c r="E688" s="7">
        <f>RAW_GAMES!G688</f>
        <v>1</v>
      </c>
      <c r="F688">
        <f>RAW_GAMES!H688</f>
        <v>4</v>
      </c>
      <c r="G688">
        <f>RAW_GAMES!I688</f>
        <v>3</v>
      </c>
      <c r="H688">
        <f t="shared" si="60"/>
        <v>1</v>
      </c>
      <c r="I688">
        <f>RAW_GAMES!J688</f>
        <v>24</v>
      </c>
      <c r="J688">
        <f>RAW_GAMES!K688</f>
        <v>25</v>
      </c>
      <c r="K688">
        <f t="shared" si="61"/>
        <v>-1</v>
      </c>
      <c r="L688">
        <f>IF(RAW_GAMES!L688="","",RAW_GAMES!L688)</f>
        <v>2.1800000000000002</v>
      </c>
      <c r="M688">
        <f>IF(RAW_GAMES!M688="","",RAW_GAMES!M688)</f>
        <v>2.15</v>
      </c>
      <c r="N688">
        <f t="shared" si="62"/>
        <v>3.0000000000000249E-2</v>
      </c>
      <c r="O688" s="7">
        <f>RAW_GAMES!O688</f>
        <v>2</v>
      </c>
      <c r="P688">
        <f>RAW_GAMES!N688</f>
        <v>1</v>
      </c>
      <c r="Q688">
        <f t="shared" si="63"/>
        <v>0.5</v>
      </c>
      <c r="R688" s="7">
        <f>RAW_GAMES!Q688</f>
        <v>3</v>
      </c>
      <c r="S688">
        <f>RAW_GAMES!P688</f>
        <v>1</v>
      </c>
      <c r="T688">
        <f t="shared" si="64"/>
        <v>0.66666666666666674</v>
      </c>
      <c r="U688">
        <f>_xlfn.XLOOKUP(C688,
  CALC_TEAMS_SEASON!B:B,
  CALC_TEAMS_SEASON!F:F)</f>
        <v>0.20297619047619053</v>
      </c>
      <c r="V688">
        <f>_xlfn.XLOOKUP(D688,
  CALC_TEAMS_SEASON!B:B,
  CALC_TEAMS_SEASON!F:F)</f>
        <v>0.17387057387057389</v>
      </c>
      <c r="W688" t="str">
        <f>RAW_GAMES!R688</f>
        <v>Subban</v>
      </c>
      <c r="X688" s="7">
        <f>RAW_GAMES!S688</f>
        <v>22</v>
      </c>
      <c r="Y688">
        <f t="shared" si="65"/>
        <v>1</v>
      </c>
      <c r="Z688" t="str">
        <f>RAW_GAMES!V688</f>
        <v>RS</v>
      </c>
    </row>
    <row r="689" spans="1:26" x14ac:dyDescent="0.25">
      <c r="A689" t="str">
        <f>RAW_GAMES!A689</f>
        <v>25/26</v>
      </c>
      <c r="B689" s="3">
        <f>RAW_GAMES!B689</f>
        <v>46082</v>
      </c>
      <c r="C689" s="3" t="str">
        <f>RAW_GAMES!E689</f>
        <v>TRI</v>
      </c>
      <c r="D689" s="3" t="str">
        <f>RAW_GAMES!F689</f>
        <v>VIT</v>
      </c>
      <c r="E689" s="7">
        <f>RAW_GAMES!G689</f>
        <v>1</v>
      </c>
      <c r="F689">
        <f>RAW_GAMES!H689</f>
        <v>3</v>
      </c>
      <c r="G689">
        <f>RAW_GAMES!I689</f>
        <v>2</v>
      </c>
      <c r="H689">
        <f t="shared" si="60"/>
        <v>1</v>
      </c>
      <c r="I689">
        <f>RAW_GAMES!J689</f>
        <v>44</v>
      </c>
      <c r="J689">
        <f>RAW_GAMES!K689</f>
        <v>24</v>
      </c>
      <c r="K689">
        <f t="shared" si="61"/>
        <v>20</v>
      </c>
      <c r="L689">
        <f>IF(RAW_GAMES!L689="","",RAW_GAMES!L689)</f>
        <v>5.07</v>
      </c>
      <c r="M689">
        <f>IF(RAW_GAMES!M689="","",RAW_GAMES!M689)</f>
        <v>2.74</v>
      </c>
      <c r="N689">
        <f t="shared" si="62"/>
        <v>2.33</v>
      </c>
      <c r="O689" s="7">
        <f>RAW_GAMES!O689</f>
        <v>5</v>
      </c>
      <c r="P689">
        <f>RAW_GAMES!N689</f>
        <v>2</v>
      </c>
      <c r="Q689">
        <f t="shared" si="63"/>
        <v>0.4</v>
      </c>
      <c r="R689" s="7">
        <f>RAW_GAMES!Q689</f>
        <v>7</v>
      </c>
      <c r="S689">
        <f>RAW_GAMES!P689</f>
        <v>2</v>
      </c>
      <c r="T689">
        <f t="shared" si="64"/>
        <v>0.7142857142857143</v>
      </c>
      <c r="U689">
        <f>_xlfn.XLOOKUP(C689,
  CALC_TEAMS_SEASON!B:B,
  CALC_TEAMS_SEASON!F:F)</f>
        <v>0.17437423687423692</v>
      </c>
      <c r="V689">
        <f>_xlfn.XLOOKUP(D689,
  CALC_TEAMS_SEASON!B:B,
  CALC_TEAMS_SEASON!F:F)</f>
        <v>0.16984890109890113</v>
      </c>
      <c r="W689" t="str">
        <f>RAW_GAMES!R689</f>
        <v>Mazanec</v>
      </c>
      <c r="X689" s="7">
        <f>RAW_GAMES!S689</f>
        <v>22</v>
      </c>
      <c r="Y689">
        <f t="shared" si="65"/>
        <v>1</v>
      </c>
      <c r="Z689" t="str">
        <f>RAW_GAMES!V689</f>
        <v>RS</v>
      </c>
    </row>
    <row r="690" spans="1:26" x14ac:dyDescent="0.25">
      <c r="A690" t="str">
        <f>RAW_GAMES!A690</f>
        <v>25/26</v>
      </c>
      <c r="B690" s="3">
        <f>RAW_GAMES!B690</f>
        <v>46082</v>
      </c>
      <c r="C690" s="3" t="str">
        <f>RAW_GAMES!E690</f>
        <v>SPA</v>
      </c>
      <c r="D690" s="3" t="str">
        <f>RAW_GAMES!F690</f>
        <v>MHK</v>
      </c>
      <c r="E690" s="7">
        <f>RAW_GAMES!G690</f>
        <v>0</v>
      </c>
      <c r="F690">
        <f>RAW_GAMES!H690</f>
        <v>3</v>
      </c>
      <c r="G690">
        <f>RAW_GAMES!I690</f>
        <v>6</v>
      </c>
      <c r="H690">
        <f t="shared" si="60"/>
        <v>-3</v>
      </c>
      <c r="I690">
        <f>RAW_GAMES!J690</f>
        <v>32</v>
      </c>
      <c r="J690">
        <f>RAW_GAMES!K690</f>
        <v>19</v>
      </c>
      <c r="K690">
        <f t="shared" si="61"/>
        <v>13</v>
      </c>
      <c r="L690">
        <f>IF(RAW_GAMES!L690="","",RAW_GAMES!L690)</f>
        <v>2.2799999999999998</v>
      </c>
      <c r="M690">
        <f>IF(RAW_GAMES!M690="","",RAW_GAMES!M690)</f>
        <v>2.2000000000000002</v>
      </c>
      <c r="N690">
        <f t="shared" si="62"/>
        <v>7.9999999999999627E-2</v>
      </c>
      <c r="O690" s="7">
        <f>RAW_GAMES!O690</f>
        <v>8</v>
      </c>
      <c r="P690">
        <f>RAW_GAMES!N690</f>
        <v>2</v>
      </c>
      <c r="Q690">
        <f t="shared" si="63"/>
        <v>0.25</v>
      </c>
      <c r="R690" s="7">
        <f>RAW_GAMES!Q690</f>
        <v>8</v>
      </c>
      <c r="S690">
        <f>RAW_GAMES!P690</f>
        <v>1</v>
      </c>
      <c r="T690">
        <f t="shared" si="64"/>
        <v>0.875</v>
      </c>
      <c r="U690">
        <f>_xlfn.XLOOKUP(C690,
  CALC_TEAMS_SEASON!B:B,
  CALC_TEAMS_SEASON!F:F)</f>
        <v>0.22060439560439565</v>
      </c>
      <c r="V690">
        <f>_xlfn.XLOOKUP(D690,
  CALC_TEAMS_SEASON!B:B,
  CALC_TEAMS_SEASON!F:F)</f>
        <v>0.14184981684981687</v>
      </c>
      <c r="W690" t="str">
        <f>RAW_GAMES!R690</f>
        <v>Kořenář</v>
      </c>
      <c r="X690" s="7">
        <f>RAW_GAMES!S690</f>
        <v>13</v>
      </c>
      <c r="Y690">
        <f t="shared" si="65"/>
        <v>0</v>
      </c>
      <c r="Z690" t="str">
        <f>RAW_GAMES!V690</f>
        <v>RS</v>
      </c>
    </row>
    <row r="691" spans="1:26" x14ac:dyDescent="0.25">
      <c r="A691" t="str">
        <f>RAW_GAMES!A691</f>
        <v>25/26</v>
      </c>
      <c r="B691" s="3">
        <f>RAW_GAMES!B691</f>
        <v>46082</v>
      </c>
      <c r="C691" s="3" t="str">
        <f>RAW_GAMES!E691</f>
        <v>KOM</v>
      </c>
      <c r="D691" s="3" t="str">
        <f>RAW_GAMES!F691</f>
        <v>KLA</v>
      </c>
      <c r="E691" s="7">
        <f>RAW_GAMES!G691</f>
        <v>0</v>
      </c>
      <c r="F691">
        <f>RAW_GAMES!H691</f>
        <v>2</v>
      </c>
      <c r="G691">
        <f>RAW_GAMES!I691</f>
        <v>4</v>
      </c>
      <c r="H691">
        <f t="shared" si="60"/>
        <v>-2</v>
      </c>
      <c r="I691">
        <f>RAW_GAMES!J691</f>
        <v>18</v>
      </c>
      <c r="J691">
        <f>RAW_GAMES!K691</f>
        <v>32</v>
      </c>
      <c r="K691">
        <f t="shared" si="61"/>
        <v>-14</v>
      </c>
      <c r="L691">
        <f>IF(RAW_GAMES!L691="","",RAW_GAMES!L691)</f>
        <v>1.45</v>
      </c>
      <c r="M691">
        <f>IF(RAW_GAMES!M691="","",RAW_GAMES!M691)</f>
        <v>3.66</v>
      </c>
      <c r="N691">
        <f t="shared" si="62"/>
        <v>-2.21</v>
      </c>
      <c r="O691" s="7">
        <f>RAW_GAMES!O691</f>
        <v>4</v>
      </c>
      <c r="P691">
        <f>RAW_GAMES!N691</f>
        <v>0</v>
      </c>
      <c r="Q691">
        <f t="shared" si="63"/>
        <v>0</v>
      </c>
      <c r="R691" s="7">
        <f>RAW_GAMES!Q691</f>
        <v>3</v>
      </c>
      <c r="S691">
        <f>RAW_GAMES!P691</f>
        <v>1</v>
      </c>
      <c r="T691">
        <f t="shared" si="64"/>
        <v>0.66666666666666674</v>
      </c>
      <c r="U691">
        <f>_xlfn.XLOOKUP(C691,
  CALC_TEAMS_SEASON!B:B,
  CALC_TEAMS_SEASON!F:F)</f>
        <v>0.14358974358974358</v>
      </c>
      <c r="V691">
        <f>_xlfn.XLOOKUP(D691,
  CALC_TEAMS_SEASON!B:B,
  CALC_TEAMS_SEASON!F:F)</f>
        <v>0.13120421245421243</v>
      </c>
      <c r="W691" t="str">
        <f>RAW_GAMES!R691</f>
        <v>Stezka</v>
      </c>
      <c r="X691" s="7">
        <f>RAW_GAMES!S691</f>
        <v>28</v>
      </c>
      <c r="Y691">
        <f t="shared" si="65"/>
        <v>0</v>
      </c>
      <c r="Z691" t="str">
        <f>RAW_GAMES!V691</f>
        <v>RS</v>
      </c>
    </row>
    <row r="692" spans="1:26" x14ac:dyDescent="0.25">
      <c r="A692" t="str">
        <f>RAW_GAMES!A692</f>
        <v>25/26</v>
      </c>
      <c r="B692" s="3">
        <f>RAW_GAMES!B692</f>
        <v>46082</v>
      </c>
      <c r="C692" s="3" t="str">
        <f>RAW_GAMES!E692</f>
        <v>CEB</v>
      </c>
      <c r="D692" s="3" t="str">
        <f>RAW_GAMES!F692</f>
        <v>MBL</v>
      </c>
      <c r="E692" s="7">
        <f>RAW_GAMES!G692</f>
        <v>1</v>
      </c>
      <c r="F692">
        <f>RAW_GAMES!H692</f>
        <v>3</v>
      </c>
      <c r="G692">
        <f>RAW_GAMES!I692</f>
        <v>0</v>
      </c>
      <c r="H692">
        <f t="shared" si="60"/>
        <v>3</v>
      </c>
      <c r="I692">
        <f>RAW_GAMES!J692</f>
        <v>26</v>
      </c>
      <c r="J692">
        <f>RAW_GAMES!K692</f>
        <v>24</v>
      </c>
      <c r="K692">
        <f t="shared" si="61"/>
        <v>2</v>
      </c>
      <c r="L692" t="str">
        <f>IF(RAW_GAMES!L692="","",RAW_GAMES!L692)</f>
        <v/>
      </c>
      <c r="M692" t="str">
        <f>IF(RAW_GAMES!M692="","",RAW_GAMES!M692)</f>
        <v/>
      </c>
      <c r="N692" t="str">
        <f t="shared" si="62"/>
        <v/>
      </c>
      <c r="O692" s="7">
        <f>RAW_GAMES!O692</f>
        <v>6</v>
      </c>
      <c r="P692">
        <f>RAW_GAMES!N692</f>
        <v>2</v>
      </c>
      <c r="Q692">
        <f t="shared" si="63"/>
        <v>0.33333333333333331</v>
      </c>
      <c r="R692" s="7">
        <f>RAW_GAMES!Q692</f>
        <v>1</v>
      </c>
      <c r="S692">
        <f>RAW_GAMES!P692</f>
        <v>0</v>
      </c>
      <c r="T692">
        <f t="shared" si="64"/>
        <v>1</v>
      </c>
      <c r="U692">
        <f>_xlfn.XLOOKUP(C692,
  CALC_TEAMS_SEASON!B:B,
  CALC_TEAMS_SEASON!F:F)</f>
        <v>0.13021353646353648</v>
      </c>
      <c r="V692">
        <f>_xlfn.XLOOKUP(D692,
  CALC_TEAMS_SEASON!B:B,
  CALC_TEAMS_SEASON!F:F)</f>
        <v>0.11826923076923078</v>
      </c>
      <c r="W692" t="str">
        <f>RAW_GAMES!R692</f>
        <v>Klouček</v>
      </c>
      <c r="X692" s="7">
        <f>RAW_GAMES!S692</f>
        <v>24</v>
      </c>
      <c r="Y692">
        <f t="shared" si="65"/>
        <v>1</v>
      </c>
      <c r="Z692" t="str">
        <f>RAW_GAMES!V692</f>
        <v>RS</v>
      </c>
    </row>
    <row r="693" spans="1:26" x14ac:dyDescent="0.25">
      <c r="A693" t="str">
        <f>RAW_GAMES!A693</f>
        <v>25/26</v>
      </c>
      <c r="B693" s="3">
        <f>RAW_GAMES!B693</f>
        <v>46082</v>
      </c>
      <c r="C693" s="3" t="str">
        <f>RAW_GAMES!E693</f>
        <v>KLA</v>
      </c>
      <c r="D693" s="3" t="str">
        <f>RAW_GAMES!F693</f>
        <v>KOM</v>
      </c>
      <c r="E693" s="7">
        <f>RAW_GAMES!G693</f>
        <v>1</v>
      </c>
      <c r="F693">
        <f>RAW_GAMES!H693</f>
        <v>4</v>
      </c>
      <c r="G693">
        <f>RAW_GAMES!I693</f>
        <v>2</v>
      </c>
      <c r="H693">
        <f t="shared" si="60"/>
        <v>2</v>
      </c>
      <c r="I693">
        <f>RAW_GAMES!J693</f>
        <v>32</v>
      </c>
      <c r="J693">
        <f>RAW_GAMES!K693</f>
        <v>18</v>
      </c>
      <c r="K693">
        <f t="shared" si="61"/>
        <v>14</v>
      </c>
      <c r="L693">
        <f>IF(RAW_GAMES!L693="","",RAW_GAMES!L693)</f>
        <v>3.66</v>
      </c>
      <c r="M693">
        <f>IF(RAW_GAMES!M693="","",RAW_GAMES!M693)</f>
        <v>1.45</v>
      </c>
      <c r="N693">
        <f t="shared" si="62"/>
        <v>2.21</v>
      </c>
      <c r="O693" s="7">
        <f>RAW_GAMES!O693</f>
        <v>3</v>
      </c>
      <c r="P693">
        <f>RAW_GAMES!N693</f>
        <v>1</v>
      </c>
      <c r="Q693">
        <f t="shared" si="63"/>
        <v>0.33333333333333331</v>
      </c>
      <c r="R693" s="7">
        <f>RAW_GAMES!Q693</f>
        <v>4</v>
      </c>
      <c r="S693">
        <f>RAW_GAMES!P693</f>
        <v>0</v>
      </c>
      <c r="T693">
        <f t="shared" si="64"/>
        <v>1</v>
      </c>
      <c r="U693">
        <f>_xlfn.XLOOKUP(C693,
  CALC_TEAMS_SEASON!B:B,
  CALC_TEAMS_SEASON!F:F)</f>
        <v>0.13120421245421243</v>
      </c>
      <c r="V693">
        <f>_xlfn.XLOOKUP(D693,
  CALC_TEAMS_SEASON!B:B,
  CALC_TEAMS_SEASON!F:F)</f>
        <v>0.14358974358974358</v>
      </c>
      <c r="W693" t="str">
        <f>RAW_GAMES!R693</f>
        <v>Brízgala</v>
      </c>
      <c r="X693" s="7">
        <f>RAW_GAMES!S693</f>
        <v>16</v>
      </c>
      <c r="Y693">
        <f t="shared" si="65"/>
        <v>1</v>
      </c>
      <c r="Z693" t="str">
        <f>RAW_GAMES!V693</f>
        <v>RS</v>
      </c>
    </row>
    <row r="694" spans="1:26" x14ac:dyDescent="0.25">
      <c r="A694" t="str">
        <f>RAW_GAMES!A694</f>
        <v>25/26</v>
      </c>
      <c r="B694" s="3">
        <f>RAW_GAMES!B694</f>
        <v>46082</v>
      </c>
      <c r="C694" s="3" t="str">
        <f>RAW_GAMES!E694</f>
        <v>KVA</v>
      </c>
      <c r="D694" s="3" t="str">
        <f>RAW_GAMES!F694</f>
        <v>PCE</v>
      </c>
      <c r="E694" s="7">
        <f>RAW_GAMES!G694</f>
        <v>0</v>
      </c>
      <c r="F694">
        <f>RAW_GAMES!H694</f>
        <v>3</v>
      </c>
      <c r="G694">
        <f>RAW_GAMES!I694</f>
        <v>4</v>
      </c>
      <c r="H694">
        <f t="shared" si="60"/>
        <v>-1</v>
      </c>
      <c r="I694">
        <f>RAW_GAMES!J694</f>
        <v>25</v>
      </c>
      <c r="J694">
        <f>RAW_GAMES!K694</f>
        <v>24</v>
      </c>
      <c r="K694">
        <f t="shared" si="61"/>
        <v>1</v>
      </c>
      <c r="L694">
        <f>IF(RAW_GAMES!L694="","",RAW_GAMES!L694)</f>
        <v>2.15</v>
      </c>
      <c r="M694">
        <f>IF(RAW_GAMES!M694="","",RAW_GAMES!M694)</f>
        <v>2.1800000000000002</v>
      </c>
      <c r="N694">
        <f t="shared" si="62"/>
        <v>-3.0000000000000249E-2</v>
      </c>
      <c r="O694" s="7">
        <f>RAW_GAMES!O694</f>
        <v>3</v>
      </c>
      <c r="P694">
        <f>RAW_GAMES!N694</f>
        <v>1</v>
      </c>
      <c r="Q694">
        <f t="shared" si="63"/>
        <v>0.33333333333333331</v>
      </c>
      <c r="R694" s="7">
        <f>RAW_GAMES!Q694</f>
        <v>2</v>
      </c>
      <c r="S694">
        <f>RAW_GAMES!P694</f>
        <v>1</v>
      </c>
      <c r="T694">
        <f t="shared" si="64"/>
        <v>0.5</v>
      </c>
      <c r="U694">
        <f>_xlfn.XLOOKUP(C694,
  CALC_TEAMS_SEASON!B:B,
  CALC_TEAMS_SEASON!F:F)</f>
        <v>0.17387057387057389</v>
      </c>
      <c r="V694">
        <f>_xlfn.XLOOKUP(D694,
  CALC_TEAMS_SEASON!B:B,
  CALC_TEAMS_SEASON!F:F)</f>
        <v>0.20297619047619053</v>
      </c>
      <c r="W694" t="str">
        <f>RAW_GAMES!R694</f>
        <v>Král</v>
      </c>
      <c r="X694" s="7">
        <f>RAW_GAMES!S694</f>
        <v>20</v>
      </c>
      <c r="Y694">
        <f t="shared" si="65"/>
        <v>0</v>
      </c>
      <c r="Z694" t="str">
        <f>RAW_GAMES!V694</f>
        <v>RS</v>
      </c>
    </row>
    <row r="695" spans="1:26" x14ac:dyDescent="0.25">
      <c r="A695" t="str">
        <f>RAW_GAMES!A695</f>
        <v>25/26</v>
      </c>
      <c r="B695" s="3">
        <f>RAW_GAMES!B695</f>
        <v>46082</v>
      </c>
      <c r="C695" s="3" t="str">
        <f>RAW_GAMES!E695</f>
        <v>LIB</v>
      </c>
      <c r="D695" s="3" t="str">
        <f>RAW_GAMES!F695</f>
        <v>OLO</v>
      </c>
      <c r="E695" s="7">
        <f>RAW_GAMES!G695</f>
        <v>1</v>
      </c>
      <c r="F695">
        <f>RAW_GAMES!H695</f>
        <v>6</v>
      </c>
      <c r="G695">
        <f>RAW_GAMES!I695</f>
        <v>3</v>
      </c>
      <c r="H695">
        <f t="shared" si="60"/>
        <v>3</v>
      </c>
      <c r="I695">
        <f>RAW_GAMES!J695</f>
        <v>31</v>
      </c>
      <c r="J695">
        <f>RAW_GAMES!K695</f>
        <v>17</v>
      </c>
      <c r="K695">
        <f t="shared" si="61"/>
        <v>14</v>
      </c>
      <c r="L695" t="str">
        <f>IF(RAW_GAMES!L695="","",RAW_GAMES!L695)</f>
        <v/>
      </c>
      <c r="M695" t="str">
        <f>IF(RAW_GAMES!M695="","",RAW_GAMES!M695)</f>
        <v/>
      </c>
      <c r="N695" t="str">
        <f t="shared" si="62"/>
        <v/>
      </c>
      <c r="O695" s="7">
        <f>RAW_GAMES!O695</f>
        <v>4</v>
      </c>
      <c r="P695">
        <f>RAW_GAMES!N695</f>
        <v>1</v>
      </c>
      <c r="Q695">
        <f t="shared" si="63"/>
        <v>0.25</v>
      </c>
      <c r="R695" s="7">
        <f>RAW_GAMES!Q695</f>
        <v>4</v>
      </c>
      <c r="S695">
        <f>RAW_GAMES!P695</f>
        <v>3</v>
      </c>
      <c r="T695">
        <f t="shared" si="64"/>
        <v>0.25</v>
      </c>
      <c r="U695">
        <f>_xlfn.XLOOKUP(C695,
  CALC_TEAMS_SEASON!B:B,
  CALC_TEAMS_SEASON!F:F)</f>
        <v>0.14377289377289379</v>
      </c>
      <c r="V695">
        <f>_xlfn.XLOOKUP(D695,
  CALC_TEAMS_SEASON!B:B,
  CALC_TEAMS_SEASON!F:F)</f>
        <v>0.14989316239316242</v>
      </c>
      <c r="W695" t="str">
        <f>RAW_GAMES!R695</f>
        <v>Kváča</v>
      </c>
      <c r="X695" s="7">
        <f>RAW_GAMES!S695</f>
        <v>14</v>
      </c>
      <c r="Y695">
        <f t="shared" si="65"/>
        <v>1</v>
      </c>
      <c r="Z695" t="str">
        <f>RAW_GAMES!V695</f>
        <v>RS</v>
      </c>
    </row>
    <row r="696" spans="1:26" x14ac:dyDescent="0.25">
      <c r="A696" t="str">
        <f>RAW_GAMES!A696</f>
        <v>25/26</v>
      </c>
      <c r="B696" s="3">
        <f>RAW_GAMES!B696</f>
        <v>46082</v>
      </c>
      <c r="C696" s="3" t="str">
        <f>RAW_GAMES!E696</f>
        <v>LIT</v>
      </c>
      <c r="D696" s="3" t="str">
        <f>RAW_GAMES!F696</f>
        <v>PLZ</v>
      </c>
      <c r="E696" s="7">
        <f>RAW_GAMES!G696</f>
        <v>0</v>
      </c>
      <c r="F696">
        <f>RAW_GAMES!H696</f>
        <v>2</v>
      </c>
      <c r="G696">
        <f>RAW_GAMES!I696</f>
        <v>3</v>
      </c>
      <c r="H696">
        <f t="shared" si="60"/>
        <v>-1</v>
      </c>
      <c r="I696">
        <f>RAW_GAMES!J696</f>
        <v>17</v>
      </c>
      <c r="J696">
        <f>RAW_GAMES!K696</f>
        <v>43</v>
      </c>
      <c r="K696">
        <f t="shared" si="61"/>
        <v>-26</v>
      </c>
      <c r="L696" t="str">
        <f>IF(RAW_GAMES!L696="","",RAW_GAMES!L696)</f>
        <v/>
      </c>
      <c r="M696" t="str">
        <f>IF(RAW_GAMES!M696="","",RAW_GAMES!M696)</f>
        <v/>
      </c>
      <c r="N696" t="str">
        <f t="shared" si="62"/>
        <v/>
      </c>
      <c r="O696" s="7">
        <f>RAW_GAMES!O696</f>
        <v>4</v>
      </c>
      <c r="P696">
        <f>RAW_GAMES!N696</f>
        <v>1</v>
      </c>
      <c r="Q696">
        <f t="shared" si="63"/>
        <v>0.25</v>
      </c>
      <c r="R696" s="7">
        <f>RAW_GAMES!Q696</f>
        <v>5</v>
      </c>
      <c r="S696">
        <f>RAW_GAMES!P696</f>
        <v>0</v>
      </c>
      <c r="T696">
        <f t="shared" si="64"/>
        <v>1</v>
      </c>
      <c r="U696">
        <f>_xlfn.XLOOKUP(C696,
  CALC_TEAMS_SEASON!B:B,
  CALC_TEAMS_SEASON!F:F)</f>
        <v>0.10089285714285713</v>
      </c>
      <c r="V696">
        <f>_xlfn.XLOOKUP(D696,
  CALC_TEAMS_SEASON!B:B,
  CALC_TEAMS_SEASON!F:F)</f>
        <v>0.17641178266178262</v>
      </c>
      <c r="W696" t="str">
        <f>RAW_GAMES!R696</f>
        <v>Tomek</v>
      </c>
      <c r="X696" s="7">
        <f>RAW_GAMES!S696</f>
        <v>40</v>
      </c>
      <c r="Y696">
        <f t="shared" si="65"/>
        <v>0</v>
      </c>
      <c r="Z696" t="str">
        <f>RAW_GAMES!V696</f>
        <v>RS</v>
      </c>
    </row>
    <row r="697" spans="1:26" x14ac:dyDescent="0.25">
      <c r="A697" t="str">
        <f>RAW_GAMES!A697</f>
        <v>25/26</v>
      </c>
      <c r="B697" s="3">
        <f>RAW_GAMES!B697</f>
        <v>46082</v>
      </c>
      <c r="C697" s="3" t="str">
        <f>RAW_GAMES!E697</f>
        <v>MBL</v>
      </c>
      <c r="D697" s="3" t="str">
        <f>RAW_GAMES!F697</f>
        <v>CEB</v>
      </c>
      <c r="E697" s="7">
        <f>RAW_GAMES!G697</f>
        <v>0</v>
      </c>
      <c r="F697">
        <f>RAW_GAMES!H697</f>
        <v>0</v>
      </c>
      <c r="G697">
        <f>RAW_GAMES!I697</f>
        <v>3</v>
      </c>
      <c r="H697">
        <f t="shared" si="60"/>
        <v>-3</v>
      </c>
      <c r="I697">
        <f>RAW_GAMES!J697</f>
        <v>26</v>
      </c>
      <c r="J697">
        <f>RAW_GAMES!K697</f>
        <v>24</v>
      </c>
      <c r="K697">
        <f t="shared" si="61"/>
        <v>2</v>
      </c>
      <c r="L697" t="str">
        <f>IF(RAW_GAMES!L697="","",RAW_GAMES!L697)</f>
        <v/>
      </c>
      <c r="M697" t="str">
        <f>IF(RAW_GAMES!M697="","",RAW_GAMES!M697)</f>
        <v/>
      </c>
      <c r="N697" t="str">
        <f t="shared" si="62"/>
        <v/>
      </c>
      <c r="O697" s="7">
        <f>RAW_GAMES!O697</f>
        <v>1</v>
      </c>
      <c r="P697">
        <f>RAW_GAMES!N697</f>
        <v>0</v>
      </c>
      <c r="Q697">
        <f t="shared" si="63"/>
        <v>0</v>
      </c>
      <c r="R697" s="7">
        <f>RAW_GAMES!Q697</f>
        <v>6</v>
      </c>
      <c r="S697">
        <f>RAW_GAMES!P697</f>
        <v>2</v>
      </c>
      <c r="T697">
        <f t="shared" si="64"/>
        <v>0.66666666666666674</v>
      </c>
      <c r="U697">
        <f>_xlfn.XLOOKUP(C697,
  CALC_TEAMS_SEASON!B:B,
  CALC_TEAMS_SEASON!F:F)</f>
        <v>0.11826923076923078</v>
      </c>
      <c r="V697">
        <f>_xlfn.XLOOKUP(D697,
  CALC_TEAMS_SEASON!B:B,
  CALC_TEAMS_SEASON!F:F)</f>
        <v>0.13021353646353648</v>
      </c>
      <c r="W697" t="str">
        <f>RAW_GAMES!R697</f>
        <v>Furch</v>
      </c>
      <c r="X697" s="7">
        <f>RAW_GAMES!S697</f>
        <v>23</v>
      </c>
      <c r="Y697">
        <f t="shared" si="65"/>
        <v>0</v>
      </c>
      <c r="Z697" t="str">
        <f>RAW_GAMES!V697</f>
        <v>RS</v>
      </c>
    </row>
    <row r="698" spans="1:26" x14ac:dyDescent="0.25">
      <c r="A698" t="str">
        <f>RAW_GAMES!A698</f>
        <v>25/26</v>
      </c>
      <c r="B698" s="3">
        <f>RAW_GAMES!B698</f>
        <v>46082</v>
      </c>
      <c r="C698" s="3" t="str">
        <f>RAW_GAMES!E698</f>
        <v>MHK</v>
      </c>
      <c r="D698" s="3" t="str">
        <f>RAW_GAMES!F698</f>
        <v>SPA</v>
      </c>
      <c r="E698" s="7">
        <f>RAW_GAMES!G698</f>
        <v>1</v>
      </c>
      <c r="F698">
        <f>RAW_GAMES!H698</f>
        <v>6</v>
      </c>
      <c r="G698">
        <f>RAW_GAMES!I698</f>
        <v>3</v>
      </c>
      <c r="H698">
        <f t="shared" si="60"/>
        <v>3</v>
      </c>
      <c r="I698">
        <f>RAW_GAMES!J698</f>
        <v>19</v>
      </c>
      <c r="J698">
        <f>RAW_GAMES!K698</f>
        <v>32</v>
      </c>
      <c r="K698">
        <f t="shared" si="61"/>
        <v>-13</v>
      </c>
      <c r="L698">
        <f>IF(RAW_GAMES!L698="","",RAW_GAMES!L698)</f>
        <v>2.2000000000000002</v>
      </c>
      <c r="M698">
        <f>IF(RAW_GAMES!M698="","",RAW_GAMES!M698)</f>
        <v>2.2799999999999998</v>
      </c>
      <c r="N698">
        <f t="shared" si="62"/>
        <v>-7.9999999999999627E-2</v>
      </c>
      <c r="O698" s="7">
        <f>RAW_GAMES!O698</f>
        <v>8</v>
      </c>
      <c r="P698">
        <f>RAW_GAMES!N698</f>
        <v>1</v>
      </c>
      <c r="Q698">
        <f t="shared" si="63"/>
        <v>0.125</v>
      </c>
      <c r="R698" s="7">
        <f>RAW_GAMES!Q698</f>
        <v>8</v>
      </c>
      <c r="S698">
        <f>RAW_GAMES!P698</f>
        <v>2</v>
      </c>
      <c r="T698">
        <f t="shared" si="64"/>
        <v>0.75</v>
      </c>
      <c r="U698">
        <f>_xlfn.XLOOKUP(C698,
  CALC_TEAMS_SEASON!B:B,
  CALC_TEAMS_SEASON!F:F)</f>
        <v>0.14184981684981687</v>
      </c>
      <c r="V698">
        <f>_xlfn.XLOOKUP(D698,
  CALC_TEAMS_SEASON!B:B,
  CALC_TEAMS_SEASON!F:F)</f>
        <v>0.22060439560439565</v>
      </c>
      <c r="W698" t="str">
        <f>RAW_GAMES!R698</f>
        <v>Škorvánek</v>
      </c>
      <c r="X698" s="7">
        <f>RAW_GAMES!S698</f>
        <v>29</v>
      </c>
      <c r="Y698">
        <f t="shared" si="65"/>
        <v>1</v>
      </c>
      <c r="Z698" t="str">
        <f>RAW_GAMES!V698</f>
        <v>RS</v>
      </c>
    </row>
    <row r="699" spans="1:26" x14ac:dyDescent="0.25">
      <c r="A699" t="str">
        <f>RAW_GAMES!A699</f>
        <v>25/26</v>
      </c>
      <c r="B699" s="3">
        <f>RAW_GAMES!B699</f>
        <v>46082</v>
      </c>
      <c r="C699" s="3" t="str">
        <f>RAW_GAMES!E699</f>
        <v>OLO</v>
      </c>
      <c r="D699" s="3" t="str">
        <f>RAW_GAMES!F699</f>
        <v>LIB</v>
      </c>
      <c r="E699" s="7">
        <f>RAW_GAMES!G699</f>
        <v>0</v>
      </c>
      <c r="F699">
        <f>RAW_GAMES!H699</f>
        <v>3</v>
      </c>
      <c r="G699">
        <f>RAW_GAMES!I699</f>
        <v>6</v>
      </c>
      <c r="H699">
        <f t="shared" si="60"/>
        <v>-3</v>
      </c>
      <c r="I699">
        <f>RAW_GAMES!J699</f>
        <v>17</v>
      </c>
      <c r="J699">
        <f>RAW_GAMES!K699</f>
        <v>31</v>
      </c>
      <c r="K699">
        <f t="shared" si="61"/>
        <v>-14</v>
      </c>
      <c r="L699" t="str">
        <f>IF(RAW_GAMES!L699="","",RAW_GAMES!L699)</f>
        <v/>
      </c>
      <c r="M699" t="str">
        <f>IF(RAW_GAMES!M699="","",RAW_GAMES!M699)</f>
        <v/>
      </c>
      <c r="N699" t="str">
        <f t="shared" si="62"/>
        <v/>
      </c>
      <c r="O699" s="7">
        <f>RAW_GAMES!O699</f>
        <v>4</v>
      </c>
      <c r="P699">
        <f>RAW_GAMES!N699</f>
        <v>3</v>
      </c>
      <c r="Q699">
        <f t="shared" si="63"/>
        <v>0.75</v>
      </c>
      <c r="R699" s="7">
        <f>RAW_GAMES!Q699</f>
        <v>4</v>
      </c>
      <c r="S699">
        <f>RAW_GAMES!P699</f>
        <v>1</v>
      </c>
      <c r="T699">
        <f t="shared" si="64"/>
        <v>0.75</v>
      </c>
      <c r="U699">
        <f>_xlfn.XLOOKUP(C699,
  CALC_TEAMS_SEASON!B:B,
  CALC_TEAMS_SEASON!F:F)</f>
        <v>0.14989316239316242</v>
      </c>
      <c r="V699">
        <f>_xlfn.XLOOKUP(D699,
  CALC_TEAMS_SEASON!B:B,
  CALC_TEAMS_SEASON!F:F)</f>
        <v>0.14377289377289379</v>
      </c>
      <c r="W699" t="str">
        <f>RAW_GAMES!R699</f>
        <v>Cichoň</v>
      </c>
      <c r="X699" s="7">
        <f>RAW_GAMES!S699</f>
        <v>25</v>
      </c>
      <c r="Y699">
        <f t="shared" si="65"/>
        <v>0</v>
      </c>
      <c r="Z699" t="str">
        <f>RAW_GAMES!V699</f>
        <v>RS</v>
      </c>
    </row>
    <row r="700" spans="1:26" x14ac:dyDescent="0.25">
      <c r="A700" t="str">
        <f>RAW_GAMES!A700</f>
        <v>25/26</v>
      </c>
      <c r="B700" s="3">
        <f>RAW_GAMES!B700</f>
        <v>46082</v>
      </c>
      <c r="C700" s="3" t="str">
        <f>RAW_GAMES!E700</f>
        <v>PLZ</v>
      </c>
      <c r="D700" s="3" t="str">
        <f>RAW_GAMES!F700</f>
        <v>LIT</v>
      </c>
      <c r="E700" s="7">
        <f>RAW_GAMES!G700</f>
        <v>1</v>
      </c>
      <c r="F700">
        <f>RAW_GAMES!H700</f>
        <v>3</v>
      </c>
      <c r="G700">
        <f>RAW_GAMES!I700</f>
        <v>2</v>
      </c>
      <c r="H700">
        <f t="shared" si="60"/>
        <v>1</v>
      </c>
      <c r="I700">
        <f>RAW_GAMES!J700</f>
        <v>43</v>
      </c>
      <c r="J700">
        <f>RAW_GAMES!K700</f>
        <v>17</v>
      </c>
      <c r="K700">
        <f t="shared" si="61"/>
        <v>26</v>
      </c>
      <c r="L700" t="str">
        <f>IF(RAW_GAMES!L700="","",RAW_GAMES!L700)</f>
        <v/>
      </c>
      <c r="M700" t="str">
        <f>IF(RAW_GAMES!M700="","",RAW_GAMES!M700)</f>
        <v/>
      </c>
      <c r="N700" t="str">
        <f t="shared" si="62"/>
        <v/>
      </c>
      <c r="O700" s="7">
        <f>RAW_GAMES!O700</f>
        <v>5</v>
      </c>
      <c r="P700">
        <f>RAW_GAMES!N700</f>
        <v>0</v>
      </c>
      <c r="Q700">
        <f t="shared" si="63"/>
        <v>0</v>
      </c>
      <c r="R700" s="7">
        <f>RAW_GAMES!Q700</f>
        <v>4</v>
      </c>
      <c r="S700">
        <f>RAW_GAMES!P700</f>
        <v>1</v>
      </c>
      <c r="T700">
        <f t="shared" si="64"/>
        <v>0.75</v>
      </c>
      <c r="U700">
        <f>_xlfn.XLOOKUP(C700,
  CALC_TEAMS_SEASON!B:B,
  CALC_TEAMS_SEASON!F:F)</f>
        <v>0.17641178266178262</v>
      </c>
      <c r="V700">
        <f>_xlfn.XLOOKUP(D700,
  CALC_TEAMS_SEASON!B:B,
  CALC_TEAMS_SEASON!F:F)</f>
        <v>0.10089285714285713</v>
      </c>
      <c r="W700" t="str">
        <f>RAW_GAMES!R700</f>
        <v>Malík</v>
      </c>
      <c r="X700" s="7">
        <f>RAW_GAMES!S700</f>
        <v>15</v>
      </c>
      <c r="Y700">
        <f t="shared" si="65"/>
        <v>1</v>
      </c>
      <c r="Z700" t="str">
        <f>RAW_GAMES!V700</f>
        <v>RS</v>
      </c>
    </row>
    <row r="701" spans="1:26" x14ac:dyDescent="0.25">
      <c r="A701" t="str">
        <f>RAW_GAMES!A701</f>
        <v>25/26</v>
      </c>
      <c r="B701" s="3">
        <f>RAW_GAMES!B701</f>
        <v>46082</v>
      </c>
      <c r="C701" s="3" t="str">
        <f>RAW_GAMES!E701</f>
        <v>VIT</v>
      </c>
      <c r="D701" s="3" t="str">
        <f>RAW_GAMES!F701</f>
        <v>TRI</v>
      </c>
      <c r="E701" s="7">
        <f>RAW_GAMES!G701</f>
        <v>0</v>
      </c>
      <c r="F701">
        <f>RAW_GAMES!H701</f>
        <v>2</v>
      </c>
      <c r="G701">
        <f>RAW_GAMES!I701</f>
        <v>3</v>
      </c>
      <c r="H701">
        <f t="shared" si="60"/>
        <v>-1</v>
      </c>
      <c r="I701">
        <f>RAW_GAMES!J701</f>
        <v>24</v>
      </c>
      <c r="J701">
        <f>RAW_GAMES!K701</f>
        <v>44</v>
      </c>
      <c r="K701">
        <f t="shared" si="61"/>
        <v>-20</v>
      </c>
      <c r="L701">
        <f>IF(RAW_GAMES!L701="","",RAW_GAMES!L701)</f>
        <v>2.74</v>
      </c>
      <c r="M701">
        <f>IF(RAW_GAMES!M701="","",RAW_GAMES!M701)</f>
        <v>5.07</v>
      </c>
      <c r="N701">
        <f t="shared" si="62"/>
        <v>-2.33</v>
      </c>
      <c r="O701" s="7">
        <f>RAW_GAMES!O701</f>
        <v>7</v>
      </c>
      <c r="P701">
        <f>RAW_GAMES!N701</f>
        <v>2</v>
      </c>
      <c r="Q701">
        <f t="shared" si="63"/>
        <v>0.2857142857142857</v>
      </c>
      <c r="R701" s="7">
        <f>RAW_GAMES!Q701</f>
        <v>5</v>
      </c>
      <c r="S701">
        <f>RAW_GAMES!P701</f>
        <v>2</v>
      </c>
      <c r="T701">
        <f t="shared" si="64"/>
        <v>0.6</v>
      </c>
      <c r="U701">
        <f>_xlfn.XLOOKUP(C701,
  CALC_TEAMS_SEASON!B:B,
  CALC_TEAMS_SEASON!F:F)</f>
        <v>0.16984890109890113</v>
      </c>
      <c r="V701">
        <f>_xlfn.XLOOKUP(D701,
  CALC_TEAMS_SEASON!B:B,
  CALC_TEAMS_SEASON!F:F)</f>
        <v>0.17437423687423692</v>
      </c>
      <c r="W701" t="str">
        <f>RAW_GAMES!R701</f>
        <v>Hrachovina</v>
      </c>
      <c r="X701" s="7">
        <f>RAW_GAMES!S701</f>
        <v>41</v>
      </c>
      <c r="Y701">
        <f t="shared" si="65"/>
        <v>0</v>
      </c>
      <c r="Z701" t="str">
        <f>RAW_GAMES!V701</f>
        <v>RS</v>
      </c>
    </row>
    <row r="702" spans="1:26" x14ac:dyDescent="0.25">
      <c r="A702" t="str">
        <f>RAW_GAMES!A702</f>
        <v>25/26</v>
      </c>
      <c r="B702" s="3">
        <f>RAW_GAMES!B702</f>
        <v>46085</v>
      </c>
      <c r="C702" s="3" t="str">
        <f>RAW_GAMES!E702</f>
        <v>PCE</v>
      </c>
      <c r="D702" s="3" t="str">
        <f>RAW_GAMES!F702</f>
        <v>VIT</v>
      </c>
      <c r="E702" s="7">
        <f>RAW_GAMES!G702</f>
        <v>0</v>
      </c>
      <c r="F702">
        <f>RAW_GAMES!H702</f>
        <v>2</v>
      </c>
      <c r="G702">
        <f>RAW_GAMES!I702</f>
        <v>4</v>
      </c>
      <c r="H702">
        <f t="shared" si="60"/>
        <v>-2</v>
      </c>
      <c r="I702">
        <f>RAW_GAMES!J702</f>
        <v>41</v>
      </c>
      <c r="J702">
        <f>RAW_GAMES!K702</f>
        <v>17</v>
      </c>
      <c r="K702">
        <f t="shared" si="61"/>
        <v>24</v>
      </c>
      <c r="L702">
        <f>IF(RAW_GAMES!L702="","",RAW_GAMES!L702)</f>
        <v>3.09</v>
      </c>
      <c r="M702">
        <f>IF(RAW_GAMES!M702="","",RAW_GAMES!M702)</f>
        <v>1.98</v>
      </c>
      <c r="N702">
        <f t="shared" si="62"/>
        <v>1.1099999999999999</v>
      </c>
      <c r="O702" s="7">
        <f>RAW_GAMES!O702</f>
        <v>2</v>
      </c>
      <c r="P702">
        <f>RAW_GAMES!N702</f>
        <v>0</v>
      </c>
      <c r="Q702">
        <f t="shared" si="63"/>
        <v>0</v>
      </c>
      <c r="R702" s="7">
        <f>RAW_GAMES!Q702</f>
        <v>2</v>
      </c>
      <c r="S702">
        <f>RAW_GAMES!P702</f>
        <v>0</v>
      </c>
      <c r="T702">
        <f t="shared" si="64"/>
        <v>1</v>
      </c>
      <c r="U702">
        <f>_xlfn.XLOOKUP(C702,
  CALC_TEAMS_SEASON!B:B,
  CALC_TEAMS_SEASON!F:F)</f>
        <v>0.20297619047619053</v>
      </c>
      <c r="V702">
        <f>_xlfn.XLOOKUP(D702,
  CALC_TEAMS_SEASON!B:B,
  CALC_TEAMS_SEASON!F:F)</f>
        <v>0.16984890109890113</v>
      </c>
      <c r="W702" t="str">
        <f>RAW_GAMES!R702</f>
        <v>Will</v>
      </c>
      <c r="X702" s="7">
        <f>RAW_GAMES!S702</f>
        <v>13</v>
      </c>
      <c r="Y702">
        <f t="shared" si="65"/>
        <v>0</v>
      </c>
      <c r="Z702" t="str">
        <f>RAW_GAMES!V702</f>
        <v>RS</v>
      </c>
    </row>
    <row r="703" spans="1:26" x14ac:dyDescent="0.25">
      <c r="A703" t="str">
        <f>RAW_GAMES!A703</f>
        <v>25/26</v>
      </c>
      <c r="B703" s="3">
        <f>RAW_GAMES!B703</f>
        <v>46085</v>
      </c>
      <c r="C703" s="3" t="str">
        <f>RAW_GAMES!E703</f>
        <v>TRI</v>
      </c>
      <c r="D703" s="3" t="str">
        <f>RAW_GAMES!F703</f>
        <v>LIT</v>
      </c>
      <c r="E703" s="7">
        <f>RAW_GAMES!G703</f>
        <v>0</v>
      </c>
      <c r="F703">
        <f>RAW_GAMES!H703</f>
        <v>4</v>
      </c>
      <c r="G703">
        <f>RAW_GAMES!I703</f>
        <v>1</v>
      </c>
      <c r="H703">
        <f t="shared" si="60"/>
        <v>3</v>
      </c>
      <c r="I703">
        <f>RAW_GAMES!J703</f>
        <v>33</v>
      </c>
      <c r="J703">
        <f>RAW_GAMES!K703</f>
        <v>27</v>
      </c>
      <c r="K703">
        <f t="shared" si="61"/>
        <v>6</v>
      </c>
      <c r="L703">
        <f>IF(RAW_GAMES!L703="","",RAW_GAMES!L703)</f>
        <v>2.99</v>
      </c>
      <c r="M703">
        <f>IF(RAW_GAMES!M703="","",RAW_GAMES!M703)</f>
        <v>1.99</v>
      </c>
      <c r="N703">
        <f t="shared" si="62"/>
        <v>1.0000000000000002</v>
      </c>
      <c r="O703" s="7">
        <f>RAW_GAMES!O703</f>
        <v>5</v>
      </c>
      <c r="P703">
        <f>RAW_GAMES!N703</f>
        <v>2</v>
      </c>
      <c r="Q703">
        <f t="shared" si="63"/>
        <v>0.4</v>
      </c>
      <c r="R703" s="7">
        <f>RAW_GAMES!Q703</f>
        <v>2</v>
      </c>
      <c r="S703">
        <f>RAW_GAMES!P703</f>
        <v>0</v>
      </c>
      <c r="T703">
        <f t="shared" si="64"/>
        <v>1</v>
      </c>
      <c r="U703">
        <f>_xlfn.XLOOKUP(C703,
  CALC_TEAMS_SEASON!B:B,
  CALC_TEAMS_SEASON!F:F)</f>
        <v>0.17437423687423692</v>
      </c>
      <c r="V703">
        <f>_xlfn.XLOOKUP(D703,
  CALC_TEAMS_SEASON!B:B,
  CALC_TEAMS_SEASON!F:F)</f>
        <v>0.10089285714285713</v>
      </c>
      <c r="W703" t="str">
        <f>RAW_GAMES!R703</f>
        <v>Mazanec</v>
      </c>
      <c r="X703" s="7">
        <f>RAW_GAMES!S703</f>
        <v>26</v>
      </c>
      <c r="Y703">
        <f t="shared" si="65"/>
        <v>1</v>
      </c>
      <c r="Z703" t="str">
        <f>RAW_GAMES!V703</f>
        <v>RS</v>
      </c>
    </row>
    <row r="704" spans="1:26" x14ac:dyDescent="0.25">
      <c r="A704" t="str">
        <f>RAW_GAMES!A704</f>
        <v>25/26</v>
      </c>
      <c r="B704" s="3">
        <f>RAW_GAMES!B704</f>
        <v>46085</v>
      </c>
      <c r="C704" s="3" t="str">
        <f>RAW_GAMES!E704</f>
        <v>SPA</v>
      </c>
      <c r="D704" s="3" t="str">
        <f>RAW_GAMES!F704</f>
        <v>KLA</v>
      </c>
      <c r="E704" s="7">
        <f>RAW_GAMES!G704</f>
        <v>1</v>
      </c>
      <c r="F704">
        <f>RAW_GAMES!H704</f>
        <v>6</v>
      </c>
      <c r="G704">
        <f>RAW_GAMES!I704</f>
        <v>3</v>
      </c>
      <c r="H704">
        <f t="shared" si="60"/>
        <v>3</v>
      </c>
      <c r="I704">
        <f>RAW_GAMES!J704</f>
        <v>35</v>
      </c>
      <c r="J704">
        <f>RAW_GAMES!K704</f>
        <v>27</v>
      </c>
      <c r="K704">
        <f t="shared" si="61"/>
        <v>8</v>
      </c>
      <c r="L704">
        <f>IF(RAW_GAMES!L704="","",RAW_GAMES!L704)</f>
        <v>3.24</v>
      </c>
      <c r="M704">
        <f>IF(RAW_GAMES!M704="","",RAW_GAMES!M704)</f>
        <v>2.0699999999999998</v>
      </c>
      <c r="N704">
        <f t="shared" si="62"/>
        <v>1.1700000000000004</v>
      </c>
      <c r="O704" s="7">
        <f>RAW_GAMES!O704</f>
        <v>6</v>
      </c>
      <c r="P704">
        <f>RAW_GAMES!N704</f>
        <v>3</v>
      </c>
      <c r="Q704">
        <f t="shared" si="63"/>
        <v>0.5</v>
      </c>
      <c r="R704" s="7">
        <f>RAW_GAMES!Q704</f>
        <v>2</v>
      </c>
      <c r="S704">
        <f>RAW_GAMES!P704</f>
        <v>1</v>
      </c>
      <c r="T704">
        <f t="shared" si="64"/>
        <v>0.5</v>
      </c>
      <c r="U704">
        <f>_xlfn.XLOOKUP(C704,
  CALC_TEAMS_SEASON!B:B,
  CALC_TEAMS_SEASON!F:F)</f>
        <v>0.22060439560439565</v>
      </c>
      <c r="V704">
        <f>_xlfn.XLOOKUP(D704,
  CALC_TEAMS_SEASON!B:B,
  CALC_TEAMS_SEASON!F:F)</f>
        <v>0.13120421245421243</v>
      </c>
      <c r="W704" t="str">
        <f>RAW_GAMES!R704</f>
        <v>Kořenář</v>
      </c>
      <c r="X704" s="7">
        <f>RAW_GAMES!S704</f>
        <v>24</v>
      </c>
      <c r="Y704">
        <f t="shared" si="65"/>
        <v>1</v>
      </c>
      <c r="Z704" t="str">
        <f>RAW_GAMES!V704</f>
        <v>RS</v>
      </c>
    </row>
    <row r="705" spans="1:26" x14ac:dyDescent="0.25">
      <c r="A705" t="str">
        <f>RAW_GAMES!A705</f>
        <v>25/26</v>
      </c>
      <c r="B705" s="3">
        <f>RAW_GAMES!B705</f>
        <v>46085</v>
      </c>
      <c r="C705" s="3" t="str">
        <f>RAW_GAMES!E705</f>
        <v>KOM</v>
      </c>
      <c r="D705" s="3" t="str">
        <f>RAW_GAMES!F705</f>
        <v>KVA</v>
      </c>
      <c r="E705" s="7">
        <f>RAW_GAMES!G705</f>
        <v>0</v>
      </c>
      <c r="F705">
        <f>RAW_GAMES!H705</f>
        <v>2</v>
      </c>
      <c r="G705">
        <f>RAW_GAMES!I705</f>
        <v>3</v>
      </c>
      <c r="H705">
        <f t="shared" si="60"/>
        <v>-1</v>
      </c>
      <c r="I705">
        <f>RAW_GAMES!J705</f>
        <v>33</v>
      </c>
      <c r="J705">
        <f>RAW_GAMES!K705</f>
        <v>35</v>
      </c>
      <c r="K705">
        <f t="shared" si="61"/>
        <v>-2</v>
      </c>
      <c r="L705">
        <f>IF(RAW_GAMES!L705="","",RAW_GAMES!L705)</f>
        <v>4</v>
      </c>
      <c r="M705">
        <f>IF(RAW_GAMES!M705="","",RAW_GAMES!M705)</f>
        <v>3.67</v>
      </c>
      <c r="N705">
        <f t="shared" si="62"/>
        <v>0.33000000000000007</v>
      </c>
      <c r="O705" s="7">
        <f>RAW_GAMES!O705</f>
        <v>6</v>
      </c>
      <c r="P705">
        <f>RAW_GAMES!N705</f>
        <v>0</v>
      </c>
      <c r="Q705">
        <f t="shared" si="63"/>
        <v>0</v>
      </c>
      <c r="R705" s="7">
        <f>RAW_GAMES!Q705</f>
        <v>6</v>
      </c>
      <c r="S705">
        <f>RAW_GAMES!P705</f>
        <v>2</v>
      </c>
      <c r="T705">
        <f t="shared" si="64"/>
        <v>0.66666666666666674</v>
      </c>
      <c r="U705">
        <f>_xlfn.XLOOKUP(C705,
  CALC_TEAMS_SEASON!B:B,
  CALC_TEAMS_SEASON!F:F)</f>
        <v>0.14358974358974358</v>
      </c>
      <c r="V705">
        <f>_xlfn.XLOOKUP(D705,
  CALC_TEAMS_SEASON!B:B,
  CALC_TEAMS_SEASON!F:F)</f>
        <v>0.17387057387057389</v>
      </c>
      <c r="W705" t="str">
        <f>RAW_GAMES!R705</f>
        <v>Krošelj</v>
      </c>
      <c r="X705" s="7">
        <f>RAW_GAMES!S705</f>
        <v>32</v>
      </c>
      <c r="Y705">
        <f t="shared" si="65"/>
        <v>0</v>
      </c>
      <c r="Z705" t="str">
        <f>RAW_GAMES!V705</f>
        <v>RS</v>
      </c>
    </row>
    <row r="706" spans="1:26" x14ac:dyDescent="0.25">
      <c r="A706" t="str">
        <f>RAW_GAMES!A706</f>
        <v>25/26</v>
      </c>
      <c r="B706" s="3">
        <f>RAW_GAMES!B706</f>
        <v>46085</v>
      </c>
      <c r="C706" s="3" t="str">
        <f>RAW_GAMES!E706</f>
        <v>CEB</v>
      </c>
      <c r="D706" s="3" t="str">
        <f>RAW_GAMES!F706</f>
        <v>OLO</v>
      </c>
      <c r="E706" s="7">
        <f>RAW_GAMES!G706</f>
        <v>0</v>
      </c>
      <c r="F706">
        <f>RAW_GAMES!H706</f>
        <v>2</v>
      </c>
      <c r="G706">
        <f>RAW_GAMES!I706</f>
        <v>3</v>
      </c>
      <c r="H706">
        <f t="shared" si="60"/>
        <v>-1</v>
      </c>
      <c r="I706">
        <f>RAW_GAMES!J706</f>
        <v>26</v>
      </c>
      <c r="J706">
        <f>RAW_GAMES!K706</f>
        <v>28</v>
      </c>
      <c r="K706">
        <f t="shared" si="61"/>
        <v>-2</v>
      </c>
      <c r="L706" t="str">
        <f>IF(RAW_GAMES!L706="","",RAW_GAMES!L706)</f>
        <v/>
      </c>
      <c r="M706" t="str">
        <f>IF(RAW_GAMES!M706="","",RAW_GAMES!M706)</f>
        <v/>
      </c>
      <c r="N706" t="str">
        <f t="shared" si="62"/>
        <v/>
      </c>
      <c r="O706" s="7">
        <f>RAW_GAMES!O706</f>
        <v>2</v>
      </c>
      <c r="P706">
        <f>RAW_GAMES!N706</f>
        <v>0</v>
      </c>
      <c r="Q706">
        <f t="shared" si="63"/>
        <v>0</v>
      </c>
      <c r="R706" s="7">
        <f>RAW_GAMES!Q706</f>
        <v>3</v>
      </c>
      <c r="S706">
        <f>RAW_GAMES!P706</f>
        <v>0</v>
      </c>
      <c r="T706">
        <f t="shared" si="64"/>
        <v>1</v>
      </c>
      <c r="U706">
        <f>_xlfn.XLOOKUP(C706,
  CALC_TEAMS_SEASON!B:B,
  CALC_TEAMS_SEASON!F:F)</f>
        <v>0.13021353646353648</v>
      </c>
      <c r="V706">
        <f>_xlfn.XLOOKUP(D706,
  CALC_TEAMS_SEASON!B:B,
  CALC_TEAMS_SEASON!F:F)</f>
        <v>0.14989316239316242</v>
      </c>
      <c r="W706" t="str">
        <f>RAW_GAMES!R706</f>
        <v>Klouček</v>
      </c>
      <c r="X706" s="7">
        <f>RAW_GAMES!S706</f>
        <v>25</v>
      </c>
      <c r="Y706">
        <f t="shared" si="65"/>
        <v>0</v>
      </c>
      <c r="Z706" t="str">
        <f>RAW_GAMES!V706</f>
        <v>RS</v>
      </c>
    </row>
    <row r="707" spans="1:26" x14ac:dyDescent="0.25">
      <c r="A707" t="str">
        <f>RAW_GAMES!A707</f>
        <v>25/26</v>
      </c>
      <c r="B707" s="3">
        <f>RAW_GAMES!B707</f>
        <v>46085</v>
      </c>
      <c r="C707" s="3" t="str">
        <f>RAW_GAMES!E707</f>
        <v>KLA</v>
      </c>
      <c r="D707" s="3" t="str">
        <f>RAW_GAMES!F707</f>
        <v>SPA</v>
      </c>
      <c r="E707" s="7">
        <f>RAW_GAMES!G707</f>
        <v>0</v>
      </c>
      <c r="F707">
        <f>RAW_GAMES!H707</f>
        <v>3</v>
      </c>
      <c r="G707">
        <f>RAW_GAMES!I707</f>
        <v>6</v>
      </c>
      <c r="H707">
        <f t="shared" ref="H707:H729" si="66">F707-G707</f>
        <v>-3</v>
      </c>
      <c r="I707">
        <f>RAW_GAMES!J707</f>
        <v>27</v>
      </c>
      <c r="J707">
        <f>RAW_GAMES!K707</f>
        <v>35</v>
      </c>
      <c r="K707">
        <f t="shared" ref="K707:K729" si="67">I707-J707</f>
        <v>-8</v>
      </c>
      <c r="L707">
        <f>IF(RAW_GAMES!L707="","",RAW_GAMES!L707)</f>
        <v>2.0699999999999998</v>
      </c>
      <c r="M707">
        <f>IF(RAW_GAMES!M707="","",RAW_GAMES!M707)</f>
        <v>3.24</v>
      </c>
      <c r="N707">
        <f t="shared" ref="N707:N729" si="68">IF(L707="","",L707-M707)</f>
        <v>-1.1700000000000004</v>
      </c>
      <c r="O707" s="7">
        <f>RAW_GAMES!O707</f>
        <v>2</v>
      </c>
      <c r="P707">
        <f>RAW_GAMES!N707</f>
        <v>1</v>
      </c>
      <c r="Q707">
        <f t="shared" ref="Q707:Q729" si="69">IF(O707&gt;0,P707/O707,0)</f>
        <v>0.5</v>
      </c>
      <c r="R707" s="7">
        <f>RAW_GAMES!Q707</f>
        <v>6</v>
      </c>
      <c r="S707">
        <f>RAW_GAMES!P707</f>
        <v>3</v>
      </c>
      <c r="T707">
        <f t="shared" ref="T707:T729" si="70">IF(R707&gt;0, 1-(S707/R707),1)</f>
        <v>0.5</v>
      </c>
      <c r="U707">
        <f>_xlfn.XLOOKUP(C707,
  CALC_TEAMS_SEASON!B:B,
  CALC_TEAMS_SEASON!F:F)</f>
        <v>0.13120421245421243</v>
      </c>
      <c r="V707">
        <f>_xlfn.XLOOKUP(D707,
  CALC_TEAMS_SEASON!B:B,
  CALC_TEAMS_SEASON!F:F)</f>
        <v>0.22060439560439565</v>
      </c>
      <c r="W707" t="str">
        <f>RAW_GAMES!R707</f>
        <v>Dansk</v>
      </c>
      <c r="X707" s="7">
        <f>RAW_GAMES!S707</f>
        <v>29</v>
      </c>
      <c r="Y707">
        <f t="shared" ref="Y707:Y729" si="71">IF(F707&gt;G707,1,0)</f>
        <v>0</v>
      </c>
      <c r="Z707" t="str">
        <f>RAW_GAMES!V707</f>
        <v>RS</v>
      </c>
    </row>
    <row r="708" spans="1:26" x14ac:dyDescent="0.25">
      <c r="A708" t="str">
        <f>RAW_GAMES!A708</f>
        <v>25/26</v>
      </c>
      <c r="B708" s="3">
        <f>RAW_GAMES!B708</f>
        <v>46085</v>
      </c>
      <c r="C708" s="3" t="str">
        <f>RAW_GAMES!E708</f>
        <v>KVA</v>
      </c>
      <c r="D708" s="3" t="str">
        <f>RAW_GAMES!F708</f>
        <v>KOM</v>
      </c>
      <c r="E708" s="7">
        <f>RAW_GAMES!G708</f>
        <v>1</v>
      </c>
      <c r="F708">
        <f>RAW_GAMES!H708</f>
        <v>3</v>
      </c>
      <c r="G708">
        <f>RAW_GAMES!I708</f>
        <v>2</v>
      </c>
      <c r="H708">
        <f t="shared" si="66"/>
        <v>1</v>
      </c>
      <c r="I708">
        <f>RAW_GAMES!J708</f>
        <v>35</v>
      </c>
      <c r="J708">
        <f>RAW_GAMES!K708</f>
        <v>33</v>
      </c>
      <c r="K708">
        <f t="shared" si="67"/>
        <v>2</v>
      </c>
      <c r="L708">
        <f>IF(RAW_GAMES!L708="","",RAW_GAMES!L708)</f>
        <v>3.67</v>
      </c>
      <c r="M708">
        <f>IF(RAW_GAMES!M708="","",RAW_GAMES!M708)</f>
        <v>4</v>
      </c>
      <c r="N708">
        <f t="shared" si="68"/>
        <v>-0.33000000000000007</v>
      </c>
      <c r="O708" s="7">
        <f>RAW_GAMES!O708</f>
        <v>6</v>
      </c>
      <c r="P708">
        <f>RAW_GAMES!N708</f>
        <v>2</v>
      </c>
      <c r="Q708">
        <f t="shared" si="69"/>
        <v>0.33333333333333331</v>
      </c>
      <c r="R708" s="7">
        <f>RAW_GAMES!Q708</f>
        <v>6</v>
      </c>
      <c r="S708">
        <f>RAW_GAMES!P708</f>
        <v>0</v>
      </c>
      <c r="T708">
        <f t="shared" si="70"/>
        <v>1</v>
      </c>
      <c r="U708">
        <f>_xlfn.XLOOKUP(C708,
  CALC_TEAMS_SEASON!B:B,
  CALC_TEAMS_SEASON!F:F)</f>
        <v>0.17387057387057389</v>
      </c>
      <c r="V708">
        <f>_xlfn.XLOOKUP(D708,
  CALC_TEAMS_SEASON!B:B,
  CALC_TEAMS_SEASON!F:F)</f>
        <v>0.14358974358974358</v>
      </c>
      <c r="W708" t="str">
        <f>RAW_GAMES!R708</f>
        <v>Frodl</v>
      </c>
      <c r="X708" s="7">
        <f>RAW_GAMES!S708</f>
        <v>31</v>
      </c>
      <c r="Y708">
        <f t="shared" si="71"/>
        <v>1</v>
      </c>
      <c r="Z708" t="str">
        <f>RAW_GAMES!V708</f>
        <v>RS</v>
      </c>
    </row>
    <row r="709" spans="1:26" x14ac:dyDescent="0.25">
      <c r="A709" t="str">
        <f>RAW_GAMES!A709</f>
        <v>25/26</v>
      </c>
      <c r="B709" s="3">
        <f>RAW_GAMES!B709</f>
        <v>46085</v>
      </c>
      <c r="C709" s="3" t="str">
        <f>RAW_GAMES!E709</f>
        <v>LIB</v>
      </c>
      <c r="D709" s="3" t="str">
        <f>RAW_GAMES!F709</f>
        <v>MHK</v>
      </c>
      <c r="E709" s="7">
        <f>RAW_GAMES!G709</f>
        <v>1</v>
      </c>
      <c r="F709">
        <f>RAW_GAMES!H709</f>
        <v>4</v>
      </c>
      <c r="G709">
        <f>RAW_GAMES!I709</f>
        <v>0</v>
      </c>
      <c r="H709">
        <f t="shared" si="66"/>
        <v>4</v>
      </c>
      <c r="I709">
        <f>RAW_GAMES!J709</f>
        <v>29</v>
      </c>
      <c r="J709">
        <f>RAW_GAMES!K709</f>
        <v>21</v>
      </c>
      <c r="K709">
        <f t="shared" si="67"/>
        <v>8</v>
      </c>
      <c r="L709" t="str">
        <f>IF(RAW_GAMES!L709="","",RAW_GAMES!L709)</f>
        <v/>
      </c>
      <c r="M709" t="str">
        <f>IF(RAW_GAMES!M709="","",RAW_GAMES!M709)</f>
        <v/>
      </c>
      <c r="N709" t="str">
        <f t="shared" si="68"/>
        <v/>
      </c>
      <c r="O709" s="7">
        <f>RAW_GAMES!O709</f>
        <v>4</v>
      </c>
      <c r="P709">
        <f>RAW_GAMES!N709</f>
        <v>1</v>
      </c>
      <c r="Q709">
        <f t="shared" si="69"/>
        <v>0.25</v>
      </c>
      <c r="R709" s="7">
        <f>RAW_GAMES!Q709</f>
        <v>3</v>
      </c>
      <c r="S709">
        <f>RAW_GAMES!P709</f>
        <v>0</v>
      </c>
      <c r="T709">
        <f t="shared" si="70"/>
        <v>1</v>
      </c>
      <c r="U709">
        <f>_xlfn.XLOOKUP(C709,
  CALC_TEAMS_SEASON!B:B,
  CALC_TEAMS_SEASON!F:F)</f>
        <v>0.14377289377289379</v>
      </c>
      <c r="V709">
        <f>_xlfn.XLOOKUP(D709,
  CALC_TEAMS_SEASON!B:B,
  CALC_TEAMS_SEASON!F:F)</f>
        <v>0.14184981684981687</v>
      </c>
      <c r="W709" t="str">
        <f>RAW_GAMES!R709</f>
        <v>Kváča</v>
      </c>
      <c r="X709" s="7">
        <f>RAW_GAMES!S709</f>
        <v>21</v>
      </c>
      <c r="Y709">
        <f t="shared" si="71"/>
        <v>1</v>
      </c>
      <c r="Z709" t="str">
        <f>RAW_GAMES!V709</f>
        <v>RS</v>
      </c>
    </row>
    <row r="710" spans="1:26" x14ac:dyDescent="0.25">
      <c r="A710" t="str">
        <f>RAW_GAMES!A710</f>
        <v>25/26</v>
      </c>
      <c r="B710" s="3">
        <f>RAW_GAMES!B710</f>
        <v>46085</v>
      </c>
      <c r="C710" s="3" t="str">
        <f>RAW_GAMES!E710</f>
        <v>LIT</v>
      </c>
      <c r="D710" s="3" t="str">
        <f>RAW_GAMES!F710</f>
        <v>TRI</v>
      </c>
      <c r="E710" s="7">
        <f>RAW_GAMES!G710</f>
        <v>1</v>
      </c>
      <c r="F710">
        <f>RAW_GAMES!H710</f>
        <v>1</v>
      </c>
      <c r="G710">
        <f>RAW_GAMES!I710</f>
        <v>4</v>
      </c>
      <c r="H710">
        <f t="shared" si="66"/>
        <v>-3</v>
      </c>
      <c r="I710">
        <f>RAW_GAMES!J710</f>
        <v>27</v>
      </c>
      <c r="J710">
        <f>RAW_GAMES!K710</f>
        <v>33</v>
      </c>
      <c r="K710">
        <f t="shared" si="67"/>
        <v>-6</v>
      </c>
      <c r="L710">
        <f>IF(RAW_GAMES!L710="","",RAW_GAMES!L710)</f>
        <v>1.99</v>
      </c>
      <c r="M710">
        <f>IF(RAW_GAMES!M710="","",RAW_GAMES!M710)</f>
        <v>2.99</v>
      </c>
      <c r="N710">
        <f t="shared" si="68"/>
        <v>-1.0000000000000002</v>
      </c>
      <c r="O710" s="7">
        <f>RAW_GAMES!O710</f>
        <v>2</v>
      </c>
      <c r="P710">
        <f>RAW_GAMES!N710</f>
        <v>0</v>
      </c>
      <c r="Q710">
        <f t="shared" si="69"/>
        <v>0</v>
      </c>
      <c r="R710" s="7">
        <f>RAW_GAMES!Q710</f>
        <v>5</v>
      </c>
      <c r="S710">
        <f>RAW_GAMES!P710</f>
        <v>2</v>
      </c>
      <c r="T710">
        <f t="shared" si="70"/>
        <v>0.6</v>
      </c>
      <c r="U710">
        <f>_xlfn.XLOOKUP(C710,
  CALC_TEAMS_SEASON!B:B,
  CALC_TEAMS_SEASON!F:F)</f>
        <v>0.10089285714285713</v>
      </c>
      <c r="V710">
        <f>_xlfn.XLOOKUP(D710,
  CALC_TEAMS_SEASON!B:B,
  CALC_TEAMS_SEASON!F:F)</f>
        <v>0.17437423687423692</v>
      </c>
      <c r="W710" t="str">
        <f>RAW_GAMES!R710</f>
        <v>Tomek</v>
      </c>
      <c r="X710" s="7">
        <f>RAW_GAMES!S710</f>
        <v>29</v>
      </c>
      <c r="Y710">
        <f t="shared" si="71"/>
        <v>0</v>
      </c>
      <c r="Z710" t="str">
        <f>RAW_GAMES!V710</f>
        <v>RS</v>
      </c>
    </row>
    <row r="711" spans="1:26" x14ac:dyDescent="0.25">
      <c r="A711" t="str">
        <f>RAW_GAMES!A711</f>
        <v>25/26</v>
      </c>
      <c r="B711" s="3">
        <f>RAW_GAMES!B711</f>
        <v>46085</v>
      </c>
      <c r="C711" s="3" t="str">
        <f>RAW_GAMES!E711</f>
        <v>MBL</v>
      </c>
      <c r="D711" s="3" t="str">
        <f>RAW_GAMES!F711</f>
        <v>PLZ</v>
      </c>
      <c r="E711" s="7">
        <f>RAW_GAMES!G711</f>
        <v>1</v>
      </c>
      <c r="F711">
        <f>RAW_GAMES!H711</f>
        <v>0</v>
      </c>
      <c r="G711">
        <f>RAW_GAMES!I711</f>
        <v>2</v>
      </c>
      <c r="H711">
        <f t="shared" si="66"/>
        <v>-2</v>
      </c>
      <c r="I711">
        <f>RAW_GAMES!J711</f>
        <v>26</v>
      </c>
      <c r="J711">
        <f>RAW_GAMES!K711</f>
        <v>29</v>
      </c>
      <c r="K711">
        <f t="shared" si="67"/>
        <v>-3</v>
      </c>
      <c r="L711" t="str">
        <f>IF(RAW_GAMES!L711="","",RAW_GAMES!L711)</f>
        <v/>
      </c>
      <c r="M711" t="str">
        <f>IF(RAW_GAMES!M711="","",RAW_GAMES!M711)</f>
        <v/>
      </c>
      <c r="N711" t="str">
        <f t="shared" si="68"/>
        <v/>
      </c>
      <c r="O711" s="7">
        <f>RAW_GAMES!O711</f>
        <v>2</v>
      </c>
      <c r="P711">
        <f>RAW_GAMES!N711</f>
        <v>0</v>
      </c>
      <c r="Q711">
        <f t="shared" si="69"/>
        <v>0</v>
      </c>
      <c r="R711" s="7">
        <f>RAW_GAMES!Q711</f>
        <v>5</v>
      </c>
      <c r="S711">
        <f>RAW_GAMES!P711</f>
        <v>1</v>
      </c>
      <c r="T711">
        <f t="shared" si="70"/>
        <v>0.8</v>
      </c>
      <c r="U711">
        <f>_xlfn.XLOOKUP(C711,
  CALC_TEAMS_SEASON!B:B,
  CALC_TEAMS_SEASON!F:F)</f>
        <v>0.11826923076923078</v>
      </c>
      <c r="V711">
        <f>_xlfn.XLOOKUP(D711,
  CALC_TEAMS_SEASON!B:B,
  CALC_TEAMS_SEASON!F:F)</f>
        <v>0.17641178266178262</v>
      </c>
      <c r="W711" t="str">
        <f>RAW_GAMES!R711</f>
        <v>Furch</v>
      </c>
      <c r="X711" s="7">
        <f>RAW_GAMES!S711</f>
        <v>27</v>
      </c>
      <c r="Y711">
        <f t="shared" si="71"/>
        <v>0</v>
      </c>
      <c r="Z711" t="str">
        <f>RAW_GAMES!V711</f>
        <v>RS</v>
      </c>
    </row>
    <row r="712" spans="1:26" x14ac:dyDescent="0.25">
      <c r="A712" t="str">
        <f>RAW_GAMES!A712</f>
        <v>25/26</v>
      </c>
      <c r="B712" s="3">
        <f>RAW_GAMES!B712</f>
        <v>46085</v>
      </c>
      <c r="C712" s="3" t="str">
        <f>RAW_GAMES!E712</f>
        <v>MHK</v>
      </c>
      <c r="D712" s="3" t="str">
        <f>RAW_GAMES!F712</f>
        <v>LIB</v>
      </c>
      <c r="E712" s="7">
        <f>RAW_GAMES!G712</f>
        <v>0</v>
      </c>
      <c r="F712">
        <f>RAW_GAMES!H712</f>
        <v>0</v>
      </c>
      <c r="G712">
        <f>RAW_GAMES!I712</f>
        <v>4</v>
      </c>
      <c r="H712">
        <f t="shared" si="66"/>
        <v>-4</v>
      </c>
      <c r="I712">
        <f>RAW_GAMES!J712</f>
        <v>21</v>
      </c>
      <c r="J712">
        <f>RAW_GAMES!K712</f>
        <v>29</v>
      </c>
      <c r="K712">
        <f t="shared" si="67"/>
        <v>-8</v>
      </c>
      <c r="L712" t="str">
        <f>IF(RAW_GAMES!L712="","",RAW_GAMES!L712)</f>
        <v/>
      </c>
      <c r="M712" t="str">
        <f>IF(RAW_GAMES!M712="","",RAW_GAMES!M712)</f>
        <v/>
      </c>
      <c r="N712" t="str">
        <f t="shared" si="68"/>
        <v/>
      </c>
      <c r="O712" s="7">
        <f>RAW_GAMES!O712</f>
        <v>3</v>
      </c>
      <c r="P712">
        <f>RAW_GAMES!N712</f>
        <v>0</v>
      </c>
      <c r="Q712">
        <f t="shared" si="69"/>
        <v>0</v>
      </c>
      <c r="R712" s="7">
        <f>RAW_GAMES!Q712</f>
        <v>4</v>
      </c>
      <c r="S712">
        <f>RAW_GAMES!P712</f>
        <v>1</v>
      </c>
      <c r="T712">
        <f t="shared" si="70"/>
        <v>0.75</v>
      </c>
      <c r="U712">
        <f>_xlfn.XLOOKUP(C712,
  CALC_TEAMS_SEASON!B:B,
  CALC_TEAMS_SEASON!F:F)</f>
        <v>0.14184981684981687</v>
      </c>
      <c r="V712">
        <f>_xlfn.XLOOKUP(D712,
  CALC_TEAMS_SEASON!B:B,
  CALC_TEAMS_SEASON!F:F)</f>
        <v>0.14377289377289379</v>
      </c>
      <c r="W712" t="str">
        <f>RAW_GAMES!R712</f>
        <v>Škorvánek</v>
      </c>
      <c r="X712" s="7">
        <f>RAW_GAMES!S712</f>
        <v>25</v>
      </c>
      <c r="Y712">
        <f t="shared" si="71"/>
        <v>0</v>
      </c>
      <c r="Z712" t="str">
        <f>RAW_GAMES!V712</f>
        <v>RS</v>
      </c>
    </row>
    <row r="713" spans="1:26" x14ac:dyDescent="0.25">
      <c r="A713" t="str">
        <f>RAW_GAMES!A713</f>
        <v>25/26</v>
      </c>
      <c r="B713" s="3">
        <f>RAW_GAMES!B713</f>
        <v>46085</v>
      </c>
      <c r="C713" s="3" t="str">
        <f>RAW_GAMES!E713</f>
        <v>OLO</v>
      </c>
      <c r="D713" s="3" t="str">
        <f>RAW_GAMES!F713</f>
        <v>CEB</v>
      </c>
      <c r="E713" s="7">
        <f>RAW_GAMES!G713</f>
        <v>1</v>
      </c>
      <c r="F713">
        <f>RAW_GAMES!H713</f>
        <v>3</v>
      </c>
      <c r="G713">
        <f>RAW_GAMES!I713</f>
        <v>2</v>
      </c>
      <c r="H713">
        <f t="shared" si="66"/>
        <v>1</v>
      </c>
      <c r="I713">
        <f>RAW_GAMES!J713</f>
        <v>28</v>
      </c>
      <c r="J713">
        <f>RAW_GAMES!K713</f>
        <v>26</v>
      </c>
      <c r="K713">
        <f t="shared" si="67"/>
        <v>2</v>
      </c>
      <c r="L713" t="str">
        <f>IF(RAW_GAMES!L713="","",RAW_GAMES!L713)</f>
        <v/>
      </c>
      <c r="M713" t="str">
        <f>IF(RAW_GAMES!M713="","",RAW_GAMES!M713)</f>
        <v/>
      </c>
      <c r="N713" t="str">
        <f t="shared" si="68"/>
        <v/>
      </c>
      <c r="O713" s="7">
        <f>RAW_GAMES!O713</f>
        <v>3</v>
      </c>
      <c r="P713">
        <f>RAW_GAMES!N713</f>
        <v>0</v>
      </c>
      <c r="Q713">
        <f t="shared" si="69"/>
        <v>0</v>
      </c>
      <c r="R713" s="7">
        <f>RAW_GAMES!Q713</f>
        <v>2</v>
      </c>
      <c r="S713">
        <f>RAW_GAMES!P713</f>
        <v>0</v>
      </c>
      <c r="T713">
        <f t="shared" si="70"/>
        <v>1</v>
      </c>
      <c r="U713">
        <f>_xlfn.XLOOKUP(C713,
  CALC_TEAMS_SEASON!B:B,
  CALC_TEAMS_SEASON!F:F)</f>
        <v>0.14989316239316242</v>
      </c>
      <c r="V713">
        <f>_xlfn.XLOOKUP(D713,
  CALC_TEAMS_SEASON!B:B,
  CALC_TEAMS_SEASON!F:F)</f>
        <v>0.13021353646353648</v>
      </c>
      <c r="W713" t="str">
        <f>RAW_GAMES!R713</f>
        <v>Machovský</v>
      </c>
      <c r="X713" s="7">
        <f>RAW_GAMES!S713</f>
        <v>24</v>
      </c>
      <c r="Y713">
        <f t="shared" si="71"/>
        <v>1</v>
      </c>
      <c r="Z713" t="str">
        <f>RAW_GAMES!V713</f>
        <v>RS</v>
      </c>
    </row>
    <row r="714" spans="1:26" x14ac:dyDescent="0.25">
      <c r="A714" t="str">
        <f>RAW_GAMES!A714</f>
        <v>25/26</v>
      </c>
      <c r="B714" s="3">
        <f>RAW_GAMES!B714</f>
        <v>46085</v>
      </c>
      <c r="C714" s="3" t="str">
        <f>RAW_GAMES!E714</f>
        <v>PLZ</v>
      </c>
      <c r="D714" s="3" t="str">
        <f>RAW_GAMES!F714</f>
        <v>MBL</v>
      </c>
      <c r="E714" s="7">
        <f>RAW_GAMES!G714</f>
        <v>0</v>
      </c>
      <c r="F714">
        <f>RAW_GAMES!H714</f>
        <v>2</v>
      </c>
      <c r="G714">
        <f>RAW_GAMES!I714</f>
        <v>0</v>
      </c>
      <c r="H714">
        <f t="shared" si="66"/>
        <v>2</v>
      </c>
      <c r="I714">
        <f>RAW_GAMES!J714</f>
        <v>29</v>
      </c>
      <c r="J714">
        <f>RAW_GAMES!K714</f>
        <v>26</v>
      </c>
      <c r="K714">
        <f t="shared" si="67"/>
        <v>3</v>
      </c>
      <c r="L714" t="str">
        <f>IF(RAW_GAMES!L714="","",RAW_GAMES!L714)</f>
        <v/>
      </c>
      <c r="M714" t="str">
        <f>IF(RAW_GAMES!M714="","",RAW_GAMES!M714)</f>
        <v/>
      </c>
      <c r="N714" t="str">
        <f t="shared" si="68"/>
        <v/>
      </c>
      <c r="O714" s="7">
        <f>RAW_GAMES!O714</f>
        <v>5</v>
      </c>
      <c r="P714">
        <f>RAW_GAMES!N714</f>
        <v>1</v>
      </c>
      <c r="Q714">
        <f t="shared" si="69"/>
        <v>0.2</v>
      </c>
      <c r="R714" s="7">
        <f>RAW_GAMES!Q714</f>
        <v>2</v>
      </c>
      <c r="S714">
        <f>RAW_GAMES!P714</f>
        <v>0</v>
      </c>
      <c r="T714">
        <f t="shared" si="70"/>
        <v>1</v>
      </c>
      <c r="U714">
        <f>_xlfn.XLOOKUP(C714,
  CALC_TEAMS_SEASON!B:B,
  CALC_TEAMS_SEASON!F:F)</f>
        <v>0.17641178266178262</v>
      </c>
      <c r="V714">
        <f>_xlfn.XLOOKUP(D714,
  CALC_TEAMS_SEASON!B:B,
  CALC_TEAMS_SEASON!F:F)</f>
        <v>0.11826923076923078</v>
      </c>
      <c r="W714" t="str">
        <f>RAW_GAMES!R714</f>
        <v>Malík</v>
      </c>
      <c r="X714" s="7">
        <f>RAW_GAMES!S714</f>
        <v>26</v>
      </c>
      <c r="Y714">
        <f t="shared" si="71"/>
        <v>1</v>
      </c>
      <c r="Z714" t="str">
        <f>RAW_GAMES!V714</f>
        <v>RS</v>
      </c>
    </row>
    <row r="715" spans="1:26" x14ac:dyDescent="0.25">
      <c r="A715" t="str">
        <f>RAW_GAMES!A715</f>
        <v>25/26</v>
      </c>
      <c r="B715" s="3">
        <f>RAW_GAMES!B715</f>
        <v>46085</v>
      </c>
      <c r="C715" s="3" t="str">
        <f>RAW_GAMES!E715</f>
        <v>VIT</v>
      </c>
      <c r="D715" s="3" t="str">
        <f>RAW_GAMES!F715</f>
        <v>PCE</v>
      </c>
      <c r="E715" s="7">
        <f>RAW_GAMES!G715</f>
        <v>1</v>
      </c>
      <c r="F715">
        <f>RAW_GAMES!H715</f>
        <v>4</v>
      </c>
      <c r="G715">
        <f>RAW_GAMES!I715</f>
        <v>2</v>
      </c>
      <c r="H715">
        <f t="shared" si="66"/>
        <v>2</v>
      </c>
      <c r="I715">
        <f>RAW_GAMES!J715</f>
        <v>17</v>
      </c>
      <c r="J715">
        <f>RAW_GAMES!K715</f>
        <v>41</v>
      </c>
      <c r="K715">
        <f t="shared" si="67"/>
        <v>-24</v>
      </c>
      <c r="L715">
        <f>IF(RAW_GAMES!L715="","",RAW_GAMES!L715)</f>
        <v>1.98</v>
      </c>
      <c r="M715">
        <f>IF(RAW_GAMES!M715="","",RAW_GAMES!M715)</f>
        <v>3.09</v>
      </c>
      <c r="N715">
        <f t="shared" si="68"/>
        <v>-1.1099999999999999</v>
      </c>
      <c r="O715" s="7">
        <f>RAW_GAMES!O715</f>
        <v>2</v>
      </c>
      <c r="P715">
        <f>RAW_GAMES!N715</f>
        <v>0</v>
      </c>
      <c r="Q715">
        <f t="shared" si="69"/>
        <v>0</v>
      </c>
      <c r="R715" s="7">
        <f>RAW_GAMES!Q715</f>
        <v>2</v>
      </c>
      <c r="S715">
        <f>RAW_GAMES!P715</f>
        <v>0</v>
      </c>
      <c r="T715">
        <f t="shared" si="70"/>
        <v>1</v>
      </c>
      <c r="U715">
        <f>_xlfn.XLOOKUP(C715,
  CALC_TEAMS_SEASON!B:B,
  CALC_TEAMS_SEASON!F:F)</f>
        <v>0.16984890109890113</v>
      </c>
      <c r="V715">
        <f>_xlfn.XLOOKUP(D715,
  CALC_TEAMS_SEASON!B:B,
  CALC_TEAMS_SEASON!F:F)</f>
        <v>0.20297619047619053</v>
      </c>
      <c r="W715" t="str">
        <f>RAW_GAMES!R715</f>
        <v>Hrachovina</v>
      </c>
      <c r="X715" s="7">
        <f>RAW_GAMES!S715</f>
        <v>39</v>
      </c>
      <c r="Y715">
        <f t="shared" si="71"/>
        <v>1</v>
      </c>
      <c r="Z715" t="str">
        <f>RAW_GAMES!V715</f>
        <v>RS</v>
      </c>
    </row>
    <row r="716" spans="1:26" x14ac:dyDescent="0.25">
      <c r="A716" t="str">
        <f>RAW_GAMES!A716</f>
        <v>25/26</v>
      </c>
      <c r="B716" s="3">
        <f>RAW_GAMES!B716</f>
        <v>46087</v>
      </c>
      <c r="C716" s="3" t="str">
        <f>RAW_GAMES!E716</f>
        <v>PCE</v>
      </c>
      <c r="D716" s="3" t="str">
        <f>RAW_GAMES!F716</f>
        <v>SPA</v>
      </c>
      <c r="E716" s="7">
        <f>RAW_GAMES!G716</f>
        <v>1</v>
      </c>
      <c r="F716">
        <f>RAW_GAMES!H716</f>
        <v>2</v>
      </c>
      <c r="G716">
        <f>RAW_GAMES!I716</f>
        <v>1</v>
      </c>
      <c r="H716">
        <f t="shared" si="66"/>
        <v>1</v>
      </c>
      <c r="I716">
        <f>RAW_GAMES!J716</f>
        <v>28</v>
      </c>
      <c r="J716">
        <f>RAW_GAMES!K716</f>
        <v>26</v>
      </c>
      <c r="K716">
        <f t="shared" si="67"/>
        <v>2</v>
      </c>
      <c r="L716">
        <f>IF(RAW_GAMES!L716="","",RAW_GAMES!L716)</f>
        <v>3.55</v>
      </c>
      <c r="M716">
        <f>IF(RAW_GAMES!M716="","",RAW_GAMES!M716)</f>
        <v>2.46</v>
      </c>
      <c r="N716">
        <f t="shared" si="68"/>
        <v>1.0899999999999999</v>
      </c>
      <c r="O716" s="7">
        <f>RAW_GAMES!O716</f>
        <v>11</v>
      </c>
      <c r="P716">
        <f>RAW_GAMES!N716</f>
        <v>0</v>
      </c>
      <c r="Q716">
        <f t="shared" si="69"/>
        <v>0</v>
      </c>
      <c r="R716" s="7">
        <f>RAW_GAMES!Q716</f>
        <v>10</v>
      </c>
      <c r="S716">
        <f>RAW_GAMES!P716</f>
        <v>0</v>
      </c>
      <c r="T716">
        <f t="shared" si="70"/>
        <v>1</v>
      </c>
      <c r="U716">
        <f>_xlfn.XLOOKUP(C716,
  CALC_TEAMS_SEASON!B:B,
  CALC_TEAMS_SEASON!F:F)</f>
        <v>0.20297619047619053</v>
      </c>
      <c r="V716">
        <f>_xlfn.XLOOKUP(D716,
  CALC_TEAMS_SEASON!B:B,
  CALC_TEAMS_SEASON!F:F)</f>
        <v>0.22060439560439565</v>
      </c>
      <c r="W716" t="str">
        <f>RAW_GAMES!R716</f>
        <v>Subban</v>
      </c>
      <c r="X716" s="7">
        <f>RAW_GAMES!S716</f>
        <v>25</v>
      </c>
      <c r="Y716">
        <f t="shared" si="71"/>
        <v>1</v>
      </c>
      <c r="Z716" t="str">
        <f>RAW_GAMES!V716</f>
        <v>RS</v>
      </c>
    </row>
    <row r="717" spans="1:26" x14ac:dyDescent="0.25">
      <c r="A717" t="str">
        <f>RAW_GAMES!A717</f>
        <v>25/26</v>
      </c>
      <c r="B717" s="3">
        <f>RAW_GAMES!B717</f>
        <v>46087</v>
      </c>
      <c r="C717" s="3" t="str">
        <f>RAW_GAMES!E717</f>
        <v>TRI</v>
      </c>
      <c r="D717" s="3" t="str">
        <f>RAW_GAMES!F717</f>
        <v>KVA</v>
      </c>
      <c r="E717" s="7">
        <f>RAW_GAMES!G717</f>
        <v>1</v>
      </c>
      <c r="F717">
        <f>RAW_GAMES!H717</f>
        <v>1</v>
      </c>
      <c r="G717">
        <f>RAW_GAMES!I717</f>
        <v>2</v>
      </c>
      <c r="H717">
        <f t="shared" si="66"/>
        <v>-1</v>
      </c>
      <c r="I717">
        <f>RAW_GAMES!J717</f>
        <v>33</v>
      </c>
      <c r="J717">
        <f>RAW_GAMES!K717</f>
        <v>22</v>
      </c>
      <c r="K717">
        <f t="shared" si="67"/>
        <v>11</v>
      </c>
      <c r="L717">
        <f>IF(RAW_GAMES!L717="","",RAW_GAMES!L717)</f>
        <v>3.17</v>
      </c>
      <c r="M717">
        <f>IF(RAW_GAMES!M717="","",RAW_GAMES!M717)</f>
        <v>1.94</v>
      </c>
      <c r="N717">
        <f t="shared" si="68"/>
        <v>1.23</v>
      </c>
      <c r="O717" s="7">
        <f>RAW_GAMES!O717</f>
        <v>4</v>
      </c>
      <c r="P717">
        <f>RAW_GAMES!N717</f>
        <v>1</v>
      </c>
      <c r="Q717">
        <f t="shared" si="69"/>
        <v>0.25</v>
      </c>
      <c r="R717" s="7">
        <f>RAW_GAMES!Q717</f>
        <v>3</v>
      </c>
      <c r="S717">
        <f>RAW_GAMES!P717</f>
        <v>0</v>
      </c>
      <c r="T717">
        <f t="shared" si="70"/>
        <v>1</v>
      </c>
      <c r="U717">
        <f>_xlfn.XLOOKUP(C717,
  CALC_TEAMS_SEASON!B:B,
  CALC_TEAMS_SEASON!F:F)</f>
        <v>0.17437423687423692</v>
      </c>
      <c r="V717">
        <f>_xlfn.XLOOKUP(D717,
  CALC_TEAMS_SEASON!B:B,
  CALC_TEAMS_SEASON!F:F)</f>
        <v>0.17387057387057389</v>
      </c>
      <c r="W717" t="str">
        <f>RAW_GAMES!R717</f>
        <v>Mazanec</v>
      </c>
      <c r="X717" s="7">
        <f>RAW_GAMES!S717</f>
        <v>21</v>
      </c>
      <c r="Y717">
        <f t="shared" si="71"/>
        <v>0</v>
      </c>
      <c r="Z717" t="str">
        <f>RAW_GAMES!V717</f>
        <v>RS</v>
      </c>
    </row>
    <row r="718" spans="1:26" x14ac:dyDescent="0.25">
      <c r="A718" t="str">
        <f>RAW_GAMES!A718</f>
        <v>25/26</v>
      </c>
      <c r="B718" s="3">
        <f>RAW_GAMES!B718</f>
        <v>46087</v>
      </c>
      <c r="C718" s="3" t="str">
        <f>RAW_GAMES!E718</f>
        <v>SPA</v>
      </c>
      <c r="D718" s="3" t="str">
        <f>RAW_GAMES!F718</f>
        <v>PCE</v>
      </c>
      <c r="E718" s="7">
        <f>RAW_GAMES!G718</f>
        <v>0</v>
      </c>
      <c r="F718">
        <f>RAW_GAMES!H718</f>
        <v>1</v>
      </c>
      <c r="G718">
        <f>RAW_GAMES!I718</f>
        <v>2</v>
      </c>
      <c r="H718">
        <f t="shared" si="66"/>
        <v>-1</v>
      </c>
      <c r="I718">
        <f>RAW_GAMES!J718</f>
        <v>28</v>
      </c>
      <c r="J718">
        <f>RAW_GAMES!K718</f>
        <v>26</v>
      </c>
      <c r="K718">
        <f t="shared" si="67"/>
        <v>2</v>
      </c>
      <c r="L718">
        <f>IF(RAW_GAMES!L718="","",RAW_GAMES!L718)</f>
        <v>3.55</v>
      </c>
      <c r="M718">
        <f>IF(RAW_GAMES!M718="","",RAW_GAMES!M718)</f>
        <v>2.46</v>
      </c>
      <c r="N718">
        <f t="shared" si="68"/>
        <v>1.0899999999999999</v>
      </c>
      <c r="O718" s="7">
        <f>RAW_GAMES!O718</f>
        <v>10</v>
      </c>
      <c r="P718">
        <f>RAW_GAMES!N718</f>
        <v>0</v>
      </c>
      <c r="Q718">
        <f t="shared" si="69"/>
        <v>0</v>
      </c>
      <c r="R718" s="7">
        <f>RAW_GAMES!Q718</f>
        <v>11</v>
      </c>
      <c r="S718">
        <f>RAW_GAMES!P718</f>
        <v>0</v>
      </c>
      <c r="T718">
        <f t="shared" si="70"/>
        <v>1</v>
      </c>
      <c r="U718">
        <f>_xlfn.XLOOKUP(C718,
  CALC_TEAMS_SEASON!B:B,
  CALC_TEAMS_SEASON!F:F)</f>
        <v>0.22060439560439565</v>
      </c>
      <c r="V718">
        <f>_xlfn.XLOOKUP(D718,
  CALC_TEAMS_SEASON!B:B,
  CALC_TEAMS_SEASON!F:F)</f>
        <v>0.20297619047619053</v>
      </c>
      <c r="W718" t="str">
        <f>RAW_GAMES!R718</f>
        <v>Kovář</v>
      </c>
      <c r="X718" s="7">
        <f>RAW_GAMES!S718</f>
        <v>26</v>
      </c>
      <c r="Y718">
        <f t="shared" si="71"/>
        <v>0</v>
      </c>
      <c r="Z718" t="str">
        <f>RAW_GAMES!V718</f>
        <v>RS</v>
      </c>
    </row>
    <row r="719" spans="1:26" x14ac:dyDescent="0.25">
      <c r="A719" t="str">
        <f>RAW_GAMES!A719</f>
        <v>25/26</v>
      </c>
      <c r="B719" s="3">
        <f>RAW_GAMES!B719</f>
        <v>46087</v>
      </c>
      <c r="C719" s="3" t="str">
        <f>RAW_GAMES!E719</f>
        <v>KOM</v>
      </c>
      <c r="D719" s="3" t="str">
        <f>RAW_GAMES!F719</f>
        <v>OLO</v>
      </c>
      <c r="E719" s="7">
        <f>RAW_GAMES!G719</f>
        <v>1</v>
      </c>
      <c r="F719">
        <f>RAW_GAMES!H719</f>
        <v>5</v>
      </c>
      <c r="G719">
        <f>RAW_GAMES!I719</f>
        <v>4</v>
      </c>
      <c r="H719">
        <f t="shared" si="66"/>
        <v>1</v>
      </c>
      <c r="I719">
        <f>RAW_GAMES!J719</f>
        <v>29</v>
      </c>
      <c r="J719">
        <f>RAW_GAMES!K719</f>
        <v>28</v>
      </c>
      <c r="K719">
        <f t="shared" si="67"/>
        <v>1</v>
      </c>
      <c r="L719">
        <f>IF(RAW_GAMES!L719="","",RAW_GAMES!L719)</f>
        <v>3.11</v>
      </c>
      <c r="M719">
        <f>IF(RAW_GAMES!M719="","",RAW_GAMES!M719)</f>
        <v>2.77</v>
      </c>
      <c r="N719">
        <f t="shared" si="68"/>
        <v>0.33999999999999986</v>
      </c>
      <c r="O719" s="7">
        <f>RAW_GAMES!O719</f>
        <v>2</v>
      </c>
      <c r="P719">
        <f>RAW_GAMES!N719</f>
        <v>1</v>
      </c>
      <c r="Q719">
        <f t="shared" si="69"/>
        <v>0.5</v>
      </c>
      <c r="R719" s="7">
        <f>RAW_GAMES!Q719</f>
        <v>2</v>
      </c>
      <c r="S719">
        <f>RAW_GAMES!P719</f>
        <v>0</v>
      </c>
      <c r="T719">
        <f t="shared" si="70"/>
        <v>1</v>
      </c>
      <c r="U719">
        <f>_xlfn.XLOOKUP(C719,
  CALC_TEAMS_SEASON!B:B,
  CALC_TEAMS_SEASON!F:F)</f>
        <v>0.14358974358974358</v>
      </c>
      <c r="V719">
        <f>_xlfn.XLOOKUP(D719,
  CALC_TEAMS_SEASON!B:B,
  CALC_TEAMS_SEASON!F:F)</f>
        <v>0.14989316239316242</v>
      </c>
      <c r="W719" t="str">
        <f>RAW_GAMES!R719</f>
        <v>Stezka</v>
      </c>
      <c r="X719" s="7">
        <f>RAW_GAMES!S719</f>
        <v>23</v>
      </c>
      <c r="Y719">
        <f t="shared" si="71"/>
        <v>1</v>
      </c>
      <c r="Z719" t="str">
        <f>RAW_GAMES!V719</f>
        <v>RS</v>
      </c>
    </row>
    <row r="720" spans="1:26" x14ac:dyDescent="0.25">
      <c r="A720" t="str">
        <f>RAW_GAMES!A720</f>
        <v>25/26</v>
      </c>
      <c r="B720" s="3">
        <f>RAW_GAMES!B720</f>
        <v>46087</v>
      </c>
      <c r="C720" s="3" t="str">
        <f>RAW_GAMES!E720</f>
        <v>CEB</v>
      </c>
      <c r="D720" s="3" t="str">
        <f>RAW_GAMES!F720</f>
        <v>LIB</v>
      </c>
      <c r="E720" s="7">
        <f>RAW_GAMES!G720</f>
        <v>1</v>
      </c>
      <c r="F720">
        <f>RAW_GAMES!H720</f>
        <v>4</v>
      </c>
      <c r="G720">
        <f>RAW_GAMES!I720</f>
        <v>3</v>
      </c>
      <c r="H720">
        <f t="shared" si="66"/>
        <v>1</v>
      </c>
      <c r="I720">
        <f>RAW_GAMES!J720</f>
        <v>24</v>
      </c>
      <c r="J720">
        <f>RAW_GAMES!K720</f>
        <v>36</v>
      </c>
      <c r="K720">
        <f t="shared" si="67"/>
        <v>-12</v>
      </c>
      <c r="L720" t="str">
        <f>IF(RAW_GAMES!L720="","",RAW_GAMES!L720)</f>
        <v/>
      </c>
      <c r="M720" t="str">
        <f>IF(RAW_GAMES!M720="","",RAW_GAMES!M720)</f>
        <v/>
      </c>
      <c r="N720" t="str">
        <f t="shared" si="68"/>
        <v/>
      </c>
      <c r="O720" s="7">
        <f>RAW_GAMES!O720</f>
        <v>5</v>
      </c>
      <c r="P720">
        <f>RAW_GAMES!N720</f>
        <v>1</v>
      </c>
      <c r="Q720">
        <f t="shared" si="69"/>
        <v>0.2</v>
      </c>
      <c r="R720" s="7">
        <f>RAW_GAMES!Q720</f>
        <v>6</v>
      </c>
      <c r="S720">
        <f>RAW_GAMES!P720</f>
        <v>2</v>
      </c>
      <c r="T720">
        <f t="shared" si="70"/>
        <v>0.66666666666666674</v>
      </c>
      <c r="U720">
        <f>_xlfn.XLOOKUP(C720,
  CALC_TEAMS_SEASON!B:B,
  CALC_TEAMS_SEASON!F:F)</f>
        <v>0.13021353646353648</v>
      </c>
      <c r="V720">
        <f>_xlfn.XLOOKUP(D720,
  CALC_TEAMS_SEASON!B:B,
  CALC_TEAMS_SEASON!F:F)</f>
        <v>0.14377289377289379</v>
      </c>
      <c r="W720" t="str">
        <f>RAW_GAMES!R720</f>
        <v>Klouček</v>
      </c>
      <c r="X720" s="7">
        <f>RAW_GAMES!S720</f>
        <v>33</v>
      </c>
      <c r="Y720">
        <f t="shared" si="71"/>
        <v>1</v>
      </c>
      <c r="Z720" t="str">
        <f>RAW_GAMES!V720</f>
        <v>RS</v>
      </c>
    </row>
    <row r="721" spans="1:26" x14ac:dyDescent="0.25">
      <c r="A721" t="str">
        <f>RAW_GAMES!A721</f>
        <v>25/26</v>
      </c>
      <c r="B721" s="3">
        <f>RAW_GAMES!B721</f>
        <v>46087</v>
      </c>
      <c r="C721" s="3" t="str">
        <f>RAW_GAMES!E721</f>
        <v>KLA</v>
      </c>
      <c r="D721" s="3" t="str">
        <f>RAW_GAMES!F721</f>
        <v>LIT</v>
      </c>
      <c r="E721" s="7">
        <f>RAW_GAMES!G721</f>
        <v>1</v>
      </c>
      <c r="F721">
        <f>RAW_GAMES!H721</f>
        <v>3</v>
      </c>
      <c r="G721">
        <f>RAW_GAMES!I721</f>
        <v>1</v>
      </c>
      <c r="H721">
        <f t="shared" si="66"/>
        <v>2</v>
      </c>
      <c r="I721">
        <f>RAW_GAMES!J721</f>
        <v>31</v>
      </c>
      <c r="J721">
        <f>RAW_GAMES!K721</f>
        <v>28</v>
      </c>
      <c r="K721">
        <f t="shared" si="67"/>
        <v>3</v>
      </c>
      <c r="L721" t="str">
        <f>IF(RAW_GAMES!L721="","",RAW_GAMES!L721)</f>
        <v/>
      </c>
      <c r="M721" t="str">
        <f>IF(RAW_GAMES!M721="","",RAW_GAMES!M721)</f>
        <v/>
      </c>
      <c r="N721" t="str">
        <f t="shared" si="68"/>
        <v/>
      </c>
      <c r="O721" s="7">
        <f>RAW_GAMES!O721</f>
        <v>5</v>
      </c>
      <c r="P721">
        <f>RAW_GAMES!N721</f>
        <v>0</v>
      </c>
      <c r="Q721">
        <f t="shared" si="69"/>
        <v>0</v>
      </c>
      <c r="R721" s="7">
        <f>RAW_GAMES!Q721</f>
        <v>2</v>
      </c>
      <c r="S721">
        <f>RAW_GAMES!P721</f>
        <v>1</v>
      </c>
      <c r="T721">
        <f t="shared" si="70"/>
        <v>0.5</v>
      </c>
      <c r="U721">
        <f>_xlfn.XLOOKUP(C721,
  CALC_TEAMS_SEASON!B:B,
  CALC_TEAMS_SEASON!F:F)</f>
        <v>0.13120421245421243</v>
      </c>
      <c r="V721">
        <f>_xlfn.XLOOKUP(D721,
  CALC_TEAMS_SEASON!B:B,
  CALC_TEAMS_SEASON!F:F)</f>
        <v>0.10089285714285713</v>
      </c>
      <c r="W721" t="str">
        <f>RAW_GAMES!R721</f>
        <v>Brízgala</v>
      </c>
      <c r="X721" s="7">
        <f>RAW_GAMES!S721</f>
        <v>27</v>
      </c>
      <c r="Y721">
        <f t="shared" si="71"/>
        <v>1</v>
      </c>
      <c r="Z721" t="str">
        <f>RAW_GAMES!V721</f>
        <v>RS</v>
      </c>
    </row>
    <row r="722" spans="1:26" x14ac:dyDescent="0.25">
      <c r="A722" t="str">
        <f>RAW_GAMES!A722</f>
        <v>25/26</v>
      </c>
      <c r="B722" s="3">
        <f>RAW_GAMES!B722</f>
        <v>46087</v>
      </c>
      <c r="C722" s="3" t="str">
        <f>RAW_GAMES!E722</f>
        <v>KVA</v>
      </c>
      <c r="D722" s="3" t="str">
        <f>RAW_GAMES!F722</f>
        <v>TRI</v>
      </c>
      <c r="E722" s="7">
        <f>RAW_GAMES!G722</f>
        <v>0</v>
      </c>
      <c r="F722">
        <f>RAW_GAMES!H722</f>
        <v>2</v>
      </c>
      <c r="G722">
        <f>RAW_GAMES!I722</f>
        <v>1</v>
      </c>
      <c r="H722">
        <f t="shared" si="66"/>
        <v>1</v>
      </c>
      <c r="I722">
        <f>RAW_GAMES!J722</f>
        <v>22</v>
      </c>
      <c r="J722">
        <f>RAW_GAMES!K722</f>
        <v>33</v>
      </c>
      <c r="K722">
        <f t="shared" si="67"/>
        <v>-11</v>
      </c>
      <c r="L722">
        <f>IF(RAW_GAMES!L722="","",RAW_GAMES!L722)</f>
        <v>1.94</v>
      </c>
      <c r="M722">
        <f>IF(RAW_GAMES!M722="","",RAW_GAMES!M722)</f>
        <v>3.17</v>
      </c>
      <c r="N722">
        <f t="shared" si="68"/>
        <v>-1.23</v>
      </c>
      <c r="O722" s="7">
        <f>RAW_GAMES!O722</f>
        <v>3</v>
      </c>
      <c r="P722">
        <f>RAW_GAMES!N722</f>
        <v>0</v>
      </c>
      <c r="Q722">
        <f t="shared" si="69"/>
        <v>0</v>
      </c>
      <c r="R722" s="7">
        <f>RAW_GAMES!Q722</f>
        <v>4</v>
      </c>
      <c r="S722">
        <f>RAW_GAMES!P722</f>
        <v>1</v>
      </c>
      <c r="T722">
        <f t="shared" si="70"/>
        <v>0.75</v>
      </c>
      <c r="U722">
        <f>_xlfn.XLOOKUP(C722,
  CALC_TEAMS_SEASON!B:B,
  CALC_TEAMS_SEASON!F:F)</f>
        <v>0.17387057387057389</v>
      </c>
      <c r="V722">
        <f>_xlfn.XLOOKUP(D722,
  CALC_TEAMS_SEASON!B:B,
  CALC_TEAMS_SEASON!F:F)</f>
        <v>0.17437423687423692</v>
      </c>
      <c r="W722" t="str">
        <f>RAW_GAMES!R722</f>
        <v>Frodl</v>
      </c>
      <c r="X722" s="7">
        <f>RAW_GAMES!S722</f>
        <v>32</v>
      </c>
      <c r="Y722">
        <f t="shared" si="71"/>
        <v>1</v>
      </c>
      <c r="Z722" t="str">
        <f>RAW_GAMES!V722</f>
        <v>RS</v>
      </c>
    </row>
    <row r="723" spans="1:26" x14ac:dyDescent="0.25">
      <c r="A723" t="str">
        <f>RAW_GAMES!A723</f>
        <v>25/26</v>
      </c>
      <c r="B723" s="3">
        <f>RAW_GAMES!B723</f>
        <v>46087</v>
      </c>
      <c r="C723" s="3" t="str">
        <f>RAW_GAMES!E723</f>
        <v>LIB</v>
      </c>
      <c r="D723" s="3" t="str">
        <f>RAW_GAMES!F723</f>
        <v>CEB</v>
      </c>
      <c r="E723" s="7">
        <f>RAW_GAMES!G723</f>
        <v>0</v>
      </c>
      <c r="F723">
        <f>RAW_GAMES!H723</f>
        <v>3</v>
      </c>
      <c r="G723">
        <f>RAW_GAMES!I723</f>
        <v>4</v>
      </c>
      <c r="H723">
        <f t="shared" si="66"/>
        <v>-1</v>
      </c>
      <c r="I723">
        <f>RAW_GAMES!J723</f>
        <v>36</v>
      </c>
      <c r="J723">
        <f>RAW_GAMES!K723</f>
        <v>24</v>
      </c>
      <c r="K723">
        <f t="shared" si="67"/>
        <v>12</v>
      </c>
      <c r="L723" t="str">
        <f>IF(RAW_GAMES!L723="","",RAW_GAMES!L723)</f>
        <v/>
      </c>
      <c r="M723" t="str">
        <f>IF(RAW_GAMES!M723="","",RAW_GAMES!M723)</f>
        <v/>
      </c>
      <c r="N723" t="str">
        <f t="shared" si="68"/>
        <v/>
      </c>
      <c r="O723" s="7">
        <f>RAW_GAMES!O723</f>
        <v>6</v>
      </c>
      <c r="P723">
        <f>RAW_GAMES!N723</f>
        <v>2</v>
      </c>
      <c r="Q723">
        <f t="shared" si="69"/>
        <v>0.33333333333333331</v>
      </c>
      <c r="R723" s="7">
        <f>RAW_GAMES!Q723</f>
        <v>5</v>
      </c>
      <c r="S723">
        <f>RAW_GAMES!P723</f>
        <v>1</v>
      </c>
      <c r="T723">
        <f t="shared" si="70"/>
        <v>0.8</v>
      </c>
      <c r="U723">
        <f>_xlfn.XLOOKUP(C723,
  CALC_TEAMS_SEASON!B:B,
  CALC_TEAMS_SEASON!F:F)</f>
        <v>0.14377289377289379</v>
      </c>
      <c r="V723">
        <f>_xlfn.XLOOKUP(D723,
  CALC_TEAMS_SEASON!B:B,
  CALC_TEAMS_SEASON!F:F)</f>
        <v>0.13021353646353648</v>
      </c>
      <c r="W723" t="str">
        <f>RAW_GAMES!R723</f>
        <v>Lukeš</v>
      </c>
      <c r="X723" s="7">
        <f>RAW_GAMES!S723</f>
        <v>21</v>
      </c>
      <c r="Y723">
        <f t="shared" si="71"/>
        <v>0</v>
      </c>
      <c r="Z723" t="str">
        <f>RAW_GAMES!V723</f>
        <v>RS</v>
      </c>
    </row>
    <row r="724" spans="1:26" x14ac:dyDescent="0.25">
      <c r="A724" t="str">
        <f>RAW_GAMES!A724</f>
        <v>25/26</v>
      </c>
      <c r="B724" s="3">
        <f>RAW_GAMES!B724</f>
        <v>46087</v>
      </c>
      <c r="C724" s="3" t="str">
        <f>RAW_GAMES!E724</f>
        <v>LIT</v>
      </c>
      <c r="D724" s="3" t="str">
        <f>RAW_GAMES!F724</f>
        <v>KLA</v>
      </c>
      <c r="E724" s="7">
        <f>RAW_GAMES!G724</f>
        <v>0</v>
      </c>
      <c r="F724">
        <f>RAW_GAMES!H724</f>
        <v>1</v>
      </c>
      <c r="G724">
        <f>RAW_GAMES!I724</f>
        <v>3</v>
      </c>
      <c r="H724">
        <f t="shared" si="66"/>
        <v>-2</v>
      </c>
      <c r="I724">
        <f>RAW_GAMES!J724</f>
        <v>28</v>
      </c>
      <c r="J724">
        <f>RAW_GAMES!K724</f>
        <v>31</v>
      </c>
      <c r="K724">
        <f t="shared" si="67"/>
        <v>-3</v>
      </c>
      <c r="L724" t="str">
        <f>IF(RAW_GAMES!L724="","",RAW_GAMES!L724)</f>
        <v/>
      </c>
      <c r="M724" t="str">
        <f>IF(RAW_GAMES!M724="","",RAW_GAMES!M724)</f>
        <v/>
      </c>
      <c r="N724" t="str">
        <f t="shared" si="68"/>
        <v/>
      </c>
      <c r="O724" s="7">
        <f>RAW_GAMES!O724</f>
        <v>2</v>
      </c>
      <c r="P724">
        <f>RAW_GAMES!N724</f>
        <v>1</v>
      </c>
      <c r="Q724">
        <f t="shared" si="69"/>
        <v>0.5</v>
      </c>
      <c r="R724" s="7">
        <f>RAW_GAMES!Q724</f>
        <v>5</v>
      </c>
      <c r="S724">
        <f>RAW_GAMES!P724</f>
        <v>0</v>
      </c>
      <c r="T724">
        <f t="shared" si="70"/>
        <v>1</v>
      </c>
      <c r="U724">
        <f>_xlfn.XLOOKUP(C724,
  CALC_TEAMS_SEASON!B:B,
  CALC_TEAMS_SEASON!F:F)</f>
        <v>0.10089285714285713</v>
      </c>
      <c r="V724">
        <f>_xlfn.XLOOKUP(D724,
  CALC_TEAMS_SEASON!B:B,
  CALC_TEAMS_SEASON!F:F)</f>
        <v>0.13120421245421243</v>
      </c>
      <c r="W724" t="str">
        <f>RAW_GAMES!R724</f>
        <v>Čajan</v>
      </c>
      <c r="X724" s="7">
        <f>RAW_GAMES!S724</f>
        <v>28</v>
      </c>
      <c r="Y724">
        <f t="shared" si="71"/>
        <v>0</v>
      </c>
      <c r="Z724" t="str">
        <f>RAW_GAMES!V724</f>
        <v>RS</v>
      </c>
    </row>
    <row r="725" spans="1:26" x14ac:dyDescent="0.25">
      <c r="A725" t="str">
        <f>RAW_GAMES!A725</f>
        <v>25/26</v>
      </c>
      <c r="B725" s="3">
        <f>RAW_GAMES!B725</f>
        <v>46087</v>
      </c>
      <c r="C725" s="3" t="str">
        <f>RAW_GAMES!E725</f>
        <v>MBL</v>
      </c>
      <c r="D725" s="3" t="str">
        <f>RAW_GAMES!F725</f>
        <v>MHK</v>
      </c>
      <c r="E725" s="7">
        <f>RAW_GAMES!G725</f>
        <v>0</v>
      </c>
      <c r="F725">
        <f>RAW_GAMES!H725</f>
        <v>1</v>
      </c>
      <c r="G725">
        <f>RAW_GAMES!I725</f>
        <v>3</v>
      </c>
      <c r="H725">
        <f t="shared" si="66"/>
        <v>-2</v>
      </c>
      <c r="I725">
        <f>RAW_GAMES!J725</f>
        <v>32</v>
      </c>
      <c r="J725">
        <f>RAW_GAMES!K725</f>
        <v>22</v>
      </c>
      <c r="K725">
        <f t="shared" si="67"/>
        <v>10</v>
      </c>
      <c r="L725" t="str">
        <f>IF(RAW_GAMES!L725="","",RAW_GAMES!L725)</f>
        <v/>
      </c>
      <c r="M725" t="str">
        <f>IF(RAW_GAMES!M725="","",RAW_GAMES!M725)</f>
        <v/>
      </c>
      <c r="N725" t="str">
        <f t="shared" si="68"/>
        <v/>
      </c>
      <c r="O725" s="7">
        <f>RAW_GAMES!O725</f>
        <v>4</v>
      </c>
      <c r="P725">
        <f>RAW_GAMES!N725</f>
        <v>0</v>
      </c>
      <c r="Q725">
        <f t="shared" si="69"/>
        <v>0</v>
      </c>
      <c r="R725" s="7">
        <f>RAW_GAMES!Q725</f>
        <v>2</v>
      </c>
      <c r="S725">
        <f>RAW_GAMES!P725</f>
        <v>0</v>
      </c>
      <c r="T725">
        <f t="shared" si="70"/>
        <v>1</v>
      </c>
      <c r="U725">
        <f>_xlfn.XLOOKUP(C725,
  CALC_TEAMS_SEASON!B:B,
  CALC_TEAMS_SEASON!F:F)</f>
        <v>0.11826923076923078</v>
      </c>
      <c r="V725">
        <f>_xlfn.XLOOKUP(D725,
  CALC_TEAMS_SEASON!B:B,
  CALC_TEAMS_SEASON!F:F)</f>
        <v>0.14184981684981687</v>
      </c>
      <c r="W725" t="str">
        <f>RAW_GAMES!R725</f>
        <v>Mokry</v>
      </c>
      <c r="X725" s="7">
        <f>RAW_GAMES!S725</f>
        <v>19</v>
      </c>
      <c r="Y725">
        <f t="shared" si="71"/>
        <v>0</v>
      </c>
      <c r="Z725" t="str">
        <f>RAW_GAMES!V725</f>
        <v>RS</v>
      </c>
    </row>
    <row r="726" spans="1:26" x14ac:dyDescent="0.25">
      <c r="A726" t="str">
        <f>RAW_GAMES!A726</f>
        <v>25/26</v>
      </c>
      <c r="B726" s="3">
        <f>RAW_GAMES!B726</f>
        <v>46087</v>
      </c>
      <c r="C726" s="3" t="str">
        <f>RAW_GAMES!E726</f>
        <v>MHK</v>
      </c>
      <c r="D726" s="3" t="str">
        <f>RAW_GAMES!F726</f>
        <v>MBL</v>
      </c>
      <c r="E726" s="7">
        <f>RAW_GAMES!G726</f>
        <v>1</v>
      </c>
      <c r="F726">
        <f>RAW_GAMES!H726</f>
        <v>3</v>
      </c>
      <c r="G726">
        <f>RAW_GAMES!I726</f>
        <v>1</v>
      </c>
      <c r="H726">
        <f t="shared" si="66"/>
        <v>2</v>
      </c>
      <c r="I726">
        <f>RAW_GAMES!J726</f>
        <v>22</v>
      </c>
      <c r="J726">
        <f>RAW_GAMES!K726</f>
        <v>32</v>
      </c>
      <c r="K726">
        <f t="shared" si="67"/>
        <v>-10</v>
      </c>
      <c r="L726" t="str">
        <f>IF(RAW_GAMES!L726="","",RAW_GAMES!L726)</f>
        <v/>
      </c>
      <c r="M726" t="str">
        <f>IF(RAW_GAMES!M726="","",RAW_GAMES!M726)</f>
        <v/>
      </c>
      <c r="N726" t="str">
        <f t="shared" si="68"/>
        <v/>
      </c>
      <c r="O726" s="7">
        <f>RAW_GAMES!O726</f>
        <v>2</v>
      </c>
      <c r="P726">
        <f>RAW_GAMES!N726</f>
        <v>0</v>
      </c>
      <c r="Q726">
        <f t="shared" si="69"/>
        <v>0</v>
      </c>
      <c r="R726" s="7">
        <f>RAW_GAMES!Q726</f>
        <v>4</v>
      </c>
      <c r="S726">
        <f>RAW_GAMES!P726</f>
        <v>0</v>
      </c>
      <c r="T726">
        <f t="shared" si="70"/>
        <v>1</v>
      </c>
      <c r="U726">
        <f>_xlfn.XLOOKUP(C726,
  CALC_TEAMS_SEASON!B:B,
  CALC_TEAMS_SEASON!F:F)</f>
        <v>0.14184981684981687</v>
      </c>
      <c r="V726">
        <f>_xlfn.XLOOKUP(D726,
  CALC_TEAMS_SEASON!B:B,
  CALC_TEAMS_SEASON!F:F)</f>
        <v>0.11826923076923078</v>
      </c>
      <c r="W726" t="str">
        <f>RAW_GAMES!R726</f>
        <v>Škorvánek</v>
      </c>
      <c r="X726" s="7">
        <f>RAW_GAMES!S726</f>
        <v>31</v>
      </c>
      <c r="Y726">
        <f t="shared" si="71"/>
        <v>1</v>
      </c>
      <c r="Z726" t="str">
        <f>RAW_GAMES!V726</f>
        <v>RS</v>
      </c>
    </row>
    <row r="727" spans="1:26" x14ac:dyDescent="0.25">
      <c r="A727" t="str">
        <f>RAW_GAMES!A727</f>
        <v>25/26</v>
      </c>
      <c r="B727" s="3">
        <f>RAW_GAMES!B727</f>
        <v>46087</v>
      </c>
      <c r="C727" s="3" t="str">
        <f>RAW_GAMES!E727</f>
        <v>OLO</v>
      </c>
      <c r="D727" s="3" t="str">
        <f>RAW_GAMES!F727</f>
        <v>KOM</v>
      </c>
      <c r="E727" s="7">
        <f>RAW_GAMES!G727</f>
        <v>0</v>
      </c>
      <c r="F727">
        <f>RAW_GAMES!H727</f>
        <v>4</v>
      </c>
      <c r="G727">
        <f>RAW_GAMES!I727</f>
        <v>5</v>
      </c>
      <c r="H727">
        <f t="shared" si="66"/>
        <v>-1</v>
      </c>
      <c r="I727">
        <f>RAW_GAMES!J727</f>
        <v>28</v>
      </c>
      <c r="J727">
        <f>RAW_GAMES!K727</f>
        <v>29</v>
      </c>
      <c r="K727">
        <f t="shared" si="67"/>
        <v>-1</v>
      </c>
      <c r="L727">
        <f>IF(RAW_GAMES!L727="","",RAW_GAMES!L727)</f>
        <v>2.77</v>
      </c>
      <c r="M727">
        <f>IF(RAW_GAMES!M727="","",RAW_GAMES!M727)</f>
        <v>3.11</v>
      </c>
      <c r="N727">
        <f t="shared" si="68"/>
        <v>-0.33999999999999986</v>
      </c>
      <c r="O727" s="7">
        <f>RAW_GAMES!O727</f>
        <v>2</v>
      </c>
      <c r="P727">
        <f>RAW_GAMES!N727</f>
        <v>0</v>
      </c>
      <c r="Q727">
        <f t="shared" si="69"/>
        <v>0</v>
      </c>
      <c r="R727" s="7">
        <f>RAW_GAMES!Q727</f>
        <v>2</v>
      </c>
      <c r="S727">
        <f>RAW_GAMES!P727</f>
        <v>1</v>
      </c>
      <c r="T727">
        <f t="shared" si="70"/>
        <v>0.5</v>
      </c>
      <c r="U727">
        <f>_xlfn.XLOOKUP(C727,
  CALC_TEAMS_SEASON!B:B,
  CALC_TEAMS_SEASON!F:F)</f>
        <v>0.14989316239316242</v>
      </c>
      <c r="V727">
        <f>_xlfn.XLOOKUP(D727,
  CALC_TEAMS_SEASON!B:B,
  CALC_TEAMS_SEASON!F:F)</f>
        <v>0.14358974358974358</v>
      </c>
      <c r="W727" t="str">
        <f>RAW_GAMES!R727</f>
        <v>Cichoň</v>
      </c>
      <c r="X727" s="7">
        <f>RAW_GAMES!S727</f>
        <v>24</v>
      </c>
      <c r="Y727">
        <f t="shared" si="71"/>
        <v>0</v>
      </c>
      <c r="Z727" t="str">
        <f>RAW_GAMES!V727</f>
        <v>RS</v>
      </c>
    </row>
    <row r="728" spans="1:26" x14ac:dyDescent="0.25">
      <c r="A728" t="str">
        <f>RAW_GAMES!A728</f>
        <v>25/26</v>
      </c>
      <c r="B728" s="3">
        <f>RAW_GAMES!B728</f>
        <v>46087</v>
      </c>
      <c r="C728" s="3" t="str">
        <f>RAW_GAMES!E728</f>
        <v>PLZ</v>
      </c>
      <c r="D728" s="3" t="str">
        <f>RAW_GAMES!F728</f>
        <v>VIT</v>
      </c>
      <c r="E728" s="7">
        <f>RAW_GAMES!G728</f>
        <v>1</v>
      </c>
      <c r="F728">
        <f>RAW_GAMES!H728</f>
        <v>5</v>
      </c>
      <c r="G728">
        <f>RAW_GAMES!I728</f>
        <v>2</v>
      </c>
      <c r="H728">
        <f t="shared" si="66"/>
        <v>3</v>
      </c>
      <c r="I728">
        <f>RAW_GAMES!J728</f>
        <v>49</v>
      </c>
      <c r="J728">
        <f>RAW_GAMES!K728</f>
        <v>11</v>
      </c>
      <c r="K728">
        <f t="shared" si="67"/>
        <v>38</v>
      </c>
      <c r="L728" t="str">
        <f>IF(RAW_GAMES!L728="","",RAW_GAMES!L728)</f>
        <v/>
      </c>
      <c r="M728" t="str">
        <f>IF(RAW_GAMES!M728="","",RAW_GAMES!M728)</f>
        <v/>
      </c>
      <c r="N728" t="str">
        <f t="shared" si="68"/>
        <v/>
      </c>
      <c r="O728" s="7">
        <f>RAW_GAMES!O728</f>
        <v>4</v>
      </c>
      <c r="P728">
        <f>RAW_GAMES!N728</f>
        <v>0</v>
      </c>
      <c r="Q728">
        <f t="shared" si="69"/>
        <v>0</v>
      </c>
      <c r="R728" s="7">
        <f>RAW_GAMES!Q728</f>
        <v>4</v>
      </c>
      <c r="S728">
        <f>RAW_GAMES!P728</f>
        <v>0</v>
      </c>
      <c r="T728">
        <f t="shared" si="70"/>
        <v>1</v>
      </c>
      <c r="U728">
        <f>_xlfn.XLOOKUP(C728,
  CALC_TEAMS_SEASON!B:B,
  CALC_TEAMS_SEASON!F:F)</f>
        <v>0.17641178266178262</v>
      </c>
      <c r="V728">
        <f>_xlfn.XLOOKUP(D728,
  CALC_TEAMS_SEASON!B:B,
  CALC_TEAMS_SEASON!F:F)</f>
        <v>0.16984890109890113</v>
      </c>
      <c r="W728" t="str">
        <f>RAW_GAMES!R728</f>
        <v>Malík</v>
      </c>
      <c r="X728" s="7">
        <f>RAW_GAMES!S728</f>
        <v>9</v>
      </c>
      <c r="Y728">
        <f t="shared" si="71"/>
        <v>1</v>
      </c>
      <c r="Z728" t="str">
        <f>RAW_GAMES!V728</f>
        <v>RS</v>
      </c>
    </row>
    <row r="729" spans="1:26" x14ac:dyDescent="0.25">
      <c r="A729" t="str">
        <f>RAW_GAMES!A729</f>
        <v>25/26</v>
      </c>
      <c r="B729" s="3">
        <f>RAW_GAMES!B729</f>
        <v>46087</v>
      </c>
      <c r="C729" s="3" t="str">
        <f>RAW_GAMES!E729</f>
        <v>VIT</v>
      </c>
      <c r="D729" s="3" t="str">
        <f>RAW_GAMES!F729</f>
        <v>PLZ</v>
      </c>
      <c r="E729" s="7">
        <f>RAW_GAMES!G729</f>
        <v>0</v>
      </c>
      <c r="F729">
        <f>RAW_GAMES!H729</f>
        <v>2</v>
      </c>
      <c r="G729">
        <f>RAW_GAMES!I729</f>
        <v>5</v>
      </c>
      <c r="H729">
        <f t="shared" si="66"/>
        <v>-3</v>
      </c>
      <c r="I729">
        <f>RAW_GAMES!J729</f>
        <v>11</v>
      </c>
      <c r="J729">
        <f>RAW_GAMES!K729</f>
        <v>49</v>
      </c>
      <c r="K729">
        <f t="shared" si="67"/>
        <v>-38</v>
      </c>
      <c r="L729" t="str">
        <f>IF(RAW_GAMES!L729="","",RAW_GAMES!L729)</f>
        <v/>
      </c>
      <c r="M729" t="str">
        <f>IF(RAW_GAMES!M729="","",RAW_GAMES!M729)</f>
        <v/>
      </c>
      <c r="N729" t="str">
        <f t="shared" si="68"/>
        <v/>
      </c>
      <c r="O729" s="7">
        <f>RAW_GAMES!O729</f>
        <v>4</v>
      </c>
      <c r="P729">
        <f>RAW_GAMES!N729</f>
        <v>0</v>
      </c>
      <c r="Q729">
        <f t="shared" si="69"/>
        <v>0</v>
      </c>
      <c r="R729" s="7">
        <f>RAW_GAMES!Q729</f>
        <v>4</v>
      </c>
      <c r="S729">
        <f>RAW_GAMES!P729</f>
        <v>0</v>
      </c>
      <c r="T729">
        <f t="shared" si="70"/>
        <v>1</v>
      </c>
      <c r="U729">
        <f>_xlfn.XLOOKUP(C729,
  CALC_TEAMS_SEASON!B:B,
  CALC_TEAMS_SEASON!F:F)</f>
        <v>0.16984890109890113</v>
      </c>
      <c r="V729">
        <f>_xlfn.XLOOKUP(D729,
  CALC_TEAMS_SEASON!B:B,
  CALC_TEAMS_SEASON!F:F)</f>
        <v>0.17641178266178262</v>
      </c>
      <c r="W729" t="str">
        <f>RAW_GAMES!R729</f>
        <v>Hrachovina</v>
      </c>
      <c r="X729" s="7">
        <f>RAW_GAMES!S729</f>
        <v>44</v>
      </c>
      <c r="Y729">
        <f t="shared" si="71"/>
        <v>0</v>
      </c>
      <c r="Z729" t="str">
        <f>RAW_GAMES!V729</f>
        <v>RS</v>
      </c>
    </row>
    <row r="730" spans="1:26" x14ac:dyDescent="0.25">
      <c r="A730" t="str">
        <f>RAW_GAMES!A730</f>
        <v>26/27</v>
      </c>
      <c r="B730" s="3">
        <f ca="1">RAW_GAMES!B730</f>
        <v>46160</v>
      </c>
      <c r="C730" s="3" t="str">
        <f>RAW_GAMES!E730</f>
        <v>PCE</v>
      </c>
      <c r="D730" s="3" t="str">
        <f>RAW_GAMES!F730</f>
        <v>KOM</v>
      </c>
      <c r="E730" s="7">
        <f>RAW_GAMES!G730</f>
        <v>1</v>
      </c>
      <c r="F730">
        <f>RAW_GAMES!H730</f>
        <v>0</v>
      </c>
      <c r="G730">
        <f>RAW_GAMES!I730</f>
        <v>0</v>
      </c>
      <c r="H730">
        <f t="shared" ref="H730:H731" si="72">F730-G730</f>
        <v>0</v>
      </c>
      <c r="I730">
        <f>RAW_GAMES!J730</f>
        <v>0</v>
      </c>
      <c r="J730">
        <f>RAW_GAMES!K730</f>
        <v>0</v>
      </c>
      <c r="K730">
        <f t="shared" ref="K730:K731" si="73">I730-J730</f>
        <v>0</v>
      </c>
      <c r="L730" t="str">
        <f>IF(RAW_GAMES!L730="","",RAW_GAMES!L730)</f>
        <v/>
      </c>
      <c r="M730" t="str">
        <f>IF(RAW_GAMES!M730="","",RAW_GAMES!M730)</f>
        <v/>
      </c>
      <c r="N730" t="str">
        <f t="shared" ref="N730:N731" si="74">IF(L730="","",L730-M730)</f>
        <v/>
      </c>
      <c r="O730" s="7">
        <f>RAW_GAMES!O730</f>
        <v>0</v>
      </c>
      <c r="P730">
        <f>RAW_GAMES!N730</f>
        <v>0</v>
      </c>
      <c r="Q730">
        <f t="shared" ref="Q730:Q731" si="75">IF(O730&gt;0,P730/O730,0)</f>
        <v>0</v>
      </c>
      <c r="R730" s="7">
        <f>RAW_GAMES!Q730</f>
        <v>0</v>
      </c>
      <c r="S730">
        <f>RAW_GAMES!P730</f>
        <v>0</v>
      </c>
      <c r="T730">
        <f t="shared" ref="T730:T731" si="76">IF(R730&gt;0, 1-(S730/R730),1)</f>
        <v>1</v>
      </c>
      <c r="U730">
        <f>_xlfn.XLOOKUP(C730,
  CALC_TEAMS_SEASON!B:B,
  CALC_TEAMS_SEASON!F:F)</f>
        <v>0.20297619047619053</v>
      </c>
      <c r="V730">
        <f>_xlfn.XLOOKUP(D730,
  CALC_TEAMS_SEASON!B:B,
  CALC_TEAMS_SEASON!F:F)</f>
        <v>0.14358974358974358</v>
      </c>
      <c r="W730" t="str">
        <f>RAW_GAMES!R730</f>
        <v>Will</v>
      </c>
      <c r="X730" s="7">
        <f>RAW_GAMES!S730</f>
        <v>0</v>
      </c>
      <c r="Y730">
        <f t="shared" ref="Y730:Y731" si="77">IF(F730&gt;G730,1,0)</f>
        <v>0</v>
      </c>
      <c r="Z730" t="str">
        <f>RAW_GAMES!V730</f>
        <v>RS</v>
      </c>
    </row>
    <row r="731" spans="1:26" x14ac:dyDescent="0.25">
      <c r="A731" t="str">
        <f>RAW_GAMES!A731</f>
        <v>26/27</v>
      </c>
      <c r="B731" s="3">
        <f ca="1">RAW_GAMES!B731</f>
        <v>46160</v>
      </c>
      <c r="C731" s="3" t="str">
        <f>RAW_GAMES!E731</f>
        <v>KOM</v>
      </c>
      <c r="D731" s="3" t="str">
        <f>RAW_GAMES!F731</f>
        <v>PCE</v>
      </c>
      <c r="E731" s="7">
        <f>RAW_GAMES!G731</f>
        <v>0</v>
      </c>
      <c r="F731">
        <f>RAW_GAMES!H731</f>
        <v>0</v>
      </c>
      <c r="G731">
        <f>RAW_GAMES!I731</f>
        <v>0</v>
      </c>
      <c r="H731">
        <f t="shared" si="72"/>
        <v>0</v>
      </c>
      <c r="I731">
        <f>RAW_GAMES!J731</f>
        <v>0</v>
      </c>
      <c r="J731">
        <f>RAW_GAMES!K731</f>
        <v>0</v>
      </c>
      <c r="K731">
        <f t="shared" si="73"/>
        <v>0</v>
      </c>
      <c r="L731" t="str">
        <f>IF(RAW_GAMES!L731="","",RAW_GAMES!L731)</f>
        <v/>
      </c>
      <c r="M731" t="str">
        <f>IF(RAW_GAMES!M731="","",RAW_GAMES!M731)</f>
        <v/>
      </c>
      <c r="N731" t="str">
        <f t="shared" si="74"/>
        <v/>
      </c>
      <c r="O731" s="7">
        <f>RAW_GAMES!O731</f>
        <v>0</v>
      </c>
      <c r="P731">
        <f>RAW_GAMES!N731</f>
        <v>0</v>
      </c>
      <c r="Q731">
        <f t="shared" si="75"/>
        <v>0</v>
      </c>
      <c r="R731" s="7">
        <f>RAW_GAMES!Q731</f>
        <v>0</v>
      </c>
      <c r="S731">
        <f>RAW_GAMES!P731</f>
        <v>0</v>
      </c>
      <c r="T731">
        <f t="shared" si="76"/>
        <v>1</v>
      </c>
      <c r="U731">
        <f>_xlfn.XLOOKUP(C731,
  CALC_TEAMS_SEASON!B:B,
  CALC_TEAMS_SEASON!F:F)</f>
        <v>0.14358974358974358</v>
      </c>
      <c r="V731">
        <f>_xlfn.XLOOKUP(D731,
  CALC_TEAMS_SEASON!B:B,
  CALC_TEAMS_SEASON!F:F)</f>
        <v>0.20297619047619053</v>
      </c>
      <c r="W731" t="str">
        <f>RAW_GAMES!R731</f>
        <v>Stezka</v>
      </c>
      <c r="X731" s="7">
        <f>RAW_GAMES!S731</f>
        <v>0</v>
      </c>
      <c r="Y731">
        <f t="shared" si="77"/>
        <v>0</v>
      </c>
      <c r="Z731" t="str">
        <f>RAW_GAMES!V731</f>
        <v>RS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08D5-FE39-4A96-B984-60F0B34F6A36}">
  <sheetPr>
    <tabColor rgb="FF92D050"/>
  </sheetPr>
  <dimension ref="A1:P37"/>
  <sheetViews>
    <sheetView workbookViewId="0">
      <selection activeCell="K21" sqref="K21"/>
    </sheetView>
  </sheetViews>
  <sheetFormatPr defaultRowHeight="15" x14ac:dyDescent="0.25"/>
  <cols>
    <col min="1" max="1" width="9.7109375" bestFit="1" customWidth="1"/>
    <col min="2" max="2" width="11.5703125" bestFit="1" customWidth="1"/>
    <col min="3" max="3" width="11.5703125" customWidth="1"/>
    <col min="4" max="4" width="7.140625" bestFit="1" customWidth="1"/>
    <col min="5" max="5" width="13.42578125" bestFit="1" customWidth="1"/>
    <col min="6" max="6" width="13.7109375" bestFit="1" customWidth="1"/>
    <col min="7" max="7" width="13.5703125" style="14" customWidth="1"/>
    <col min="8" max="8" width="8.5703125" bestFit="1" customWidth="1"/>
    <col min="9" max="9" width="11.140625" bestFit="1" customWidth="1"/>
    <col min="10" max="10" width="11.140625" customWidth="1"/>
    <col min="11" max="11" width="13.28515625" style="13" customWidth="1"/>
    <col min="12" max="13" width="11.28515625" bestFit="1" customWidth="1"/>
    <col min="14" max="14" width="11" bestFit="1" customWidth="1"/>
    <col min="15" max="15" width="11.7109375" bestFit="1" customWidth="1"/>
    <col min="16" max="16" width="10.140625" bestFit="1" customWidth="1"/>
    <col min="17" max="17" width="20.5703125" bestFit="1" customWidth="1"/>
  </cols>
  <sheetData>
    <row r="1" spans="1:16" x14ac:dyDescent="0.25">
      <c r="A1" t="s">
        <v>0</v>
      </c>
      <c r="B1" t="s">
        <v>19</v>
      </c>
      <c r="C1" t="s">
        <v>3</v>
      </c>
      <c r="D1" t="s">
        <v>60</v>
      </c>
      <c r="E1" t="s">
        <v>61</v>
      </c>
      <c r="F1" t="s">
        <v>9</v>
      </c>
      <c r="G1" s="14" t="s">
        <v>62</v>
      </c>
      <c r="H1" t="s">
        <v>63</v>
      </c>
      <c r="I1" t="s">
        <v>64</v>
      </c>
      <c r="J1" t="s">
        <v>156</v>
      </c>
      <c r="K1" s="13" t="s">
        <v>48</v>
      </c>
      <c r="L1" t="s">
        <v>113</v>
      </c>
      <c r="M1" t="s">
        <v>114</v>
      </c>
      <c r="N1" t="s">
        <v>120</v>
      </c>
    </row>
    <row r="2" spans="1:16" x14ac:dyDescent="0.25">
      <c r="A2" t="s">
        <v>109</v>
      </c>
      <c r="B2" t="s">
        <v>105</v>
      </c>
      <c r="C2" t="str">
        <f>_xlfn.XLOOKUP(B2,RAW_GAMES!R:R,RAW_GAMES!E:E)</f>
        <v>PLZ</v>
      </c>
      <c r="D2">
        <f>COUNTIFS(RAW_GAMES!R:R,B2,RAW_GAMES!V:V,CALC_GOALIES!N16)</f>
        <v>38</v>
      </c>
      <c r="E2">
        <f>SUMIFS(RAW_GAMES!K:K,RAW_GAMES!R:R,B2,RAW_GAMES!V:V,N2)</f>
        <v>905</v>
      </c>
      <c r="F2">
        <f>SUMIFS(RAW_GAMES!I:I,RAW_GAMES!R:R,B2,RAW_GAMES!V:V,N2)</f>
        <v>68</v>
      </c>
      <c r="G2" s="15">
        <f t="shared" ref="G2:G35" si="0">1-(F2/E2)</f>
        <v>0.92486187845303869</v>
      </c>
      <c r="H2">
        <f ca="1">AVERAGEIFS(CALC_GOALIES_FORM!I:I,CALC_GOALIES_FORM!D:D,CALC_GOALIES!B16,CALC_GOALIES_FORM!A:A,CALC_GOALIES!A16)</f>
        <v>0.92102204759405581</v>
      </c>
      <c r="I2">
        <f t="shared" ref="I2:I35" si="1">(G2-0.915)*E2</f>
        <v>8.9249999999999812</v>
      </c>
      <c r="J2">
        <f ca="1">(L2*(1-CALC_GOALIES_FORM!$R$1))-M2</f>
        <v>2.0060293266447982</v>
      </c>
      <c r="K2" s="16">
        <f>G2-CALC_GOALIES_FORM!$R$1</f>
        <v>1.7617039556646619E-2</v>
      </c>
      <c r="L2">
        <f ca="1">SUMIFS(CALC_GOALIES_FORM!F:F,CALC_GOALIES_FORM!D:D,CALC_GOALIES!B16,CALC_GOALIES_FORM!A:A,CALC_GOALIES!A16)</f>
        <v>151</v>
      </c>
      <c r="M2">
        <f ca="1">SUMIFS(CALC_GOALIES_FORM!H:H,CALC_GOALIES_FORM!D:D,CALC_GOALIES!B16,CALC_GOALIES_FORM!A:A,CALC_GOALIES!A16)</f>
        <v>12</v>
      </c>
      <c r="N2" t="s">
        <v>121</v>
      </c>
      <c r="P2" s="3"/>
    </row>
    <row r="3" spans="1:16" x14ac:dyDescent="0.25">
      <c r="A3" t="s">
        <v>109</v>
      </c>
      <c r="B3" t="s">
        <v>117</v>
      </c>
      <c r="C3" t="str">
        <f>_xlfn.XLOOKUP(B3,RAW_GAMES!R:R,RAW_GAMES!E:E)</f>
        <v>MHK</v>
      </c>
      <c r="D3">
        <f>COUNTIFS(RAW_GAMES!R:R,B3,RAW_GAMES!V:V,CALC_GOALIES!N14)</f>
        <v>41</v>
      </c>
      <c r="E3">
        <f>SUMIFS(RAW_GAMES!K:K,RAW_GAMES!R:R,B3,RAW_GAMES!V:V,N3)</f>
        <v>1087</v>
      </c>
      <c r="F3">
        <f>SUMIFS(RAW_GAMES!I:I,RAW_GAMES!R:R,B3,RAW_GAMES!V:V,N3)</f>
        <v>77</v>
      </c>
      <c r="G3" s="15">
        <f t="shared" si="0"/>
        <v>0.92916283348666051</v>
      </c>
      <c r="H3">
        <f ca="1">AVERAGEIFS(CALC_GOALIES_FORM!I:I,CALC_GOALIES_FORM!D:D,CALC_GOALIES!B14,CALC_GOALIES_FORM!A:A,CALC_GOALIES!A14)</f>
        <v>0.87025058275058276</v>
      </c>
      <c r="I3">
        <f t="shared" si="1"/>
        <v>15.394999999999937</v>
      </c>
      <c r="J3">
        <f ca="1">(L3*(1-CALC_GOALIES_FORM!$R$1))-M3</f>
        <v>-3.9418290565309686</v>
      </c>
      <c r="K3" s="16">
        <f>G3-CALC_GOALIES_FORM!$R$1</f>
        <v>2.1917994590268441E-2</v>
      </c>
      <c r="L3">
        <f ca="1">SUMIFS(CALC_GOALIES_FORM!F:F,CALC_GOALIES_FORM!D:D,CALC_GOALIES!B14,CALC_GOALIES_FORM!A:A,CALC_GOALIES!A14)</f>
        <v>130</v>
      </c>
      <c r="M3">
        <f ca="1">SUMIFS(CALC_GOALIES_FORM!H:H,CALC_GOALIES_FORM!D:D,CALC_GOALIES!B14,CALC_GOALIES_FORM!A:A,CALC_GOALIES!A14)</f>
        <v>16</v>
      </c>
      <c r="N3" t="s">
        <v>121</v>
      </c>
      <c r="P3" s="3"/>
    </row>
    <row r="4" spans="1:16" x14ac:dyDescent="0.25">
      <c r="A4" t="s">
        <v>109</v>
      </c>
      <c r="B4" t="s">
        <v>110</v>
      </c>
      <c r="C4" t="str">
        <f>_xlfn.XLOOKUP(B4,RAW_GAMES!R:R,RAW_GAMES!E:E)</f>
        <v>TRI</v>
      </c>
      <c r="D4">
        <f>COUNTIFS(RAW_GAMES!R:R,B4,RAW_GAMES!V:V,CALC_GOALIES!N5)</f>
        <v>38</v>
      </c>
      <c r="E4">
        <f>SUMIFS(RAW_GAMES!K:K,RAW_GAMES!R:R,B4,RAW_GAMES!V:V,N4)</f>
        <v>1050</v>
      </c>
      <c r="F4">
        <f>SUMIFS(RAW_GAMES!I:I,RAW_GAMES!R:R,B4,RAW_GAMES!V:V,N4)</f>
        <v>83</v>
      </c>
      <c r="G4" s="15">
        <f t="shared" si="0"/>
        <v>0.92095238095238097</v>
      </c>
      <c r="H4">
        <f ca="1">AVERAGEIFS(CALC_GOALIES_FORM!I:I,CALC_GOALIES_FORM!D:D,CALC_GOALIES!B5,CALC_GOALIES_FORM!A:A,CALC_GOALIES!A5)</f>
        <v>0.90087651727357598</v>
      </c>
      <c r="I4">
        <f t="shared" si="1"/>
        <v>6.2499999999999778</v>
      </c>
      <c r="J4">
        <f ca="1">(L4*(1-CALC_GOALIES_FORM!$R$1))-M4</f>
        <v>-0.59111518425622478</v>
      </c>
      <c r="K4" s="16">
        <f>G4-CALC_GOALIES_FORM!$R$1</f>
        <v>1.3707542055988897E-2</v>
      </c>
      <c r="L4">
        <f ca="1">SUMIFS(CALC_GOALIES_FORM!F:F,CALC_GOALIES_FORM!D:D,CALC_GOALIES!B5,CALC_GOALIES_FORM!A:A,CALC_GOALIES!A5)</f>
        <v>123</v>
      </c>
      <c r="M4">
        <f ca="1">SUMIFS(CALC_GOALIES_FORM!H:H,CALC_GOALIES_FORM!D:D,CALC_GOALIES!B5,CALC_GOALIES_FORM!A:A,CALC_GOALIES!A5)</f>
        <v>12</v>
      </c>
      <c r="N4" t="s">
        <v>121</v>
      </c>
      <c r="P4" s="3"/>
    </row>
    <row r="5" spans="1:16" x14ac:dyDescent="0.25">
      <c r="A5" t="s">
        <v>109</v>
      </c>
      <c r="B5" t="s">
        <v>100</v>
      </c>
      <c r="C5" t="str">
        <f>_xlfn.XLOOKUP(B5,RAW_GAMES!R:R,RAW_GAMES!E:E)</f>
        <v>LIB</v>
      </c>
      <c r="D5">
        <f>COUNTIFS(RAW_GAMES!R:R,B5,RAW_GAMES!V:V,CALC_GOALIES!N11)</f>
        <v>42</v>
      </c>
      <c r="E5">
        <f>SUMIFS(RAW_GAMES!K:K,RAW_GAMES!R:R,B5,RAW_GAMES!V:V,N5)</f>
        <v>1168</v>
      </c>
      <c r="F5">
        <f>SUMIFS(RAW_GAMES!I:I,RAW_GAMES!R:R,B5,RAW_GAMES!V:V,N5)</f>
        <v>94</v>
      </c>
      <c r="G5" s="15">
        <f t="shared" si="0"/>
        <v>0.91952054794520544</v>
      </c>
      <c r="H5">
        <f ca="1">AVERAGEIFS(CALC_GOALIES_FORM!I:I,CALC_GOALIES_FORM!D:D,CALC_GOALIES!B11,CALC_GOALIES_FORM!A:A,CALC_GOALIES!A11)</f>
        <v>0.91326345755693583</v>
      </c>
      <c r="I5">
        <f t="shared" si="1"/>
        <v>5.279999999999907</v>
      </c>
      <c r="J5">
        <f ca="1">(L5*(1-CALC_GOALIES_FORM!$R$1))-M5</f>
        <v>0.26398803781593472</v>
      </c>
      <c r="K5" s="16">
        <f>G5-CALC_GOALIES_FORM!$R$1</f>
        <v>1.2275709048813366E-2</v>
      </c>
      <c r="L5">
        <f ca="1">SUMIFS(CALC_GOALIES_FORM!F:F,CALC_GOALIES_FORM!D:D,CALC_GOALIES!B11,CALC_GOALIES_FORM!A:A,CALC_GOALIES!A11)</f>
        <v>143</v>
      </c>
      <c r="M5">
        <f ca="1">SUMIFS(CALC_GOALIES_FORM!H:H,CALC_GOALIES_FORM!D:D,CALC_GOALIES!B11,CALC_GOALIES_FORM!A:A,CALC_GOALIES!A11)</f>
        <v>13</v>
      </c>
      <c r="N5" t="s">
        <v>121</v>
      </c>
      <c r="P5" s="3"/>
    </row>
    <row r="6" spans="1:16" x14ac:dyDescent="0.25">
      <c r="A6" t="s">
        <v>109</v>
      </c>
      <c r="B6" t="s">
        <v>157</v>
      </c>
      <c r="C6" t="str">
        <f>_xlfn.XLOOKUP(B6,RAW_GAMES!R:R,RAW_GAMES!E:E)</f>
        <v>MBL</v>
      </c>
      <c r="D6">
        <f>COUNTIFS(RAW_GAMES!R:R,B6,RAW_GAMES!V:V,CALC_GOALIES!N28)</f>
        <v>11</v>
      </c>
      <c r="E6">
        <f>SUMIFS(RAW_GAMES!K:K,RAW_GAMES!R:R,B6,RAW_GAMES!V:V,N6)</f>
        <v>367</v>
      </c>
      <c r="F6">
        <f>SUMIFS(RAW_GAMES!I:I,RAW_GAMES!R:R,B6,RAW_GAMES!V:V,N6)</f>
        <v>27</v>
      </c>
      <c r="G6" s="15">
        <f t="shared" si="0"/>
        <v>0.92643051771117169</v>
      </c>
      <c r="H6">
        <f ca="1">AVERAGEIFS(CALC_GOALIES_FORM!I:I,CALC_GOALIES_FORM!D:D,CALC_GOALIES!B28,CALC_GOALIES_FORM!A:A,CALC_GOALIES!A28)</f>
        <v>0.86475063796375051</v>
      </c>
      <c r="I6">
        <f t="shared" si="1"/>
        <v>4.1949999999999958</v>
      </c>
      <c r="J6">
        <f ca="1">(L6*(1-CALC_GOALIES_FORM!$R$1))-M6</f>
        <v>-6.2519293845263384</v>
      </c>
      <c r="K6" s="16">
        <f>G6-CALC_GOALIES_FORM!$R$1</f>
        <v>1.9185678814779616E-2</v>
      </c>
      <c r="L6">
        <f ca="1">SUMIFS(CALC_GOALIES_FORM!F:F,CALC_GOALIES_FORM!D:D,CALC_GOALIES!B28,CALC_GOALIES_FORM!A:A,CALC_GOALIES!A28)</f>
        <v>159</v>
      </c>
      <c r="M6">
        <f ca="1">SUMIFS(CALC_GOALIES_FORM!H:H,CALC_GOALIES_FORM!D:D,CALC_GOALIES!B28,CALC_GOALIES_FORM!A:A,CALC_GOALIES!A28)</f>
        <v>21</v>
      </c>
      <c r="N6" t="s">
        <v>121</v>
      </c>
      <c r="P6" s="3"/>
    </row>
    <row r="7" spans="1:16" x14ac:dyDescent="0.25">
      <c r="A7" t="s">
        <v>109</v>
      </c>
      <c r="B7" t="s">
        <v>34</v>
      </c>
      <c r="C7" t="str">
        <f>_xlfn.XLOOKUP(B7,RAW_GAMES!R:R,RAW_GAMES!E:E)</f>
        <v>PCE</v>
      </c>
      <c r="D7">
        <f>COUNTIFS(RAW_GAMES!R:R,B7,RAW_GAMES!V:V,CALC_GOALIES!N2)</f>
        <v>38</v>
      </c>
      <c r="E7">
        <f>SUMIFS(RAW_GAMES!K:K,RAW_GAMES!R:R,B7,RAW_GAMES!V:V,N7)</f>
        <v>862</v>
      </c>
      <c r="F7">
        <f>SUMIFS(RAW_GAMES!I:I,RAW_GAMES!R:R,B7,RAW_GAMES!V:V,N7)</f>
        <v>76</v>
      </c>
      <c r="G7" s="15">
        <f t="shared" si="0"/>
        <v>0.91183294663573089</v>
      </c>
      <c r="H7">
        <f ca="1">AVERAGEIFS(CALC_GOALIES_FORM!I:I,CALC_GOALIES_FORM!D:D,CALC_GOALIES!B2,CALC_GOALIES_FORM!A:A,CALC_GOALIES!A2)</f>
        <v>0.91510695187165769</v>
      </c>
      <c r="I7">
        <f t="shared" si="1"/>
        <v>-2.7300000000000035</v>
      </c>
      <c r="J7">
        <f ca="1">(L7*(1-CALC_GOALIES_FORM!$R$1))-M7</f>
        <v>2.3682712714644012</v>
      </c>
      <c r="K7" s="16">
        <f>G7-CALC_GOALIES_FORM!$R$1</f>
        <v>4.5881077393388203E-3</v>
      </c>
      <c r="L7">
        <f ca="1">SUMIFS(CALC_GOALIES_FORM!F:F,CALC_GOALIES_FORM!D:D,CALC_GOALIES!B2,CALC_GOALIES_FORM!A:A,CALC_GOALIES!A2)</f>
        <v>101</v>
      </c>
      <c r="M7">
        <f ca="1">SUMIFS(CALC_GOALIES_FORM!H:H,CALC_GOALIES_FORM!D:D,CALC_GOALIES!B2,CALC_GOALIES_FORM!A:A,CALC_GOALIES!A2)</f>
        <v>7</v>
      </c>
      <c r="N7" t="s">
        <v>121</v>
      </c>
    </row>
    <row r="8" spans="1:16" x14ac:dyDescent="0.25">
      <c r="A8" t="s">
        <v>109</v>
      </c>
      <c r="B8" t="s">
        <v>107</v>
      </c>
      <c r="C8" t="str">
        <f>_xlfn.XLOOKUP(B8,RAW_GAMES!R:R,RAW_GAMES!E:E)</f>
        <v>KLA</v>
      </c>
      <c r="D8">
        <f>COUNTIFS(RAW_GAMES!R:R,B8,RAW_GAMES!V:V,CALC_GOALIES!N20)</f>
        <v>38</v>
      </c>
      <c r="E8">
        <f>SUMIFS(RAW_GAMES!K:K,RAW_GAMES!R:R,B8,RAW_GAMES!V:V,N8)</f>
        <v>1096</v>
      </c>
      <c r="F8">
        <f>SUMIFS(RAW_GAMES!I:I,RAW_GAMES!R:R,B8,RAW_GAMES!V:V,N8)</f>
        <v>88</v>
      </c>
      <c r="G8" s="15">
        <f t="shared" si="0"/>
        <v>0.91970802919708028</v>
      </c>
      <c r="H8">
        <f ca="1">AVERAGEIFS(CALC_GOALIES_FORM!I:I,CALC_GOALIES_FORM!D:D,CALC_GOALIES!B20,CALC_GOALIES_FORM!A:A,CALC_GOALIES!A20)</f>
        <v>0.88700817786864294</v>
      </c>
      <c r="I8">
        <f t="shared" si="1"/>
        <v>5.1599999999999469</v>
      </c>
      <c r="J8">
        <f ca="1">(L8*(1-CALC_GOALIES_FORM!$R$1))-M8</f>
        <v>-1.7157051900443783</v>
      </c>
      <c r="K8" s="16">
        <f>G8-CALC_GOALIES_FORM!$R$1</f>
        <v>1.2463190300688209E-2</v>
      </c>
      <c r="L8">
        <f ca="1">SUMIFS(CALC_GOALIES_FORM!F:F,CALC_GOALIES_FORM!D:D,CALC_GOALIES!B20,CALC_GOALIES_FORM!A:A,CALC_GOALIES!A20)</f>
        <v>154</v>
      </c>
      <c r="M8">
        <f ca="1">SUMIFS(CALC_GOALIES_FORM!H:H,CALC_GOALIES_FORM!D:D,CALC_GOALIES!B20,CALC_GOALIES_FORM!A:A,CALC_GOALIES!A20)</f>
        <v>16</v>
      </c>
      <c r="N8" t="s">
        <v>121</v>
      </c>
    </row>
    <row r="9" spans="1:16" x14ac:dyDescent="0.25">
      <c r="A9" t="s">
        <v>109</v>
      </c>
      <c r="B9" t="s">
        <v>142</v>
      </c>
      <c r="C9" t="str">
        <f>_xlfn.XLOOKUP(B9,RAW_GAMES!R:R,RAW_GAMES!E:E)</f>
        <v>SPA</v>
      </c>
      <c r="D9">
        <f>COUNTIFS(RAW_GAMES!R:R,B9,RAW_GAMES!V:V,CALC_GOALIES!N24)</f>
        <v>4</v>
      </c>
      <c r="E9">
        <f>SUMIFS(RAW_GAMES!K:K,RAW_GAMES!R:R,B9,RAW_GAMES!V:V,N9)</f>
        <v>101</v>
      </c>
      <c r="F9">
        <f>SUMIFS(RAW_GAMES!I:I,RAW_GAMES!R:R,B9,RAW_GAMES!V:V,N9)</f>
        <v>9</v>
      </c>
      <c r="G9" s="15">
        <f t="shared" si="0"/>
        <v>0.91089108910891092</v>
      </c>
      <c r="H9">
        <f ca="1">AVERAGEIFS(CALC_GOALIES_FORM!I:I,CALC_GOALIES_FORM!D:D,CALC_GOALIES!B24,CALC_GOALIES_FORM!A:A,CALC_GOALIES!A24)</f>
        <v>0.87847752247752253</v>
      </c>
      <c r="I9">
        <f t="shared" si="1"/>
        <v>-0.41500000000000037</v>
      </c>
      <c r="J9">
        <f ca="1">(L9*(1-CALC_GOALIES_FORM!$R$1))-M9</f>
        <v>-3.1273393787381849</v>
      </c>
      <c r="K9" s="16">
        <f>G9-CALC_GOALIES_FORM!$R$1</f>
        <v>3.6462502125188534E-3</v>
      </c>
      <c r="L9">
        <f ca="1">SUMIFS(CALC_GOALIES_FORM!F:F,CALC_GOALIES_FORM!D:D,CALC_GOALIES!B24,CALC_GOALIES_FORM!A:A,CALC_GOALIES!A24)</f>
        <v>128</v>
      </c>
      <c r="M9">
        <f ca="1">SUMIFS(CALC_GOALIES_FORM!H:H,CALC_GOALIES_FORM!D:D,CALC_GOALIES!B24,CALC_GOALIES_FORM!A:A,CALC_GOALIES!A24)</f>
        <v>15</v>
      </c>
      <c r="N9" t="s">
        <v>121</v>
      </c>
    </row>
    <row r="10" spans="1:16" x14ac:dyDescent="0.25">
      <c r="A10" t="s">
        <v>109</v>
      </c>
      <c r="B10" t="s">
        <v>37</v>
      </c>
      <c r="C10" t="str">
        <f>_xlfn.XLOOKUP(B10,RAW_GAMES!R:R,RAW_GAMES!E:E)</f>
        <v>PCE</v>
      </c>
      <c r="D10">
        <f>COUNTIFS(RAW_GAMES!R:R,B10,RAW_GAMES!V:V,CALC_GOALIES!N3)</f>
        <v>6</v>
      </c>
      <c r="E10">
        <f>SUMIFS(RAW_GAMES!K:K,RAW_GAMES!R:R,B10,RAW_GAMES!V:V,N10)</f>
        <v>189</v>
      </c>
      <c r="F10">
        <f>SUMIFS(RAW_GAMES!I:I,RAW_GAMES!R:R,B10,RAW_GAMES!V:V,N10)</f>
        <v>18</v>
      </c>
      <c r="G10" s="15">
        <f t="shared" si="0"/>
        <v>0.90476190476190477</v>
      </c>
      <c r="H10">
        <f ca="1">AVERAGEIFS(CALC_GOALIES_FORM!I:I,CALC_GOALIES_FORM!D:D,CALC_GOALIES!B3,CALC_GOALIES_FORM!A:A,CALC_GOALIES!A3)</f>
        <v>0.93529258098223611</v>
      </c>
      <c r="I10">
        <f t="shared" si="1"/>
        <v>-1.9350000000000058</v>
      </c>
      <c r="J10">
        <f ca="1">(L10*(1-CALC_GOALIES_FORM!$R$1))-M10</f>
        <v>4.0060293266447982</v>
      </c>
      <c r="K10" s="16">
        <f>G10-CALC_GOALIES_FORM!$R$1</f>
        <v>-2.4829341344873024E-3</v>
      </c>
      <c r="L10">
        <f ca="1">SUMIFS(CALC_GOALIES_FORM!F:F,CALC_GOALIES_FORM!D:D,CALC_GOALIES!B3,CALC_GOALIES_FORM!A:A,CALC_GOALIES!A3)</f>
        <v>151</v>
      </c>
      <c r="M10">
        <f ca="1">SUMIFS(CALC_GOALIES_FORM!H:H,CALC_GOALIES_FORM!D:D,CALC_GOALIES!B3,CALC_GOALIES_FORM!A:A,CALC_GOALIES!A3)</f>
        <v>10</v>
      </c>
      <c r="N10" t="s">
        <v>121</v>
      </c>
    </row>
    <row r="11" spans="1:16" x14ac:dyDescent="0.25">
      <c r="A11" t="s">
        <v>109</v>
      </c>
      <c r="B11" t="s">
        <v>103</v>
      </c>
      <c r="C11" t="str">
        <f>_xlfn.XLOOKUP(B11,RAW_GAMES!R:R,RAW_GAMES!E:E)</f>
        <v>CEB</v>
      </c>
      <c r="D11">
        <f>COUNTIFS(RAW_GAMES!R:R,B11,RAW_GAMES!V:V,CALC_GOALIES!N7)</f>
        <v>24</v>
      </c>
      <c r="E11">
        <f>SUMIFS(RAW_GAMES!K:K,RAW_GAMES!R:R,B11,RAW_GAMES!V:V,N11)</f>
        <v>653</v>
      </c>
      <c r="F11">
        <f>SUMIFS(RAW_GAMES!I:I,RAW_GAMES!R:R,B11,RAW_GAMES!V:V,N11)</f>
        <v>58</v>
      </c>
      <c r="G11" s="15">
        <f t="shared" si="0"/>
        <v>0.9111791730474732</v>
      </c>
      <c r="H11">
        <f ca="1">AVERAGEIFS(CALC_GOALIES_FORM!I:I,CALC_GOALIES_FORM!D:D,CALC_GOALIES!B7,CALC_GOALIES_FORM!A:A,CALC_GOALIES!A7)</f>
        <v>0.89084903520224556</v>
      </c>
      <c r="I11">
        <f t="shared" si="1"/>
        <v>-2.4950000000000232</v>
      </c>
      <c r="J11">
        <f ca="1">(L11*(1-CALC_GOALIES_FORM!$R$1))-M11</f>
        <v>-1.0751977619139517</v>
      </c>
      <c r="K11" s="16">
        <f>G11-CALC_GOALIES_FORM!$R$1</f>
        <v>3.9343341510811314E-3</v>
      </c>
      <c r="L11">
        <f ca="1">SUMIFS(CALC_GOALIES_FORM!F:F,CALC_GOALIES_FORM!D:D,CALC_GOALIES!B7,CALC_GOALIES_FORM!A:A,CALC_GOALIES!A7)</f>
        <v>107</v>
      </c>
      <c r="M11">
        <f ca="1">SUMIFS(CALC_GOALIES_FORM!H:H,CALC_GOALIES_FORM!D:D,CALC_GOALIES!B7,CALC_GOALIES_FORM!A:A,CALC_GOALIES!A7)</f>
        <v>11</v>
      </c>
      <c r="N11" t="s">
        <v>121</v>
      </c>
    </row>
    <row r="12" spans="1:16" x14ac:dyDescent="0.25">
      <c r="A12" t="s">
        <v>109</v>
      </c>
      <c r="B12" t="s">
        <v>104</v>
      </c>
      <c r="C12" t="str">
        <f>_xlfn.XLOOKUP(B12,RAW_GAMES!R:R,RAW_GAMES!E:E)</f>
        <v>OLO</v>
      </c>
      <c r="D12">
        <f>COUNTIFS(RAW_GAMES!R:R,B12,RAW_GAMES!V:V,CALC_GOALIES!N18)</f>
        <v>38</v>
      </c>
      <c r="E12">
        <f>SUMIFS(RAW_GAMES!K:K,RAW_GAMES!R:R,B12,RAW_GAMES!V:V,N12)</f>
        <v>1212</v>
      </c>
      <c r="F12">
        <f>SUMIFS(RAW_GAMES!I:I,RAW_GAMES!R:R,B12,RAW_GAMES!V:V,N12)</f>
        <v>107</v>
      </c>
      <c r="G12" s="15">
        <f t="shared" si="0"/>
        <v>0.91171617161716167</v>
      </c>
      <c r="H12">
        <f ca="1">AVERAGEIFS(CALC_GOALIES_FORM!I:I,CALC_GOALIES_FORM!D:D,CALC_GOALIES!B18,CALC_GOALIES_FORM!A:A,CALC_GOALIES!A18)</f>
        <v>0.86507770645701676</v>
      </c>
      <c r="I12">
        <f t="shared" si="1"/>
        <v>-3.9800000000000932</v>
      </c>
      <c r="J12">
        <f ca="1">(L12*(1-CALC_GOALIES_FORM!$R$1))-M12</f>
        <v>-6.1070326065984979</v>
      </c>
      <c r="K12" s="16">
        <f>G12-CALC_GOALIES_FORM!$R$1</f>
        <v>4.4713327207696052E-3</v>
      </c>
      <c r="L12">
        <f ca="1">SUMIFS(CALC_GOALIES_FORM!F:F,CALC_GOALIES_FORM!D:D,CALC_GOALIES!B18,CALC_GOALIES_FORM!A:A,CALC_GOALIES!A18)</f>
        <v>139</v>
      </c>
      <c r="M12">
        <f ca="1">SUMIFS(CALC_GOALIES_FORM!H:H,CALC_GOALIES_FORM!D:D,CALC_GOALIES!B18,CALC_GOALIES_FORM!A:A,CALC_GOALIES!A18)</f>
        <v>19</v>
      </c>
      <c r="N12" t="s">
        <v>121</v>
      </c>
    </row>
    <row r="13" spans="1:16" x14ac:dyDescent="0.25">
      <c r="A13" t="s">
        <v>109</v>
      </c>
      <c r="B13" t="s">
        <v>47</v>
      </c>
      <c r="C13" t="str">
        <f>_xlfn.XLOOKUP(B13,RAW_GAMES!R:R,RAW_GAMES!E:E)</f>
        <v>PCE</v>
      </c>
      <c r="D13">
        <f>COUNTIFS(RAW_GAMES!R:R,B13,RAW_GAMES!V:V,CALC_GOALIES!N4)</f>
        <v>9</v>
      </c>
      <c r="E13">
        <f>SUMIFS(RAW_GAMES!K:K,RAW_GAMES!R:R,B13,RAW_GAMES!V:V,N13)</f>
        <v>221</v>
      </c>
      <c r="F13">
        <f>SUMIFS(RAW_GAMES!I:I,RAW_GAMES!R:R,B13,RAW_GAMES!V:V,N13)</f>
        <v>22</v>
      </c>
      <c r="G13" s="15">
        <f t="shared" si="0"/>
        <v>0.90045248868778283</v>
      </c>
      <c r="H13">
        <f ca="1">AVERAGEIFS(CALC_GOALIES_FORM!I:I,CALC_GOALIES_FORM!D:D,CALC_GOALIES!B4,CALC_GOALIES_FORM!A:A,CALC_GOALIES!A4)</f>
        <v>0.91373753959960846</v>
      </c>
      <c r="I13">
        <f t="shared" si="1"/>
        <v>-3.2150000000000034</v>
      </c>
      <c r="J13">
        <f ca="1">(L13*(1-CALC_GOALIES_FORM!$R$1))-M13</f>
        <v>0.40888481574377522</v>
      </c>
      <c r="K13" s="16">
        <f>G13-CALC_GOALIES_FORM!$R$1</f>
        <v>-6.7923502086092435E-3</v>
      </c>
      <c r="L13">
        <f ca="1">SUMIFS(CALC_GOALIES_FORM!F:F,CALC_GOALIES_FORM!D:D,CALC_GOALIES!B4,CALC_GOALIES_FORM!A:A,CALC_GOALIES!A4)</f>
        <v>123</v>
      </c>
      <c r="M13">
        <f ca="1">SUMIFS(CALC_GOALIES_FORM!H:H,CALC_GOALIES_FORM!D:D,CALC_GOALIES!B4,CALC_GOALIES_FORM!A:A,CALC_GOALIES!A4)</f>
        <v>11</v>
      </c>
      <c r="N13" t="s">
        <v>121</v>
      </c>
    </row>
    <row r="14" spans="1:16" x14ac:dyDescent="0.25">
      <c r="A14" t="s">
        <v>109</v>
      </c>
      <c r="B14" t="s">
        <v>106</v>
      </c>
      <c r="C14" t="str">
        <f>_xlfn.XLOOKUP(B14,RAW_GAMES!R:R,RAW_GAMES!E:E)</f>
        <v>PLZ</v>
      </c>
      <c r="D14">
        <f>COUNTIFS(RAW_GAMES!R:R,B14,RAW_GAMES!V:V,CALC_GOALIES!N17)</f>
        <v>14</v>
      </c>
      <c r="E14">
        <f>SUMIFS(RAW_GAMES!K:K,RAW_GAMES!R:R,B14,RAW_GAMES!V:V,N14)</f>
        <v>382</v>
      </c>
      <c r="F14">
        <f>SUMIFS(RAW_GAMES!I:I,RAW_GAMES!R:R,B14,RAW_GAMES!V:V,N14)</f>
        <v>36</v>
      </c>
      <c r="G14" s="15">
        <f t="shared" si="0"/>
        <v>0.90575916230366493</v>
      </c>
      <c r="H14">
        <f ca="1">AVERAGEIFS(CALC_GOALIES_FORM!I:I,CALC_GOALIES_FORM!D:D,CALC_GOALIES!B17,CALC_GOALIES_FORM!A:A,CALC_GOALIES!A17)</f>
        <v>0.85869565217391308</v>
      </c>
      <c r="I14">
        <f t="shared" si="1"/>
        <v>-3.5300000000000091</v>
      </c>
      <c r="J14">
        <f ca="1">(L14*(1-CALC_GOALIES_FORM!$R$1))-M14</f>
        <v>-1.5998938838510526</v>
      </c>
      <c r="K14" s="16">
        <f>G14-CALC_GOALIES_FORM!$R$1</f>
        <v>-1.4856765927271365E-3</v>
      </c>
      <c r="L14">
        <f ca="1">SUMIFS(CALC_GOALIES_FORM!F:F,CALC_GOALIES_FORM!D:D,CALC_GOALIES!B17,CALC_GOALIES_FORM!A:A,CALC_GOALIES!A17)</f>
        <v>69</v>
      </c>
      <c r="M14">
        <f ca="1">SUMIFS(CALC_GOALIES_FORM!H:H,CALC_GOALIES_FORM!D:D,CALC_GOALIES!B17,CALC_GOALIES_FORM!A:A,CALC_GOALIES!A17)</f>
        <v>8</v>
      </c>
      <c r="N14" t="s">
        <v>121</v>
      </c>
    </row>
    <row r="15" spans="1:16" x14ac:dyDescent="0.25">
      <c r="A15" t="s">
        <v>109</v>
      </c>
      <c r="B15" t="s">
        <v>150</v>
      </c>
      <c r="C15" t="str">
        <f>_xlfn.XLOOKUP(B15,RAW_GAMES!R:R,RAW_GAMES!E:E)</f>
        <v>KVA</v>
      </c>
      <c r="D15">
        <f>COUNTIFS(RAW_GAMES!R:R,B15,RAW_GAMES!V:V,CALC_GOALIES!N35)</f>
        <v>39</v>
      </c>
      <c r="E15">
        <f>SUMIFS(RAW_GAMES!K:K,RAW_GAMES!R:R,B15,RAW_GAMES!V:V,N15)</f>
        <v>1093</v>
      </c>
      <c r="F15">
        <f>SUMIFS(RAW_GAMES!I:I,RAW_GAMES!R:R,B15,RAW_GAMES!V:V,N15)</f>
        <v>88</v>
      </c>
      <c r="G15" s="15">
        <f t="shared" si="0"/>
        <v>0.91948764867337607</v>
      </c>
      <c r="H15">
        <f ca="1">AVERAGEIFS(CALC_GOALIES_FORM!I:I,CALC_GOALIES_FORM!D:D,CALC_GOALIES!B35,CALC_GOALIES_FORM!A:A,CALC_GOALIES!A35)</f>
        <v>0.80645161290322576</v>
      </c>
      <c r="I15">
        <f t="shared" si="1"/>
        <v>4.9050000000000029</v>
      </c>
      <c r="J15">
        <f ca="1">(L15*(1-CALC_GOALIES_FORM!$R$1))-M15</f>
        <v>-3.1245900057881544</v>
      </c>
      <c r="K15" s="16">
        <f>G15-CALC_GOALIES_FORM!$R$1</f>
        <v>1.2242809776983998E-2</v>
      </c>
      <c r="L15">
        <f ca="1">SUMIFS(CALC_GOALIES_FORM!F:F,CALC_GOALIES_FORM!D:D,CALC_GOALIES!B35,CALC_GOALIES_FORM!A:A,CALC_GOALIES!A35)</f>
        <v>31</v>
      </c>
      <c r="M15">
        <f ca="1">SUMIFS(CALC_GOALIES_FORM!H:H,CALC_GOALIES_FORM!D:D,CALC_GOALIES!B35,CALC_GOALIES_FORM!A:A,CALC_GOALIES!A35)</f>
        <v>6</v>
      </c>
      <c r="N15" t="s">
        <v>121</v>
      </c>
    </row>
    <row r="16" spans="1:16" x14ac:dyDescent="0.25">
      <c r="A16" t="s">
        <v>109</v>
      </c>
      <c r="B16" t="s">
        <v>141</v>
      </c>
      <c r="C16" t="str">
        <f>_xlfn.XLOOKUP(B16,RAW_GAMES!R:R,RAW_GAMES!E:E)</f>
        <v>SPA</v>
      </c>
      <c r="D16">
        <f>COUNTIFS(RAW_GAMES!R:R,B16,RAW_GAMES!V:V,CALC_GOALIES!N22)</f>
        <v>25</v>
      </c>
      <c r="E16">
        <f>SUMIFS(RAW_GAMES!K:K,RAW_GAMES!R:R,B16,RAW_GAMES!V:V,N16)</f>
        <v>729</v>
      </c>
      <c r="F16">
        <f>SUMIFS(RAW_GAMES!I:I,RAW_GAMES!R:R,B16,RAW_GAMES!V:V,N16)</f>
        <v>65</v>
      </c>
      <c r="G16" s="15">
        <f t="shared" si="0"/>
        <v>0.91083676268861458</v>
      </c>
      <c r="H16">
        <f ca="1">AVERAGEIFS(CALC_GOALIES_FORM!I:I,CALC_GOALIES_FORM!D:D,CALC_GOALIES!B22,CALC_GOALIES_FORM!A:A,CALC_GOALIES!A22)</f>
        <v>0.86633098891730609</v>
      </c>
      <c r="I16">
        <f t="shared" si="1"/>
        <v>-3.0349999999999997</v>
      </c>
      <c r="J16">
        <f ca="1">(L16*(1-CALC_GOALIES_FORM!$R$1))-M16</f>
        <v>-5.8287671232876743</v>
      </c>
      <c r="K16" s="16">
        <f>G16-CALC_GOALIES_FORM!$R$1</f>
        <v>3.5919237922225067E-3</v>
      </c>
      <c r="L16">
        <f ca="1">SUMIFS(CALC_GOALIES_FORM!F:F,CALC_GOALIES_FORM!D:D,CALC_GOALIES!B22,CALC_GOALIES_FORM!A:A,CALC_GOALIES!A22)</f>
        <v>142</v>
      </c>
      <c r="M16">
        <f ca="1">SUMIFS(CALC_GOALIES_FORM!H:H,CALC_GOALIES_FORM!D:D,CALC_GOALIES!B22,CALC_GOALIES_FORM!A:A,CALC_GOALIES!A22)</f>
        <v>19</v>
      </c>
      <c r="N16" t="s">
        <v>121</v>
      </c>
    </row>
    <row r="17" spans="1:14" x14ac:dyDescent="0.25">
      <c r="A17" t="s">
        <v>109</v>
      </c>
      <c r="B17" t="s">
        <v>116</v>
      </c>
      <c r="C17" t="str">
        <f>_xlfn.XLOOKUP(B17,RAW_GAMES!R:R,RAW_GAMES!E:E)</f>
        <v>LIB</v>
      </c>
      <c r="D17">
        <f>COUNTIFS(RAW_GAMES!R:R,B17,RAW_GAMES!V:V,CALC_GOALIES!N13)</f>
        <v>3</v>
      </c>
      <c r="E17">
        <f>SUMIFS(RAW_GAMES!K:K,RAW_GAMES!R:R,B17,RAW_GAMES!V:V,N17)</f>
        <v>69</v>
      </c>
      <c r="F17">
        <f>SUMIFS(RAW_GAMES!I:I,RAW_GAMES!R:R,B17,RAW_GAMES!V:V,N17)</f>
        <v>8</v>
      </c>
      <c r="G17" s="15">
        <f t="shared" si="0"/>
        <v>0.88405797101449279</v>
      </c>
      <c r="H17">
        <f ca="1">AVERAGEIFS(CALC_GOALIES_FORM!I:I,CALC_GOALIES_FORM!D:D,CALC_GOALIES!B13,CALC_GOALIES_FORM!A:A,CALC_GOALIES!A13)</f>
        <v>0.93417307692307694</v>
      </c>
      <c r="I17">
        <f t="shared" si="1"/>
        <v>-2.1349999999999998</v>
      </c>
      <c r="J17">
        <f ca="1">(L17*(1-CALC_GOALIES_FORM!$R$1))-M17</f>
        <v>3.6147019100906785</v>
      </c>
      <c r="K17" s="16">
        <f>G17-CALC_GOALIES_FORM!$R$1</f>
        <v>-2.3186867881899276E-2</v>
      </c>
      <c r="L17">
        <f ca="1">SUMIFS(CALC_GOALIES_FORM!F:F,CALC_GOALIES_FORM!D:D,CALC_GOALIES!B13,CALC_GOALIES_FORM!A:A,CALC_GOALIES!A13)</f>
        <v>136</v>
      </c>
      <c r="M17">
        <f ca="1">SUMIFS(CALC_GOALIES_FORM!H:H,CALC_GOALIES_FORM!D:D,CALC_GOALIES!B13,CALC_GOALIES_FORM!A:A,CALC_GOALIES!A13)</f>
        <v>9</v>
      </c>
      <c r="N17" t="s">
        <v>121</v>
      </c>
    </row>
    <row r="18" spans="1:14" x14ac:dyDescent="0.25">
      <c r="A18" t="s">
        <v>109</v>
      </c>
      <c r="B18" t="s">
        <v>111</v>
      </c>
      <c r="C18" t="str">
        <f>_xlfn.XLOOKUP(B18,RAW_GAMES!R:R,RAW_GAMES!E:E)</f>
        <v>CEB</v>
      </c>
      <c r="D18">
        <f>COUNTIFS(RAW_GAMES!R:R,B18,RAW_GAMES!V:V,CALC_GOALIES!N8)</f>
        <v>15</v>
      </c>
      <c r="E18">
        <f>SUMIFS(RAW_GAMES!K:K,RAW_GAMES!R:R,B18,RAW_GAMES!V:V,N18)</f>
        <v>432</v>
      </c>
      <c r="F18">
        <f>SUMIFS(RAW_GAMES!I:I,RAW_GAMES!R:R,B18,RAW_GAMES!V:V,N18)</f>
        <v>46</v>
      </c>
      <c r="G18" s="15">
        <f t="shared" si="0"/>
        <v>0.89351851851851849</v>
      </c>
      <c r="H18">
        <f ca="1">AVERAGEIFS(CALC_GOALIES_FORM!I:I,CALC_GOALIES_FORM!D:D,CALC_GOALIES!B8,CALC_GOALIES_FORM!A:A,CALC_GOALIES!A8)</f>
        <v>0.92212445364619278</v>
      </c>
      <c r="I18">
        <f t="shared" si="1"/>
        <v>-9.2800000000000278</v>
      </c>
      <c r="J18">
        <f ca="1">(L18*(1-CALC_GOALIES_FORM!$R$1))-M18</f>
        <v>2.1306193324329517</v>
      </c>
      <c r="K18" s="16">
        <f>G18-CALC_GOALIES_FORM!$R$1</f>
        <v>-1.372632037787358E-2</v>
      </c>
      <c r="L18">
        <f ca="1">SUMIFS(CALC_GOALIES_FORM!F:F,CALC_GOALIES_FORM!D:D,CALC_GOALIES!B8,CALC_GOALIES_FORM!A:A,CALC_GOALIES!A8)</f>
        <v>120</v>
      </c>
      <c r="M18">
        <f ca="1">SUMIFS(CALC_GOALIES_FORM!H:H,CALC_GOALIES_FORM!D:D,CALC_GOALIES!B8,CALC_GOALIES_FORM!A:A,CALC_GOALIES!A8)</f>
        <v>9</v>
      </c>
      <c r="N18" t="s">
        <v>121</v>
      </c>
    </row>
    <row r="19" spans="1:14" x14ac:dyDescent="0.25">
      <c r="A19" t="s">
        <v>109</v>
      </c>
      <c r="B19" t="s">
        <v>158</v>
      </c>
      <c r="C19" t="str">
        <f>_xlfn.XLOOKUP(B19,RAW_GAMES!R:R,RAW_GAMES!E:E)</f>
        <v>MHK</v>
      </c>
      <c r="D19">
        <f>COUNTIFS(RAW_GAMES!R:R,B19,RAW_GAMES!V:V,CALC_GOALIES!N29)</f>
        <v>2</v>
      </c>
      <c r="E19">
        <f>SUMIFS(RAW_GAMES!K:K,RAW_GAMES!R:R,B19,RAW_GAMES!V:V,N19)</f>
        <v>62</v>
      </c>
      <c r="F19">
        <f>SUMIFS(RAW_GAMES!I:I,RAW_GAMES!R:R,B19,RAW_GAMES!V:V,N19)</f>
        <v>6</v>
      </c>
      <c r="G19" s="15">
        <f t="shared" si="0"/>
        <v>0.90322580645161288</v>
      </c>
      <c r="H19">
        <f ca="1">AVERAGEIFS(CALC_GOALIES_FORM!I:I,CALC_GOALIES_FORM!D:D,CALC_GOALIES!B29,CALC_GOALIES_FORM!A:A,CALC_GOALIES!A29)</f>
        <v>0.90598549423957775</v>
      </c>
      <c r="I19">
        <f t="shared" si="1"/>
        <v>-0.73000000000000376</v>
      </c>
      <c r="J19">
        <f ca="1">(L19*(1-CALC_GOALIES_FORM!$R$1))-M19</f>
        <v>-0.60264325680108399</v>
      </c>
      <c r="K19" s="16">
        <f>G19-CALC_GOALIES_FORM!$R$1</f>
        <v>-4.0190324447791914E-3</v>
      </c>
      <c r="L19">
        <f ca="1">SUMIFS(CALC_GOALIES_FORM!F:F,CALC_GOALIES_FORM!D:D,CALC_GOALIES!B29,CALC_GOALIES_FORM!A:A,CALC_GOALIES!A29)</f>
        <v>166</v>
      </c>
      <c r="M19">
        <f ca="1">SUMIFS(CALC_GOALIES_FORM!H:H,CALC_GOALIES_FORM!D:D,CALC_GOALIES!B29,CALC_GOALIES_FORM!A:A,CALC_GOALIES!A29)</f>
        <v>16</v>
      </c>
      <c r="N19" t="s">
        <v>121</v>
      </c>
    </row>
    <row r="20" spans="1:14" x14ac:dyDescent="0.25">
      <c r="A20" t="s">
        <v>109</v>
      </c>
      <c r="B20" t="s">
        <v>144</v>
      </c>
      <c r="C20" t="str">
        <f>_xlfn.XLOOKUP(B20,RAW_GAMES!R:R,RAW_GAMES!E:E)</f>
        <v>KOM</v>
      </c>
      <c r="D20">
        <f>COUNTIFS(RAW_GAMES!R:R,B20,RAW_GAMES!V:V,CALC_GOALIES!N25)</f>
        <v>39</v>
      </c>
      <c r="E20">
        <f>SUMIFS(RAW_GAMES!K:K,RAW_GAMES!R:R,B20,RAW_GAMES!V:V,N20)</f>
        <v>1082</v>
      </c>
      <c r="F20">
        <f>SUMIFS(RAW_GAMES!I:I,RAW_GAMES!R:R,B20,RAW_GAMES!V:V,N20)</f>
        <v>102</v>
      </c>
      <c r="G20" s="15">
        <f t="shared" si="0"/>
        <v>0.90573012939001851</v>
      </c>
      <c r="H20">
        <f ca="1">AVERAGEIFS(CALC_GOALIES_FORM!I:I,CALC_GOALIES_FORM!D:D,CALC_GOALIES!B25,CALC_GOALIES_FORM!A:A,CALC_GOALIES!A25)</f>
        <v>0.89492876334981586</v>
      </c>
      <c r="I20">
        <f t="shared" si="1"/>
        <v>-10.030000000000008</v>
      </c>
      <c r="J20">
        <f ca="1">(L20*(1-CALC_GOALIES_FORM!$R$1))-M20</f>
        <v>0.89296739340150211</v>
      </c>
      <c r="K20" s="16">
        <f>G20-CALC_GOALIES_FORM!$R$1</f>
        <v>-1.5147095063735572E-3</v>
      </c>
      <c r="L20">
        <f ca="1">SUMIFS(CALC_GOALIES_FORM!F:F,CALC_GOALIES_FORM!D:D,CALC_GOALIES!B25,CALC_GOALIES_FORM!A:A,CALC_GOALIES!A25)</f>
        <v>139</v>
      </c>
      <c r="M20">
        <f ca="1">SUMIFS(CALC_GOALIES_FORM!H:H,CALC_GOALIES_FORM!D:D,CALC_GOALIES!B25,CALC_GOALIES_FORM!A:A,CALC_GOALIES!A25)</f>
        <v>12</v>
      </c>
      <c r="N20" t="s">
        <v>121</v>
      </c>
    </row>
    <row r="21" spans="1:14" x14ac:dyDescent="0.25">
      <c r="A21" t="s">
        <v>109</v>
      </c>
      <c r="B21" t="s">
        <v>149</v>
      </c>
      <c r="C21" t="str">
        <f>_xlfn.XLOOKUP(B21,RAW_GAMES!R:R,RAW_GAMES!E:E)</f>
        <v>LIT</v>
      </c>
      <c r="D21">
        <f>COUNTIFS(RAW_GAMES!R:R,B21,RAW_GAMES!V:V,CALC_GOALIES!N26)</f>
        <v>24</v>
      </c>
      <c r="E21">
        <f>SUMIFS(RAW_GAMES!K:K,RAW_GAMES!R:R,B21,RAW_GAMES!V:V,N21)</f>
        <v>768</v>
      </c>
      <c r="F21">
        <f>SUMIFS(RAW_GAMES!I:I,RAW_GAMES!R:R,B21,RAW_GAMES!V:V,N21)</f>
        <v>75</v>
      </c>
      <c r="G21" s="15">
        <f t="shared" si="0"/>
        <v>0.90234375</v>
      </c>
      <c r="H21">
        <f ca="1">AVERAGEIFS(CALC_GOALIES_FORM!I:I,CALC_GOALIES_FORM!D:D,CALC_GOALIES!B26,CALC_GOALIES_FORM!A:A,CALC_GOALIES!A26)</f>
        <v>0.8870670995670995</v>
      </c>
      <c r="I21">
        <f t="shared" si="1"/>
        <v>-9.7200000000000273</v>
      </c>
      <c r="J21">
        <f ca="1">(L21*(1-CALC_GOALIES_FORM!$R$1))-M21</f>
        <v>-3.3649913177696344</v>
      </c>
      <c r="K21" s="16">
        <f>G21-CALC_GOALIES_FORM!$R$1</f>
        <v>-4.9010888963920696E-3</v>
      </c>
      <c r="L21">
        <f ca="1">SUMIFS(CALC_GOALIES_FORM!F:F,CALC_GOALIES_FORM!D:D,CALC_GOALIES!B26,CALC_GOALIES_FORM!A:A,CALC_GOALIES!A26)</f>
        <v>147</v>
      </c>
      <c r="M21">
        <f ca="1">SUMIFS(CALC_GOALIES_FORM!H:H,CALC_GOALIES_FORM!D:D,CALC_GOALIES!B26,CALC_GOALIES_FORM!A:A,CALC_GOALIES!A26)</f>
        <v>17</v>
      </c>
      <c r="N21" t="s">
        <v>121</v>
      </c>
    </row>
    <row r="22" spans="1:14" x14ac:dyDescent="0.25">
      <c r="A22" t="s">
        <v>109</v>
      </c>
      <c r="B22" t="s">
        <v>108</v>
      </c>
      <c r="C22" t="str">
        <f>_xlfn.XLOOKUP(B22,RAW_GAMES!R:R,RAW_GAMES!E:E)</f>
        <v>TRI</v>
      </c>
      <c r="D22">
        <f>COUNTIFS(RAW_GAMES!R:R,B22,RAW_GAMES!V:V,CALC_GOALIES!N6)</f>
        <v>14</v>
      </c>
      <c r="E22">
        <f>SUMIFS(RAW_GAMES!K:K,RAW_GAMES!R:R,B22,RAW_GAMES!V:V,N22)</f>
        <v>427</v>
      </c>
      <c r="F22">
        <f>SUMIFS(RAW_GAMES!I:I,RAW_GAMES!R:R,B22,RAW_GAMES!V:V,N22)</f>
        <v>48</v>
      </c>
      <c r="G22" s="15">
        <f t="shared" si="0"/>
        <v>0.88758782201405151</v>
      </c>
      <c r="H22">
        <f ca="1">AVERAGEIFS(CALC_GOALIES_FORM!I:I,CALC_GOALIES_FORM!D:D,CALC_GOALIES!B6,CALC_GOALIES_FORM!A:A,CALC_GOALIES!A6)</f>
        <v>0.91184320979977618</v>
      </c>
      <c r="I22">
        <f t="shared" si="1"/>
        <v>-11.705000000000021</v>
      </c>
      <c r="J22">
        <f ca="1">(L22*(1-CALC_GOALIES_FORM!$R$1))-M22</f>
        <v>0.5625602932664453</v>
      </c>
      <c r="K22" s="16">
        <f>G22-CALC_GOALIES_FORM!$R$1</f>
        <v>-1.9657016882340561E-2</v>
      </c>
      <c r="L22">
        <f ca="1">SUMIFS(CALC_GOALIES_FORM!F:F,CALC_GOALIES_FORM!D:D,CALC_GOALIES!B6,CALC_GOALIES_FORM!A:A,CALC_GOALIES!A6)</f>
        <v>157</v>
      </c>
      <c r="M22">
        <f ca="1">SUMIFS(CALC_GOALIES_FORM!H:H,CALC_GOALIES_FORM!D:D,CALC_GOALIES!B6,CALC_GOALIES_FORM!A:A,CALC_GOALIES!A6)</f>
        <v>14</v>
      </c>
      <c r="N22" t="s">
        <v>121</v>
      </c>
    </row>
    <row r="23" spans="1:14" x14ac:dyDescent="0.25">
      <c r="A23" t="s">
        <v>109</v>
      </c>
      <c r="B23" t="s">
        <v>102</v>
      </c>
      <c r="C23" t="str">
        <f>_xlfn.XLOOKUP(B23,RAW_GAMES!R:R,RAW_GAMES!E:E)</f>
        <v>MBL</v>
      </c>
      <c r="D23">
        <f>COUNTIFS(RAW_GAMES!R:R,B23,RAW_GAMES!V:V,CALC_GOALIES!N9)</f>
        <v>11</v>
      </c>
      <c r="E23">
        <f>SUMIFS(RAW_GAMES!K:K,RAW_GAMES!R:R,B23,RAW_GAMES!V:V,N23)</f>
        <v>351</v>
      </c>
      <c r="F23">
        <f>SUMIFS(RAW_GAMES!I:I,RAW_GAMES!R:R,B23,RAW_GAMES!V:V,N23)</f>
        <v>42</v>
      </c>
      <c r="G23" s="15">
        <f t="shared" si="0"/>
        <v>0.88034188034188032</v>
      </c>
      <c r="H23">
        <f ca="1">AVERAGEIFS(CALC_GOALIES_FORM!I:I,CALC_GOALIES_FORM!D:D,CALC_GOALIES!B9,CALC_GOALIES_FORM!A:A,CALC_GOALIES!A9)</f>
        <v>0.90012556746836669</v>
      </c>
      <c r="I23">
        <f t="shared" si="1"/>
        <v>-12.165000000000019</v>
      </c>
      <c r="J23">
        <f ca="1">(L23*(1-CALC_GOALIES_FORM!$R$1))-M23</f>
        <v>0.3682712714644012</v>
      </c>
      <c r="K23" s="16">
        <f>G23-CALC_GOALIES_FORM!$R$1</f>
        <v>-2.6902958554511747E-2</v>
      </c>
      <c r="L23">
        <f ca="1">SUMIFS(CALC_GOALIES_FORM!F:F,CALC_GOALIES_FORM!D:D,CALC_GOALIES!B9,CALC_GOALIES_FORM!A:A,CALC_GOALIES!A9)</f>
        <v>101</v>
      </c>
      <c r="M23">
        <f ca="1">SUMIFS(CALC_GOALIES_FORM!H:H,CALC_GOALIES_FORM!D:D,CALC_GOALIES!B9,CALC_GOALIES_FORM!A:A,CALC_GOALIES!A9)</f>
        <v>9</v>
      </c>
      <c r="N23" t="s">
        <v>121</v>
      </c>
    </row>
    <row r="24" spans="1:14" x14ac:dyDescent="0.25">
      <c r="A24" t="s">
        <v>109</v>
      </c>
      <c r="B24" t="s">
        <v>145</v>
      </c>
      <c r="C24" t="str">
        <f>_xlfn.XLOOKUP(B24,RAW_GAMES!R:R,RAW_GAMES!E:E)</f>
        <v>KOM</v>
      </c>
      <c r="D24">
        <f>COUNTIFS(RAW_GAMES!R:R,B24,RAW_GAMES!V:V,CALC_GOALIES!N31)</f>
        <v>10</v>
      </c>
      <c r="E24">
        <f>SUMIFS(RAW_GAMES!K:K,RAW_GAMES!R:R,B24,RAW_GAMES!V:V,N24)</f>
        <v>271</v>
      </c>
      <c r="F24">
        <f>SUMIFS(RAW_GAMES!I:I,RAW_GAMES!R:R,B24,RAW_GAMES!V:V,N24)</f>
        <v>30</v>
      </c>
      <c r="G24" s="15">
        <f t="shared" si="0"/>
        <v>0.88929889298892983</v>
      </c>
      <c r="H24">
        <f ca="1">AVERAGEIFS(CALC_GOALIES_FORM!I:I,CALC_GOALIES_FORM!D:D,CALC_GOALIES!B31,CALC_GOALIES_FORM!A:A,CALC_GOALIES!A31)</f>
        <v>0.88848357524828114</v>
      </c>
      <c r="I24">
        <f t="shared" si="1"/>
        <v>-6.9650000000000247</v>
      </c>
      <c r="J24">
        <f ca="1">(L24*(1-CALC_GOALIES_FORM!$R$1))-M24</f>
        <v>-2.4056048620490085</v>
      </c>
      <c r="K24" s="16">
        <f>G24-CALC_GOALIES_FORM!$R$1</f>
        <v>-1.7945945907462235E-2</v>
      </c>
      <c r="L24">
        <f ca="1">SUMIFS(CALC_GOALIES_FORM!F:F,CALC_GOALIES_FORM!D:D,CALC_GOALIES!B31,CALC_GOALIES_FORM!A:A,CALC_GOALIES!A31)</f>
        <v>125</v>
      </c>
      <c r="M24">
        <f ca="1">SUMIFS(CALC_GOALIES_FORM!H:H,CALC_GOALIES_FORM!D:D,CALC_GOALIES!B31,CALC_GOALIES_FORM!A:A,CALC_GOALIES!A31)</f>
        <v>14</v>
      </c>
      <c r="N24" t="s">
        <v>121</v>
      </c>
    </row>
    <row r="25" spans="1:14" x14ac:dyDescent="0.25">
      <c r="A25" t="s">
        <v>109</v>
      </c>
      <c r="B25" t="s">
        <v>140</v>
      </c>
      <c r="C25" t="str">
        <f>_xlfn.XLOOKUP(B25,RAW_GAMES!R:R,RAW_GAMES!E:E)</f>
        <v>SPA</v>
      </c>
      <c r="D25">
        <f>COUNTIFS(RAW_GAMES!R:R,B25,RAW_GAMES!V:V,CALC_GOALIES!N23)</f>
        <v>23</v>
      </c>
      <c r="E25">
        <f>SUMIFS(RAW_GAMES!K:K,RAW_GAMES!R:R,B25,RAW_GAMES!V:V,N25)</f>
        <v>590</v>
      </c>
      <c r="F25">
        <f>SUMIFS(RAW_GAMES!I:I,RAW_GAMES!R:R,B25,RAW_GAMES!V:V,N25)</f>
        <v>61</v>
      </c>
      <c r="G25" s="15">
        <f t="shared" si="0"/>
        <v>0.89661016949152539</v>
      </c>
      <c r="H25">
        <f ca="1">AVERAGEIFS(CALC_GOALIES_FORM!I:I,CALC_GOALIES_FORM!D:D,CALC_GOALIES!B23,CALC_GOALIES_FORM!A:A,CALC_GOALIES!A23)</f>
        <v>0.87700025464731346</v>
      </c>
      <c r="I25">
        <f t="shared" si="1"/>
        <v>-10.850000000000042</v>
      </c>
      <c r="J25">
        <f ca="1">(L25*(1-CALC_GOALIES_FORM!$R$1))-M25</f>
        <v>-4.2722361566660254</v>
      </c>
      <c r="K25" s="16">
        <f>G25-CALC_GOALIES_FORM!$R$1</f>
        <v>-1.0634669404866681E-2</v>
      </c>
      <c r="L25">
        <f ca="1">SUMIFS(CALC_GOALIES_FORM!F:F,CALC_GOALIES_FORM!D:D,CALC_GOALIES!B23,CALC_GOALIES_FORM!A:A,CALC_GOALIES!A23)</f>
        <v>148</v>
      </c>
      <c r="M25">
        <f ca="1">SUMIFS(CALC_GOALIES_FORM!H:H,CALC_GOALIES_FORM!D:D,CALC_GOALIES!B23,CALC_GOALIES_FORM!A:A,CALC_GOALIES!A23)</f>
        <v>18</v>
      </c>
      <c r="N25" t="s">
        <v>121</v>
      </c>
    </row>
    <row r="26" spans="1:14" x14ac:dyDescent="0.25">
      <c r="A26" t="s">
        <v>109</v>
      </c>
      <c r="B26" t="s">
        <v>159</v>
      </c>
      <c r="C26" t="str">
        <f>_xlfn.XLOOKUP(B26,RAW_GAMES!R:R,RAW_GAMES!E:E)</f>
        <v>KOM</v>
      </c>
      <c r="D26">
        <f>COUNTIFS(RAW_GAMES!R:R,B26,RAW_GAMES!V:V,CALC_GOALIES!N30)</f>
        <v>4</v>
      </c>
      <c r="E26">
        <f>SUMIFS(RAW_GAMES!K:K,RAW_GAMES!R:R,B26,RAW_GAMES!V:V,N26)</f>
        <v>147</v>
      </c>
      <c r="F26">
        <f>SUMIFS(RAW_GAMES!I:I,RAW_GAMES!R:R,B26,RAW_GAMES!V:V,N26)</f>
        <v>17</v>
      </c>
      <c r="G26" s="15">
        <f t="shared" si="0"/>
        <v>0.88435374149659862</v>
      </c>
      <c r="H26">
        <f ca="1">AVERAGEIFS(CALC_GOALIES_FORM!I:I,CALC_GOALIES_FORM!D:D,CALC_GOALIES!B30,CALC_GOALIES_FORM!A:A,CALC_GOALIES!A30)</f>
        <v>0.88181255896495048</v>
      </c>
      <c r="I26">
        <f t="shared" si="1"/>
        <v>-4.5050000000000079</v>
      </c>
      <c r="J26">
        <f ca="1">(L26*(1-CALC_GOALIES_FORM!$R$1))-M26</f>
        <v>-3.7157051900443783</v>
      </c>
      <c r="K26" s="16">
        <f>G26-CALC_GOALIES_FORM!$R$1</f>
        <v>-2.2891097399793447E-2</v>
      </c>
      <c r="L26">
        <f ca="1">SUMIFS(CALC_GOALIES_FORM!F:F,CALC_GOALIES_FORM!D:D,CALC_GOALIES!B30,CALC_GOALIES_FORM!A:A,CALC_GOALIES!A30)</f>
        <v>154</v>
      </c>
      <c r="M26">
        <f ca="1">SUMIFS(CALC_GOALIES_FORM!H:H,CALC_GOALIES_FORM!D:D,CALC_GOALIES!B30,CALC_GOALIES_FORM!A:A,CALC_GOALIES!A30)</f>
        <v>18</v>
      </c>
      <c r="N26" t="s">
        <v>121</v>
      </c>
    </row>
    <row r="27" spans="1:14" x14ac:dyDescent="0.25">
      <c r="A27" t="s">
        <v>109</v>
      </c>
      <c r="B27" t="s">
        <v>115</v>
      </c>
      <c r="C27" t="str">
        <f>_xlfn.XLOOKUP(B27,RAW_GAMES!R:R,RAW_GAMES!E:E)</f>
        <v>KLA</v>
      </c>
      <c r="D27">
        <f>COUNTIFS(RAW_GAMES!R:R,B27,RAW_GAMES!V:V,CALC_GOALIES!N12)</f>
        <v>8</v>
      </c>
      <c r="E27">
        <f>SUMIFS(RAW_GAMES!K:K,RAW_GAMES!R:R,B27,RAW_GAMES!V:V,N27)</f>
        <v>191</v>
      </c>
      <c r="F27">
        <f>SUMIFS(RAW_GAMES!I:I,RAW_GAMES!R:R,B27,RAW_GAMES!V:V,N27)</f>
        <v>23</v>
      </c>
      <c r="G27" s="15">
        <f t="shared" si="0"/>
        <v>0.87958115183246077</v>
      </c>
      <c r="H27">
        <f ca="1">AVERAGEIFS(CALC_GOALIES_FORM!I:I,CALC_GOALIES_FORM!D:D,CALC_GOALIES!B12,CALC_GOALIES_FORM!A:A,CALC_GOALIES!A12)</f>
        <v>0.88407692307692309</v>
      </c>
      <c r="I27">
        <f t="shared" si="1"/>
        <v>-6.7649999999999988</v>
      </c>
      <c r="J27">
        <f ca="1">(L27*(1-CALC_GOALIES_FORM!$R$1))-M27</f>
        <v>-3.5301948678371637</v>
      </c>
      <c r="K27" s="16">
        <f>G27-CALC_GOALIES_FORM!$R$1</f>
        <v>-2.7663687063931297E-2</v>
      </c>
      <c r="L27">
        <f ca="1">SUMIFS(CALC_GOALIES_FORM!F:F,CALC_GOALIES_FORM!D:D,CALC_GOALIES!B12,CALC_GOALIES_FORM!A:A,CALC_GOALIES!A12)</f>
        <v>156</v>
      </c>
      <c r="M27">
        <f ca="1">SUMIFS(CALC_GOALIES_FORM!H:H,CALC_GOALIES_FORM!D:D,CALC_GOALIES!B12,CALC_GOALIES_FORM!A:A,CALC_GOALIES!A12)</f>
        <v>18</v>
      </c>
      <c r="N27" t="s">
        <v>121</v>
      </c>
    </row>
    <row r="28" spans="1:14" x14ac:dyDescent="0.25">
      <c r="A28" t="s">
        <v>109</v>
      </c>
      <c r="B28" t="s">
        <v>151</v>
      </c>
      <c r="C28" t="str">
        <f>_xlfn.XLOOKUP(B28,RAW_GAMES!R:R,RAW_GAMES!E:E)</f>
        <v>LIT</v>
      </c>
      <c r="D28">
        <f>COUNTIFS(RAW_GAMES!R:R,B28,RAW_GAMES!V:V,CALC_GOALIES!N27)</f>
        <v>27</v>
      </c>
      <c r="E28">
        <f>SUMIFS(RAW_GAMES!K:K,RAW_GAMES!R:R,B28,RAW_GAMES!V:V,N28)</f>
        <v>922</v>
      </c>
      <c r="F28">
        <f>SUMIFS(RAW_GAMES!I:I,RAW_GAMES!R:R,B28,RAW_GAMES!V:V,N28)</f>
        <v>93</v>
      </c>
      <c r="G28" s="15">
        <f t="shared" si="0"/>
        <v>0.89913232104121477</v>
      </c>
      <c r="H28">
        <f ca="1">AVERAGEIFS(CALC_GOALIES_FORM!I:I,CALC_GOALIES_FORM!D:D,CALC_GOALIES!B27,CALC_GOALIES_FORM!A:A,CALC_GOALIES!A27)</f>
        <v>0.88903256704980849</v>
      </c>
      <c r="I28">
        <f t="shared" si="1"/>
        <v>-14.630000000000019</v>
      </c>
      <c r="J28">
        <f ca="1">(L28*(1-CALC_GOALIES_FORM!$R$1))-M28</f>
        <v>-1.3128497009454012</v>
      </c>
      <c r="K28" s="16">
        <f>G28-CALC_GOALIES_FORM!$R$1</f>
        <v>-8.1125178551773036E-3</v>
      </c>
      <c r="L28">
        <f ca="1">SUMIFS(CALC_GOALIES_FORM!F:F,CALC_GOALIES_FORM!D:D,CALC_GOALIES!B27,CALC_GOALIES_FORM!A:A,CALC_GOALIES!A27)</f>
        <v>126</v>
      </c>
      <c r="M28">
        <f ca="1">SUMIFS(CALC_GOALIES_FORM!H:H,CALC_GOALIES_FORM!D:D,CALC_GOALIES!B27,CALC_GOALIES_FORM!A:A,CALC_GOALIES!A27)</f>
        <v>13</v>
      </c>
      <c r="N28" t="s">
        <v>121</v>
      </c>
    </row>
    <row r="29" spans="1:14" x14ac:dyDescent="0.25">
      <c r="A29" t="s">
        <v>109</v>
      </c>
      <c r="B29" t="s">
        <v>119</v>
      </c>
      <c r="C29" t="str">
        <f>_xlfn.XLOOKUP(B29,RAW_GAMES!R:R,RAW_GAMES!E:E)</f>
        <v>KLA</v>
      </c>
      <c r="D29">
        <f>COUNTIFS(RAW_GAMES!R:R,B29,RAW_GAMES!V:V,CALC_GOALIES!N21)</f>
        <v>13</v>
      </c>
      <c r="E29">
        <f>SUMIFS(RAW_GAMES!K:K,RAW_GAMES!R:R,B29,RAW_GAMES!V:V,N29)</f>
        <v>402</v>
      </c>
      <c r="F29">
        <f>SUMIFS(RAW_GAMES!I:I,RAW_GAMES!R:R,B29,RAW_GAMES!V:V,N29)</f>
        <v>45</v>
      </c>
      <c r="G29" s="15">
        <f t="shared" si="0"/>
        <v>0.88805970149253732</v>
      </c>
      <c r="H29">
        <f ca="1">AVERAGEIFS(CALC_GOALIES_FORM!I:I,CALC_GOALIES_FORM!D:D,CALC_GOALIES!B21,CALC_GOALIES_FORM!A:A,CALC_GOALIES!A21)</f>
        <v>0.89958584585689627</v>
      </c>
      <c r="I29">
        <f t="shared" si="1"/>
        <v>-10.830000000000011</v>
      </c>
      <c r="J29">
        <f ca="1">(L29*(1-CALC_GOALIES_FORM!$R$1))-M29</f>
        <v>-0.60264325680108399</v>
      </c>
      <c r="K29" s="16">
        <f>G29-CALC_GOALIES_FORM!$R$1</f>
        <v>-1.9185137403854746E-2</v>
      </c>
      <c r="L29">
        <f ca="1">SUMIFS(CALC_GOALIES_FORM!F:F,CALC_GOALIES_FORM!D:D,CALC_GOALIES!B21,CALC_GOALIES_FORM!A:A,CALC_GOALIES!A21)</f>
        <v>166</v>
      </c>
      <c r="M29">
        <f ca="1">SUMIFS(CALC_GOALIES_FORM!H:H,CALC_GOALIES_FORM!D:D,CALC_GOALIES!B21,CALC_GOALIES_FORM!A:A,CALC_GOALIES!A21)</f>
        <v>16</v>
      </c>
      <c r="N29" t="s">
        <v>121</v>
      </c>
    </row>
    <row r="30" spans="1:14" x14ac:dyDescent="0.25">
      <c r="A30" t="s">
        <v>109</v>
      </c>
      <c r="B30" t="s">
        <v>118</v>
      </c>
      <c r="C30" t="str">
        <f>_xlfn.XLOOKUP(B30,RAW_GAMES!R:R,RAW_GAMES!E:E)</f>
        <v>OLO</v>
      </c>
      <c r="D30">
        <f>COUNTIFS(RAW_GAMES!R:R,B30,RAW_GAMES!V:V,CALC_GOALIES!N19)</f>
        <v>14</v>
      </c>
      <c r="E30">
        <f>SUMIFS(RAW_GAMES!K:K,RAW_GAMES!R:R,B30,RAW_GAMES!V:V,N30)</f>
        <v>451</v>
      </c>
      <c r="F30">
        <f>SUMIFS(RAW_GAMES!I:I,RAW_GAMES!R:R,B30,RAW_GAMES!V:V,N30)</f>
        <v>51</v>
      </c>
      <c r="G30" s="15">
        <f t="shared" si="0"/>
        <v>0.88691796008869184</v>
      </c>
      <c r="H30">
        <f ca="1">AVERAGEIFS(CALC_GOALIES_FORM!I:I,CALC_GOALIES_FORM!D:D,CALC_GOALIES!B19,CALC_GOALIES_FORM!A:A,CALC_GOALIES!A19)</f>
        <v>0.90073145245559039</v>
      </c>
      <c r="I30">
        <f t="shared" si="1"/>
        <v>-12.664999999999997</v>
      </c>
      <c r="J30">
        <f ca="1">(L30*(1-CALC_GOALIES_FORM!$R$1))-M30</f>
        <v>-0.24918001157630876</v>
      </c>
      <c r="K30" s="16">
        <f>G30-CALC_GOALIES_FORM!$R$1</f>
        <v>-2.0326878807700233E-2</v>
      </c>
      <c r="L30">
        <f ca="1">SUMIFS(CALC_GOALIES_FORM!F:F,CALC_GOALIES_FORM!D:D,CALC_GOALIES!B19,CALC_GOALIES_FORM!A:A,CALC_GOALIES!A19)</f>
        <v>62</v>
      </c>
      <c r="M30">
        <f ca="1">SUMIFS(CALC_GOALIES_FORM!H:H,CALC_GOALIES_FORM!D:D,CALC_GOALIES!B19,CALC_GOALIES_FORM!A:A,CALC_GOALIES!A19)</f>
        <v>6</v>
      </c>
      <c r="N30" t="s">
        <v>121</v>
      </c>
    </row>
    <row r="31" spans="1:14" x14ac:dyDescent="0.25">
      <c r="A31" t="s">
        <v>109</v>
      </c>
      <c r="B31" t="s">
        <v>147</v>
      </c>
      <c r="C31" t="str">
        <f>_xlfn.XLOOKUP(B31,RAW_GAMES!R:R,RAW_GAMES!E:E)</f>
        <v>KVA</v>
      </c>
      <c r="D31">
        <f>COUNTIFS(RAW_GAMES!R:R,B31,RAW_GAMES!V:V,CALC_GOALIES!N34)</f>
        <v>13</v>
      </c>
      <c r="E31">
        <f>SUMIFS(RAW_GAMES!K:K,RAW_GAMES!R:R,B31,RAW_GAMES!V:V,N31)</f>
        <v>364</v>
      </c>
      <c r="F31">
        <f>SUMIFS(RAW_GAMES!I:I,RAW_GAMES!R:R,B31,RAW_GAMES!V:V,N31)</f>
        <v>42</v>
      </c>
      <c r="G31" s="15">
        <f t="shared" si="0"/>
        <v>0.88461538461538458</v>
      </c>
      <c r="H31">
        <f ca="1">AVERAGEIFS(CALC_GOALIES_FORM!I:I,CALC_GOALIES_FORM!D:D,CALC_GOALIES!B34,CALC_GOALIES_FORM!A:A,CALC_GOALIES!A34)</f>
        <v>0.87788141599094938</v>
      </c>
      <c r="I31">
        <f t="shared" si="1"/>
        <v>-11.060000000000025</v>
      </c>
      <c r="J31">
        <f ca="1">(L31*(1-CALC_GOALIES_FORM!$R$1))-M31</f>
        <v>-3.9418290565309686</v>
      </c>
      <c r="K31" s="16">
        <f>G31-CALC_GOALIES_FORM!$R$1</f>
        <v>-2.2629454281007488E-2</v>
      </c>
      <c r="L31">
        <f ca="1">SUMIFS(CALC_GOALIES_FORM!F:F,CALC_GOALIES_FORM!D:D,CALC_GOALIES!B34,CALC_GOALIES_FORM!A:A,CALC_GOALIES!A34)</f>
        <v>130</v>
      </c>
      <c r="M31">
        <f ca="1">SUMIFS(CALC_GOALIES_FORM!H:H,CALC_GOALIES_FORM!D:D,CALC_GOALIES!B34,CALC_GOALIES_FORM!A:A,CALC_GOALIES!A34)</f>
        <v>16</v>
      </c>
      <c r="N31" t="s">
        <v>121</v>
      </c>
    </row>
    <row r="32" spans="1:14" x14ac:dyDescent="0.25">
      <c r="A32" t="s">
        <v>109</v>
      </c>
      <c r="B32" t="s">
        <v>112</v>
      </c>
      <c r="C32" t="str">
        <f>_xlfn.XLOOKUP(B32,RAW_GAMES!R:R,RAW_GAMES!E:E)</f>
        <v>CEB</v>
      </c>
      <c r="D32">
        <f>COUNTIFS(RAW_GAMES!R:R,B32,RAW_GAMES!V:V,CALC_GOALIES!N10)</f>
        <v>5</v>
      </c>
      <c r="E32">
        <f>SUMIFS(RAW_GAMES!K:K,RAW_GAMES!R:R,B32,RAW_GAMES!V:V,N32)</f>
        <v>125</v>
      </c>
      <c r="F32">
        <f>SUMIFS(RAW_GAMES!I:I,RAW_GAMES!R:R,B32,RAW_GAMES!V:V,N32)</f>
        <v>17</v>
      </c>
      <c r="G32" s="15">
        <f t="shared" si="0"/>
        <v>0.86399999999999999</v>
      </c>
      <c r="H32">
        <f ca="1">AVERAGEIFS(CALC_GOALIES_FORM!I:I,CALC_GOALIES_FORM!D:D,CALC_GOALIES!B10,CALC_GOALIES_FORM!A:A,CALC_GOALIES!A10)</f>
        <v>0.91637898686679176</v>
      </c>
      <c r="I32">
        <f t="shared" si="1"/>
        <v>-6.3750000000000053</v>
      </c>
      <c r="J32">
        <f ca="1">(L32*(1-CALC_GOALIES_FORM!$R$1))-M32</f>
        <v>0.46980513216283626</v>
      </c>
      <c r="K32" s="16">
        <f>G32-CALC_GOALIES_FORM!$R$1</f>
        <v>-4.3244838896392079E-2</v>
      </c>
      <c r="L32">
        <f ca="1">SUMIFS(CALC_GOALIES_FORM!F:F,CALC_GOALIES_FORM!D:D,CALC_GOALIES!B10,CALC_GOALIES_FORM!A:A,CALC_GOALIES!A10)</f>
        <v>156</v>
      </c>
      <c r="M32">
        <f ca="1">SUMIFS(CALC_GOALIES_FORM!H:H,CALC_GOALIES_FORM!D:D,CALC_GOALIES!B10,CALC_GOALIES_FORM!A:A,CALC_GOALIES!A10)</f>
        <v>14</v>
      </c>
      <c r="N32" t="s">
        <v>121</v>
      </c>
    </row>
    <row r="33" spans="1:14" x14ac:dyDescent="0.25">
      <c r="A33" t="s">
        <v>109</v>
      </c>
      <c r="B33" t="s">
        <v>152</v>
      </c>
      <c r="C33" t="str">
        <f>_xlfn.XLOOKUP(B33,RAW_GAMES!R:R,RAW_GAMES!E:E)</f>
        <v>VIT</v>
      </c>
      <c r="D33">
        <f>COUNTIFS(RAW_GAMES!R:R,B33,RAW_GAMES!V:V,CALC_GOALIES!N33)</f>
        <v>5</v>
      </c>
      <c r="E33">
        <f>SUMIFS(RAW_GAMES!K:K,RAW_GAMES!R:R,B33,RAW_GAMES!V:V,N33)</f>
        <v>158</v>
      </c>
      <c r="F33">
        <f>SUMIFS(RAW_GAMES!I:I,RAW_GAMES!R:R,B33,RAW_GAMES!V:V,N33)</f>
        <v>21</v>
      </c>
      <c r="G33" s="15">
        <f t="shared" si="0"/>
        <v>0.86708860759493667</v>
      </c>
      <c r="H33">
        <f ca="1">AVERAGEIFS(CALC_GOALIES_FORM!I:I,CALC_GOALIES_FORM!D:D,CALC_GOALIES!B33,CALC_GOALIES_FORM!A:A,CALC_GOALIES!A33)</f>
        <v>0.8629082064875796</v>
      </c>
      <c r="I33">
        <f t="shared" si="1"/>
        <v>-7.5700000000000127</v>
      </c>
      <c r="J33">
        <f ca="1">(L33*(1-CALC_GOALIES_FORM!$R$1))-M33</f>
        <v>-6.3446845456299474</v>
      </c>
      <c r="K33" s="16">
        <f>G33-CALC_GOALIES_FORM!$R$1</f>
        <v>-4.0156231301455403E-2</v>
      </c>
      <c r="L33">
        <f ca="1">SUMIFS(CALC_GOALIES_FORM!F:F,CALC_GOALIES_FORM!D:D,CALC_GOALIES!B33,CALC_GOALIES_FORM!A:A,CALC_GOALIES!A33)</f>
        <v>158</v>
      </c>
      <c r="M33">
        <f ca="1">SUMIFS(CALC_GOALIES_FORM!H:H,CALC_GOALIES_FORM!D:D,CALC_GOALIES!B33,CALC_GOALIES_FORM!A:A,CALC_GOALIES!A33)</f>
        <v>21</v>
      </c>
      <c r="N33" t="s">
        <v>121</v>
      </c>
    </row>
    <row r="34" spans="1:14" x14ac:dyDescent="0.25">
      <c r="A34" t="s">
        <v>109</v>
      </c>
      <c r="B34" t="s">
        <v>101</v>
      </c>
      <c r="C34" t="str">
        <f>_xlfn.XLOOKUP(B34,RAW_GAMES!R:R,RAW_GAMES!E:E)</f>
        <v>MHK</v>
      </c>
      <c r="D34">
        <f>COUNTIFS(RAW_GAMES!R:R,B34,RAW_GAMES!V:V,CALC_GOALIES!N15)</f>
        <v>9</v>
      </c>
      <c r="E34">
        <f>SUMIFS(RAW_GAMES!K:K,RAW_GAMES!R:R,B34,RAW_GAMES!V:V,N34)</f>
        <v>236</v>
      </c>
      <c r="F34">
        <f>SUMIFS(RAW_GAMES!I:I,RAW_GAMES!R:R,B34,RAW_GAMES!V:V,N34)</f>
        <v>37</v>
      </c>
      <c r="G34" s="15">
        <f t="shared" si="0"/>
        <v>0.84322033898305082</v>
      </c>
      <c r="H34">
        <f ca="1">AVERAGEIFS(CALC_GOALIES_FORM!I:I,CALC_GOALIES_FORM!D:D,CALC_GOALIES!B15,CALC_GOALIES_FORM!A:A,CALC_GOALIES!A15)</f>
        <v>0.92689393939393949</v>
      </c>
      <c r="I34">
        <f t="shared" si="1"/>
        <v>-16.940000000000015</v>
      </c>
      <c r="J34">
        <f ca="1">(L34*(1-CALC_GOALIES_FORM!$R$1))-M34</f>
        <v>4.397356743198916</v>
      </c>
      <c r="K34" s="16">
        <f>G34-CALC_GOALIES_FORM!$R$1</f>
        <v>-6.4024499913341248E-2</v>
      </c>
      <c r="L34">
        <f ca="1">SUMIFS(CALC_GOALIES_FORM!F:F,CALC_GOALIES_FORM!D:D,CALC_GOALIES!B15,CALC_GOALIES_FORM!A:A,CALC_GOALIES!A15)</f>
        <v>166</v>
      </c>
      <c r="M34">
        <f ca="1">SUMIFS(CALC_GOALIES_FORM!H:H,CALC_GOALIES_FORM!D:D,CALC_GOALIES!B15,CALC_GOALIES_FORM!A:A,CALC_GOALIES!A15)</f>
        <v>11</v>
      </c>
      <c r="N34" t="s">
        <v>121</v>
      </c>
    </row>
    <row r="35" spans="1:14" x14ac:dyDescent="0.25">
      <c r="A35" t="s">
        <v>109</v>
      </c>
      <c r="B35" t="s">
        <v>160</v>
      </c>
      <c r="C35" t="str">
        <f>_xlfn.XLOOKUP(B35,RAW_GAMES!R:R,RAW_GAMES!E:E)</f>
        <v>LIT</v>
      </c>
      <c r="D35">
        <f>COUNTIFS(RAW_GAMES!R:R,B35,RAW_GAMES!V:V,CALC_GOALIES!N32)</f>
        <v>1</v>
      </c>
      <c r="E35">
        <f>SUMIFS(RAW_GAMES!K:K,RAW_GAMES!R:R,B35,RAW_GAMES!V:V,N35)</f>
        <v>31</v>
      </c>
      <c r="F35">
        <f>SUMIFS(RAW_GAMES!I:I,RAW_GAMES!R:R,B35,RAW_GAMES!V:V,N35)</f>
        <v>6</v>
      </c>
      <c r="G35" s="15">
        <f t="shared" si="0"/>
        <v>0.80645161290322576</v>
      </c>
      <c r="H35">
        <f ca="1">AVERAGEIFS(CALC_GOALIES_FORM!I:I,CALC_GOALIES_FORM!D:D,CALC_GOALIES!B32,CALC_GOALIES_FORM!A:A,CALC_GOALIES!A32)</f>
        <v>0.86043478260869555</v>
      </c>
      <c r="I35">
        <f t="shared" si="1"/>
        <v>-3.3650000000000029</v>
      </c>
      <c r="J35">
        <f ca="1">(L35*(1-CALC_GOALIES_FORM!$R$1))-M35</f>
        <v>-5.4056048620490085</v>
      </c>
      <c r="K35" s="16">
        <f>G35-CALC_GOALIES_FORM!$R$1</f>
        <v>-0.10079322599316631</v>
      </c>
      <c r="L35">
        <f ca="1">SUMIFS(CALC_GOALIES_FORM!F:F,CALC_GOALIES_FORM!D:D,CALC_GOALIES!B32,CALC_GOALIES_FORM!A:A,CALC_GOALIES!A32)</f>
        <v>125</v>
      </c>
      <c r="M35">
        <f ca="1">SUMIFS(CALC_GOALIES_FORM!H:H,CALC_GOALIES_FORM!D:D,CALC_GOALIES!B32,CALC_GOALIES_FORM!A:A,CALC_GOALIES!A32)</f>
        <v>17</v>
      </c>
      <c r="N35" t="s">
        <v>121</v>
      </c>
    </row>
    <row r="36" spans="1:14" x14ac:dyDescent="0.25">
      <c r="A36" t="s">
        <v>109</v>
      </c>
      <c r="B36" t="s">
        <v>146</v>
      </c>
      <c r="C36" t="str">
        <f>_xlfn.XLOOKUP(B36,RAW_GAMES!R:R,RAW_GAMES!E:E)</f>
        <v>MBL</v>
      </c>
      <c r="D36">
        <f>COUNTIFS(RAW_GAMES!R:R,B36,RAW_GAMES!V:V,CALC_GOALIES!N33)</f>
        <v>38</v>
      </c>
      <c r="E36">
        <f>SUMIFS(RAW_GAMES!K:K,RAW_GAMES!R:R,B36,RAW_GAMES!V:V,N36)</f>
        <v>1008</v>
      </c>
      <c r="F36">
        <f>SUMIFS(RAW_GAMES!I:I,RAW_GAMES!R:R,B36,RAW_GAMES!V:V,N36)</f>
        <v>98</v>
      </c>
      <c r="G36" s="15">
        <f t="shared" ref="G36" si="2">1-(F36/E36)</f>
        <v>0.90277777777777779</v>
      </c>
      <c r="H36">
        <f ca="1">AVERAGEIFS(CALC_GOALIES_FORM!I:I,CALC_GOALIES_FORM!D:D,CALC_GOALIES!B33,CALC_GOALIES_FORM!A:A,CALC_GOALIES!A33)</f>
        <v>0.8629082064875796</v>
      </c>
      <c r="I36">
        <f t="shared" ref="I36" si="3">(G36-0.915)*E36</f>
        <v>-12.320000000000023</v>
      </c>
      <c r="J36">
        <f ca="1">(L36*(1-CALC_GOALIES_FORM!$R$1))-M36</f>
        <v>-6.3446845456299474</v>
      </c>
      <c r="K36" s="16">
        <f>G36-CALC_GOALIES_FORM!$R$1</f>
        <v>-4.4670611186142795E-3</v>
      </c>
      <c r="L36">
        <f ca="1">SUMIFS(CALC_GOALIES_FORM!F:F,CALC_GOALIES_FORM!D:D,CALC_GOALIES!B33,CALC_GOALIES_FORM!A:A,CALC_GOALIES!A33)</f>
        <v>158</v>
      </c>
      <c r="M36">
        <f ca="1">SUMIFS(CALC_GOALIES_FORM!H:H,CALC_GOALIES_FORM!D:D,CALC_GOALIES!B33,CALC_GOALIES_FORM!A:A,CALC_GOALIES!A33)</f>
        <v>21</v>
      </c>
      <c r="N36" t="s">
        <v>121</v>
      </c>
    </row>
    <row r="37" spans="1:14" x14ac:dyDescent="0.25">
      <c r="A37" t="s">
        <v>109</v>
      </c>
      <c r="B37" t="s">
        <v>148</v>
      </c>
      <c r="C37" t="str">
        <f>_xlfn.XLOOKUP(B37,RAW_GAMES!R:R,RAW_GAMES!E:E)</f>
        <v>VIT</v>
      </c>
      <c r="D37">
        <f>COUNTIFS(RAW_GAMES!R:R,B37,RAW_GAMES!V:V,CALC_GOALIES!N34)</f>
        <v>47</v>
      </c>
      <c r="E37">
        <f>SUMIFS(RAW_GAMES!K:K,RAW_GAMES!R:R,B37,RAW_GAMES!V:V,N37)</f>
        <v>1530</v>
      </c>
      <c r="F37">
        <f>SUMIFS(RAW_GAMES!I:I,RAW_GAMES!R:R,B37,RAW_GAMES!V:V,N37)</f>
        <v>139</v>
      </c>
      <c r="G37" s="15">
        <f t="shared" ref="G37" si="4">1-(F37/E37)</f>
        <v>0.90915032679738561</v>
      </c>
      <c r="H37">
        <f ca="1">AVERAGEIFS(CALC_GOALIES_FORM!I:I,CALC_GOALIES_FORM!D:D,CALC_GOALIES!B34,CALC_GOALIES_FORM!A:A,CALC_GOALIES!A34)</f>
        <v>0.87788141599094938</v>
      </c>
      <c r="I37">
        <f t="shared" ref="I37" si="5">(G37-0.915)*E37</f>
        <v>-8.9500000000000703</v>
      </c>
      <c r="J37">
        <f ca="1">(L37*(1-CALC_GOALIES_FORM!$R$1))-M37</f>
        <v>-3.9418290565309686</v>
      </c>
      <c r="K37" s="16">
        <f>G37-CALC_GOALIES_FORM!$R$1</f>
        <v>1.905487900993541E-3</v>
      </c>
      <c r="L37">
        <f ca="1">SUMIFS(CALC_GOALIES_FORM!F:F,CALC_GOALIES_FORM!D:D,CALC_GOALIES!B34,CALC_GOALIES_FORM!A:A,CALC_GOALIES!A34)</f>
        <v>130</v>
      </c>
      <c r="M37">
        <f ca="1">SUMIFS(CALC_GOALIES_FORM!H:H,CALC_GOALIES_FORM!D:D,CALC_GOALIES!B34,CALC_GOALIES_FORM!A:A,CALC_GOALIES!A34)</f>
        <v>16</v>
      </c>
      <c r="N37" t="s">
        <v>121</v>
      </c>
    </row>
  </sheetData>
  <autoFilter ref="A1:N35" xr:uid="{7B0708D5-FE39-4A96-B984-60F0B34F6A36}">
    <sortState xmlns:xlrd2="http://schemas.microsoft.com/office/spreadsheetml/2017/richdata2" ref="A2:N35">
      <sortCondition descending="1" ref="K1:K35"/>
    </sortState>
  </autoFilter>
  <phoneticPr fontId="4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8217-A7AA-4532-A0B0-0EAFE70F8708}">
  <sheetPr>
    <tabColor rgb="FF92D050"/>
  </sheetPr>
  <dimension ref="A1:R558"/>
  <sheetViews>
    <sheetView workbookViewId="0">
      <selection activeCell="A178" sqref="A178"/>
    </sheetView>
  </sheetViews>
  <sheetFormatPr defaultRowHeight="15" x14ac:dyDescent="0.25"/>
  <cols>
    <col min="1" max="1" width="13.85546875" bestFit="1" customWidth="1"/>
    <col min="2" max="2" width="10.140625" style="3" bestFit="1" customWidth="1"/>
    <col min="6" max="6" width="13.42578125" bestFit="1" customWidth="1"/>
    <col min="7" max="7" width="6" bestFit="1" customWidth="1"/>
    <col min="8" max="8" width="13.7109375" bestFit="1" customWidth="1"/>
    <col min="17" max="17" width="10.85546875" bestFit="1" customWidth="1"/>
  </cols>
  <sheetData>
    <row r="1" spans="1:18" x14ac:dyDescent="0.25">
      <c r="A1" t="s">
        <v>0</v>
      </c>
      <c r="B1" s="3" t="s">
        <v>1</v>
      </c>
      <c r="C1" t="s">
        <v>3</v>
      </c>
      <c r="D1" t="s">
        <v>19</v>
      </c>
      <c r="E1" t="s">
        <v>20</v>
      </c>
      <c r="F1" t="s">
        <v>8</v>
      </c>
      <c r="G1" t="s">
        <v>21</v>
      </c>
      <c r="H1" t="s">
        <v>9</v>
      </c>
      <c r="I1" t="s">
        <v>153</v>
      </c>
      <c r="J1" t="s">
        <v>154</v>
      </c>
      <c r="Q1" t="s">
        <v>155</v>
      </c>
      <c r="R1">
        <f>1-(SUM(CALC_GOALIES!F:F)/SUM(CALC_GOALIES!E:E))</f>
        <v>0.90724483889639207</v>
      </c>
    </row>
    <row r="2" spans="1:18" x14ac:dyDescent="0.25">
      <c r="A2" t="str" cm="1">
        <f t="array" aca="1" ref="A2:H6" ca="1">_xlfn.TAKE(_xlfn._xlws.SORT((_xlfn._xlws.FILTER(RAW_GOALIES_GAMES!A:H,(RAW_GOALIES_GAMES!D:D=CALC_GOALIES!B2),(RAW_GOALIES_GAMES!B:B&lt;TODAY()))),1,-1),-5)</f>
        <v>25/26</v>
      </c>
      <c r="B2" s="3">
        <f ca="1"/>
        <v>46078</v>
      </c>
      <c r="C2" t="str">
        <f ca="1"/>
        <v>PLZ</v>
      </c>
      <c r="D2" t="str">
        <f ca="1"/>
        <v>Malík</v>
      </c>
      <c r="E2">
        <f ca="1"/>
        <v>0</v>
      </c>
      <c r="F2">
        <f ca="1"/>
        <v>23</v>
      </c>
      <c r="G2">
        <f ca="1"/>
        <v>23</v>
      </c>
      <c r="H2">
        <f ca="1"/>
        <v>0</v>
      </c>
      <c r="I2">
        <f ca="1">IF(H2&lt;&gt;"",(F2-H2)/F2,"")</f>
        <v>1</v>
      </c>
      <c r="J2">
        <f ca="1">(F2*(1-$R$1)-H2)</f>
        <v>2.1333687053829822</v>
      </c>
    </row>
    <row r="3" spans="1:18" x14ac:dyDescent="0.25">
      <c r="A3" t="str">
        <f ca="1"/>
        <v>25/26</v>
      </c>
      <c r="B3" s="3">
        <f ca="1"/>
        <v>46080</v>
      </c>
      <c r="C3" t="str">
        <f ca="1"/>
        <v>PLZ</v>
      </c>
      <c r="D3" t="str">
        <f ca="1"/>
        <v>Malík</v>
      </c>
      <c r="E3">
        <f ca="1"/>
        <v>0</v>
      </c>
      <c r="F3">
        <f ca="1"/>
        <v>24</v>
      </c>
      <c r="G3">
        <f ca="1"/>
        <v>21</v>
      </c>
      <c r="H3">
        <f ca="1"/>
        <v>3</v>
      </c>
      <c r="I3">
        <f t="shared" ref="I3:I66" ca="1" si="0">IF(H3&lt;&gt;"",(F3-H3)/F3,"")</f>
        <v>0.875</v>
      </c>
      <c r="J3">
        <f ca="1">(F3*(1-$R$1)-H3)</f>
        <v>-0.77387613351340967</v>
      </c>
    </row>
    <row r="4" spans="1:18" x14ac:dyDescent="0.25">
      <c r="A4" t="str">
        <f ca="1"/>
        <v>25/26</v>
      </c>
      <c r="B4" s="3">
        <f ca="1"/>
        <v>46082</v>
      </c>
      <c r="C4" t="str">
        <f ca="1"/>
        <v>PLZ</v>
      </c>
      <c r="D4" t="str">
        <f ca="1"/>
        <v>Malík</v>
      </c>
      <c r="E4">
        <f ca="1"/>
        <v>0</v>
      </c>
      <c r="F4">
        <f ca="1"/>
        <v>17</v>
      </c>
      <c r="G4">
        <f ca="1"/>
        <v>15</v>
      </c>
      <c r="H4">
        <f ca="1"/>
        <v>2</v>
      </c>
      <c r="I4">
        <f t="shared" ca="1" si="0"/>
        <v>0.88235294117647056</v>
      </c>
      <c r="J4">
        <f t="shared" ref="J4:J67" ca="1" si="1">(F4*(1-$R$1)-H4)</f>
        <v>-0.42316226123866518</v>
      </c>
    </row>
    <row r="5" spans="1:18" x14ac:dyDescent="0.25">
      <c r="A5" t="str">
        <f ca="1"/>
        <v>25/26</v>
      </c>
      <c r="B5" s="3">
        <f ca="1"/>
        <v>46085</v>
      </c>
      <c r="C5" t="str">
        <f ca="1"/>
        <v>PLZ</v>
      </c>
      <c r="D5" t="str">
        <f ca="1"/>
        <v>Malík</v>
      </c>
      <c r="E5">
        <f ca="1"/>
        <v>0</v>
      </c>
      <c r="F5">
        <f ca="1"/>
        <v>26</v>
      </c>
      <c r="G5">
        <f ca="1"/>
        <v>26</v>
      </c>
      <c r="H5">
        <f ca="1"/>
        <v>0</v>
      </c>
      <c r="I5">
        <f t="shared" ca="1" si="0"/>
        <v>1</v>
      </c>
      <c r="J5">
        <f t="shared" ca="1" si="1"/>
        <v>2.4116341886938062</v>
      </c>
    </row>
    <row r="6" spans="1:18" s="9" customFormat="1" x14ac:dyDescent="0.25">
      <c r="A6" s="9" t="str">
        <f ca="1"/>
        <v>25/26</v>
      </c>
      <c r="B6" s="10">
        <f ca="1"/>
        <v>46087</v>
      </c>
      <c r="C6" s="9" t="str">
        <f ca="1"/>
        <v>PLZ</v>
      </c>
      <c r="D6" s="9" t="str">
        <f ca="1"/>
        <v>Malík</v>
      </c>
      <c r="E6" s="9">
        <f ca="1"/>
        <v>0</v>
      </c>
      <c r="F6" s="9">
        <f ca="1"/>
        <v>11</v>
      </c>
      <c r="G6" s="9">
        <f ca="1"/>
        <v>9</v>
      </c>
      <c r="H6" s="9">
        <f ca="1"/>
        <v>2</v>
      </c>
      <c r="I6">
        <f t="shared" ca="1" si="0"/>
        <v>0.81818181818181823</v>
      </c>
      <c r="J6">
        <f t="shared" ca="1" si="1"/>
        <v>-0.97969322786031277</v>
      </c>
    </row>
    <row r="7" spans="1:18" s="11" customFormat="1" x14ac:dyDescent="0.25">
      <c r="A7" s="11" t="str" cm="1">
        <f t="array" aca="1" ref="A7:H11" ca="1">_xlfn.TAKE(_xlfn._xlws.SORT((_xlfn._xlws.FILTER(RAW_GOALIES_GAMES!A:H,(RAW_GOALIES_GAMES!D:D=CALC_GOALIES!B3),(RAW_GOALIES_GAMES!B:B&lt;TODAY()))),1,-1),-5)</f>
        <v>25/26</v>
      </c>
      <c r="B7" s="12">
        <f ca="1"/>
        <v>46078</v>
      </c>
      <c r="C7" s="11" t="str">
        <f ca="1"/>
        <v>MHK</v>
      </c>
      <c r="D7" s="11" t="str">
        <f ca="1"/>
        <v>Škorvánek</v>
      </c>
      <c r="E7" s="11">
        <f ca="1"/>
        <v>0</v>
      </c>
      <c r="F7" s="11">
        <f ca="1"/>
        <v>25</v>
      </c>
      <c r="G7" s="11">
        <f ca="1"/>
        <v>25</v>
      </c>
      <c r="H7" s="11">
        <f ca="1"/>
        <v>0</v>
      </c>
      <c r="I7">
        <f t="shared" ca="1" si="0"/>
        <v>1</v>
      </c>
      <c r="J7">
        <f ca="1">(F7*(1-$R$1)-H7)</f>
        <v>2.3188790275901985</v>
      </c>
    </row>
    <row r="8" spans="1:18" x14ac:dyDescent="0.25">
      <c r="A8" t="str">
        <f ca="1"/>
        <v>25/26</v>
      </c>
      <c r="B8" s="3">
        <f ca="1"/>
        <v>46080</v>
      </c>
      <c r="C8" t="str">
        <f ca="1"/>
        <v>MHK</v>
      </c>
      <c r="D8" t="str">
        <f ca="1"/>
        <v>Škorvánek</v>
      </c>
      <c r="E8">
        <f ca="1"/>
        <v>0</v>
      </c>
      <c r="F8">
        <f ca="1"/>
        <v>33</v>
      </c>
      <c r="G8">
        <f ca="1"/>
        <v>31</v>
      </c>
      <c r="H8">
        <f ca="1"/>
        <v>2</v>
      </c>
      <c r="I8">
        <f t="shared" ca="1" si="0"/>
        <v>0.93939393939393945</v>
      </c>
      <c r="J8">
        <f t="shared" ca="1" si="1"/>
        <v>1.0609203164190619</v>
      </c>
    </row>
    <row r="9" spans="1:18" x14ac:dyDescent="0.25">
      <c r="A9" t="str">
        <f ca="1"/>
        <v>25/26</v>
      </c>
      <c r="B9" s="3">
        <f ca="1"/>
        <v>46082</v>
      </c>
      <c r="C9" t="str">
        <f ca="1"/>
        <v>MHK</v>
      </c>
      <c r="D9" t="str">
        <f ca="1"/>
        <v>Škorvánek</v>
      </c>
      <c r="E9">
        <f ca="1"/>
        <v>0</v>
      </c>
      <c r="F9">
        <f ca="1"/>
        <v>32</v>
      </c>
      <c r="G9">
        <f ca="1"/>
        <v>29</v>
      </c>
      <c r="H9">
        <f ca="1"/>
        <v>3</v>
      </c>
      <c r="I9">
        <f t="shared" ca="1" si="0"/>
        <v>0.90625</v>
      </c>
      <c r="J9">
        <f t="shared" ca="1" si="1"/>
        <v>-3.1834844684546226E-2</v>
      </c>
    </row>
    <row r="10" spans="1:18" x14ac:dyDescent="0.25">
      <c r="A10" t="str">
        <f ca="1"/>
        <v>25/26</v>
      </c>
      <c r="B10" s="3">
        <f ca="1"/>
        <v>46085</v>
      </c>
      <c r="C10" t="str">
        <f ca="1"/>
        <v>MHK</v>
      </c>
      <c r="D10" t="str">
        <f ca="1"/>
        <v>Škorvánek</v>
      </c>
      <c r="E10">
        <f ca="1"/>
        <v>0</v>
      </c>
      <c r="F10">
        <f ca="1"/>
        <v>29</v>
      </c>
      <c r="G10">
        <f ca="1"/>
        <v>25</v>
      </c>
      <c r="H10">
        <f ca="1"/>
        <v>4</v>
      </c>
      <c r="I10">
        <f t="shared" ca="1" si="0"/>
        <v>0.86206896551724133</v>
      </c>
      <c r="J10">
        <f t="shared" ca="1" si="1"/>
        <v>-1.3101003279953698</v>
      </c>
    </row>
    <row r="11" spans="1:18" s="9" customFormat="1" x14ac:dyDescent="0.25">
      <c r="A11" s="9" t="str">
        <f ca="1"/>
        <v>25/26</v>
      </c>
      <c r="B11" s="10">
        <f ca="1"/>
        <v>46087</v>
      </c>
      <c r="C11" s="9" t="str">
        <f ca="1"/>
        <v>MHK</v>
      </c>
      <c r="D11" s="9" t="str">
        <f ca="1"/>
        <v>Škorvánek</v>
      </c>
      <c r="E11" s="9">
        <f ca="1"/>
        <v>0</v>
      </c>
      <c r="F11" s="9">
        <f ca="1"/>
        <v>32</v>
      </c>
      <c r="G11" s="9">
        <f ca="1"/>
        <v>31</v>
      </c>
      <c r="H11" s="9">
        <f ca="1"/>
        <v>1</v>
      </c>
      <c r="I11">
        <f t="shared" ca="1" si="0"/>
        <v>0.96875</v>
      </c>
      <c r="J11">
        <f t="shared" ca="1" si="1"/>
        <v>1.9681651553154538</v>
      </c>
    </row>
    <row r="12" spans="1:18" s="11" customFormat="1" x14ac:dyDescent="0.25">
      <c r="A12" s="11" t="str" cm="1">
        <f t="array" aca="1" ref="A12:H16" ca="1">_xlfn.TAKE(_xlfn._xlws.SORT((_xlfn._xlws.FILTER(RAW_GOALIES_GAMES!A:H,(RAW_GOALIES_GAMES!D:D=CALC_GOALIES!B4),(RAW_GOALIES_GAMES!B:B&lt;TODAY()))),1,-1),-5)</f>
        <v>25/26</v>
      </c>
      <c r="B12" s="12">
        <f ca="1"/>
        <v>46078</v>
      </c>
      <c r="C12" s="11" t="str">
        <f ca="1"/>
        <v>TRI</v>
      </c>
      <c r="D12" s="11" t="str">
        <f ca="1"/>
        <v>Mazanec</v>
      </c>
      <c r="E12" s="11">
        <f ca="1"/>
        <v>0</v>
      </c>
      <c r="F12" s="11">
        <f ca="1"/>
        <v>21</v>
      </c>
      <c r="G12" s="11">
        <f ca="1"/>
        <v>20</v>
      </c>
      <c r="H12" s="11">
        <f ca="1"/>
        <v>1</v>
      </c>
      <c r="I12">
        <f t="shared" ca="1" si="0"/>
        <v>0.95238095238095233</v>
      </c>
      <c r="J12">
        <f t="shared" ca="1" si="1"/>
        <v>0.94785838317576654</v>
      </c>
    </row>
    <row r="13" spans="1:18" x14ac:dyDescent="0.25">
      <c r="A13" t="str">
        <f ca="1"/>
        <v>25/26</v>
      </c>
      <c r="B13" s="3">
        <f ca="1"/>
        <v>46080</v>
      </c>
      <c r="C13" t="str">
        <f ca="1"/>
        <v>TRI</v>
      </c>
      <c r="D13" t="str">
        <f ca="1"/>
        <v>Mazanec</v>
      </c>
      <c r="E13">
        <f ca="1"/>
        <v>0</v>
      </c>
      <c r="F13">
        <f ca="1"/>
        <v>29</v>
      </c>
      <c r="G13">
        <f ca="1"/>
        <v>24</v>
      </c>
      <c r="H13">
        <f ca="1"/>
        <v>5</v>
      </c>
      <c r="I13">
        <f t="shared" ca="1" si="0"/>
        <v>0.82758620689655171</v>
      </c>
      <c r="J13">
        <f t="shared" ca="1" si="1"/>
        <v>-2.3101003279953698</v>
      </c>
    </row>
    <row r="14" spans="1:18" x14ac:dyDescent="0.25">
      <c r="A14" t="str">
        <f ca="1"/>
        <v>25/26</v>
      </c>
      <c r="B14" s="3">
        <f ca="1"/>
        <v>46082</v>
      </c>
      <c r="C14" t="str">
        <f ca="1"/>
        <v>TRI</v>
      </c>
      <c r="D14" t="str">
        <f ca="1"/>
        <v>Mazanec</v>
      </c>
      <c r="E14">
        <f ca="1"/>
        <v>0</v>
      </c>
      <c r="F14">
        <f ca="1"/>
        <v>24</v>
      </c>
      <c r="G14">
        <f ca="1"/>
        <v>22</v>
      </c>
      <c r="H14">
        <f ca="1"/>
        <v>2</v>
      </c>
      <c r="I14">
        <f t="shared" ca="1" si="0"/>
        <v>0.91666666666666663</v>
      </c>
      <c r="J14">
        <f t="shared" ca="1" si="1"/>
        <v>0.22612386648659033</v>
      </c>
    </row>
    <row r="15" spans="1:18" x14ac:dyDescent="0.25">
      <c r="A15" t="str">
        <f ca="1"/>
        <v>25/26</v>
      </c>
      <c r="B15" s="3">
        <f ca="1"/>
        <v>46085</v>
      </c>
      <c r="C15" t="str">
        <f ca="1"/>
        <v>TRI</v>
      </c>
      <c r="D15" t="str">
        <f ca="1"/>
        <v>Mazanec</v>
      </c>
      <c r="E15">
        <f ca="1"/>
        <v>0</v>
      </c>
      <c r="F15">
        <f ca="1"/>
        <v>27</v>
      </c>
      <c r="G15">
        <f ca="1"/>
        <v>26</v>
      </c>
      <c r="H15">
        <f ca="1"/>
        <v>1</v>
      </c>
      <c r="I15">
        <f t="shared" ca="1" si="0"/>
        <v>0.96296296296296291</v>
      </c>
      <c r="J15">
        <f t="shared" ca="1" si="1"/>
        <v>1.5043893497974139</v>
      </c>
    </row>
    <row r="16" spans="1:18" s="9" customFormat="1" x14ac:dyDescent="0.25">
      <c r="A16" s="9" t="str">
        <f ca="1"/>
        <v>25/26</v>
      </c>
      <c r="B16" s="10">
        <f ca="1"/>
        <v>46087</v>
      </c>
      <c r="C16" s="9" t="str">
        <f ca="1"/>
        <v>TRI</v>
      </c>
      <c r="D16" s="9" t="str">
        <f ca="1"/>
        <v>Mazanec</v>
      </c>
      <c r="E16" s="9">
        <f ca="1"/>
        <v>0</v>
      </c>
      <c r="F16" s="9">
        <f ca="1"/>
        <v>22</v>
      </c>
      <c r="G16" s="9">
        <f ca="1"/>
        <v>21</v>
      </c>
      <c r="H16" s="9">
        <f ca="1"/>
        <v>2</v>
      </c>
      <c r="I16">
        <f t="shared" ca="1" si="0"/>
        <v>0.90909090909090906</v>
      </c>
      <c r="J16">
        <f t="shared" ca="1" si="1"/>
        <v>4.0613544279374469E-2</v>
      </c>
    </row>
    <row r="17" spans="1:10" x14ac:dyDescent="0.25">
      <c r="A17" t="str" cm="1">
        <f t="array" aca="1" ref="A17:H21" ca="1">_xlfn.TAKE(_xlfn._xlws.SORT((_xlfn._xlws.FILTER(RAW_GOALIES_GAMES!A:H,(RAW_GOALIES_GAMES!D:D=CALC_GOALIES!B5),(RAW_GOALIES_GAMES!B:B&lt;TODAY()))),1,-1),-5)</f>
        <v>25/26</v>
      </c>
      <c r="B17" s="3">
        <f ca="1"/>
        <v>46052</v>
      </c>
      <c r="C17" t="str">
        <f ca="1"/>
        <v>LIB</v>
      </c>
      <c r="D17" t="str">
        <f ca="1"/>
        <v>Kváča</v>
      </c>
      <c r="E17">
        <f ca="1"/>
        <v>0</v>
      </c>
      <c r="F17">
        <f ca="1"/>
        <v>32</v>
      </c>
      <c r="G17">
        <f ca="1"/>
        <v>30</v>
      </c>
      <c r="H17">
        <f ca="1"/>
        <v>3</v>
      </c>
      <c r="I17">
        <f t="shared" ca="1" si="0"/>
        <v>0.90625</v>
      </c>
      <c r="J17">
        <f t="shared" ca="1" si="1"/>
        <v>-3.1834844684546226E-2</v>
      </c>
    </row>
    <row r="18" spans="1:10" x14ac:dyDescent="0.25">
      <c r="A18" t="str">
        <f ca="1"/>
        <v>25/26</v>
      </c>
      <c r="B18" s="3">
        <f ca="1"/>
        <v>46078</v>
      </c>
      <c r="C18" t="str">
        <f ca="1"/>
        <v>LIB</v>
      </c>
      <c r="D18" t="str">
        <f ca="1"/>
        <v>Kváča</v>
      </c>
      <c r="E18">
        <f ca="1"/>
        <v>0</v>
      </c>
      <c r="F18">
        <f ca="1"/>
        <v>18</v>
      </c>
      <c r="G18">
        <f ca="1"/>
        <v>15</v>
      </c>
      <c r="H18">
        <f ca="1"/>
        <v>2</v>
      </c>
      <c r="I18">
        <f t="shared" ca="1" si="0"/>
        <v>0.88888888888888884</v>
      </c>
      <c r="J18">
        <f t="shared" ca="1" si="1"/>
        <v>-0.33040710013505725</v>
      </c>
    </row>
    <row r="19" spans="1:10" x14ac:dyDescent="0.25">
      <c r="A19" t="str">
        <f ca="1"/>
        <v>25/26</v>
      </c>
      <c r="B19" s="3">
        <f ca="1"/>
        <v>46080</v>
      </c>
      <c r="C19" t="str">
        <f ca="1"/>
        <v>LIB</v>
      </c>
      <c r="D19" t="str">
        <f ca="1"/>
        <v>Kváča</v>
      </c>
      <c r="E19">
        <f ca="1"/>
        <v>0</v>
      </c>
      <c r="F19">
        <f ca="1"/>
        <v>35</v>
      </c>
      <c r="G19">
        <f ca="1"/>
        <v>31</v>
      </c>
      <c r="H19">
        <f ca="1"/>
        <v>4</v>
      </c>
      <c r="I19">
        <f t="shared" ca="1" si="0"/>
        <v>0.88571428571428568</v>
      </c>
      <c r="J19">
        <f t="shared" ca="1" si="1"/>
        <v>-0.75356936137372266</v>
      </c>
    </row>
    <row r="20" spans="1:10" x14ac:dyDescent="0.25">
      <c r="A20" t="str">
        <f ca="1"/>
        <v>25/26</v>
      </c>
      <c r="B20" s="3">
        <f ca="1"/>
        <v>46082</v>
      </c>
      <c r="C20" t="str">
        <f ca="1"/>
        <v>LIB</v>
      </c>
      <c r="D20" t="str">
        <f ca="1"/>
        <v>Kváča</v>
      </c>
      <c r="E20">
        <f ca="1"/>
        <v>0</v>
      </c>
      <c r="F20">
        <f ca="1"/>
        <v>17</v>
      </c>
      <c r="G20">
        <f ca="1"/>
        <v>14</v>
      </c>
      <c r="H20">
        <f ca="1"/>
        <v>3</v>
      </c>
      <c r="I20">
        <f t="shared" ca="1" si="0"/>
        <v>0.82352941176470584</v>
      </c>
      <c r="J20">
        <f t="shared" ca="1" si="1"/>
        <v>-1.4231622612386652</v>
      </c>
    </row>
    <row r="21" spans="1:10" s="9" customFormat="1" x14ac:dyDescent="0.25">
      <c r="A21" s="9" t="str">
        <f ca="1"/>
        <v>25/26</v>
      </c>
      <c r="B21" s="10">
        <f ca="1"/>
        <v>46085</v>
      </c>
      <c r="C21" s="9" t="str">
        <f ca="1"/>
        <v>LIB</v>
      </c>
      <c r="D21" s="9" t="str">
        <f ca="1"/>
        <v>Kváča</v>
      </c>
      <c r="E21" s="9">
        <f ca="1"/>
        <v>0</v>
      </c>
      <c r="F21" s="9">
        <f ca="1"/>
        <v>21</v>
      </c>
      <c r="G21" s="9">
        <f ca="1"/>
        <v>21</v>
      </c>
      <c r="H21" s="9">
        <f ca="1"/>
        <v>0</v>
      </c>
      <c r="I21">
        <f t="shared" ca="1" si="0"/>
        <v>1</v>
      </c>
      <c r="J21">
        <f t="shared" ca="1" si="1"/>
        <v>1.9478583831757665</v>
      </c>
    </row>
    <row r="22" spans="1:10" s="11" customFormat="1" x14ac:dyDescent="0.25">
      <c r="A22" s="11" t="str" cm="1">
        <f t="array" aca="1" ref="A22:H26" ca="1">_xlfn.TAKE(_xlfn._xlws.SORT((_xlfn._xlws.FILTER(RAW_GOALIES_GAMES!A:H,(RAW_GOALIES_GAMES!D:D=CALC_GOALIES!B6),(RAW_GOALIES_GAMES!B:B&lt;TODAY()))),1,-1),-5)</f>
        <v>25/26</v>
      </c>
      <c r="B22" s="12">
        <f ca="1"/>
        <v>46033</v>
      </c>
      <c r="C22" s="11" t="str">
        <f ca="1"/>
        <v>MBL</v>
      </c>
      <c r="D22" s="11" t="str">
        <f ca="1"/>
        <v>Mokry</v>
      </c>
      <c r="E22" s="11">
        <f ca="1"/>
        <v>0</v>
      </c>
      <c r="F22" s="11">
        <f ca="1"/>
        <v>32</v>
      </c>
      <c r="G22" s="11">
        <f ca="1"/>
        <v>29</v>
      </c>
      <c r="H22" s="11">
        <f ca="1"/>
        <v>3</v>
      </c>
      <c r="I22">
        <f t="shared" ca="1" si="0"/>
        <v>0.90625</v>
      </c>
      <c r="J22">
        <f t="shared" ca="1" si="1"/>
        <v>-3.1834844684546226E-2</v>
      </c>
    </row>
    <row r="23" spans="1:10" x14ac:dyDescent="0.25">
      <c r="A23" t="str">
        <f ca="1"/>
        <v>25/26</v>
      </c>
      <c r="B23" s="3">
        <f ca="1"/>
        <v>46035</v>
      </c>
      <c r="C23" t="str">
        <f ca="1"/>
        <v>MBL</v>
      </c>
      <c r="D23" t="str">
        <f ca="1"/>
        <v>Mokry</v>
      </c>
      <c r="E23">
        <f ca="1"/>
        <v>0</v>
      </c>
      <c r="F23">
        <f ca="1"/>
        <v>26</v>
      </c>
      <c r="G23">
        <f ca="1"/>
        <v>26</v>
      </c>
      <c r="H23">
        <f ca="1"/>
        <v>0</v>
      </c>
      <c r="I23">
        <f t="shared" ca="1" si="0"/>
        <v>1</v>
      </c>
      <c r="J23">
        <f t="shared" ca="1" si="1"/>
        <v>2.4116341886938062</v>
      </c>
    </row>
    <row r="24" spans="1:10" x14ac:dyDescent="0.25">
      <c r="A24" t="str">
        <f ca="1"/>
        <v>25/26</v>
      </c>
      <c r="B24" s="3">
        <f ca="1"/>
        <v>46047</v>
      </c>
      <c r="C24" t="str">
        <f ca="1"/>
        <v>MBL</v>
      </c>
      <c r="D24" t="str">
        <f ca="1"/>
        <v>Mokry</v>
      </c>
      <c r="E24">
        <f ca="1"/>
        <v>0</v>
      </c>
      <c r="F24">
        <f ca="1"/>
        <v>43</v>
      </c>
      <c r="G24">
        <f ca="1"/>
        <v>39</v>
      </c>
      <c r="H24">
        <f ca="1"/>
        <v>4</v>
      </c>
      <c r="I24">
        <f t="shared" ca="1" si="0"/>
        <v>0.90697674418604646</v>
      </c>
      <c r="J24">
        <f t="shared" ca="1" si="1"/>
        <v>-1.1528072544859214E-2</v>
      </c>
    </row>
    <row r="25" spans="1:10" x14ac:dyDescent="0.25">
      <c r="A25" t="str">
        <f ca="1"/>
        <v>25/26</v>
      </c>
      <c r="B25" s="3">
        <f ca="1"/>
        <v>46051</v>
      </c>
      <c r="C25" t="str">
        <f ca="1"/>
        <v>MBL</v>
      </c>
      <c r="D25" t="str">
        <f ca="1"/>
        <v>Mokry</v>
      </c>
      <c r="E25">
        <f ca="1"/>
        <v>0</v>
      </c>
      <c r="F25">
        <f ca="1"/>
        <v>34</v>
      </c>
      <c r="G25">
        <f ca="1"/>
        <v>30</v>
      </c>
      <c r="H25">
        <f ca="1"/>
        <v>4</v>
      </c>
      <c r="I25">
        <f t="shared" ca="1" si="0"/>
        <v>0.88235294117647056</v>
      </c>
      <c r="J25">
        <f t="shared" ca="1" si="1"/>
        <v>-0.84632452247733037</v>
      </c>
    </row>
    <row r="26" spans="1:10" s="9" customFormat="1" x14ac:dyDescent="0.25">
      <c r="A26" s="9" t="str">
        <f ca="1"/>
        <v>25/26</v>
      </c>
      <c r="B26" s="10">
        <f ca="1"/>
        <v>46087</v>
      </c>
      <c r="C26" s="9" t="str">
        <f ca="1"/>
        <v>MBL</v>
      </c>
      <c r="D26" s="9" t="str">
        <f ca="1"/>
        <v>Mokry</v>
      </c>
      <c r="E26" s="9">
        <f ca="1"/>
        <v>0</v>
      </c>
      <c r="F26" s="9">
        <f ca="1"/>
        <v>22</v>
      </c>
      <c r="G26" s="9">
        <f ca="1"/>
        <v>19</v>
      </c>
      <c r="H26" s="9">
        <f ca="1"/>
        <v>3</v>
      </c>
      <c r="I26">
        <f t="shared" ca="1" si="0"/>
        <v>0.86363636363636365</v>
      </c>
      <c r="J26">
        <f t="shared" ca="1" si="1"/>
        <v>-0.95938645572062553</v>
      </c>
    </row>
    <row r="27" spans="1:10" s="11" customFormat="1" x14ac:dyDescent="0.25">
      <c r="A27" s="11" t="str" cm="1">
        <f t="array" aca="1" ref="A27:H31" ca="1">_xlfn.TAKE(_xlfn._xlws.SORT((_xlfn._xlws.FILTER(RAW_GOALIES_GAMES!A:H,(RAW_GOALIES_GAMES!D:D=CALC_GOALIES!B7),(RAW_GOALIES_GAMES!B:B&lt;TODAY()))),1,-1),-5)</f>
        <v>25/26</v>
      </c>
      <c r="B27" s="12">
        <f ca="1"/>
        <v>46043</v>
      </c>
      <c r="C27" s="11" t="str">
        <f ca="1"/>
        <v>PCE</v>
      </c>
      <c r="D27" s="11" t="str">
        <f ca="1"/>
        <v>Will</v>
      </c>
      <c r="E27" s="11">
        <f ca="1"/>
        <v>0</v>
      </c>
      <c r="F27" s="11">
        <f ca="1"/>
        <v>19</v>
      </c>
      <c r="G27" s="11">
        <f ca="1"/>
        <v>18</v>
      </c>
      <c r="H27" s="11">
        <f ca="1"/>
        <v>1</v>
      </c>
      <c r="I27">
        <f t="shared" ca="1" si="0"/>
        <v>0.94736842105263153</v>
      </c>
      <c r="J27">
        <f t="shared" ca="1" si="1"/>
        <v>0.76234806096855068</v>
      </c>
    </row>
    <row r="28" spans="1:10" x14ac:dyDescent="0.25">
      <c r="A28" t="str">
        <f ca="1"/>
        <v>25/26</v>
      </c>
      <c r="B28" s="3">
        <f ca="1"/>
        <v>46047</v>
      </c>
      <c r="C28" t="str">
        <f ca="1"/>
        <v>PCE</v>
      </c>
      <c r="D28" t="str">
        <f ca="1"/>
        <v>Will</v>
      </c>
      <c r="E28">
        <f ca="1"/>
        <v>0</v>
      </c>
      <c r="F28">
        <f ca="1"/>
        <v>23</v>
      </c>
      <c r="G28">
        <f ca="1"/>
        <v>19</v>
      </c>
      <c r="H28">
        <f ca="1"/>
        <v>4</v>
      </c>
      <c r="I28">
        <f t="shared" ca="1" si="0"/>
        <v>0.82608695652173914</v>
      </c>
      <c r="J28">
        <f t="shared" ca="1" si="1"/>
        <v>-1.8666312946170178</v>
      </c>
    </row>
    <row r="29" spans="1:10" x14ac:dyDescent="0.25">
      <c r="A29" t="str">
        <f ca="1"/>
        <v>25/26</v>
      </c>
      <c r="B29" s="3">
        <f ca="1"/>
        <v>46049</v>
      </c>
      <c r="C29" t="str">
        <f ca="1"/>
        <v>PCE</v>
      </c>
      <c r="D29" t="str">
        <f ca="1"/>
        <v>Will</v>
      </c>
      <c r="E29">
        <f ca="1"/>
        <v>0</v>
      </c>
      <c r="F29">
        <f ca="1"/>
        <v>22</v>
      </c>
      <c r="G29">
        <f ca="1"/>
        <v>21</v>
      </c>
      <c r="H29">
        <f ca="1"/>
        <v>1</v>
      </c>
      <c r="I29">
        <f t="shared" ca="1" si="0"/>
        <v>0.95454545454545459</v>
      </c>
      <c r="J29">
        <f t="shared" ca="1" si="1"/>
        <v>1.0406135442793745</v>
      </c>
    </row>
    <row r="30" spans="1:10" x14ac:dyDescent="0.25">
      <c r="A30" t="str">
        <f ca="1"/>
        <v>25/26</v>
      </c>
      <c r="B30" s="3">
        <f ca="1"/>
        <v>46080</v>
      </c>
      <c r="C30" t="str">
        <f ca="1"/>
        <v>PCE</v>
      </c>
      <c r="D30" t="str">
        <f ca="1"/>
        <v>Will</v>
      </c>
      <c r="E30">
        <f ca="1"/>
        <v>0</v>
      </c>
      <c r="F30">
        <f ca="1"/>
        <v>26</v>
      </c>
      <c r="G30">
        <f ca="1"/>
        <v>25</v>
      </c>
      <c r="H30">
        <f ca="1"/>
        <v>1</v>
      </c>
      <c r="I30">
        <f t="shared" ca="1" si="0"/>
        <v>0.96153846153846156</v>
      </c>
      <c r="J30">
        <f t="shared" ca="1" si="1"/>
        <v>1.4116341886938062</v>
      </c>
    </row>
    <row r="31" spans="1:10" s="9" customFormat="1" x14ac:dyDescent="0.25">
      <c r="A31" s="9" t="str">
        <f ca="1"/>
        <v>25/26</v>
      </c>
      <c r="B31" s="10">
        <f ca="1"/>
        <v>46085</v>
      </c>
      <c r="C31" s="9" t="str">
        <f ca="1"/>
        <v>PCE</v>
      </c>
      <c r="D31" s="9" t="str">
        <f ca="1"/>
        <v>Will</v>
      </c>
      <c r="E31" s="9">
        <f ca="1"/>
        <v>0</v>
      </c>
      <c r="F31" s="9">
        <f ca="1"/>
        <v>17</v>
      </c>
      <c r="G31" s="9">
        <f ca="1"/>
        <v>13</v>
      </c>
      <c r="H31" s="9">
        <f ca="1"/>
        <v>4</v>
      </c>
      <c r="I31">
        <f t="shared" ca="1" si="0"/>
        <v>0.76470588235294112</v>
      </c>
      <c r="J31">
        <f t="shared" ca="1" si="1"/>
        <v>-2.423162261238665</v>
      </c>
    </row>
    <row r="32" spans="1:10" x14ac:dyDescent="0.25">
      <c r="A32" t="str" cm="1">
        <f t="array" aca="1" ref="A32:H36" ca="1">_xlfn.TAKE(_xlfn._xlws.SORT((_xlfn._xlws.FILTER(RAW_GOALIES_GAMES!A:H,(RAW_GOALIES_GAMES!D:D=CALC_GOALIES!B8),(RAW_GOALIES_GAMES!B:B&lt;TODAY()))),1,-1),-5)</f>
        <v>25/26</v>
      </c>
      <c r="B32" s="3">
        <f ca="1"/>
        <v>46051</v>
      </c>
      <c r="C32" t="str">
        <f ca="1"/>
        <v>KLA</v>
      </c>
      <c r="D32" t="str">
        <f ca="1"/>
        <v>Brízgala</v>
      </c>
      <c r="E32">
        <f ca="1"/>
        <v>0</v>
      </c>
      <c r="F32">
        <f ca="1"/>
        <v>23</v>
      </c>
      <c r="G32">
        <f ca="1"/>
        <v>22</v>
      </c>
      <c r="H32">
        <f ca="1"/>
        <v>1</v>
      </c>
      <c r="I32">
        <f t="shared" ca="1" si="0"/>
        <v>0.95652173913043481</v>
      </c>
      <c r="J32">
        <f t="shared" ca="1" si="1"/>
        <v>1.1333687053829822</v>
      </c>
    </row>
    <row r="33" spans="1:10" x14ac:dyDescent="0.25">
      <c r="A33" t="str">
        <f ca="1"/>
        <v>25/26</v>
      </c>
      <c r="B33" s="3">
        <f ca="1"/>
        <v>46078</v>
      </c>
      <c r="C33" t="str">
        <f ca="1"/>
        <v>KLA</v>
      </c>
      <c r="D33" t="str">
        <f ca="1"/>
        <v>Brízgala</v>
      </c>
      <c r="E33">
        <f ca="1"/>
        <v>0</v>
      </c>
      <c r="F33">
        <f ca="1"/>
        <v>24</v>
      </c>
      <c r="G33">
        <f ca="1"/>
        <v>21</v>
      </c>
      <c r="H33">
        <f ca="1"/>
        <v>3</v>
      </c>
      <c r="I33">
        <f t="shared" ca="1" si="0"/>
        <v>0.875</v>
      </c>
      <c r="J33">
        <f t="shared" ca="1" si="1"/>
        <v>-0.77387613351340967</v>
      </c>
    </row>
    <row r="34" spans="1:10" x14ac:dyDescent="0.25">
      <c r="A34" t="str">
        <f ca="1"/>
        <v>25/26</v>
      </c>
      <c r="B34" s="3">
        <f ca="1"/>
        <v>46080</v>
      </c>
      <c r="C34" t="str">
        <f ca="1"/>
        <v>KLA</v>
      </c>
      <c r="D34" t="str">
        <f ca="1"/>
        <v>Brízgala</v>
      </c>
      <c r="E34">
        <f ca="1"/>
        <v>0</v>
      </c>
      <c r="F34">
        <f ca="1"/>
        <v>27</v>
      </c>
      <c r="G34">
        <f ca="1"/>
        <v>25</v>
      </c>
      <c r="H34">
        <f ca="1"/>
        <v>2</v>
      </c>
      <c r="I34">
        <f t="shared" ca="1" si="0"/>
        <v>0.92592592592592593</v>
      </c>
      <c r="J34">
        <f t="shared" ca="1" si="1"/>
        <v>0.5043893497974139</v>
      </c>
    </row>
    <row r="35" spans="1:10" x14ac:dyDescent="0.25">
      <c r="A35" t="str">
        <f ca="1"/>
        <v>25/26</v>
      </c>
      <c r="B35" s="3">
        <f ca="1"/>
        <v>46082</v>
      </c>
      <c r="C35" t="str">
        <f ca="1"/>
        <v>KLA</v>
      </c>
      <c r="D35" t="str">
        <f ca="1"/>
        <v>Brízgala</v>
      </c>
      <c r="E35">
        <f ca="1"/>
        <v>0</v>
      </c>
      <c r="F35">
        <f ca="1"/>
        <v>18</v>
      </c>
      <c r="G35">
        <f ca="1"/>
        <v>16</v>
      </c>
      <c r="H35">
        <f ca="1"/>
        <v>2</v>
      </c>
      <c r="I35">
        <f t="shared" ca="1" si="0"/>
        <v>0.88888888888888884</v>
      </c>
      <c r="J35">
        <f t="shared" ca="1" si="1"/>
        <v>-0.33040710013505725</v>
      </c>
    </row>
    <row r="36" spans="1:10" s="9" customFormat="1" x14ac:dyDescent="0.25">
      <c r="A36" s="9" t="str">
        <f ca="1"/>
        <v>25/26</v>
      </c>
      <c r="B36" s="10">
        <f ca="1"/>
        <v>46087</v>
      </c>
      <c r="C36" s="9" t="str">
        <f ca="1"/>
        <v>KLA</v>
      </c>
      <c r="D36" s="9" t="str">
        <f ca="1"/>
        <v>Brízgala</v>
      </c>
      <c r="E36" s="9">
        <f ca="1"/>
        <v>0</v>
      </c>
      <c r="F36" s="9">
        <f ca="1"/>
        <v>28</v>
      </c>
      <c r="G36" s="9">
        <f ca="1"/>
        <v>27</v>
      </c>
      <c r="H36" s="9">
        <f ca="1"/>
        <v>1</v>
      </c>
      <c r="I36">
        <f t="shared" ca="1" si="0"/>
        <v>0.9642857142857143</v>
      </c>
      <c r="J36">
        <f t="shared" ca="1" si="1"/>
        <v>1.5971445109010221</v>
      </c>
    </row>
    <row r="37" spans="1:10" s="11" customFormat="1" x14ac:dyDescent="0.25">
      <c r="A37" s="11" t="str" cm="1">
        <f t="array" aca="1" ref="A37:H40" ca="1">_xlfn.TAKE(_xlfn._xlws.SORT((_xlfn._xlws.FILTER(RAW_GOALIES_GAMES!A:H,(RAW_GOALIES_GAMES!D:D=CALC_GOALIES!B9),(RAW_GOALIES_GAMES!B:B&lt;TODAY()))),1,-1),-5)</f>
        <v>25/26</v>
      </c>
      <c r="B37" s="12">
        <f ca="1"/>
        <v>45926</v>
      </c>
      <c r="C37" s="11" t="str">
        <f ca="1"/>
        <v>SPA</v>
      </c>
      <c r="D37" s="11" t="str">
        <f ca="1"/>
        <v>Michajlov</v>
      </c>
      <c r="E37" s="11">
        <f ca="1"/>
        <v>0</v>
      </c>
      <c r="F37" s="11">
        <f ca="1"/>
        <v>21</v>
      </c>
      <c r="G37" s="11">
        <f ca="1"/>
        <v>19</v>
      </c>
      <c r="H37" s="11">
        <f ca="1"/>
        <v>2</v>
      </c>
      <c r="I37">
        <f t="shared" ca="1" si="0"/>
        <v>0.90476190476190477</v>
      </c>
      <c r="J37">
        <f t="shared" ca="1" si="1"/>
        <v>-5.2141616824233461E-2</v>
      </c>
    </row>
    <row r="38" spans="1:10" x14ac:dyDescent="0.25">
      <c r="A38" t="str">
        <f ca="1"/>
        <v>25/26</v>
      </c>
      <c r="B38" s="3">
        <f ca="1"/>
        <v>45928</v>
      </c>
      <c r="C38" t="str">
        <f ca="1"/>
        <v>SPA</v>
      </c>
      <c r="D38" t="str">
        <f ca="1"/>
        <v>Michajlov</v>
      </c>
      <c r="E38">
        <f ca="1"/>
        <v>0</v>
      </c>
      <c r="F38">
        <f ca="1"/>
        <v>17</v>
      </c>
      <c r="G38">
        <f ca="1"/>
        <v>14</v>
      </c>
      <c r="H38">
        <f ca="1"/>
        <v>3</v>
      </c>
      <c r="I38">
        <f t="shared" ca="1" si="0"/>
        <v>0.82352941176470584</v>
      </c>
      <c r="J38">
        <f t="shared" ca="1" si="1"/>
        <v>-1.4231622612386652</v>
      </c>
    </row>
    <row r="39" spans="1:10" x14ac:dyDescent="0.25">
      <c r="A39" t="str">
        <f ca="1"/>
        <v>25/26</v>
      </c>
      <c r="B39" s="3">
        <f ca="1"/>
        <v>45930</v>
      </c>
      <c r="C39" t="str">
        <f ca="1"/>
        <v>SPA</v>
      </c>
      <c r="D39" t="str">
        <f ca="1"/>
        <v>Michajlov</v>
      </c>
      <c r="E39">
        <f ca="1"/>
        <v>0</v>
      </c>
      <c r="F39">
        <f ca="1"/>
        <v>34</v>
      </c>
      <c r="G39">
        <f ca="1"/>
        <v>32</v>
      </c>
      <c r="H39">
        <f ca="1"/>
        <v>2</v>
      </c>
      <c r="I39">
        <f t="shared" ca="1" si="0"/>
        <v>0.94117647058823528</v>
      </c>
      <c r="J39">
        <f t="shared" ca="1" si="1"/>
        <v>1.1536754775226696</v>
      </c>
    </row>
    <row r="40" spans="1:10" x14ac:dyDescent="0.25">
      <c r="A40" t="str">
        <f ca="1"/>
        <v>25/26</v>
      </c>
      <c r="B40" s="3">
        <f ca="1"/>
        <v>45933</v>
      </c>
      <c r="C40" t="str">
        <f ca="1"/>
        <v>SPA</v>
      </c>
      <c r="D40" t="str">
        <f ca="1"/>
        <v>Michajlov</v>
      </c>
      <c r="E40">
        <f ca="1"/>
        <v>0</v>
      </c>
      <c r="F40">
        <f ca="1"/>
        <v>29</v>
      </c>
      <c r="G40">
        <f ca="1"/>
        <v>27</v>
      </c>
      <c r="H40">
        <f ca="1"/>
        <v>2</v>
      </c>
      <c r="I40">
        <f t="shared" ca="1" si="0"/>
        <v>0.93103448275862066</v>
      </c>
      <c r="J40">
        <f t="shared" ca="1" si="1"/>
        <v>0.6898996720046302</v>
      </c>
    </row>
    <row r="41" spans="1:10" s="9" customFormat="1" x14ac:dyDescent="0.25">
      <c r="B41" s="10"/>
      <c r="I41" t="str">
        <f t="shared" si="0"/>
        <v/>
      </c>
      <c r="J41">
        <f t="shared" si="1"/>
        <v>0</v>
      </c>
    </row>
    <row r="42" spans="1:10" s="11" customFormat="1" x14ac:dyDescent="0.25">
      <c r="A42" s="11" t="str" cm="1">
        <f t="array" aca="1" ref="A42:H46" ca="1">_xlfn.TAKE(_xlfn._xlws.SORT((_xlfn._xlws.FILTER(RAW_GOALIES_GAMES!A:H,(RAW_GOALIES_GAMES!D:D=CALC_GOALIES!B10),(RAW_GOALIES_GAMES!B:B&lt;TODAY()))),1,-1),-5)</f>
        <v>25/26</v>
      </c>
      <c r="B42" s="12">
        <f ca="1"/>
        <v>45923</v>
      </c>
      <c r="C42" s="11" t="str">
        <f ca="1"/>
        <v>PCE</v>
      </c>
      <c r="D42" s="11" t="str">
        <f ca="1"/>
        <v>Vomáčka</v>
      </c>
      <c r="E42" s="11">
        <f ca="1"/>
        <v>0</v>
      </c>
      <c r="F42" s="11">
        <f ca="1"/>
        <v>39</v>
      </c>
      <c r="G42" s="11">
        <f ca="1"/>
        <v>35</v>
      </c>
      <c r="H42" s="11">
        <f ca="1"/>
        <v>4</v>
      </c>
      <c r="I42">
        <f t="shared" ca="1" si="0"/>
        <v>0.89743589743589747</v>
      </c>
      <c r="J42">
        <f t="shared" ca="1" si="1"/>
        <v>-0.38254871695929094</v>
      </c>
    </row>
    <row r="43" spans="1:10" x14ac:dyDescent="0.25">
      <c r="A43" t="str">
        <f ca="1"/>
        <v>25/26</v>
      </c>
      <c r="B43" s="3">
        <f ca="1"/>
        <v>45930</v>
      </c>
      <c r="C43" t="str">
        <f ca="1"/>
        <v>PCE</v>
      </c>
      <c r="D43" t="str">
        <f ca="1"/>
        <v>Vomáčka</v>
      </c>
      <c r="E43">
        <f ca="1"/>
        <v>0</v>
      </c>
      <c r="F43">
        <f ca="1"/>
        <v>20</v>
      </c>
      <c r="G43">
        <f ca="1"/>
        <v>19</v>
      </c>
      <c r="H43">
        <f ca="1"/>
        <v>1</v>
      </c>
      <c r="I43">
        <f t="shared" ca="1" si="0"/>
        <v>0.95</v>
      </c>
      <c r="J43">
        <f t="shared" ca="1" si="1"/>
        <v>0.85510322207215861</v>
      </c>
    </row>
    <row r="44" spans="1:10" x14ac:dyDescent="0.25">
      <c r="A44" t="str">
        <f ca="1"/>
        <v>25/26</v>
      </c>
      <c r="B44" s="3">
        <f ca="1"/>
        <v>45942</v>
      </c>
      <c r="C44" t="str">
        <f ca="1"/>
        <v>PCE</v>
      </c>
      <c r="D44" t="str">
        <f ca="1"/>
        <v>Vomáčka</v>
      </c>
      <c r="E44">
        <f ca="1"/>
        <v>0</v>
      </c>
      <c r="F44">
        <f ca="1"/>
        <v>26</v>
      </c>
      <c r="G44">
        <f ca="1"/>
        <v>24</v>
      </c>
      <c r="H44">
        <f ca="1"/>
        <v>2</v>
      </c>
      <c r="I44">
        <f t="shared" ca="1" si="0"/>
        <v>0.92307692307692313</v>
      </c>
      <c r="J44">
        <f t="shared" ca="1" si="1"/>
        <v>0.41163418869380619</v>
      </c>
    </row>
    <row r="45" spans="1:10" x14ac:dyDescent="0.25">
      <c r="A45" t="str">
        <f ca="1"/>
        <v>25/26</v>
      </c>
      <c r="B45" s="3">
        <f ca="1"/>
        <v>45947</v>
      </c>
      <c r="C45" t="str">
        <f ca="1"/>
        <v>PCE</v>
      </c>
      <c r="D45" t="str">
        <f ca="1"/>
        <v>Vomáčka</v>
      </c>
      <c r="E45">
        <f ca="1"/>
        <v>0</v>
      </c>
      <c r="F45">
        <f ca="1"/>
        <v>41</v>
      </c>
      <c r="G45">
        <f ca="1"/>
        <v>36</v>
      </c>
      <c r="H45">
        <f ca="1"/>
        <v>5</v>
      </c>
      <c r="I45">
        <f t="shared" ca="1" si="0"/>
        <v>0.87804878048780488</v>
      </c>
      <c r="J45">
        <f t="shared" ca="1" si="1"/>
        <v>-1.1970383947520746</v>
      </c>
    </row>
    <row r="46" spans="1:10" s="9" customFormat="1" x14ac:dyDescent="0.25">
      <c r="A46" s="9" t="str">
        <f ca="1"/>
        <v>25/26</v>
      </c>
      <c r="B46" s="10">
        <f ca="1"/>
        <v>46045</v>
      </c>
      <c r="C46" s="9" t="str">
        <f ca="1"/>
        <v>PCE</v>
      </c>
      <c r="D46" s="9" t="str">
        <f ca="1"/>
        <v>Vomáčka</v>
      </c>
      <c r="E46" s="9">
        <f ca="1"/>
        <v>0</v>
      </c>
      <c r="F46" s="9">
        <f ca="1"/>
        <v>30</v>
      </c>
      <c r="G46" s="9">
        <f ca="1"/>
        <v>28</v>
      </c>
      <c r="H46" s="9">
        <f ca="1"/>
        <v>2</v>
      </c>
      <c r="I46">
        <f t="shared" ca="1" si="0"/>
        <v>0.93333333333333335</v>
      </c>
      <c r="J46">
        <f t="shared" ca="1" si="1"/>
        <v>0.78265483310823791</v>
      </c>
    </row>
    <row r="47" spans="1:10" x14ac:dyDescent="0.25">
      <c r="A47" s="11" t="str" cm="1">
        <f t="array" aca="1" ref="A47:H51" ca="1">_xlfn.TAKE(_xlfn._xlws.SORT((_xlfn._xlws.FILTER(RAW_GOALIES_GAMES!A:H,(RAW_GOALIES_GAMES!D:D=CALC_GOALIES!B11),(RAW_GOALIES_GAMES!B:B&lt;TODAY()))),1,-1),-5)</f>
        <v>25/26</v>
      </c>
      <c r="B47" s="3">
        <f ca="1"/>
        <v>46078</v>
      </c>
      <c r="C47" t="str">
        <f ca="1"/>
        <v>CEB</v>
      </c>
      <c r="D47" t="str">
        <f ca="1"/>
        <v>Klouček</v>
      </c>
      <c r="E47">
        <f ca="1"/>
        <v>0</v>
      </c>
      <c r="F47">
        <f ca="1"/>
        <v>23</v>
      </c>
      <c r="G47">
        <f ca="1"/>
        <v>21</v>
      </c>
      <c r="H47">
        <f ca="1"/>
        <v>2</v>
      </c>
      <c r="I47">
        <f t="shared" ca="1" si="0"/>
        <v>0.91304347826086951</v>
      </c>
      <c r="J47">
        <f t="shared" ca="1" si="1"/>
        <v>0.13336870538298218</v>
      </c>
    </row>
    <row r="48" spans="1:10" x14ac:dyDescent="0.25">
      <c r="A48" t="str">
        <f ca="1"/>
        <v>25/26</v>
      </c>
      <c r="B48" s="3">
        <f ca="1"/>
        <v>46080</v>
      </c>
      <c r="C48" t="str">
        <f ca="1"/>
        <v>CEB</v>
      </c>
      <c r="D48" t="str">
        <f ca="1"/>
        <v>Klouček</v>
      </c>
      <c r="E48">
        <f ca="1"/>
        <v>0</v>
      </c>
      <c r="F48">
        <f ca="1"/>
        <v>32</v>
      </c>
      <c r="G48">
        <f ca="1"/>
        <v>27</v>
      </c>
      <c r="H48">
        <f ca="1"/>
        <v>5</v>
      </c>
      <c r="I48">
        <f t="shared" ca="1" si="0"/>
        <v>0.84375</v>
      </c>
      <c r="J48">
        <f t="shared" ca="1" si="1"/>
        <v>-2.0318348446845462</v>
      </c>
    </row>
    <row r="49" spans="1:10" x14ac:dyDescent="0.25">
      <c r="A49" t="str">
        <f ca="1"/>
        <v>25/26</v>
      </c>
      <c r="B49" s="3">
        <f ca="1"/>
        <v>46082</v>
      </c>
      <c r="C49" t="str">
        <f ca="1"/>
        <v>CEB</v>
      </c>
      <c r="D49" t="str">
        <f ca="1"/>
        <v>Klouček</v>
      </c>
      <c r="E49">
        <f ca="1"/>
        <v>0</v>
      </c>
      <c r="F49">
        <f ca="1"/>
        <v>24</v>
      </c>
      <c r="G49">
        <f ca="1"/>
        <v>24</v>
      </c>
      <c r="H49">
        <f ca="1"/>
        <v>0</v>
      </c>
      <c r="I49">
        <f t="shared" ca="1" si="0"/>
        <v>1</v>
      </c>
      <c r="J49">
        <f t="shared" ca="1" si="1"/>
        <v>2.2261238664865903</v>
      </c>
    </row>
    <row r="50" spans="1:10" x14ac:dyDescent="0.25">
      <c r="A50" t="str">
        <f ca="1"/>
        <v>25/26</v>
      </c>
      <c r="B50" s="3">
        <f ca="1"/>
        <v>46085</v>
      </c>
      <c r="C50" t="str">
        <f ca="1"/>
        <v>CEB</v>
      </c>
      <c r="D50" t="str">
        <f ca="1"/>
        <v>Klouček</v>
      </c>
      <c r="E50">
        <f ca="1"/>
        <v>0</v>
      </c>
      <c r="F50">
        <f ca="1"/>
        <v>28</v>
      </c>
      <c r="G50">
        <f ca="1"/>
        <v>25</v>
      </c>
      <c r="H50">
        <f ca="1"/>
        <v>3</v>
      </c>
      <c r="I50">
        <f t="shared" ca="1" si="0"/>
        <v>0.8928571428571429</v>
      </c>
      <c r="J50">
        <f t="shared" ca="1" si="1"/>
        <v>-0.40285548909897795</v>
      </c>
    </row>
    <row r="51" spans="1:10" s="9" customFormat="1" x14ac:dyDescent="0.25">
      <c r="A51" s="9" t="str">
        <f ca="1"/>
        <v>25/26</v>
      </c>
      <c r="B51" s="10">
        <f ca="1"/>
        <v>46087</v>
      </c>
      <c r="C51" s="9" t="str">
        <f ca="1"/>
        <v>CEB</v>
      </c>
      <c r="D51" s="9" t="str">
        <f ca="1"/>
        <v>Klouček</v>
      </c>
      <c r="E51" s="9">
        <f ca="1"/>
        <v>0</v>
      </c>
      <c r="F51" s="9">
        <f ca="1"/>
        <v>36</v>
      </c>
      <c r="G51" s="9">
        <f ca="1"/>
        <v>33</v>
      </c>
      <c r="H51" s="9">
        <f ca="1"/>
        <v>3</v>
      </c>
      <c r="I51">
        <f t="shared" ca="1" si="0"/>
        <v>0.91666666666666663</v>
      </c>
      <c r="J51">
        <f t="shared" ca="1" si="1"/>
        <v>0.3391857997298855</v>
      </c>
    </row>
    <row r="52" spans="1:10" s="11" customFormat="1" x14ac:dyDescent="0.25">
      <c r="A52" s="11" t="str" cm="1">
        <f t="array" aca="1" ref="A52:H56" ca="1">_xlfn.TAKE(_xlfn._xlws.SORT((_xlfn._xlws.FILTER(RAW_GOALIES_GAMES!A:H,(RAW_GOALIES_GAMES!D:D=CALC_GOALIES!B12),(RAW_GOALIES_GAMES!B:B&lt;TODAY()))),1,-1),-5)</f>
        <v>25/26</v>
      </c>
      <c r="B52" s="12">
        <f ca="1"/>
        <v>46047</v>
      </c>
      <c r="C52" s="11" t="str">
        <f ca="1"/>
        <v>OLO</v>
      </c>
      <c r="D52" s="11" t="str">
        <f ca="1"/>
        <v>Machovský</v>
      </c>
      <c r="E52" s="11">
        <f ca="1"/>
        <v>0</v>
      </c>
      <c r="F52" s="11">
        <f ca="1"/>
        <v>25</v>
      </c>
      <c r="G52" s="11">
        <f ca="1"/>
        <v>21</v>
      </c>
      <c r="H52" s="11">
        <f ca="1"/>
        <v>3</v>
      </c>
      <c r="I52">
        <f t="shared" ca="1" si="0"/>
        <v>0.88</v>
      </c>
      <c r="J52">
        <f t="shared" ca="1" si="1"/>
        <v>-0.68112097240980152</v>
      </c>
    </row>
    <row r="53" spans="1:10" x14ac:dyDescent="0.25">
      <c r="A53" t="str">
        <f ca="1"/>
        <v>25/26</v>
      </c>
      <c r="B53" s="3">
        <f ca="1"/>
        <v>46048</v>
      </c>
      <c r="C53" t="str">
        <f ca="1"/>
        <v>OLO</v>
      </c>
      <c r="D53" t="str">
        <f ca="1"/>
        <v>Machovský</v>
      </c>
      <c r="E53">
        <f ca="1"/>
        <v>0</v>
      </c>
      <c r="F53">
        <f ca="1"/>
        <v>39</v>
      </c>
      <c r="G53">
        <f ca="1"/>
        <v>33</v>
      </c>
      <c r="H53">
        <f ca="1"/>
        <v>6</v>
      </c>
      <c r="I53">
        <f t="shared" ca="1" si="0"/>
        <v>0.84615384615384615</v>
      </c>
      <c r="J53">
        <f t="shared" ca="1" si="1"/>
        <v>-2.3825487169592909</v>
      </c>
    </row>
    <row r="54" spans="1:10" x14ac:dyDescent="0.25">
      <c r="A54" t="str">
        <f ca="1"/>
        <v>25/26</v>
      </c>
      <c r="B54" s="3">
        <f ca="1"/>
        <v>46077</v>
      </c>
      <c r="C54" t="str">
        <f ca="1"/>
        <v>OLO</v>
      </c>
      <c r="D54" t="str">
        <f ca="1"/>
        <v>Machovský</v>
      </c>
      <c r="E54">
        <f ca="1"/>
        <v>0</v>
      </c>
      <c r="F54">
        <f ca="1"/>
        <v>40</v>
      </c>
      <c r="G54">
        <f ca="1"/>
        <v>37</v>
      </c>
      <c r="H54">
        <f ca="1"/>
        <v>3</v>
      </c>
      <c r="I54">
        <f t="shared" ca="1" si="0"/>
        <v>0.92500000000000004</v>
      </c>
      <c r="J54">
        <f t="shared" ca="1" si="1"/>
        <v>0.71020644414431722</v>
      </c>
    </row>
    <row r="55" spans="1:10" x14ac:dyDescent="0.25">
      <c r="A55" t="str">
        <f ca="1"/>
        <v>25/26</v>
      </c>
      <c r="B55" s="3">
        <f ca="1"/>
        <v>46080</v>
      </c>
      <c r="C55" t="str">
        <f ca="1"/>
        <v>OLO</v>
      </c>
      <c r="D55" t="str">
        <f ca="1"/>
        <v>Machovský</v>
      </c>
      <c r="E55">
        <f ca="1"/>
        <v>0</v>
      </c>
      <c r="F55">
        <f ca="1"/>
        <v>26</v>
      </c>
      <c r="G55">
        <f ca="1"/>
        <v>22</v>
      </c>
      <c r="H55">
        <f ca="1"/>
        <v>4</v>
      </c>
      <c r="I55">
        <f t="shared" ca="1" si="0"/>
        <v>0.84615384615384615</v>
      </c>
      <c r="J55">
        <f t="shared" ca="1" si="1"/>
        <v>-1.5883658113061938</v>
      </c>
    </row>
    <row r="56" spans="1:10" s="9" customFormat="1" x14ac:dyDescent="0.25">
      <c r="A56" s="9" t="str">
        <f ca="1"/>
        <v>25/26</v>
      </c>
      <c r="B56" s="10">
        <f ca="1"/>
        <v>46085</v>
      </c>
      <c r="C56" s="9" t="str">
        <f ca="1"/>
        <v>OLO</v>
      </c>
      <c r="D56" s="9" t="str">
        <f ca="1"/>
        <v>Machovský</v>
      </c>
      <c r="E56" s="9">
        <f ca="1"/>
        <v>0</v>
      </c>
      <c r="F56" s="9">
        <f ca="1"/>
        <v>26</v>
      </c>
      <c r="G56" s="9">
        <f ca="1"/>
        <v>24</v>
      </c>
      <c r="H56" s="9">
        <f ca="1"/>
        <v>2</v>
      </c>
      <c r="I56">
        <f t="shared" ca="1" si="0"/>
        <v>0.92307692307692313</v>
      </c>
      <c r="J56">
        <f t="shared" ca="1" si="1"/>
        <v>0.41163418869380619</v>
      </c>
    </row>
    <row r="57" spans="1:10" s="11" customFormat="1" x14ac:dyDescent="0.25">
      <c r="A57" s="11" t="str" cm="1">
        <f t="array" aca="1" ref="A57:H61" ca="1">_xlfn.TAKE(_xlfn._xlws.SORT((_xlfn._xlws.FILTER(RAW_GOALIES_GAMES!A:H,(RAW_GOALIES_GAMES!D:D=CALC_GOALIES!B13),(RAW_GOALIES_GAMES!B:B&lt;TODAY()))),1,-1),-5)</f>
        <v>25/26</v>
      </c>
      <c r="B57" s="12">
        <f ca="1"/>
        <v>46014</v>
      </c>
      <c r="C57" s="11" t="str">
        <f ca="1"/>
        <v>PCE</v>
      </c>
      <c r="D57" s="11" t="str">
        <f ca="1"/>
        <v>Subban</v>
      </c>
      <c r="E57" s="11">
        <f ca="1"/>
        <v>0</v>
      </c>
      <c r="F57" s="11">
        <f ca="1"/>
        <v>27</v>
      </c>
      <c r="G57" s="11">
        <f ca="1"/>
        <v>27</v>
      </c>
      <c r="H57" s="11">
        <f ca="1"/>
        <v>0</v>
      </c>
      <c r="I57">
        <f t="shared" ca="1" si="0"/>
        <v>1</v>
      </c>
      <c r="J57">
        <f t="shared" ca="1" si="1"/>
        <v>2.5043893497974139</v>
      </c>
    </row>
    <row r="58" spans="1:10" x14ac:dyDescent="0.25">
      <c r="A58" t="str">
        <f ca="1"/>
        <v>25/26</v>
      </c>
      <c r="B58" s="3">
        <f ca="1"/>
        <v>46051</v>
      </c>
      <c r="C58" t="str">
        <f ca="1"/>
        <v>PCE</v>
      </c>
      <c r="D58" t="str">
        <f ca="1"/>
        <v>Subban</v>
      </c>
      <c r="E58">
        <f ca="1"/>
        <v>0</v>
      </c>
      <c r="F58">
        <f ca="1"/>
        <v>32</v>
      </c>
      <c r="G58">
        <f ca="1"/>
        <v>29</v>
      </c>
      <c r="H58">
        <f ca="1"/>
        <v>3</v>
      </c>
      <c r="I58">
        <f t="shared" ca="1" si="0"/>
        <v>0.90625</v>
      </c>
      <c r="J58">
        <f t="shared" ca="1" si="1"/>
        <v>-3.1834844684546226E-2</v>
      </c>
    </row>
    <row r="59" spans="1:10" x14ac:dyDescent="0.25">
      <c r="A59" t="str">
        <f ca="1"/>
        <v>25/26</v>
      </c>
      <c r="B59" s="3">
        <f ca="1"/>
        <v>46078</v>
      </c>
      <c r="C59" t="str">
        <f ca="1"/>
        <v>PCE</v>
      </c>
      <c r="D59" t="str">
        <f ca="1"/>
        <v>Subban</v>
      </c>
      <c r="E59">
        <f ca="1"/>
        <v>0</v>
      </c>
      <c r="F59">
        <f ca="1"/>
        <v>26</v>
      </c>
      <c r="G59">
        <f ca="1"/>
        <v>24</v>
      </c>
      <c r="H59">
        <f ca="1"/>
        <v>2</v>
      </c>
      <c r="I59">
        <f t="shared" ca="1" si="0"/>
        <v>0.92307692307692313</v>
      </c>
      <c r="J59">
        <f t="shared" ca="1" si="1"/>
        <v>0.41163418869380619</v>
      </c>
    </row>
    <row r="60" spans="1:10" x14ac:dyDescent="0.25">
      <c r="A60" t="str">
        <f ca="1"/>
        <v>25/26</v>
      </c>
      <c r="B60" s="3">
        <f ca="1"/>
        <v>46082</v>
      </c>
      <c r="C60" t="str">
        <f ca="1"/>
        <v>PCE</v>
      </c>
      <c r="D60" t="str">
        <f ca="1"/>
        <v>Subban</v>
      </c>
      <c r="E60">
        <f ca="1"/>
        <v>0</v>
      </c>
      <c r="F60">
        <f ca="1"/>
        <v>25</v>
      </c>
      <c r="G60">
        <f ca="1"/>
        <v>22</v>
      </c>
      <c r="H60">
        <f ca="1"/>
        <v>3</v>
      </c>
      <c r="I60">
        <f t="shared" ca="1" si="0"/>
        <v>0.88</v>
      </c>
      <c r="J60">
        <f t="shared" ca="1" si="1"/>
        <v>-0.68112097240980152</v>
      </c>
    </row>
    <row r="61" spans="1:10" s="9" customFormat="1" x14ac:dyDescent="0.25">
      <c r="A61" s="9" t="str">
        <f ca="1"/>
        <v>25/26</v>
      </c>
      <c r="B61" s="10">
        <f ca="1"/>
        <v>46087</v>
      </c>
      <c r="C61" s="9" t="str">
        <f ca="1"/>
        <v>PCE</v>
      </c>
      <c r="D61" s="9" t="str">
        <f ca="1"/>
        <v>Subban</v>
      </c>
      <c r="E61" s="9">
        <f ca="1"/>
        <v>0</v>
      </c>
      <c r="F61" s="9">
        <f ca="1"/>
        <v>26</v>
      </c>
      <c r="G61" s="9">
        <f ca="1"/>
        <v>25</v>
      </c>
      <c r="H61" s="9">
        <f ca="1"/>
        <v>1</v>
      </c>
      <c r="I61">
        <f t="shared" ca="1" si="0"/>
        <v>0.96153846153846156</v>
      </c>
      <c r="J61">
        <f t="shared" ca="1" si="1"/>
        <v>1.4116341886938062</v>
      </c>
    </row>
    <row r="62" spans="1:10" x14ac:dyDescent="0.25">
      <c r="A62" s="11" t="str" cm="1">
        <f t="array" aca="1" ref="A62:H66" ca="1">_xlfn.TAKE(_xlfn._xlws.SORT((_xlfn._xlws.FILTER(RAW_GOALIES_GAMES!A:H,(RAW_GOALIES_GAMES!D:D=CALC_GOALIES!B14),(RAW_GOALIES_GAMES!B:B&lt;TODAY()))),1,-1),-5)</f>
        <v>25/26</v>
      </c>
      <c r="B62" s="3">
        <f ca="1"/>
        <v>46008</v>
      </c>
      <c r="C62" t="str">
        <f ca="1"/>
        <v>PLZ</v>
      </c>
      <c r="D62" t="str">
        <f ca="1"/>
        <v>Růžička</v>
      </c>
      <c r="E62">
        <f ca="1"/>
        <v>0</v>
      </c>
      <c r="F62">
        <f ca="1"/>
        <v>26</v>
      </c>
      <c r="G62">
        <f ca="1"/>
        <v>25</v>
      </c>
      <c r="H62">
        <f ca="1"/>
        <v>1</v>
      </c>
      <c r="I62">
        <f t="shared" ca="1" si="0"/>
        <v>0.96153846153846156</v>
      </c>
      <c r="J62">
        <f t="shared" ca="1" si="1"/>
        <v>1.4116341886938062</v>
      </c>
    </row>
    <row r="63" spans="1:10" x14ac:dyDescent="0.25">
      <c r="A63" t="str">
        <f ca="1"/>
        <v>25/26</v>
      </c>
      <c r="B63" s="3">
        <f ca="1"/>
        <v>46010</v>
      </c>
      <c r="C63" t="str">
        <f ca="1"/>
        <v>PLZ</v>
      </c>
      <c r="D63" t="str">
        <f ca="1"/>
        <v>Růžička</v>
      </c>
      <c r="E63">
        <f ca="1"/>
        <v>0</v>
      </c>
      <c r="F63">
        <f ca="1"/>
        <v>32</v>
      </c>
      <c r="G63">
        <f ca="1"/>
        <v>28</v>
      </c>
      <c r="H63">
        <f ca="1"/>
        <v>2</v>
      </c>
      <c r="I63">
        <f t="shared" ca="1" si="0"/>
        <v>0.9375</v>
      </c>
      <c r="J63">
        <f t="shared" ca="1" si="1"/>
        <v>0.96816515531545377</v>
      </c>
    </row>
    <row r="64" spans="1:10" x14ac:dyDescent="0.25">
      <c r="A64" t="str">
        <f ca="1"/>
        <v>25/26</v>
      </c>
      <c r="B64" s="3">
        <f ca="1"/>
        <v>46028</v>
      </c>
      <c r="C64" t="str">
        <f ca="1"/>
        <v>PLZ</v>
      </c>
      <c r="D64" t="str">
        <f ca="1"/>
        <v>Růžička</v>
      </c>
      <c r="E64">
        <f ca="1"/>
        <v>0</v>
      </c>
      <c r="F64">
        <f ca="1"/>
        <v>24</v>
      </c>
      <c r="G64">
        <f ca="1"/>
        <v>20</v>
      </c>
      <c r="H64">
        <f ca="1"/>
        <v>4</v>
      </c>
      <c r="I64">
        <f t="shared" ca="1" si="0"/>
        <v>0.83333333333333337</v>
      </c>
      <c r="J64">
        <f t="shared" ca="1" si="1"/>
        <v>-1.7738761335134097</v>
      </c>
    </row>
    <row r="65" spans="1:10" x14ac:dyDescent="0.25">
      <c r="A65" t="str">
        <f ca="1"/>
        <v>25/26</v>
      </c>
      <c r="B65" s="3">
        <f ca="1"/>
        <v>46038</v>
      </c>
      <c r="C65" t="str">
        <f ca="1"/>
        <v>PLZ</v>
      </c>
      <c r="D65" t="str">
        <f ca="1"/>
        <v>Růžička</v>
      </c>
      <c r="E65">
        <f ca="1"/>
        <v>0</v>
      </c>
      <c r="F65">
        <f ca="1"/>
        <v>22</v>
      </c>
      <c r="G65">
        <f ca="1"/>
        <v>17</v>
      </c>
      <c r="H65">
        <f ca="1"/>
        <v>5</v>
      </c>
      <c r="I65">
        <f t="shared" ca="1" si="0"/>
        <v>0.77272727272727271</v>
      </c>
      <c r="J65">
        <f t="shared" ca="1" si="1"/>
        <v>-2.9593864557206255</v>
      </c>
    </row>
    <row r="66" spans="1:10" s="9" customFormat="1" x14ac:dyDescent="0.25">
      <c r="A66" s="9" t="str">
        <f ca="1"/>
        <v>25/26</v>
      </c>
      <c r="B66" s="10">
        <f ca="1"/>
        <v>46051</v>
      </c>
      <c r="C66" s="9" t="str">
        <f ca="1"/>
        <v>PLZ</v>
      </c>
      <c r="D66" s="9" t="str">
        <f ca="1"/>
        <v>Růžička</v>
      </c>
      <c r="E66" s="9">
        <f ca="1"/>
        <v>0</v>
      </c>
      <c r="F66" s="9">
        <f ca="1"/>
        <v>26</v>
      </c>
      <c r="G66" s="9">
        <f ca="1"/>
        <v>22</v>
      </c>
      <c r="H66" s="9">
        <f ca="1"/>
        <v>4</v>
      </c>
      <c r="I66">
        <f t="shared" ca="1" si="0"/>
        <v>0.84615384615384615</v>
      </c>
      <c r="J66">
        <f t="shared" ca="1" si="1"/>
        <v>-1.5883658113061938</v>
      </c>
    </row>
    <row r="67" spans="1:10" s="11" customFormat="1" x14ac:dyDescent="0.25">
      <c r="A67" s="11" t="str" cm="1">
        <f t="array" aca="1" ref="A67:H71" ca="1">_xlfn.TAKE(_xlfn._xlws.SORT((_xlfn._xlws.FILTER(RAW_GOALIES_GAMES!A:H,(RAW_GOALIES_GAMES!D:D=CALC_GOALIES!B15),(RAW_GOALIES_GAMES!B:B&lt;TODAY()))),1,-1),-5)</f>
        <v>25/26</v>
      </c>
      <c r="B67" s="12">
        <f ca="1"/>
        <v>46052</v>
      </c>
      <c r="C67" s="11" t="str">
        <f ca="1"/>
        <v>KVA</v>
      </c>
      <c r="D67" s="11" t="str">
        <f ca="1"/>
        <v>Frodl</v>
      </c>
      <c r="E67" s="11">
        <f ca="1"/>
        <v>0</v>
      </c>
      <c r="F67" s="11">
        <f ca="1"/>
        <v>44</v>
      </c>
      <c r="G67" s="11">
        <f ca="1"/>
        <v>42</v>
      </c>
      <c r="H67" s="11">
        <f ca="1"/>
        <v>2</v>
      </c>
      <c r="I67">
        <f t="shared" ref="I67:I130" ca="1" si="2">IF(H67&lt;&gt;"",(F67-H67)/F67,"")</f>
        <v>0.95454545454545459</v>
      </c>
      <c r="J67">
        <f t="shared" ca="1" si="1"/>
        <v>2.0812270885587489</v>
      </c>
    </row>
    <row r="68" spans="1:10" x14ac:dyDescent="0.25">
      <c r="A68" t="str">
        <f ca="1"/>
        <v>25/26</v>
      </c>
      <c r="B68" s="3">
        <f ca="1"/>
        <v>46078</v>
      </c>
      <c r="C68" t="str">
        <f ca="1"/>
        <v>KVA</v>
      </c>
      <c r="D68" t="str">
        <f ca="1"/>
        <v>Frodl</v>
      </c>
      <c r="E68">
        <f ca="1"/>
        <v>0</v>
      </c>
      <c r="F68">
        <f ca="1"/>
        <v>32</v>
      </c>
      <c r="G68">
        <f ca="1"/>
        <v>30</v>
      </c>
      <c r="H68">
        <f ca="1"/>
        <v>2</v>
      </c>
      <c r="I68">
        <f t="shared" ca="1" si="2"/>
        <v>0.9375</v>
      </c>
      <c r="J68">
        <f t="shared" ref="J68:J131" ca="1" si="3">(F68*(1-$R$1)-H68)</f>
        <v>0.96816515531545377</v>
      </c>
    </row>
    <row r="69" spans="1:10" x14ac:dyDescent="0.25">
      <c r="A69" t="str">
        <f ca="1"/>
        <v>25/26</v>
      </c>
      <c r="B69" s="3">
        <f ca="1"/>
        <v>46080</v>
      </c>
      <c r="C69" t="str">
        <f ca="1"/>
        <v>KVA</v>
      </c>
      <c r="D69" t="str">
        <f ca="1"/>
        <v>Frodl</v>
      </c>
      <c r="E69">
        <f ca="1"/>
        <v>0</v>
      </c>
      <c r="F69">
        <f ca="1"/>
        <v>24</v>
      </c>
      <c r="G69">
        <f ca="1"/>
        <v>20</v>
      </c>
      <c r="H69">
        <f ca="1"/>
        <v>4</v>
      </c>
      <c r="I69">
        <f t="shared" ca="1" si="2"/>
        <v>0.83333333333333337</v>
      </c>
      <c r="J69">
        <f t="shared" ca="1" si="3"/>
        <v>-1.7738761335134097</v>
      </c>
    </row>
    <row r="70" spans="1:10" x14ac:dyDescent="0.25">
      <c r="A70" t="str">
        <f ca="1"/>
        <v>25/26</v>
      </c>
      <c r="B70" s="3">
        <f ca="1"/>
        <v>46085</v>
      </c>
      <c r="C70" t="str">
        <f ca="1"/>
        <v>KVA</v>
      </c>
      <c r="D70" t="str">
        <f ca="1"/>
        <v>Frodl</v>
      </c>
      <c r="E70">
        <f ca="1"/>
        <v>0</v>
      </c>
      <c r="F70">
        <f ca="1"/>
        <v>33</v>
      </c>
      <c r="G70">
        <f ca="1"/>
        <v>31</v>
      </c>
      <c r="H70">
        <f ca="1"/>
        <v>2</v>
      </c>
      <c r="I70">
        <f t="shared" ca="1" si="2"/>
        <v>0.93939393939393945</v>
      </c>
      <c r="J70">
        <f t="shared" ca="1" si="3"/>
        <v>1.0609203164190619</v>
      </c>
    </row>
    <row r="71" spans="1:10" s="9" customFormat="1" x14ac:dyDescent="0.25">
      <c r="A71" s="9" t="str">
        <f ca="1"/>
        <v>25/26</v>
      </c>
      <c r="B71" s="10">
        <f ca="1"/>
        <v>46087</v>
      </c>
      <c r="C71" s="9" t="str">
        <f ca="1"/>
        <v>KVA</v>
      </c>
      <c r="D71" s="9" t="str">
        <f ca="1"/>
        <v>Frodl</v>
      </c>
      <c r="E71" s="9">
        <f ca="1"/>
        <v>0</v>
      </c>
      <c r="F71" s="9">
        <f ca="1"/>
        <v>33</v>
      </c>
      <c r="G71" s="9">
        <f ca="1"/>
        <v>32</v>
      </c>
      <c r="H71" s="9">
        <f ca="1"/>
        <v>1</v>
      </c>
      <c r="I71">
        <f t="shared" ca="1" si="2"/>
        <v>0.96969696969696972</v>
      </c>
      <c r="J71">
        <f t="shared" ca="1" si="3"/>
        <v>2.0609203164190619</v>
      </c>
    </row>
    <row r="72" spans="1:10" s="11" customFormat="1" x14ac:dyDescent="0.25">
      <c r="A72" s="11" t="str" cm="1">
        <f t="array" aca="1" ref="A72:H76" ca="1">_xlfn.TAKE(_xlfn._xlws.SORT((_xlfn._xlws.FILTER(RAW_GOALIES_GAMES!A:H,(RAW_GOALIES_GAMES!D:D=CALC_GOALIES!B16),(RAW_GOALIES_GAMES!B:B&lt;TODAY()))),1,-1),-5)</f>
        <v>25/26</v>
      </c>
      <c r="B72" s="12">
        <f ca="1"/>
        <v>46042</v>
      </c>
      <c r="C72" s="11" t="str">
        <f ca="1"/>
        <v>SPA</v>
      </c>
      <c r="D72" s="11" t="str">
        <f ca="1"/>
        <v>Kovář</v>
      </c>
      <c r="E72" s="11">
        <f ca="1"/>
        <v>0</v>
      </c>
      <c r="F72" s="11">
        <f ca="1"/>
        <v>34</v>
      </c>
      <c r="G72" s="11">
        <f ca="1"/>
        <v>33</v>
      </c>
      <c r="H72" s="11">
        <f ca="1"/>
        <v>2</v>
      </c>
      <c r="I72">
        <f t="shared" ca="1" si="2"/>
        <v>0.94117647058823528</v>
      </c>
      <c r="J72">
        <f t="shared" ca="1" si="3"/>
        <v>1.1536754775226696</v>
      </c>
    </row>
    <row r="73" spans="1:10" x14ac:dyDescent="0.25">
      <c r="A73" t="str">
        <f ca="1"/>
        <v>25/26</v>
      </c>
      <c r="B73" s="3">
        <f ca="1"/>
        <v>46048</v>
      </c>
      <c r="C73" t="str">
        <f ca="1"/>
        <v>SPA</v>
      </c>
      <c r="D73" t="str">
        <f ca="1"/>
        <v>Kovář</v>
      </c>
      <c r="E73">
        <f ca="1"/>
        <v>0</v>
      </c>
      <c r="F73">
        <f ca="1"/>
        <v>29</v>
      </c>
      <c r="G73">
        <f ca="1"/>
        <v>26</v>
      </c>
      <c r="H73">
        <f ca="1"/>
        <v>3</v>
      </c>
      <c r="I73">
        <f t="shared" ca="1" si="2"/>
        <v>0.89655172413793105</v>
      </c>
      <c r="J73">
        <f t="shared" ca="1" si="3"/>
        <v>-0.3101003279953698</v>
      </c>
    </row>
    <row r="74" spans="1:10" x14ac:dyDescent="0.25">
      <c r="A74" t="str">
        <f ca="1"/>
        <v>25/26</v>
      </c>
      <c r="B74" s="3">
        <f ca="1"/>
        <v>46051</v>
      </c>
      <c r="C74" t="str">
        <f ca="1"/>
        <v>SPA</v>
      </c>
      <c r="D74" t="str">
        <f ca="1"/>
        <v>Kovář</v>
      </c>
      <c r="E74">
        <f ca="1"/>
        <v>0</v>
      </c>
      <c r="F74">
        <f ca="1"/>
        <v>29</v>
      </c>
      <c r="G74">
        <f ca="1"/>
        <v>28</v>
      </c>
      <c r="H74">
        <f ca="1"/>
        <v>1</v>
      </c>
      <c r="I74">
        <f t="shared" ca="1" si="2"/>
        <v>0.96551724137931039</v>
      </c>
      <c r="J74">
        <f t="shared" ca="1" si="3"/>
        <v>1.6898996720046302</v>
      </c>
    </row>
    <row r="75" spans="1:10" x14ac:dyDescent="0.25">
      <c r="A75" t="str">
        <f ca="1"/>
        <v>25/26</v>
      </c>
      <c r="B75" s="3">
        <f ca="1"/>
        <v>46055</v>
      </c>
      <c r="C75" t="str">
        <f ca="1"/>
        <v>SPA</v>
      </c>
      <c r="D75" t="str">
        <f ca="1"/>
        <v>Kovář</v>
      </c>
      <c r="E75">
        <f ca="1"/>
        <v>0</v>
      </c>
      <c r="F75">
        <f ca="1"/>
        <v>33</v>
      </c>
      <c r="G75">
        <f ca="1"/>
        <v>29</v>
      </c>
      <c r="H75">
        <f ca="1"/>
        <v>4</v>
      </c>
      <c r="I75">
        <f t="shared" ca="1" si="2"/>
        <v>0.87878787878787878</v>
      </c>
      <c r="J75">
        <f t="shared" ca="1" si="3"/>
        <v>-0.93907968358093807</v>
      </c>
    </row>
    <row r="76" spans="1:10" s="9" customFormat="1" x14ac:dyDescent="0.25">
      <c r="A76" s="9" t="str">
        <f ca="1"/>
        <v>25/26</v>
      </c>
      <c r="B76" s="10">
        <f ca="1"/>
        <v>46087</v>
      </c>
      <c r="C76" s="9" t="str">
        <f ca="1"/>
        <v>SPA</v>
      </c>
      <c r="D76" s="9" t="str">
        <f ca="1"/>
        <v>Kovář</v>
      </c>
      <c r="E76" s="9">
        <f ca="1"/>
        <v>0</v>
      </c>
      <c r="F76" s="9">
        <f ca="1"/>
        <v>26</v>
      </c>
      <c r="G76" s="9">
        <f ca="1"/>
        <v>26</v>
      </c>
      <c r="H76" s="9">
        <f ca="1"/>
        <v>2</v>
      </c>
      <c r="I76">
        <f t="shared" ca="1" si="2"/>
        <v>0.92307692307692313</v>
      </c>
      <c r="J76">
        <f t="shared" ca="1" si="3"/>
        <v>0.41163418869380619</v>
      </c>
    </row>
    <row r="77" spans="1:10" x14ac:dyDescent="0.25">
      <c r="A77" s="11" t="str" cm="1">
        <f t="array" aca="1" ref="A77:H79" ca="1">_xlfn.TAKE(_xlfn._xlws.SORT((_xlfn._xlws.FILTER(RAW_GOALIES_GAMES!A:H,(RAW_GOALIES_GAMES!D:D=CALC_GOALIES!B17),(RAW_GOALIES_GAMES!B:B&lt;TODAY()))),1,-1),-5)</f>
        <v>25/26</v>
      </c>
      <c r="B77" s="3">
        <f ca="1"/>
        <v>45916</v>
      </c>
      <c r="C77" t="str">
        <f ca="1"/>
        <v>LIB</v>
      </c>
      <c r="D77" t="str">
        <f ca="1"/>
        <v>Hamalčík</v>
      </c>
      <c r="E77">
        <f ca="1"/>
        <v>0</v>
      </c>
      <c r="F77">
        <f ca="1"/>
        <v>16</v>
      </c>
      <c r="G77">
        <f ca="1"/>
        <v>12</v>
      </c>
      <c r="H77">
        <f ca="1"/>
        <v>4</v>
      </c>
      <c r="I77">
        <f t="shared" ca="1" si="2"/>
        <v>0.75</v>
      </c>
      <c r="J77">
        <f t="shared" ca="1" si="3"/>
        <v>-2.5159174223422731</v>
      </c>
    </row>
    <row r="78" spans="1:10" x14ac:dyDescent="0.25">
      <c r="A78" t="str">
        <f ca="1"/>
        <v>25/26</v>
      </c>
      <c r="B78" s="3">
        <f ca="1"/>
        <v>45923</v>
      </c>
      <c r="C78" t="str">
        <f ca="1"/>
        <v>LIB</v>
      </c>
      <c r="D78" t="str">
        <f ca="1"/>
        <v>Hamalčík</v>
      </c>
      <c r="E78">
        <f ca="1"/>
        <v>0</v>
      </c>
      <c r="F78">
        <f ca="1"/>
        <v>23</v>
      </c>
      <c r="G78">
        <f ca="1"/>
        <v>19</v>
      </c>
      <c r="H78">
        <f ca="1"/>
        <v>4</v>
      </c>
      <c r="I78">
        <f t="shared" ca="1" si="2"/>
        <v>0.82608695652173914</v>
      </c>
      <c r="J78">
        <f t="shared" ca="1" si="3"/>
        <v>-1.8666312946170178</v>
      </c>
    </row>
    <row r="79" spans="1:10" x14ac:dyDescent="0.25">
      <c r="A79" t="str">
        <f ca="1"/>
        <v>25/26</v>
      </c>
      <c r="B79" s="3">
        <f ca="1"/>
        <v>45933</v>
      </c>
      <c r="C79" t="str">
        <f ca="1"/>
        <v>LIB</v>
      </c>
      <c r="D79" t="str">
        <f ca="1"/>
        <v>Hamalčík</v>
      </c>
      <c r="E79">
        <f ca="1"/>
        <v>0</v>
      </c>
      <c r="F79">
        <f ca="1"/>
        <v>30</v>
      </c>
      <c r="G79">
        <f ca="1"/>
        <v>30</v>
      </c>
      <c r="H79">
        <f ca="1"/>
        <v>0</v>
      </c>
      <c r="I79">
        <f t="shared" ca="1" si="2"/>
        <v>1</v>
      </c>
      <c r="J79">
        <f t="shared" ca="1" si="3"/>
        <v>2.7826548331082379</v>
      </c>
    </row>
    <row r="80" spans="1:10" x14ac:dyDescent="0.25">
      <c r="I80" t="str">
        <f t="shared" si="2"/>
        <v/>
      </c>
      <c r="J80">
        <f t="shared" si="3"/>
        <v>0</v>
      </c>
    </row>
    <row r="81" spans="1:10" s="9" customFormat="1" x14ac:dyDescent="0.25">
      <c r="B81" s="10"/>
      <c r="I81" t="str">
        <f t="shared" si="2"/>
        <v/>
      </c>
      <c r="J81">
        <f t="shared" si="3"/>
        <v>0</v>
      </c>
    </row>
    <row r="82" spans="1:10" s="11" customFormat="1" x14ac:dyDescent="0.25">
      <c r="A82" s="11" t="str" cm="1">
        <f t="array" aca="1" ref="A82:H86" ca="1">_xlfn.TAKE(_xlfn._xlws.SORT((_xlfn._xlws.FILTER(RAW_GOALIES_GAMES!A:H,(RAW_GOALIES_GAMES!D:D=CALC_GOALIES!B18),(RAW_GOALIES_GAMES!B:B&lt;TODAY()))),1,-1),-5)</f>
        <v>25/26</v>
      </c>
      <c r="B82" s="12">
        <f ca="1"/>
        <v>46017</v>
      </c>
      <c r="C82" s="11" t="str">
        <f ca="1"/>
        <v>CEB</v>
      </c>
      <c r="D82" s="11" t="str">
        <f ca="1"/>
        <v>Strmeň</v>
      </c>
      <c r="E82" s="11">
        <f ca="1"/>
        <v>0</v>
      </c>
      <c r="F82" s="11">
        <f ca="1"/>
        <v>27</v>
      </c>
      <c r="G82" s="11">
        <f ca="1"/>
        <v>33</v>
      </c>
      <c r="H82" s="11">
        <f ca="1"/>
        <v>2</v>
      </c>
      <c r="I82">
        <f t="shared" ca="1" si="2"/>
        <v>0.92592592592592593</v>
      </c>
      <c r="J82">
        <f t="shared" ca="1" si="3"/>
        <v>0.5043893497974139</v>
      </c>
    </row>
    <row r="83" spans="1:10" x14ac:dyDescent="0.25">
      <c r="A83" t="str">
        <f ca="1"/>
        <v>25/26</v>
      </c>
      <c r="B83" s="3">
        <f ca="1"/>
        <v>46019</v>
      </c>
      <c r="C83" t="str">
        <f ca="1"/>
        <v>CEB</v>
      </c>
      <c r="D83" t="str">
        <f ca="1"/>
        <v>Strmeň</v>
      </c>
      <c r="E83">
        <f ca="1"/>
        <v>0</v>
      </c>
      <c r="F83">
        <f ca="1"/>
        <v>29</v>
      </c>
      <c r="G83">
        <f ca="1"/>
        <v>25</v>
      </c>
      <c r="H83">
        <f ca="1"/>
        <v>4</v>
      </c>
      <c r="I83">
        <f t="shared" ca="1" si="2"/>
        <v>0.86206896551724133</v>
      </c>
      <c r="J83">
        <f t="shared" ca="1" si="3"/>
        <v>-1.3101003279953698</v>
      </c>
    </row>
    <row r="84" spans="1:10" x14ac:dyDescent="0.25">
      <c r="A84" t="str">
        <f ca="1"/>
        <v>25/26</v>
      </c>
      <c r="B84" s="3">
        <f ca="1"/>
        <v>46021</v>
      </c>
      <c r="C84" t="str">
        <f ca="1"/>
        <v>CEB</v>
      </c>
      <c r="D84" t="str">
        <f ca="1"/>
        <v>Strmeň</v>
      </c>
      <c r="E84">
        <f ca="1"/>
        <v>0</v>
      </c>
      <c r="F84">
        <f ca="1"/>
        <v>21</v>
      </c>
      <c r="G84">
        <f ca="1"/>
        <v>19</v>
      </c>
      <c r="H84">
        <f ca="1"/>
        <v>3</v>
      </c>
      <c r="I84">
        <f t="shared" ca="1" si="2"/>
        <v>0.8571428571428571</v>
      </c>
      <c r="J84">
        <f t="shared" ca="1" si="3"/>
        <v>-1.0521416168242335</v>
      </c>
    </row>
    <row r="85" spans="1:10" x14ac:dyDescent="0.25">
      <c r="A85" t="str">
        <f ca="1"/>
        <v>25/26</v>
      </c>
      <c r="B85" s="3">
        <f ca="1"/>
        <v>46024</v>
      </c>
      <c r="C85" t="str">
        <f ca="1"/>
        <v>CEB</v>
      </c>
      <c r="D85" t="str">
        <f ca="1"/>
        <v>Strmeň</v>
      </c>
      <c r="E85">
        <f ca="1"/>
        <v>0</v>
      </c>
      <c r="F85">
        <f ca="1"/>
        <v>29</v>
      </c>
      <c r="G85">
        <f ca="1"/>
        <v>25</v>
      </c>
      <c r="H85">
        <f ca="1"/>
        <v>4</v>
      </c>
      <c r="I85">
        <f t="shared" ca="1" si="2"/>
        <v>0.86206896551724133</v>
      </c>
      <c r="J85">
        <f t="shared" ca="1" si="3"/>
        <v>-1.3101003279953698</v>
      </c>
    </row>
    <row r="86" spans="1:10" s="9" customFormat="1" x14ac:dyDescent="0.25">
      <c r="A86" s="9" t="str">
        <f ca="1"/>
        <v>25/26</v>
      </c>
      <c r="B86" s="10">
        <f ca="1"/>
        <v>46049</v>
      </c>
      <c r="C86" s="9" t="str">
        <f ca="1"/>
        <v>CEB</v>
      </c>
      <c r="D86" s="9" t="str">
        <f ca="1"/>
        <v>Strmeň</v>
      </c>
      <c r="E86" s="9">
        <f ca="1"/>
        <v>0</v>
      </c>
      <c r="F86" s="9">
        <f ca="1"/>
        <v>33</v>
      </c>
      <c r="G86" s="9">
        <f ca="1"/>
        <v>27</v>
      </c>
      <c r="H86" s="9">
        <f ca="1"/>
        <v>6</v>
      </c>
      <c r="I86">
        <f t="shared" ca="1" si="2"/>
        <v>0.81818181818181823</v>
      </c>
      <c r="J86">
        <f t="shared" ca="1" si="3"/>
        <v>-2.9390796835809381</v>
      </c>
    </row>
    <row r="87" spans="1:10" s="11" customFormat="1" x14ac:dyDescent="0.25">
      <c r="A87" s="11" t="str" cm="1">
        <f t="array" aca="1" ref="A87:H88" ca="1">_xlfn.TAKE(_xlfn._xlws.SORT((_xlfn._xlws.FILTER(RAW_GOALIES_GAMES!A:H,(RAW_GOALIES_GAMES!D:D=CALC_GOALIES!B19),(RAW_GOALIES_GAMES!B:B&lt;TODAY()))),1,-1),-5)</f>
        <v>25/26</v>
      </c>
      <c r="B87" s="12">
        <f ca="1"/>
        <v>45996</v>
      </c>
      <c r="C87" s="11" t="str">
        <f ca="1"/>
        <v>MHK</v>
      </c>
      <c r="D87" s="11" t="str">
        <f ca="1"/>
        <v>Soukup</v>
      </c>
      <c r="E87" s="11">
        <f ca="1"/>
        <v>0</v>
      </c>
      <c r="F87" s="11">
        <f ca="1"/>
        <v>33</v>
      </c>
      <c r="G87" s="11">
        <f ca="1"/>
        <v>31</v>
      </c>
      <c r="H87" s="11">
        <f ca="1"/>
        <v>2</v>
      </c>
      <c r="I87">
        <f t="shared" ca="1" si="2"/>
        <v>0.93939393939393945</v>
      </c>
      <c r="J87">
        <f t="shared" ca="1" si="3"/>
        <v>1.0609203164190619</v>
      </c>
    </row>
    <row r="88" spans="1:10" x14ac:dyDescent="0.25">
      <c r="A88" t="str">
        <f ca="1"/>
        <v>25/26</v>
      </c>
      <c r="B88" s="3">
        <f ca="1"/>
        <v>45998</v>
      </c>
      <c r="C88" t="str">
        <f ca="1"/>
        <v>MHK</v>
      </c>
      <c r="D88" t="str">
        <f ca="1"/>
        <v>Soukup</v>
      </c>
      <c r="E88">
        <f ca="1"/>
        <v>0</v>
      </c>
      <c r="F88">
        <f ca="1"/>
        <v>29</v>
      </c>
      <c r="G88">
        <f ca="1"/>
        <v>25</v>
      </c>
      <c r="H88">
        <f ca="1"/>
        <v>4</v>
      </c>
      <c r="I88">
        <f t="shared" ca="1" si="2"/>
        <v>0.86206896551724133</v>
      </c>
      <c r="J88">
        <f t="shared" ca="1" si="3"/>
        <v>-1.3101003279953698</v>
      </c>
    </row>
    <row r="89" spans="1:10" x14ac:dyDescent="0.25">
      <c r="I89" t="str">
        <f t="shared" si="2"/>
        <v/>
      </c>
      <c r="J89">
        <f t="shared" si="3"/>
        <v>0</v>
      </c>
    </row>
    <row r="90" spans="1:10" x14ac:dyDescent="0.25">
      <c r="I90" t="str">
        <f t="shared" si="2"/>
        <v/>
      </c>
      <c r="J90">
        <f t="shared" si="3"/>
        <v>0</v>
      </c>
    </row>
    <row r="91" spans="1:10" s="9" customFormat="1" x14ac:dyDescent="0.25">
      <c r="B91" s="10"/>
      <c r="I91" t="str">
        <f t="shared" si="2"/>
        <v/>
      </c>
      <c r="J91">
        <f t="shared" si="3"/>
        <v>0</v>
      </c>
    </row>
    <row r="92" spans="1:10" x14ac:dyDescent="0.25">
      <c r="A92" s="11" t="str" cm="1">
        <f t="array" aca="1" ref="A92:H96" ca="1">_xlfn.TAKE(_xlfn._xlws.SORT((_xlfn._xlws.FILTER(RAW_GOALIES_GAMES!A:H,(RAW_GOALIES_GAMES!D:D=CALC_GOALIES!B20),(RAW_GOALIES_GAMES!B:B&lt;TODAY()))),1,-1),-5)</f>
        <v>25/26</v>
      </c>
      <c r="B92" s="3">
        <f ca="1"/>
        <v>46049</v>
      </c>
      <c r="C92" t="str">
        <f ca="1"/>
        <v>KOM</v>
      </c>
      <c r="D92" t="str">
        <f ca="1"/>
        <v>Stezka</v>
      </c>
      <c r="E92">
        <f ca="1"/>
        <v>0</v>
      </c>
      <c r="F92">
        <f ca="1"/>
        <v>26</v>
      </c>
      <c r="G92">
        <f ca="1"/>
        <v>22</v>
      </c>
      <c r="H92">
        <f ca="1"/>
        <v>4</v>
      </c>
      <c r="I92">
        <f t="shared" ca="1" si="2"/>
        <v>0.84615384615384615</v>
      </c>
      <c r="J92">
        <f t="shared" ca="1" si="3"/>
        <v>-1.5883658113061938</v>
      </c>
    </row>
    <row r="93" spans="1:10" x14ac:dyDescent="0.25">
      <c r="A93" t="str">
        <f ca="1"/>
        <v>25/26</v>
      </c>
      <c r="B93" s="3">
        <f ca="1"/>
        <v>46052</v>
      </c>
      <c r="C93" t="str">
        <f ca="1"/>
        <v>KOM</v>
      </c>
      <c r="D93" t="str">
        <f ca="1"/>
        <v>Stezka</v>
      </c>
      <c r="E93">
        <f ca="1"/>
        <v>0</v>
      </c>
      <c r="F93">
        <f ca="1"/>
        <v>25</v>
      </c>
      <c r="G93">
        <f ca="1"/>
        <v>35</v>
      </c>
      <c r="H93">
        <f ca="1"/>
        <v>3</v>
      </c>
      <c r="I93">
        <f t="shared" ca="1" si="2"/>
        <v>0.88</v>
      </c>
      <c r="J93">
        <f t="shared" ca="1" si="3"/>
        <v>-0.68112097240980152</v>
      </c>
    </row>
    <row r="94" spans="1:10" x14ac:dyDescent="0.25">
      <c r="A94" t="str">
        <f ca="1"/>
        <v>25/26</v>
      </c>
      <c r="B94" s="3">
        <f ca="1"/>
        <v>46080</v>
      </c>
      <c r="C94" t="str">
        <f ca="1"/>
        <v>KOM</v>
      </c>
      <c r="D94" t="str">
        <f ca="1"/>
        <v>Stezka</v>
      </c>
      <c r="E94">
        <f ca="1"/>
        <v>0</v>
      </c>
      <c r="F94">
        <f ca="1"/>
        <v>43</v>
      </c>
      <c r="G94">
        <f ca="1"/>
        <v>42</v>
      </c>
      <c r="H94">
        <f ca="1"/>
        <v>1</v>
      </c>
      <c r="I94">
        <f t="shared" ca="1" si="2"/>
        <v>0.97674418604651159</v>
      </c>
      <c r="J94">
        <f t="shared" ca="1" si="3"/>
        <v>2.9884719274551408</v>
      </c>
    </row>
    <row r="95" spans="1:10" x14ac:dyDescent="0.25">
      <c r="A95" t="str">
        <f ca="1"/>
        <v>25/26</v>
      </c>
      <c r="B95" s="3">
        <f ca="1"/>
        <v>46082</v>
      </c>
      <c r="C95" t="str">
        <f ca="1"/>
        <v>KOM</v>
      </c>
      <c r="D95" t="str">
        <f ca="1"/>
        <v>Stezka</v>
      </c>
      <c r="E95">
        <f ca="1"/>
        <v>0</v>
      </c>
      <c r="F95">
        <f ca="1"/>
        <v>32</v>
      </c>
      <c r="G95">
        <f ca="1"/>
        <v>28</v>
      </c>
      <c r="H95">
        <f ca="1"/>
        <v>4</v>
      </c>
      <c r="I95">
        <f t="shared" ca="1" si="2"/>
        <v>0.875</v>
      </c>
      <c r="J95">
        <f t="shared" ca="1" si="3"/>
        <v>-1.0318348446845462</v>
      </c>
    </row>
    <row r="96" spans="1:10" s="9" customFormat="1" x14ac:dyDescent="0.25">
      <c r="A96" s="9" t="str">
        <f ca="1"/>
        <v>25/26</v>
      </c>
      <c r="B96" s="10">
        <f ca="1"/>
        <v>46087</v>
      </c>
      <c r="C96" s="9" t="str">
        <f ca="1"/>
        <v>KOM</v>
      </c>
      <c r="D96" s="9" t="str">
        <f ca="1"/>
        <v>Stezka</v>
      </c>
      <c r="E96" s="9">
        <f ca="1"/>
        <v>0</v>
      </c>
      <c r="F96" s="9">
        <f ca="1"/>
        <v>28</v>
      </c>
      <c r="G96" s="9">
        <f ca="1"/>
        <v>23</v>
      </c>
      <c r="H96" s="9">
        <f ca="1"/>
        <v>4</v>
      </c>
      <c r="I96">
        <f t="shared" ca="1" si="2"/>
        <v>0.8571428571428571</v>
      </c>
      <c r="J96">
        <f t="shared" ca="1" si="3"/>
        <v>-1.4028554890989779</v>
      </c>
    </row>
    <row r="97" spans="1:10" s="11" customFormat="1" x14ac:dyDescent="0.25">
      <c r="A97" s="11" t="str" cm="1">
        <f t="array" aca="1" ref="A97:H101" ca="1">_xlfn.TAKE(_xlfn._xlws.SORT((_xlfn._xlws.FILTER(RAW_GOALIES_GAMES!A:H,(RAW_GOALIES_GAMES!D:D=CALC_GOALIES!B21),(RAW_GOALIES_GAMES!B:B&lt;TODAY()))),1,-1),-5)</f>
        <v>25/26</v>
      </c>
      <c r="B97" s="12">
        <f ca="1"/>
        <v>46038</v>
      </c>
      <c r="C97" s="11" t="str">
        <f ca="1"/>
        <v>LIT</v>
      </c>
      <c r="D97" s="11" t="str">
        <f ca="1"/>
        <v>Tomek</v>
      </c>
      <c r="E97" s="11">
        <f ca="1"/>
        <v>0</v>
      </c>
      <c r="F97" s="11">
        <f ca="1"/>
        <v>29</v>
      </c>
      <c r="G97" s="11">
        <f ca="1"/>
        <v>25</v>
      </c>
      <c r="H97" s="11">
        <f ca="1"/>
        <v>4</v>
      </c>
      <c r="I97">
        <f t="shared" ca="1" si="2"/>
        <v>0.86206896551724133</v>
      </c>
      <c r="J97">
        <f t="shared" ca="1" si="3"/>
        <v>-1.3101003279953698</v>
      </c>
    </row>
    <row r="98" spans="1:10" x14ac:dyDescent="0.25">
      <c r="A98" t="str">
        <f ca="1"/>
        <v>25/26</v>
      </c>
      <c r="B98" s="3">
        <f ca="1"/>
        <v>46040</v>
      </c>
      <c r="C98" t="str">
        <f ca="1"/>
        <v>LIT</v>
      </c>
      <c r="D98" t="str">
        <f ca="1"/>
        <v>Tomek</v>
      </c>
      <c r="E98">
        <f ca="1"/>
        <v>0</v>
      </c>
      <c r="F98">
        <f ca="1"/>
        <v>28</v>
      </c>
      <c r="G98">
        <f ca="1"/>
        <v>24</v>
      </c>
      <c r="H98">
        <f ca="1"/>
        <v>4</v>
      </c>
      <c r="I98">
        <f t="shared" ca="1" si="2"/>
        <v>0.8571428571428571</v>
      </c>
      <c r="J98">
        <f t="shared" ca="1" si="3"/>
        <v>-1.4028554890989779</v>
      </c>
    </row>
    <row r="99" spans="1:10" x14ac:dyDescent="0.25">
      <c r="A99" t="str">
        <f ca="1"/>
        <v>25/26</v>
      </c>
      <c r="B99" s="3">
        <f ca="1"/>
        <v>46049</v>
      </c>
      <c r="C99" t="str">
        <f ca="1"/>
        <v>LIT</v>
      </c>
      <c r="D99" t="str">
        <f ca="1"/>
        <v>Tomek</v>
      </c>
      <c r="E99">
        <f ca="1"/>
        <v>0</v>
      </c>
      <c r="F99">
        <f ca="1"/>
        <v>33</v>
      </c>
      <c r="G99">
        <f ca="1"/>
        <v>32</v>
      </c>
      <c r="H99">
        <f ca="1"/>
        <v>1</v>
      </c>
      <c r="I99">
        <f t="shared" ca="1" si="2"/>
        <v>0.96969696969696972</v>
      </c>
      <c r="J99">
        <f t="shared" ca="1" si="3"/>
        <v>2.0609203164190619</v>
      </c>
    </row>
    <row r="100" spans="1:10" x14ac:dyDescent="0.25">
      <c r="A100" t="str">
        <f ca="1"/>
        <v>25/26</v>
      </c>
      <c r="B100" s="3">
        <f ca="1"/>
        <v>46082</v>
      </c>
      <c r="C100" t="str">
        <f ca="1"/>
        <v>LIT</v>
      </c>
      <c r="D100" t="str">
        <f ca="1"/>
        <v>Tomek</v>
      </c>
      <c r="E100">
        <f ca="1"/>
        <v>0</v>
      </c>
      <c r="F100">
        <f ca="1"/>
        <v>43</v>
      </c>
      <c r="G100">
        <f ca="1"/>
        <v>40</v>
      </c>
      <c r="H100">
        <f ca="1"/>
        <v>3</v>
      </c>
      <c r="I100">
        <f t="shared" ca="1" si="2"/>
        <v>0.93023255813953487</v>
      </c>
      <c r="J100">
        <f t="shared" ca="1" si="3"/>
        <v>0.98847192745514079</v>
      </c>
    </row>
    <row r="101" spans="1:10" s="9" customFormat="1" x14ac:dyDescent="0.25">
      <c r="A101" s="9" t="str">
        <f ca="1"/>
        <v>25/26</v>
      </c>
      <c r="B101" s="10">
        <f ca="1"/>
        <v>46085</v>
      </c>
      <c r="C101" s="9" t="str">
        <f ca="1"/>
        <v>LIT</v>
      </c>
      <c r="D101" s="9" t="str">
        <f ca="1"/>
        <v>Tomek</v>
      </c>
      <c r="E101" s="9">
        <f ca="1"/>
        <v>0</v>
      </c>
      <c r="F101" s="9">
        <f ca="1"/>
        <v>33</v>
      </c>
      <c r="G101" s="9">
        <f ca="1"/>
        <v>29</v>
      </c>
      <c r="H101" s="9">
        <f ca="1"/>
        <v>4</v>
      </c>
      <c r="I101">
        <f t="shared" ca="1" si="2"/>
        <v>0.87878787878787878</v>
      </c>
      <c r="J101">
        <f t="shared" ca="1" si="3"/>
        <v>-0.93907968358093807</v>
      </c>
    </row>
    <row r="102" spans="1:10" s="11" customFormat="1" x14ac:dyDescent="0.25">
      <c r="A102" s="11" t="str" cm="1">
        <f t="array" aca="1" ref="A102:H106" ca="1">_xlfn.TAKE(_xlfn._xlws.SORT((_xlfn._xlws.FILTER(RAW_GOALIES_GAMES!A:H,(RAW_GOALIES_GAMES!D:D=CALC_GOALIES!B22),(RAW_GOALIES_GAMES!B:B&lt;TODAY()))),1,-1),-5)</f>
        <v>25/26</v>
      </c>
      <c r="B102" s="12">
        <f ca="1"/>
        <v>45994</v>
      </c>
      <c r="C102" s="11" t="str">
        <f ca="1"/>
        <v>TRI</v>
      </c>
      <c r="D102" s="11" t="str">
        <f ca="1"/>
        <v>Kacetl</v>
      </c>
      <c r="E102" s="11">
        <f ca="1"/>
        <v>0</v>
      </c>
      <c r="F102" s="11">
        <f ca="1"/>
        <v>23</v>
      </c>
      <c r="G102" s="11">
        <f ca="1"/>
        <v>22</v>
      </c>
      <c r="H102" s="11">
        <f ca="1"/>
        <v>1</v>
      </c>
      <c r="I102">
        <f t="shared" ca="1" si="2"/>
        <v>0.95652173913043481</v>
      </c>
      <c r="J102">
        <f t="shared" ca="1" si="3"/>
        <v>1.1333687053829822</v>
      </c>
    </row>
    <row r="103" spans="1:10" x14ac:dyDescent="0.25">
      <c r="A103" t="str">
        <f ca="1"/>
        <v>25/26</v>
      </c>
      <c r="B103" s="3">
        <f ca="1"/>
        <v>45996</v>
      </c>
      <c r="C103" t="str">
        <f ca="1"/>
        <v>TRI</v>
      </c>
      <c r="D103" t="str">
        <f ca="1"/>
        <v>Kacetl</v>
      </c>
      <c r="E103">
        <f ca="1"/>
        <v>0</v>
      </c>
      <c r="F103">
        <f ca="1"/>
        <v>34</v>
      </c>
      <c r="G103">
        <f ca="1"/>
        <v>29</v>
      </c>
      <c r="H103">
        <f ca="1"/>
        <v>5</v>
      </c>
      <c r="I103">
        <f t="shared" ca="1" si="2"/>
        <v>0.8529411764705882</v>
      </c>
      <c r="J103">
        <f t="shared" ca="1" si="3"/>
        <v>-1.8463245224773304</v>
      </c>
    </row>
    <row r="104" spans="1:10" x14ac:dyDescent="0.25">
      <c r="A104" t="str">
        <f ca="1"/>
        <v>25/26</v>
      </c>
      <c r="B104" s="3">
        <f ca="1"/>
        <v>46008</v>
      </c>
      <c r="C104" t="str">
        <f ca="1"/>
        <v>TRI</v>
      </c>
      <c r="D104" t="str">
        <f ca="1"/>
        <v>Kacetl</v>
      </c>
      <c r="E104">
        <f ca="1"/>
        <v>0</v>
      </c>
      <c r="F104">
        <f ca="1"/>
        <v>30</v>
      </c>
      <c r="G104">
        <f ca="1"/>
        <v>25</v>
      </c>
      <c r="H104">
        <f ca="1"/>
        <v>5</v>
      </c>
      <c r="I104">
        <f t="shared" ca="1" si="2"/>
        <v>0.83333333333333337</v>
      </c>
      <c r="J104">
        <f t="shared" ca="1" si="3"/>
        <v>-2.2173451668917621</v>
      </c>
    </row>
    <row r="105" spans="1:10" x14ac:dyDescent="0.25">
      <c r="A105" t="str">
        <f ca="1"/>
        <v>25/26</v>
      </c>
      <c r="B105" s="3">
        <f ca="1"/>
        <v>46033</v>
      </c>
      <c r="C105" t="str">
        <f ca="1"/>
        <v>TRI</v>
      </c>
      <c r="D105" t="str">
        <f ca="1"/>
        <v>Kacetl</v>
      </c>
      <c r="E105">
        <f ca="1"/>
        <v>0</v>
      </c>
      <c r="F105">
        <f ca="1"/>
        <v>32</v>
      </c>
      <c r="G105">
        <f ca="1"/>
        <v>29</v>
      </c>
      <c r="H105">
        <f ca="1"/>
        <v>3</v>
      </c>
      <c r="I105">
        <f t="shared" ca="1" si="2"/>
        <v>0.90625</v>
      </c>
      <c r="J105">
        <f t="shared" ca="1" si="3"/>
        <v>-3.1834844684546226E-2</v>
      </c>
    </row>
    <row r="106" spans="1:10" s="9" customFormat="1" x14ac:dyDescent="0.25">
      <c r="A106" s="9" t="str">
        <f ca="1"/>
        <v>25/26</v>
      </c>
      <c r="B106" s="10">
        <f ca="1"/>
        <v>46038</v>
      </c>
      <c r="C106" s="9" t="str">
        <f ca="1"/>
        <v>TRI</v>
      </c>
      <c r="D106" s="9" t="str">
        <f ca="1"/>
        <v>Kacetl</v>
      </c>
      <c r="E106" s="9">
        <f ca="1"/>
        <v>0</v>
      </c>
      <c r="F106" s="9">
        <f ca="1"/>
        <v>23</v>
      </c>
      <c r="G106" s="9">
        <f ca="1"/>
        <v>18</v>
      </c>
      <c r="H106" s="9">
        <f ca="1"/>
        <v>5</v>
      </c>
      <c r="I106">
        <f t="shared" ca="1" si="2"/>
        <v>0.78260869565217395</v>
      </c>
      <c r="J106">
        <f t="shared" ca="1" si="3"/>
        <v>-2.8666312946170178</v>
      </c>
    </row>
    <row r="107" spans="1:10" x14ac:dyDescent="0.25">
      <c r="A107" s="11" t="str" cm="1">
        <f t="array" aca="1" ref="A107:H111" ca="1">_xlfn.TAKE(_xlfn._xlws.SORT((_xlfn._xlws.FILTER(RAW_GOALIES_GAMES!A:H,(RAW_GOALIES_GAMES!D:D=CALC_GOALIES!B23),(RAW_GOALIES_GAMES!B:B&lt;TODAY()))),1,-1),-5)</f>
        <v>25/26</v>
      </c>
      <c r="B107" s="3">
        <f ca="1"/>
        <v>45986</v>
      </c>
      <c r="C107" t="str">
        <f ca="1"/>
        <v>CEB</v>
      </c>
      <c r="D107" t="str">
        <f ca="1"/>
        <v>Westerholm</v>
      </c>
      <c r="E107">
        <f ca="1"/>
        <v>0</v>
      </c>
      <c r="F107">
        <f ca="1"/>
        <v>34</v>
      </c>
      <c r="G107">
        <f ca="1"/>
        <v>29</v>
      </c>
      <c r="H107">
        <f ca="1"/>
        <v>5</v>
      </c>
      <c r="I107">
        <f t="shared" ca="1" si="2"/>
        <v>0.8529411764705882</v>
      </c>
      <c r="J107">
        <f t="shared" ca="1" si="3"/>
        <v>-1.8463245224773304</v>
      </c>
    </row>
    <row r="108" spans="1:10" x14ac:dyDescent="0.25">
      <c r="A108" t="str">
        <f ca="1"/>
        <v>25/26</v>
      </c>
      <c r="B108" s="3">
        <f ca="1"/>
        <v>45989</v>
      </c>
      <c r="C108" t="str">
        <f ca="1"/>
        <v>CEB</v>
      </c>
      <c r="D108" t="str">
        <f ca="1"/>
        <v>Westerholm</v>
      </c>
      <c r="E108">
        <f ca="1"/>
        <v>0</v>
      </c>
      <c r="F108">
        <f ca="1"/>
        <v>34</v>
      </c>
      <c r="G108">
        <f ca="1"/>
        <v>33</v>
      </c>
      <c r="H108">
        <f ca="1"/>
        <v>1</v>
      </c>
      <c r="I108">
        <f t="shared" ca="1" si="2"/>
        <v>0.97058823529411764</v>
      </c>
      <c r="J108">
        <f t="shared" ca="1" si="3"/>
        <v>2.1536754775226696</v>
      </c>
    </row>
    <row r="109" spans="1:10" x14ac:dyDescent="0.25">
      <c r="A109" t="str">
        <f ca="1"/>
        <v>25/26</v>
      </c>
      <c r="B109" s="3">
        <f ca="1"/>
        <v>45991</v>
      </c>
      <c r="C109" t="str">
        <f ca="1"/>
        <v>CEB</v>
      </c>
      <c r="D109" t="str">
        <f ca="1"/>
        <v>Westerholm</v>
      </c>
      <c r="E109">
        <f ca="1"/>
        <v>0</v>
      </c>
      <c r="F109">
        <f ca="1"/>
        <v>30</v>
      </c>
      <c r="G109">
        <f ca="1"/>
        <v>26</v>
      </c>
      <c r="H109">
        <f ca="1"/>
        <v>4</v>
      </c>
      <c r="I109">
        <f t="shared" ca="1" si="2"/>
        <v>0.8666666666666667</v>
      </c>
      <c r="J109">
        <f t="shared" ca="1" si="3"/>
        <v>-1.2173451668917621</v>
      </c>
    </row>
    <row r="110" spans="1:10" x14ac:dyDescent="0.25">
      <c r="A110" t="str">
        <f ca="1"/>
        <v>25/26</v>
      </c>
      <c r="B110" s="3">
        <f ca="1"/>
        <v>45996</v>
      </c>
      <c r="C110" t="str">
        <f ca="1"/>
        <v>CEB</v>
      </c>
      <c r="D110" t="str">
        <f ca="1"/>
        <v>Westerholm</v>
      </c>
      <c r="E110">
        <f ca="1"/>
        <v>0</v>
      </c>
      <c r="F110">
        <f ca="1"/>
        <v>22</v>
      </c>
      <c r="G110">
        <f ca="1"/>
        <v>32</v>
      </c>
      <c r="H110">
        <f ca="1"/>
        <v>2</v>
      </c>
      <c r="I110">
        <f t="shared" ca="1" si="2"/>
        <v>0.90909090909090906</v>
      </c>
      <c r="J110">
        <f t="shared" ca="1" si="3"/>
        <v>4.0613544279374469E-2</v>
      </c>
    </row>
    <row r="111" spans="1:10" s="9" customFormat="1" x14ac:dyDescent="0.25">
      <c r="A111" s="9" t="str">
        <f ca="1"/>
        <v>25/26</v>
      </c>
      <c r="B111" s="10">
        <f ca="1"/>
        <v>45998</v>
      </c>
      <c r="C111" s="9" t="str">
        <f ca="1"/>
        <v>CEB</v>
      </c>
      <c r="D111" s="9" t="str">
        <f ca="1"/>
        <v>Westerholm</v>
      </c>
      <c r="E111" s="9">
        <f ca="1"/>
        <v>0</v>
      </c>
      <c r="F111" s="9">
        <f ca="1"/>
        <v>28</v>
      </c>
      <c r="G111" s="9">
        <f ca="1"/>
        <v>22</v>
      </c>
      <c r="H111" s="9">
        <f ca="1"/>
        <v>6</v>
      </c>
      <c r="I111">
        <f t="shared" ca="1" si="2"/>
        <v>0.7857142857142857</v>
      </c>
      <c r="J111">
        <f t="shared" ca="1" si="3"/>
        <v>-3.4028554890989779</v>
      </c>
    </row>
    <row r="112" spans="1:10" s="11" customFormat="1" x14ac:dyDescent="0.25">
      <c r="A112" s="11" t="str" cm="1">
        <f t="array" aca="1" ref="A112:H116" ca="1">_xlfn.TAKE(_xlfn._xlws.SORT((_xlfn._xlws.FILTER(RAW_GOALIES_GAMES!A:H,(RAW_GOALIES_GAMES!D:D=CALC_GOALIES!B24),(RAW_GOALIES_GAMES!B:B&lt;TODAY()))),1,-1),-5)</f>
        <v>25/26</v>
      </c>
      <c r="B112" s="12">
        <f ca="1"/>
        <v>45949</v>
      </c>
      <c r="C112" s="11" t="str">
        <f ca="1"/>
        <v>KOM</v>
      </c>
      <c r="D112" s="11" t="str">
        <f ca="1"/>
        <v>Kavan</v>
      </c>
      <c r="E112" s="11">
        <f ca="1"/>
        <v>0</v>
      </c>
      <c r="F112" s="11">
        <f ca="1"/>
        <v>40</v>
      </c>
      <c r="G112" s="11">
        <f ca="1"/>
        <v>36</v>
      </c>
      <c r="H112" s="11">
        <f ca="1"/>
        <v>4</v>
      </c>
      <c r="I112">
        <f t="shared" ca="1" si="2"/>
        <v>0.9</v>
      </c>
      <c r="J112">
        <f t="shared" ca="1" si="3"/>
        <v>-0.28979355585568278</v>
      </c>
    </row>
    <row r="113" spans="1:10" x14ac:dyDescent="0.25">
      <c r="A113" t="str">
        <f ca="1"/>
        <v>25/26</v>
      </c>
      <c r="B113" s="3">
        <f ca="1"/>
        <v>45958</v>
      </c>
      <c r="C113" t="str">
        <f ca="1"/>
        <v>KOM</v>
      </c>
      <c r="D113" t="str">
        <f ca="1"/>
        <v>Kavan</v>
      </c>
      <c r="E113">
        <f ca="1"/>
        <v>0</v>
      </c>
      <c r="F113">
        <f ca="1"/>
        <v>22</v>
      </c>
      <c r="G113">
        <f ca="1"/>
        <v>20</v>
      </c>
      <c r="H113">
        <f ca="1"/>
        <v>2</v>
      </c>
      <c r="I113">
        <f t="shared" ca="1" si="2"/>
        <v>0.90909090909090906</v>
      </c>
      <c r="J113">
        <f t="shared" ca="1" si="3"/>
        <v>4.0613544279374469E-2</v>
      </c>
    </row>
    <row r="114" spans="1:10" x14ac:dyDescent="0.25">
      <c r="A114" t="str">
        <f ca="1"/>
        <v>25/26</v>
      </c>
      <c r="B114" s="3">
        <f ca="1"/>
        <v>45986</v>
      </c>
      <c r="C114" t="str">
        <f ca="1"/>
        <v>KOM</v>
      </c>
      <c r="D114" t="str">
        <f ca="1"/>
        <v>Kavan</v>
      </c>
      <c r="E114">
        <f ca="1"/>
        <v>0</v>
      </c>
      <c r="F114">
        <f ca="1"/>
        <v>13</v>
      </c>
      <c r="G114">
        <f ca="1"/>
        <v>11</v>
      </c>
      <c r="H114">
        <f ca="1"/>
        <v>2</v>
      </c>
      <c r="I114">
        <f t="shared" ca="1" si="2"/>
        <v>0.84615384615384615</v>
      </c>
      <c r="J114">
        <f t="shared" ca="1" si="3"/>
        <v>-0.7941829056530969</v>
      </c>
    </row>
    <row r="115" spans="1:10" x14ac:dyDescent="0.25">
      <c r="A115" t="str">
        <f ca="1"/>
        <v>25/26</v>
      </c>
      <c r="B115" s="3">
        <f ca="1"/>
        <v>46024</v>
      </c>
      <c r="C115" t="str">
        <f ca="1"/>
        <v>KOM</v>
      </c>
      <c r="D115" t="str">
        <f ca="1"/>
        <v>Kavan</v>
      </c>
      <c r="E115">
        <f ca="1"/>
        <v>0</v>
      </c>
      <c r="F115">
        <f ca="1"/>
        <v>28</v>
      </c>
      <c r="G115">
        <f ca="1"/>
        <v>24</v>
      </c>
      <c r="H115">
        <f ca="1"/>
        <v>4</v>
      </c>
      <c r="I115">
        <f t="shared" ca="1" si="2"/>
        <v>0.8571428571428571</v>
      </c>
      <c r="J115">
        <f t="shared" ca="1" si="3"/>
        <v>-1.4028554890989779</v>
      </c>
    </row>
    <row r="116" spans="1:10" s="9" customFormat="1" x14ac:dyDescent="0.25">
      <c r="A116" s="9" t="str">
        <f ca="1"/>
        <v>25/26</v>
      </c>
      <c r="B116" s="10">
        <f ca="1"/>
        <v>46026</v>
      </c>
      <c r="C116" s="9" t="str">
        <f ca="1"/>
        <v>KOM</v>
      </c>
      <c r="D116" s="9" t="str">
        <f ca="1"/>
        <v>Kavan</v>
      </c>
      <c r="E116" s="9">
        <f ca="1"/>
        <v>0</v>
      </c>
      <c r="F116" s="9">
        <f ca="1"/>
        <v>25</v>
      </c>
      <c r="G116" s="9">
        <f ca="1"/>
        <v>22</v>
      </c>
      <c r="H116" s="9">
        <f ca="1"/>
        <v>3</v>
      </c>
      <c r="I116">
        <f t="shared" ca="1" si="2"/>
        <v>0.88</v>
      </c>
      <c r="J116">
        <f t="shared" ca="1" si="3"/>
        <v>-0.68112097240980152</v>
      </c>
    </row>
    <row r="117" spans="1:10" s="11" customFormat="1" x14ac:dyDescent="0.25">
      <c r="A117" s="11" t="str" cm="1">
        <f t="array" aca="1" ref="A117:H121" ca="1">_xlfn.TAKE(_xlfn._xlws.SORT((_xlfn._xlws.FILTER(RAW_GOALIES_GAMES!A:H,(RAW_GOALIES_GAMES!D:D=CALC_GOALIES!B25),(RAW_GOALIES_GAMES!B:B&lt;TODAY()))),1,-1),-5)</f>
        <v>25/26</v>
      </c>
      <c r="B117" s="12">
        <f ca="1"/>
        <v>46075</v>
      </c>
      <c r="C117" s="11" t="str">
        <f ca="1"/>
        <v>SPA</v>
      </c>
      <c r="D117" s="11" t="str">
        <f ca="1"/>
        <v>Kořenář</v>
      </c>
      <c r="E117" s="11">
        <f ca="1"/>
        <v>0</v>
      </c>
      <c r="F117" s="11">
        <f ca="1"/>
        <v>28</v>
      </c>
      <c r="G117" s="11">
        <f ca="1"/>
        <v>26</v>
      </c>
      <c r="H117" s="11">
        <f ca="1"/>
        <v>2</v>
      </c>
      <c r="I117">
        <f t="shared" ca="1" si="2"/>
        <v>0.9285714285714286</v>
      </c>
      <c r="J117">
        <f t="shared" ca="1" si="3"/>
        <v>0.59714451090102205</v>
      </c>
    </row>
    <row r="118" spans="1:10" x14ac:dyDescent="0.25">
      <c r="A118" t="str">
        <f ca="1"/>
        <v>25/26</v>
      </c>
      <c r="B118" s="3">
        <f ca="1"/>
        <v>46078</v>
      </c>
      <c r="C118" t="str">
        <f ca="1"/>
        <v>SPA</v>
      </c>
      <c r="D118" t="str">
        <f ca="1"/>
        <v>Kořenář</v>
      </c>
      <c r="E118">
        <f ca="1"/>
        <v>0</v>
      </c>
      <c r="F118">
        <f ca="1"/>
        <v>37</v>
      </c>
      <c r="G118">
        <f ca="1"/>
        <v>36</v>
      </c>
      <c r="H118">
        <f ca="1"/>
        <v>1</v>
      </c>
      <c r="I118">
        <f t="shared" ca="1" si="2"/>
        <v>0.97297297297297303</v>
      </c>
      <c r="J118">
        <f t="shared" ca="1" si="3"/>
        <v>2.4319409608334936</v>
      </c>
    </row>
    <row r="119" spans="1:10" x14ac:dyDescent="0.25">
      <c r="A119" t="str">
        <f ca="1"/>
        <v>25/26</v>
      </c>
      <c r="B119" s="3">
        <f ca="1"/>
        <v>46080</v>
      </c>
      <c r="C119" t="str">
        <f ca="1"/>
        <v>SPA</v>
      </c>
      <c r="D119" t="str">
        <f ca="1"/>
        <v>Kořenář</v>
      </c>
      <c r="E119">
        <f ca="1"/>
        <v>0</v>
      </c>
      <c r="F119">
        <f ca="1"/>
        <v>28</v>
      </c>
      <c r="G119">
        <f ca="1"/>
        <v>28</v>
      </c>
      <c r="H119">
        <f ca="1"/>
        <v>0</v>
      </c>
      <c r="I119">
        <f t="shared" ca="1" si="2"/>
        <v>1</v>
      </c>
      <c r="J119">
        <f t="shared" ca="1" si="3"/>
        <v>2.5971445109010221</v>
      </c>
    </row>
    <row r="120" spans="1:10" x14ac:dyDescent="0.25">
      <c r="A120" t="str">
        <f ca="1"/>
        <v>25/26</v>
      </c>
      <c r="B120" s="3">
        <f ca="1"/>
        <v>46082</v>
      </c>
      <c r="C120" t="str">
        <f ca="1"/>
        <v>SPA</v>
      </c>
      <c r="D120" t="str">
        <f ca="1"/>
        <v>Kořenář</v>
      </c>
      <c r="E120">
        <f ca="1"/>
        <v>0</v>
      </c>
      <c r="F120">
        <f ca="1"/>
        <v>19</v>
      </c>
      <c r="G120">
        <f ca="1"/>
        <v>13</v>
      </c>
      <c r="H120">
        <f ca="1"/>
        <v>6</v>
      </c>
      <c r="I120">
        <f t="shared" ca="1" si="2"/>
        <v>0.68421052631578949</v>
      </c>
      <c r="J120">
        <f t="shared" ca="1" si="3"/>
        <v>-4.2376519390314495</v>
      </c>
    </row>
    <row r="121" spans="1:10" s="9" customFormat="1" x14ac:dyDescent="0.25">
      <c r="A121" s="9" t="str">
        <f ca="1"/>
        <v>25/26</v>
      </c>
      <c r="B121" s="10">
        <f ca="1"/>
        <v>46085</v>
      </c>
      <c r="C121" s="9" t="str">
        <f ca="1"/>
        <v>SPA</v>
      </c>
      <c r="D121" s="9" t="str">
        <f ca="1"/>
        <v>Kořenář</v>
      </c>
      <c r="E121" s="9">
        <f ca="1"/>
        <v>0</v>
      </c>
      <c r="F121" s="9">
        <f ca="1"/>
        <v>27</v>
      </c>
      <c r="G121" s="9">
        <f ca="1"/>
        <v>24</v>
      </c>
      <c r="H121" s="9">
        <f ca="1"/>
        <v>3</v>
      </c>
      <c r="I121">
        <f t="shared" ca="1" si="2"/>
        <v>0.88888888888888884</v>
      </c>
      <c r="J121">
        <f t="shared" ca="1" si="3"/>
        <v>-0.4956106502025861</v>
      </c>
    </row>
    <row r="122" spans="1:10" x14ac:dyDescent="0.25">
      <c r="A122" s="11" t="str" cm="1">
        <f t="array" aca="1" ref="A122:H125" ca="1">_xlfn.TAKE(_xlfn._xlws.SORT((_xlfn._xlws.FILTER(RAW_GOALIES_GAMES!A:H,(RAW_GOALIES_GAMES!D:D=CALC_GOALIES!B26),(RAW_GOALIES_GAMES!B:B&lt;TODAY()))),1,-1),-5)</f>
        <v>25/26</v>
      </c>
      <c r="B122" s="3">
        <f ca="1"/>
        <v>45991</v>
      </c>
      <c r="C122" t="str">
        <f ca="1"/>
        <v>KOM</v>
      </c>
      <c r="D122" t="str">
        <f ca="1"/>
        <v>Krošelj</v>
      </c>
      <c r="E122">
        <f ca="1"/>
        <v>0</v>
      </c>
      <c r="F122">
        <f ca="1"/>
        <v>35</v>
      </c>
      <c r="G122">
        <f ca="1"/>
        <v>32</v>
      </c>
      <c r="H122">
        <f ca="1"/>
        <v>3</v>
      </c>
      <c r="I122">
        <f t="shared" ca="1" si="2"/>
        <v>0.91428571428571426</v>
      </c>
      <c r="J122">
        <f t="shared" ca="1" si="3"/>
        <v>0.24643063862627734</v>
      </c>
    </row>
    <row r="123" spans="1:10" x14ac:dyDescent="0.25">
      <c r="A123" t="str">
        <f ca="1"/>
        <v>25/26</v>
      </c>
      <c r="B123" s="3">
        <f ca="1"/>
        <v>46043</v>
      </c>
      <c r="C123" t="str">
        <f ca="1"/>
        <v>KOM</v>
      </c>
      <c r="D123" t="str">
        <f ca="1"/>
        <v>Krošelj</v>
      </c>
      <c r="E123">
        <f ca="1"/>
        <v>0</v>
      </c>
      <c r="F123">
        <f ca="1"/>
        <v>44</v>
      </c>
      <c r="G123">
        <f ca="1"/>
        <v>37</v>
      </c>
      <c r="H123">
        <f ca="1"/>
        <v>7</v>
      </c>
      <c r="I123">
        <f t="shared" ca="1" si="2"/>
        <v>0.84090909090909094</v>
      </c>
      <c r="J123">
        <f t="shared" ca="1" si="3"/>
        <v>-2.9187729114412511</v>
      </c>
    </row>
    <row r="124" spans="1:10" x14ac:dyDescent="0.25">
      <c r="A124" t="str">
        <f ca="1"/>
        <v>25/26</v>
      </c>
      <c r="B124" s="3">
        <f ca="1"/>
        <v>46078</v>
      </c>
      <c r="C124" t="str">
        <f ca="1"/>
        <v>KOM</v>
      </c>
      <c r="D124" t="str">
        <f ca="1"/>
        <v>Krošelj</v>
      </c>
      <c r="E124">
        <f ca="1"/>
        <v>0</v>
      </c>
      <c r="F124">
        <f ca="1"/>
        <v>33</v>
      </c>
      <c r="G124">
        <f ca="1"/>
        <v>29</v>
      </c>
      <c r="H124">
        <f ca="1"/>
        <v>4</v>
      </c>
      <c r="I124">
        <f t="shared" ca="1" si="2"/>
        <v>0.87878787878787878</v>
      </c>
      <c r="J124">
        <f t="shared" ca="1" si="3"/>
        <v>-0.93907968358093807</v>
      </c>
    </row>
    <row r="125" spans="1:10" x14ac:dyDescent="0.25">
      <c r="A125" t="str">
        <f ca="1"/>
        <v>25/26</v>
      </c>
      <c r="B125" s="3">
        <f ca="1"/>
        <v>46085</v>
      </c>
      <c r="C125" t="str">
        <f ca="1"/>
        <v>KOM</v>
      </c>
      <c r="D125" t="str">
        <f ca="1"/>
        <v>Krošelj</v>
      </c>
      <c r="E125">
        <f ca="1"/>
        <v>0</v>
      </c>
      <c r="F125">
        <f ca="1"/>
        <v>35</v>
      </c>
      <c r="G125">
        <f ca="1"/>
        <v>32</v>
      </c>
      <c r="H125">
        <f ca="1"/>
        <v>3</v>
      </c>
      <c r="I125">
        <f t="shared" ca="1" si="2"/>
        <v>0.91428571428571426</v>
      </c>
      <c r="J125">
        <f t="shared" ca="1" si="3"/>
        <v>0.24643063862627734</v>
      </c>
    </row>
    <row r="126" spans="1:10" s="9" customFormat="1" x14ac:dyDescent="0.25">
      <c r="B126" s="10"/>
      <c r="I126" t="str">
        <f t="shared" si="2"/>
        <v/>
      </c>
      <c r="J126">
        <f t="shared" si="3"/>
        <v>0</v>
      </c>
    </row>
    <row r="127" spans="1:10" s="11" customFormat="1" x14ac:dyDescent="0.25">
      <c r="A127" s="11" t="str" cm="1">
        <f t="array" aca="1" ref="A127:H131" ca="1">_xlfn.TAKE(_xlfn._xlws.SORT((_xlfn._xlws.FILTER(RAW_GOALIES_GAMES!A:H,(RAW_GOALIES_GAMES!D:D=CALC_GOALIES!B27),(RAW_GOALIES_GAMES!B:B&lt;TODAY()))),1,-1),-5)</f>
        <v>25/26</v>
      </c>
      <c r="B127" s="12">
        <f ca="1"/>
        <v>46014</v>
      </c>
      <c r="C127" s="11" t="str">
        <f ca="1"/>
        <v>LIB</v>
      </c>
      <c r="D127" s="11" t="str">
        <f ca="1"/>
        <v>Lukeš</v>
      </c>
      <c r="E127" s="11">
        <f ca="1"/>
        <v>0</v>
      </c>
      <c r="F127" s="11">
        <f ca="1"/>
        <v>18</v>
      </c>
      <c r="G127" s="11">
        <f ca="1"/>
        <v>14</v>
      </c>
      <c r="H127" s="11">
        <f ca="1"/>
        <v>4</v>
      </c>
      <c r="I127">
        <f t="shared" ca="1" si="2"/>
        <v>0.77777777777777779</v>
      </c>
      <c r="J127">
        <f t="shared" ca="1" si="3"/>
        <v>-2.3304071001350573</v>
      </c>
    </row>
    <row r="128" spans="1:10" x14ac:dyDescent="0.25">
      <c r="A128" t="str">
        <f ca="1"/>
        <v>25/26</v>
      </c>
      <c r="B128" s="3">
        <f ca="1"/>
        <v>46026</v>
      </c>
      <c r="C128" t="str">
        <f ca="1"/>
        <v>LIB</v>
      </c>
      <c r="D128" t="str">
        <f ca="1"/>
        <v>Lukeš</v>
      </c>
      <c r="E128">
        <f ca="1"/>
        <v>0</v>
      </c>
      <c r="F128">
        <f ca="1"/>
        <v>23</v>
      </c>
      <c r="G128">
        <f ca="1"/>
        <v>23</v>
      </c>
      <c r="H128">
        <f ca="1"/>
        <v>0</v>
      </c>
      <c r="I128">
        <f t="shared" ca="1" si="2"/>
        <v>1</v>
      </c>
      <c r="J128">
        <f t="shared" ca="1" si="3"/>
        <v>2.1333687053829822</v>
      </c>
    </row>
    <row r="129" spans="1:10" x14ac:dyDescent="0.25">
      <c r="A129" t="str">
        <f ca="1"/>
        <v>25/26</v>
      </c>
      <c r="B129" s="3">
        <f ca="1"/>
        <v>46035</v>
      </c>
      <c r="C129" t="str">
        <f ca="1"/>
        <v>LIB</v>
      </c>
      <c r="D129" t="str">
        <f ca="1"/>
        <v>Lukeš</v>
      </c>
      <c r="E129">
        <f ca="1"/>
        <v>0</v>
      </c>
      <c r="F129">
        <f ca="1"/>
        <v>29</v>
      </c>
      <c r="G129">
        <f ca="1"/>
        <v>26</v>
      </c>
      <c r="H129">
        <f ca="1"/>
        <v>3</v>
      </c>
      <c r="I129">
        <f t="shared" ca="1" si="2"/>
        <v>0.89655172413793105</v>
      </c>
      <c r="J129">
        <f t="shared" ca="1" si="3"/>
        <v>-0.3101003279953698</v>
      </c>
    </row>
    <row r="130" spans="1:10" x14ac:dyDescent="0.25">
      <c r="A130" t="str">
        <f ca="1"/>
        <v>25/26</v>
      </c>
      <c r="B130" s="3">
        <f ca="1"/>
        <v>46049</v>
      </c>
      <c r="C130" t="str">
        <f ca="1"/>
        <v>LIB</v>
      </c>
      <c r="D130" t="str">
        <f ca="1"/>
        <v>Lukeš</v>
      </c>
      <c r="E130">
        <f ca="1"/>
        <v>0</v>
      </c>
      <c r="F130">
        <f ca="1"/>
        <v>32</v>
      </c>
      <c r="G130">
        <f ca="1"/>
        <v>30</v>
      </c>
      <c r="H130">
        <f ca="1"/>
        <v>2</v>
      </c>
      <c r="I130">
        <f t="shared" ca="1" si="2"/>
        <v>0.9375</v>
      </c>
      <c r="J130">
        <f t="shared" ca="1" si="3"/>
        <v>0.96816515531545377</v>
      </c>
    </row>
    <row r="131" spans="1:10" s="9" customFormat="1" x14ac:dyDescent="0.25">
      <c r="A131" s="9" t="str">
        <f ca="1"/>
        <v>25/26</v>
      </c>
      <c r="B131" s="10">
        <f ca="1"/>
        <v>46087</v>
      </c>
      <c r="C131" s="9" t="str">
        <f ca="1"/>
        <v>LIB</v>
      </c>
      <c r="D131" s="9" t="str">
        <f ca="1"/>
        <v>Lukeš</v>
      </c>
      <c r="E131" s="9">
        <f ca="1"/>
        <v>0</v>
      </c>
      <c r="F131" s="9">
        <f ca="1"/>
        <v>24</v>
      </c>
      <c r="G131" s="9">
        <f ca="1"/>
        <v>21</v>
      </c>
      <c r="H131" s="9">
        <f ca="1"/>
        <v>4</v>
      </c>
      <c r="I131">
        <f t="shared" ref="I131:I189" ca="1" si="4">IF(H131&lt;&gt;"",(F131-H131)/F131,"")</f>
        <v>0.83333333333333337</v>
      </c>
      <c r="J131">
        <f t="shared" ca="1" si="3"/>
        <v>-1.7738761335134097</v>
      </c>
    </row>
    <row r="132" spans="1:10" s="11" customFormat="1" x14ac:dyDescent="0.25">
      <c r="A132" s="11" t="str" cm="1">
        <f t="array" aca="1" ref="A132:H136" ca="1">_xlfn.TAKE(_xlfn._xlws.SORT((_xlfn._xlws.FILTER(RAW_GOALIES_GAMES!A:H,(RAW_GOALIES_GAMES!D:D=CALC_GOALIES!B28),(RAW_GOALIES_GAMES!B:B&lt;TODAY()))),1,-1),-5)</f>
        <v>25/26</v>
      </c>
      <c r="B132" s="12">
        <f ca="1"/>
        <v>46035</v>
      </c>
      <c r="C132" s="11" t="str">
        <f ca="1"/>
        <v>LIT</v>
      </c>
      <c r="D132" s="11" t="str">
        <f ca="1"/>
        <v>Čajan</v>
      </c>
      <c r="E132" s="11">
        <f ca="1"/>
        <v>0</v>
      </c>
      <c r="F132" s="11">
        <f ca="1"/>
        <v>29</v>
      </c>
      <c r="G132" s="11">
        <f ca="1"/>
        <v>24</v>
      </c>
      <c r="H132" s="11">
        <f ca="1"/>
        <v>5</v>
      </c>
      <c r="I132">
        <f t="shared" ca="1" si="4"/>
        <v>0.82758620689655171</v>
      </c>
      <c r="J132">
        <f t="shared" ref="J132:J190" ca="1" si="5">(F132*(1-$R$1)-H132)</f>
        <v>-2.3101003279953698</v>
      </c>
    </row>
    <row r="133" spans="1:10" x14ac:dyDescent="0.25">
      <c r="A133" t="str">
        <f ca="1"/>
        <v>25/26</v>
      </c>
      <c r="B133" s="3">
        <f ca="1"/>
        <v>46047</v>
      </c>
      <c r="C133" t="str">
        <f ca="1"/>
        <v>LIT</v>
      </c>
      <c r="D133" t="str">
        <f ca="1"/>
        <v>Čajan</v>
      </c>
      <c r="E133">
        <f ca="1"/>
        <v>0</v>
      </c>
      <c r="F133">
        <f ca="1"/>
        <v>34</v>
      </c>
      <c r="G133">
        <f ca="1"/>
        <v>29</v>
      </c>
      <c r="H133">
        <f ca="1"/>
        <v>5</v>
      </c>
      <c r="I133">
        <f t="shared" ca="1" si="4"/>
        <v>0.8529411764705882</v>
      </c>
      <c r="J133">
        <f t="shared" ca="1" si="5"/>
        <v>-1.8463245224773304</v>
      </c>
    </row>
    <row r="134" spans="1:10" x14ac:dyDescent="0.25">
      <c r="A134" t="str">
        <f ca="1"/>
        <v>25/26</v>
      </c>
      <c r="B134" s="3">
        <f ca="1"/>
        <v>46078</v>
      </c>
      <c r="C134" t="str">
        <f ca="1"/>
        <v>LIT</v>
      </c>
      <c r="D134" t="str">
        <f ca="1"/>
        <v>Čajan</v>
      </c>
      <c r="E134">
        <f ca="1"/>
        <v>0</v>
      </c>
      <c r="F134">
        <f ca="1"/>
        <v>40</v>
      </c>
      <c r="G134">
        <f ca="1"/>
        <v>36</v>
      </c>
      <c r="H134">
        <f ca="1"/>
        <v>4</v>
      </c>
      <c r="I134">
        <f t="shared" ca="1" si="4"/>
        <v>0.9</v>
      </c>
      <c r="J134">
        <f t="shared" ca="1" si="5"/>
        <v>-0.28979355585568278</v>
      </c>
    </row>
    <row r="135" spans="1:10" x14ac:dyDescent="0.25">
      <c r="A135" t="str">
        <f ca="1"/>
        <v>25/26</v>
      </c>
      <c r="B135" s="3">
        <f ca="1"/>
        <v>46080</v>
      </c>
      <c r="C135" t="str">
        <f ca="1"/>
        <v>LIT</v>
      </c>
      <c r="D135" t="str">
        <f ca="1"/>
        <v>Čajan</v>
      </c>
      <c r="E135">
        <f ca="1"/>
        <v>0</v>
      </c>
      <c r="F135">
        <f ca="1"/>
        <v>25</v>
      </c>
      <c r="G135">
        <f ca="1"/>
        <v>21</v>
      </c>
      <c r="H135">
        <f ca="1"/>
        <v>4</v>
      </c>
      <c r="I135">
        <f t="shared" ca="1" si="4"/>
        <v>0.84</v>
      </c>
      <c r="J135">
        <f t="shared" ca="1" si="5"/>
        <v>-1.6811209724098015</v>
      </c>
    </row>
    <row r="136" spans="1:10" s="9" customFormat="1" x14ac:dyDescent="0.25">
      <c r="A136" s="9" t="str">
        <f ca="1"/>
        <v>25/26</v>
      </c>
      <c r="B136" s="10">
        <f ca="1"/>
        <v>46087</v>
      </c>
      <c r="C136" s="9" t="str">
        <f ca="1"/>
        <v>LIT</v>
      </c>
      <c r="D136" s="9" t="str">
        <f ca="1"/>
        <v>Čajan</v>
      </c>
      <c r="E136" s="9">
        <f ca="1"/>
        <v>0</v>
      </c>
      <c r="F136" s="9">
        <f ca="1"/>
        <v>31</v>
      </c>
      <c r="G136" s="9">
        <f ca="1"/>
        <v>28</v>
      </c>
      <c r="H136" s="9">
        <f ca="1"/>
        <v>3</v>
      </c>
      <c r="I136">
        <f t="shared" ca="1" si="4"/>
        <v>0.90322580645161288</v>
      </c>
      <c r="J136">
        <f t="shared" ca="1" si="5"/>
        <v>-0.12459000578815438</v>
      </c>
    </row>
    <row r="137" spans="1:10" x14ac:dyDescent="0.25">
      <c r="A137" s="11" t="str" cm="1">
        <f t="array" aca="1" ref="A137:H141" ca="1">_xlfn.TAKE(_xlfn._xlws.SORT((_xlfn._xlws.FILTER(RAW_GOALIES_GAMES!A:H,(RAW_GOALIES_GAMES!D:D=CALC_GOALIES!B29),(RAW_GOALIES_GAMES!B:B&lt;TODAY()))),1,-1),-5)</f>
        <v>25/26</v>
      </c>
      <c r="B137" s="3">
        <f ca="1"/>
        <v>46012</v>
      </c>
      <c r="C137" t="str">
        <f ca="1"/>
        <v>KLA</v>
      </c>
      <c r="D137" t="str">
        <f ca="1"/>
        <v>Dansk</v>
      </c>
      <c r="E137">
        <f ca="1"/>
        <v>0</v>
      </c>
      <c r="F137">
        <f ca="1"/>
        <v>39</v>
      </c>
      <c r="G137">
        <f ca="1"/>
        <v>35</v>
      </c>
      <c r="H137">
        <f ca="1"/>
        <v>4</v>
      </c>
      <c r="I137">
        <f t="shared" ca="1" si="4"/>
        <v>0.89743589743589747</v>
      </c>
      <c r="J137">
        <f t="shared" ca="1" si="5"/>
        <v>-0.38254871695929094</v>
      </c>
    </row>
    <row r="138" spans="1:10" x14ac:dyDescent="0.25">
      <c r="A138" t="str">
        <f ca="1"/>
        <v>25/26</v>
      </c>
      <c r="B138" s="3">
        <f ca="1"/>
        <v>46014</v>
      </c>
      <c r="C138" t="str">
        <f ca="1"/>
        <v>KLA</v>
      </c>
      <c r="D138" t="str">
        <f ca="1"/>
        <v>Dansk</v>
      </c>
      <c r="E138">
        <f ca="1"/>
        <v>0</v>
      </c>
      <c r="F138">
        <f ca="1"/>
        <v>25</v>
      </c>
      <c r="G138">
        <f ca="1"/>
        <v>24</v>
      </c>
      <c r="H138">
        <f ca="1"/>
        <v>1</v>
      </c>
      <c r="I138">
        <f t="shared" ca="1" si="4"/>
        <v>0.96</v>
      </c>
      <c r="J138">
        <f t="shared" ca="1" si="5"/>
        <v>1.3188790275901985</v>
      </c>
    </row>
    <row r="139" spans="1:10" x14ac:dyDescent="0.25">
      <c r="A139" t="str">
        <f ca="1"/>
        <v>25/26</v>
      </c>
      <c r="B139" s="3">
        <f ca="1"/>
        <v>46017</v>
      </c>
      <c r="C139" t="str">
        <f ca="1"/>
        <v>KLA</v>
      </c>
      <c r="D139" t="str">
        <f ca="1"/>
        <v>Dansk</v>
      </c>
      <c r="E139">
        <f ca="1"/>
        <v>0</v>
      </c>
      <c r="F139">
        <f ca="1"/>
        <v>29</v>
      </c>
      <c r="G139">
        <f ca="1"/>
        <v>26</v>
      </c>
      <c r="H139">
        <f ca="1"/>
        <v>3</v>
      </c>
      <c r="I139">
        <f t="shared" ca="1" si="4"/>
        <v>0.89655172413793105</v>
      </c>
      <c r="J139">
        <f t="shared" ca="1" si="5"/>
        <v>-0.3101003279953698</v>
      </c>
    </row>
    <row r="140" spans="1:10" x14ac:dyDescent="0.25">
      <c r="A140" t="str">
        <f ca="1"/>
        <v>25/26</v>
      </c>
      <c r="B140" s="3">
        <f ca="1"/>
        <v>46047</v>
      </c>
      <c r="C140" t="str">
        <f ca="1"/>
        <v>KLA</v>
      </c>
      <c r="D140" t="str">
        <f ca="1"/>
        <v>Dansk</v>
      </c>
      <c r="E140">
        <f ca="1"/>
        <v>0</v>
      </c>
      <c r="F140">
        <f ca="1"/>
        <v>38</v>
      </c>
      <c r="G140">
        <f ca="1"/>
        <v>35</v>
      </c>
      <c r="H140">
        <f ca="1"/>
        <v>2</v>
      </c>
      <c r="I140">
        <f t="shared" ca="1" si="4"/>
        <v>0.94736842105263153</v>
      </c>
      <c r="J140">
        <f t="shared" ca="1" si="5"/>
        <v>1.5246961219371014</v>
      </c>
    </row>
    <row r="141" spans="1:10" s="9" customFormat="1" x14ac:dyDescent="0.25">
      <c r="A141" s="9" t="str">
        <f ca="1"/>
        <v>25/26</v>
      </c>
      <c r="B141" s="10">
        <f ca="1"/>
        <v>46085</v>
      </c>
      <c r="C141" s="9" t="str">
        <f ca="1"/>
        <v>KLA</v>
      </c>
      <c r="D141" s="9" t="str">
        <f ca="1"/>
        <v>Dansk</v>
      </c>
      <c r="E141" s="9">
        <f ca="1"/>
        <v>0</v>
      </c>
      <c r="F141" s="9">
        <f ca="1"/>
        <v>35</v>
      </c>
      <c r="G141" s="9">
        <f ca="1"/>
        <v>29</v>
      </c>
      <c r="H141" s="9">
        <f ca="1"/>
        <v>6</v>
      </c>
      <c r="I141">
        <f t="shared" ca="1" si="4"/>
        <v>0.82857142857142863</v>
      </c>
      <c r="J141">
        <f t="shared" ca="1" si="5"/>
        <v>-2.7535693613737227</v>
      </c>
    </row>
    <row r="142" spans="1:10" s="11" customFormat="1" x14ac:dyDescent="0.25">
      <c r="A142" s="11" t="str" cm="1">
        <f t="array" aca="1" ref="A142:H146" ca="1">_xlfn.TAKE(_xlfn._xlws.SORT((_xlfn._xlws.FILTER(RAW_GOALIES_GAMES!A:H,(RAW_GOALIES_GAMES!D:D=CALC_GOALIES!B30),(RAW_GOALIES_GAMES!B:B&lt;TODAY()))),1,-1),-5)</f>
        <v>25/26</v>
      </c>
      <c r="B142" s="12">
        <f ca="1"/>
        <v>46026</v>
      </c>
      <c r="C142" s="11" t="str">
        <f ca="1"/>
        <v>OLO</v>
      </c>
      <c r="D142" s="11" t="str">
        <f ca="1"/>
        <v>Cichoň</v>
      </c>
      <c r="E142" s="11">
        <f ca="1"/>
        <v>0</v>
      </c>
      <c r="F142" s="11">
        <f ca="1"/>
        <v>26</v>
      </c>
      <c r="G142" s="11">
        <f ca="1"/>
        <v>24</v>
      </c>
      <c r="H142" s="11">
        <f ca="1"/>
        <v>2</v>
      </c>
      <c r="I142">
        <f t="shared" ca="1" si="4"/>
        <v>0.92307692307692313</v>
      </c>
      <c r="J142">
        <f t="shared" ca="1" si="5"/>
        <v>0.41163418869380619</v>
      </c>
    </row>
    <row r="143" spans="1:10" x14ac:dyDescent="0.25">
      <c r="A143" t="str">
        <f ca="1"/>
        <v>25/26</v>
      </c>
      <c r="B143" s="3">
        <f ca="1"/>
        <v>46028</v>
      </c>
      <c r="C143" t="str">
        <f ca="1"/>
        <v>OLO</v>
      </c>
      <c r="D143" t="str">
        <f ca="1"/>
        <v>Cichoň</v>
      </c>
      <c r="E143">
        <f ca="1"/>
        <v>0</v>
      </c>
      <c r="F143">
        <f ca="1"/>
        <v>35</v>
      </c>
      <c r="G143">
        <f ca="1"/>
        <v>33</v>
      </c>
      <c r="H143">
        <f ca="1"/>
        <v>2</v>
      </c>
      <c r="I143">
        <f t="shared" ca="1" si="4"/>
        <v>0.94285714285714284</v>
      </c>
      <c r="J143">
        <f t="shared" ca="1" si="5"/>
        <v>1.2464306386262773</v>
      </c>
    </row>
    <row r="144" spans="1:10" x14ac:dyDescent="0.25">
      <c r="A144" t="str">
        <f ca="1"/>
        <v>25/26</v>
      </c>
      <c r="B144" s="3">
        <f ca="1"/>
        <v>46045</v>
      </c>
      <c r="C144" t="str">
        <f ca="1"/>
        <v>OLO</v>
      </c>
      <c r="D144" t="str">
        <f ca="1"/>
        <v>Cichoň</v>
      </c>
      <c r="E144">
        <f ca="1"/>
        <v>0</v>
      </c>
      <c r="F144">
        <f ca="1"/>
        <v>33</v>
      </c>
      <c r="G144">
        <f ca="1"/>
        <v>30</v>
      </c>
      <c r="H144">
        <f ca="1"/>
        <v>3</v>
      </c>
      <c r="I144">
        <f t="shared" ca="1" si="4"/>
        <v>0.90909090909090906</v>
      </c>
      <c r="J144">
        <f t="shared" ca="1" si="5"/>
        <v>6.0920316419061926E-2</v>
      </c>
    </row>
    <row r="145" spans="1:10" x14ac:dyDescent="0.25">
      <c r="A145" t="str">
        <f ca="1"/>
        <v>25/26</v>
      </c>
      <c r="B145" s="3">
        <f ca="1"/>
        <v>46082</v>
      </c>
      <c r="C145" t="str">
        <f ca="1"/>
        <v>OLO</v>
      </c>
      <c r="D145" t="str">
        <f ca="1"/>
        <v>Cichoň</v>
      </c>
      <c r="E145">
        <f ca="1"/>
        <v>0</v>
      </c>
      <c r="F145">
        <f ca="1"/>
        <v>31</v>
      </c>
      <c r="G145">
        <f ca="1"/>
        <v>25</v>
      </c>
      <c r="H145">
        <f ca="1"/>
        <v>6</v>
      </c>
      <c r="I145">
        <f t="shared" ca="1" si="4"/>
        <v>0.80645161290322576</v>
      </c>
      <c r="J145">
        <f t="shared" ca="1" si="5"/>
        <v>-3.1245900057881544</v>
      </c>
    </row>
    <row r="146" spans="1:10" s="9" customFormat="1" x14ac:dyDescent="0.25">
      <c r="A146" s="9" t="str">
        <f ca="1"/>
        <v>25/26</v>
      </c>
      <c r="B146" s="10">
        <f ca="1"/>
        <v>46087</v>
      </c>
      <c r="C146" s="9" t="str">
        <f ca="1"/>
        <v>OLO</v>
      </c>
      <c r="D146" s="9" t="str">
        <f ca="1"/>
        <v>Cichoň</v>
      </c>
      <c r="E146" s="9">
        <f ca="1"/>
        <v>0</v>
      </c>
      <c r="F146" s="9">
        <f ca="1"/>
        <v>29</v>
      </c>
      <c r="G146" s="9">
        <f ca="1"/>
        <v>24</v>
      </c>
      <c r="H146" s="9">
        <f ca="1"/>
        <v>5</v>
      </c>
      <c r="I146">
        <f t="shared" ca="1" si="4"/>
        <v>0.82758620689655171</v>
      </c>
      <c r="J146">
        <f t="shared" ca="1" si="5"/>
        <v>-2.3101003279953698</v>
      </c>
    </row>
    <row r="147" spans="1:10" s="11" customFormat="1" x14ac:dyDescent="0.25">
      <c r="A147" s="11" t="str" cm="1">
        <f t="array" aca="1" ref="A147:H151" ca="1">_xlfn.TAKE(_xlfn._xlws.SORT((_xlfn._xlws.FILTER(RAW_GOALIES_GAMES!A:H,(RAW_GOALIES_GAMES!D:D=CALC_GOALIES!B31),(RAW_GOALIES_GAMES!B:B&lt;TODAY()))),1,-1),-5)</f>
        <v>25/26</v>
      </c>
      <c r="B147" s="12">
        <f ca="1"/>
        <v>46038</v>
      </c>
      <c r="C147" s="11" t="str">
        <f ca="1"/>
        <v>KVA</v>
      </c>
      <c r="D147" s="11" t="str">
        <f ca="1"/>
        <v>Král</v>
      </c>
      <c r="E147" s="11">
        <f ca="1"/>
        <v>0</v>
      </c>
      <c r="F147" s="11">
        <f ca="1"/>
        <v>24</v>
      </c>
      <c r="G147" s="11">
        <f ca="1"/>
        <v>23</v>
      </c>
      <c r="H147" s="11">
        <f ca="1"/>
        <v>1</v>
      </c>
      <c r="I147">
        <f t="shared" ca="1" si="4"/>
        <v>0.95833333333333337</v>
      </c>
      <c r="J147">
        <f t="shared" ca="1" si="5"/>
        <v>1.2261238664865903</v>
      </c>
    </row>
    <row r="148" spans="1:10" x14ac:dyDescent="0.25">
      <c r="A148" t="str">
        <f ca="1"/>
        <v>25/26</v>
      </c>
      <c r="B148" s="3">
        <f ca="1"/>
        <v>46040</v>
      </c>
      <c r="C148" t="str">
        <f ca="1"/>
        <v>KVA</v>
      </c>
      <c r="D148" t="str">
        <f ca="1"/>
        <v>Král</v>
      </c>
      <c r="E148">
        <f ca="1"/>
        <v>0</v>
      </c>
      <c r="F148">
        <f ca="1"/>
        <v>34</v>
      </c>
      <c r="G148">
        <f ca="1"/>
        <v>31</v>
      </c>
      <c r="H148">
        <f ca="1"/>
        <v>4</v>
      </c>
      <c r="I148">
        <f t="shared" ca="1" si="4"/>
        <v>0.88235294117647056</v>
      </c>
      <c r="J148">
        <f t="shared" ca="1" si="5"/>
        <v>-0.84632452247733037</v>
      </c>
    </row>
    <row r="149" spans="1:10" x14ac:dyDescent="0.25">
      <c r="A149" t="str">
        <f ca="1"/>
        <v>25/26</v>
      </c>
      <c r="B149" s="3">
        <f ca="1"/>
        <v>46045</v>
      </c>
      <c r="C149" t="str">
        <f ca="1"/>
        <v>KVA</v>
      </c>
      <c r="D149" t="str">
        <f ca="1"/>
        <v>Král</v>
      </c>
      <c r="E149">
        <f ca="1"/>
        <v>0</v>
      </c>
      <c r="F149">
        <f ca="1"/>
        <v>21</v>
      </c>
      <c r="G149">
        <f ca="1"/>
        <v>19</v>
      </c>
      <c r="H149">
        <f ca="1"/>
        <v>2</v>
      </c>
      <c r="I149">
        <f t="shared" ca="1" si="4"/>
        <v>0.90476190476190477</v>
      </c>
      <c r="J149">
        <f t="shared" ca="1" si="5"/>
        <v>-5.2141616824233461E-2</v>
      </c>
    </row>
    <row r="150" spans="1:10" x14ac:dyDescent="0.25">
      <c r="A150" t="str">
        <f ca="1"/>
        <v>25/26</v>
      </c>
      <c r="B150" s="3">
        <f ca="1"/>
        <v>46049</v>
      </c>
      <c r="C150" t="str">
        <f ca="1"/>
        <v>KVA</v>
      </c>
      <c r="D150" t="str">
        <f ca="1"/>
        <v>Král</v>
      </c>
      <c r="E150">
        <f ca="1"/>
        <v>0</v>
      </c>
      <c r="F150">
        <f ca="1"/>
        <v>22</v>
      </c>
      <c r="G150">
        <f ca="1"/>
        <v>19</v>
      </c>
      <c r="H150">
        <f ca="1"/>
        <v>3</v>
      </c>
      <c r="I150">
        <f t="shared" ca="1" si="4"/>
        <v>0.86363636363636365</v>
      </c>
      <c r="J150">
        <f t="shared" ca="1" si="5"/>
        <v>-0.95938645572062553</v>
      </c>
    </row>
    <row r="151" spans="1:10" s="9" customFormat="1" x14ac:dyDescent="0.25">
      <c r="A151" s="9" t="str">
        <f ca="1"/>
        <v>25/26</v>
      </c>
      <c r="B151" s="10">
        <f ca="1"/>
        <v>46082</v>
      </c>
      <c r="C151" s="9" t="str">
        <f ca="1"/>
        <v>KVA</v>
      </c>
      <c r="D151" s="9" t="str">
        <f ca="1"/>
        <v>Král</v>
      </c>
      <c r="E151" s="9">
        <f ca="1"/>
        <v>0</v>
      </c>
      <c r="F151" s="9">
        <f ca="1"/>
        <v>24</v>
      </c>
      <c r="G151" s="9">
        <f ca="1"/>
        <v>20</v>
      </c>
      <c r="H151" s="9">
        <f ca="1"/>
        <v>4</v>
      </c>
      <c r="I151">
        <f t="shared" ca="1" si="4"/>
        <v>0.83333333333333337</v>
      </c>
      <c r="J151">
        <f t="shared" ca="1" si="5"/>
        <v>-1.7738761335134097</v>
      </c>
    </row>
    <row r="152" spans="1:10" x14ac:dyDescent="0.25">
      <c r="A152" s="11" t="str" cm="1">
        <f t="array" aca="1" ref="A152:H156" ca="1">_xlfn.TAKE(_xlfn._xlws.SORT((_xlfn._xlws.FILTER(RAW_GOALIES_GAMES!A:H,(RAW_GOALIES_GAMES!D:D=CALC_GOALIES!B32),(RAW_GOALIES_GAMES!B:B&lt;TODAY()))),1,-1),-5)</f>
        <v>25/26</v>
      </c>
      <c r="B152" s="3">
        <f ca="1"/>
        <v>45956</v>
      </c>
      <c r="C152" t="str">
        <f ca="1"/>
        <v>CEB</v>
      </c>
      <c r="D152" t="str">
        <f ca="1"/>
        <v>Mařík</v>
      </c>
      <c r="E152">
        <f ca="1"/>
        <v>0</v>
      </c>
      <c r="F152">
        <f ca="1"/>
        <v>21</v>
      </c>
      <c r="G152">
        <f ca="1"/>
        <v>18</v>
      </c>
      <c r="H152">
        <f ca="1"/>
        <v>3</v>
      </c>
      <c r="I152">
        <f t="shared" ca="1" si="4"/>
        <v>0.8571428571428571</v>
      </c>
      <c r="J152">
        <f t="shared" ca="1" si="5"/>
        <v>-1.0521416168242335</v>
      </c>
    </row>
    <row r="153" spans="1:10" x14ac:dyDescent="0.25">
      <c r="A153" t="str">
        <f ca="1"/>
        <v>25/26</v>
      </c>
      <c r="B153" s="3">
        <f ca="1"/>
        <v>45958</v>
      </c>
      <c r="C153" t="str">
        <f ca="1"/>
        <v>CEB</v>
      </c>
      <c r="D153" t="str">
        <f ca="1"/>
        <v>Mařík</v>
      </c>
      <c r="E153">
        <f ca="1"/>
        <v>0</v>
      </c>
      <c r="F153">
        <f ca="1"/>
        <v>23</v>
      </c>
      <c r="G153">
        <f ca="1"/>
        <v>17</v>
      </c>
      <c r="H153">
        <f ca="1"/>
        <v>6</v>
      </c>
      <c r="I153">
        <f t="shared" ca="1" si="4"/>
        <v>0.73913043478260865</v>
      </c>
      <c r="J153">
        <f t="shared" ca="1" si="5"/>
        <v>-3.8666312946170178</v>
      </c>
    </row>
    <row r="154" spans="1:10" x14ac:dyDescent="0.25">
      <c r="A154" t="str">
        <f ca="1"/>
        <v>25/26</v>
      </c>
      <c r="B154" s="3">
        <f ca="1"/>
        <v>45961</v>
      </c>
      <c r="C154" t="str">
        <f ca="1"/>
        <v>CEB</v>
      </c>
      <c r="D154" t="str">
        <f ca="1"/>
        <v>Mařík</v>
      </c>
      <c r="E154">
        <f ca="1"/>
        <v>0</v>
      </c>
      <c r="F154">
        <f ca="1"/>
        <v>23</v>
      </c>
      <c r="G154">
        <f ca="1"/>
        <v>24</v>
      </c>
      <c r="H154">
        <f ca="1"/>
        <v>2</v>
      </c>
      <c r="I154">
        <f t="shared" ca="1" si="4"/>
        <v>0.91304347826086951</v>
      </c>
      <c r="J154">
        <f t="shared" ca="1" si="5"/>
        <v>0.13336870538298218</v>
      </c>
    </row>
    <row r="155" spans="1:10" x14ac:dyDescent="0.25">
      <c r="A155" t="str">
        <f ca="1"/>
        <v>25/26</v>
      </c>
      <c r="B155" s="3">
        <f ca="1"/>
        <v>45975</v>
      </c>
      <c r="C155" t="str">
        <f ca="1"/>
        <v>CEB</v>
      </c>
      <c r="D155" t="str">
        <f ca="1"/>
        <v>Mařík</v>
      </c>
      <c r="E155">
        <f ca="1"/>
        <v>0</v>
      </c>
      <c r="F155">
        <f ca="1"/>
        <v>28</v>
      </c>
      <c r="G155">
        <f ca="1"/>
        <v>25</v>
      </c>
      <c r="H155">
        <f ca="1"/>
        <v>3</v>
      </c>
      <c r="I155">
        <f t="shared" ca="1" si="4"/>
        <v>0.8928571428571429</v>
      </c>
      <c r="J155">
        <f t="shared" ca="1" si="5"/>
        <v>-0.40285548909897795</v>
      </c>
    </row>
    <row r="156" spans="1:10" s="9" customFormat="1" x14ac:dyDescent="0.25">
      <c r="A156" s="9" t="str">
        <f ca="1"/>
        <v>25/26</v>
      </c>
      <c r="B156" s="10">
        <f ca="1"/>
        <v>45982</v>
      </c>
      <c r="C156" s="9" t="str">
        <f ca="1"/>
        <v>CEB</v>
      </c>
      <c r="D156" s="9" t="str">
        <f ca="1"/>
        <v>Mařík</v>
      </c>
      <c r="E156" s="9">
        <f ca="1"/>
        <v>0</v>
      </c>
      <c r="F156" s="9">
        <f ca="1"/>
        <v>30</v>
      </c>
      <c r="G156" s="9">
        <f ca="1"/>
        <v>27</v>
      </c>
      <c r="H156" s="9">
        <f ca="1"/>
        <v>3</v>
      </c>
      <c r="I156">
        <f t="shared" ca="1" si="4"/>
        <v>0.9</v>
      </c>
      <c r="J156">
        <f t="shared" ca="1" si="5"/>
        <v>-0.21734516689176209</v>
      </c>
    </row>
    <row r="157" spans="1:10" s="11" customFormat="1" x14ac:dyDescent="0.25">
      <c r="A157" s="11" t="str" cm="1">
        <f t="array" aca="1" ref="A157:H161" ca="1">_xlfn.TAKE(_xlfn._xlws.SORT((_xlfn._xlws.FILTER(RAW_GOALIES_GAMES!A:H,(RAW_GOALIES_GAMES!D:D=CALC_GOALIES!B33),(RAW_GOALIES_GAMES!B:B&lt;TODAY()))),1,-1),-5)</f>
        <v>25/26</v>
      </c>
      <c r="B157" s="12">
        <f ca="1"/>
        <v>45914</v>
      </c>
      <c r="C157" s="11" t="str">
        <f ca="1"/>
        <v>VIT</v>
      </c>
      <c r="D157" s="11" t="str">
        <f ca="1"/>
        <v>Klimeš</v>
      </c>
      <c r="E157" s="11">
        <f ca="1"/>
        <v>0</v>
      </c>
      <c r="F157" s="11">
        <f ca="1"/>
        <v>32</v>
      </c>
      <c r="G157" s="11">
        <f ca="1"/>
        <v>32</v>
      </c>
      <c r="H157" s="11">
        <f ca="1"/>
        <v>0</v>
      </c>
      <c r="I157">
        <f t="shared" ca="1" si="4"/>
        <v>1</v>
      </c>
      <c r="J157">
        <f t="shared" ca="1" si="5"/>
        <v>2.9681651553154538</v>
      </c>
    </row>
    <row r="158" spans="1:10" x14ac:dyDescent="0.25">
      <c r="A158" t="str">
        <f ca="1"/>
        <v>25/26</v>
      </c>
      <c r="B158" s="3">
        <f ca="1"/>
        <v>45919</v>
      </c>
      <c r="C158" t="str">
        <f ca="1"/>
        <v>VIT</v>
      </c>
      <c r="D158" t="str">
        <f ca="1"/>
        <v>Klimeš</v>
      </c>
      <c r="E158">
        <f ca="1"/>
        <v>0</v>
      </c>
      <c r="F158">
        <f ca="1"/>
        <v>23</v>
      </c>
      <c r="G158">
        <f ca="1"/>
        <v>19</v>
      </c>
      <c r="H158">
        <f ca="1"/>
        <v>4</v>
      </c>
      <c r="I158">
        <f t="shared" ca="1" si="4"/>
        <v>0.82608695652173914</v>
      </c>
      <c r="J158">
        <f t="shared" ca="1" si="5"/>
        <v>-1.8666312946170178</v>
      </c>
    </row>
    <row r="159" spans="1:10" x14ac:dyDescent="0.25">
      <c r="A159" t="str">
        <f ca="1"/>
        <v>25/26</v>
      </c>
      <c r="B159" s="3">
        <f ca="1"/>
        <v>45928</v>
      </c>
      <c r="C159" t="str">
        <f ca="1"/>
        <v>VIT</v>
      </c>
      <c r="D159" t="str">
        <f ca="1"/>
        <v>Klimeš</v>
      </c>
      <c r="E159">
        <f ca="1"/>
        <v>0</v>
      </c>
      <c r="F159">
        <f ca="1"/>
        <v>37</v>
      </c>
      <c r="G159">
        <f ca="1"/>
        <v>33</v>
      </c>
      <c r="H159">
        <f ca="1"/>
        <v>4</v>
      </c>
      <c r="I159">
        <f t="shared" ca="1" si="4"/>
        <v>0.89189189189189189</v>
      </c>
      <c r="J159">
        <f t="shared" ca="1" si="5"/>
        <v>-0.56805903916650635</v>
      </c>
    </row>
    <row r="160" spans="1:10" x14ac:dyDescent="0.25">
      <c r="A160" t="str">
        <f ca="1"/>
        <v>25/26</v>
      </c>
      <c r="B160" s="3">
        <f ca="1"/>
        <v>45994</v>
      </c>
      <c r="C160" t="str">
        <f ca="1"/>
        <v>VIT</v>
      </c>
      <c r="D160" t="str">
        <f ca="1"/>
        <v>Klimeš</v>
      </c>
      <c r="E160">
        <f ca="1"/>
        <v>0</v>
      </c>
      <c r="F160">
        <f ca="1"/>
        <v>23</v>
      </c>
      <c r="G160">
        <f ca="1"/>
        <v>18</v>
      </c>
      <c r="H160">
        <f ca="1"/>
        <v>5</v>
      </c>
      <c r="I160">
        <f t="shared" ca="1" si="4"/>
        <v>0.78260869565217395</v>
      </c>
      <c r="J160">
        <f t="shared" ca="1" si="5"/>
        <v>-2.8666312946170178</v>
      </c>
    </row>
    <row r="161" spans="1:10" s="9" customFormat="1" x14ac:dyDescent="0.25">
      <c r="A161" s="9" t="str">
        <f ca="1"/>
        <v>25/26</v>
      </c>
      <c r="B161" s="10">
        <f ca="1"/>
        <v>46033</v>
      </c>
      <c r="C161" s="9" t="str">
        <f ca="1"/>
        <v>VIT</v>
      </c>
      <c r="D161" s="9" t="str">
        <f ca="1"/>
        <v>Klimeš</v>
      </c>
      <c r="E161" s="9">
        <f ca="1"/>
        <v>0</v>
      </c>
      <c r="F161" s="9">
        <f ca="1"/>
        <v>43</v>
      </c>
      <c r="G161" s="9">
        <f ca="1"/>
        <v>35</v>
      </c>
      <c r="H161" s="9">
        <f ca="1"/>
        <v>8</v>
      </c>
      <c r="I161">
        <f t="shared" ca="1" si="4"/>
        <v>0.81395348837209303</v>
      </c>
      <c r="J161">
        <f t="shared" ca="1" si="5"/>
        <v>-4.0115280725448592</v>
      </c>
    </row>
    <row r="162" spans="1:10" x14ac:dyDescent="0.25">
      <c r="A162" s="11" t="str" cm="1">
        <f t="array" aca="1" ref="A162:H166" ca="1">_xlfn.TAKE(_xlfn._xlws.SORT((_xlfn._xlws.FILTER(RAW_GOALIES_GAMES!A:H,(RAW_GOALIES_GAMES!D:D=CALC_GOALIES!B34),(RAW_GOALIES_GAMES!B:B&lt;TODAY()))),1,-1),-5)</f>
        <v>25/26</v>
      </c>
      <c r="B162" s="3">
        <f ca="1"/>
        <v>45991</v>
      </c>
      <c r="C162" t="str">
        <f ca="1"/>
        <v>MHK</v>
      </c>
      <c r="D162" t="str">
        <f ca="1"/>
        <v>Novotný</v>
      </c>
      <c r="E162">
        <f ca="1"/>
        <v>0</v>
      </c>
      <c r="F162">
        <f ca="1"/>
        <v>17</v>
      </c>
      <c r="G162">
        <f ca="1"/>
        <v>15</v>
      </c>
      <c r="H162">
        <f ca="1"/>
        <v>2</v>
      </c>
      <c r="I162">
        <f t="shared" ca="1" si="4"/>
        <v>0.88235294117647056</v>
      </c>
      <c r="J162">
        <f t="shared" ca="1" si="5"/>
        <v>-0.42316226123866518</v>
      </c>
    </row>
    <row r="163" spans="1:10" x14ac:dyDescent="0.25">
      <c r="A163" t="str">
        <f ca="1"/>
        <v>25/26</v>
      </c>
      <c r="B163" s="3">
        <f ca="1"/>
        <v>45994</v>
      </c>
      <c r="C163" t="str">
        <f ca="1"/>
        <v>MHK</v>
      </c>
      <c r="D163" t="str">
        <f ca="1"/>
        <v>Novotný</v>
      </c>
      <c r="E163">
        <f ca="1"/>
        <v>0</v>
      </c>
      <c r="F163">
        <f ca="1"/>
        <v>37</v>
      </c>
      <c r="G163">
        <f ca="1"/>
        <v>31</v>
      </c>
      <c r="H163">
        <f ca="1"/>
        <v>6</v>
      </c>
      <c r="I163">
        <f t="shared" ca="1" si="4"/>
        <v>0.83783783783783783</v>
      </c>
      <c r="J163">
        <f t="shared" ca="1" si="5"/>
        <v>-2.5680590391665064</v>
      </c>
    </row>
    <row r="164" spans="1:10" x14ac:dyDescent="0.25">
      <c r="A164" t="str">
        <f ca="1"/>
        <v>25/26</v>
      </c>
      <c r="B164" s="3">
        <f ca="1"/>
        <v>46021</v>
      </c>
      <c r="C164" t="str">
        <f ca="1"/>
        <v>MHK</v>
      </c>
      <c r="D164" t="str">
        <f ca="1"/>
        <v>Novotný</v>
      </c>
      <c r="E164">
        <f ca="1"/>
        <v>0</v>
      </c>
      <c r="F164">
        <f ca="1"/>
        <v>25</v>
      </c>
      <c r="G164">
        <f ca="1"/>
        <v>23</v>
      </c>
      <c r="H164">
        <f ca="1"/>
        <v>2</v>
      </c>
      <c r="I164">
        <f t="shared" ca="1" si="4"/>
        <v>0.92</v>
      </c>
      <c r="J164">
        <f t="shared" ca="1" si="5"/>
        <v>0.31887902759019848</v>
      </c>
    </row>
    <row r="165" spans="1:10" x14ac:dyDescent="0.25">
      <c r="A165" t="str">
        <f ca="1"/>
        <v>25/26</v>
      </c>
      <c r="B165" s="3">
        <f ca="1"/>
        <v>46035</v>
      </c>
      <c r="C165" t="str">
        <f ca="1"/>
        <v>MHK</v>
      </c>
      <c r="D165" t="str">
        <f ca="1"/>
        <v>Novotný</v>
      </c>
      <c r="E165">
        <f ca="1"/>
        <v>0</v>
      </c>
      <c r="F165">
        <f ca="1"/>
        <v>29</v>
      </c>
      <c r="G165">
        <f ca="1"/>
        <v>27</v>
      </c>
      <c r="H165">
        <f ca="1"/>
        <v>2</v>
      </c>
      <c r="I165">
        <f t="shared" ca="1" si="4"/>
        <v>0.93103448275862066</v>
      </c>
      <c r="J165">
        <f t="shared" ca="1" si="5"/>
        <v>0.6898996720046302</v>
      </c>
    </row>
    <row r="166" spans="1:10" s="9" customFormat="1" x14ac:dyDescent="0.25">
      <c r="A166" s="9" t="str">
        <f ca="1"/>
        <v>25/26</v>
      </c>
      <c r="B166" s="10">
        <f ca="1"/>
        <v>46047</v>
      </c>
      <c r="C166" s="9" t="str">
        <f ca="1"/>
        <v>MHK</v>
      </c>
      <c r="D166" s="9" t="str">
        <f ca="1"/>
        <v>Novotný</v>
      </c>
      <c r="E166" s="9">
        <f ca="1"/>
        <v>0</v>
      </c>
      <c r="F166" s="9">
        <f ca="1"/>
        <v>22</v>
      </c>
      <c r="G166" s="9">
        <f ca="1"/>
        <v>18</v>
      </c>
      <c r="H166" s="9">
        <f ca="1"/>
        <v>4</v>
      </c>
      <c r="I166">
        <f t="shared" ca="1" si="4"/>
        <v>0.81818181818181823</v>
      </c>
      <c r="J166">
        <f t="shared" ca="1" si="5"/>
        <v>-1.9593864557206255</v>
      </c>
    </row>
    <row r="167" spans="1:10" s="11" customFormat="1" x14ac:dyDescent="0.25">
      <c r="A167" s="11" t="str" cm="1">
        <f t="array" aca="1" ref="A167:H167" ca="1">_xlfn.TAKE(_xlfn._xlws.SORT((_xlfn._xlws.FILTER(RAW_GOALIES_GAMES!A:H,(RAW_GOALIES_GAMES!D:D=CALC_GOALIES!B35),(RAW_GOALIES_GAMES!B:B&lt;TODAY()))),1,-1),-5)</f>
        <v>25/26</v>
      </c>
      <c r="B167" s="12">
        <f ca="1"/>
        <v>46051</v>
      </c>
      <c r="C167" s="11" t="str">
        <f ca="1"/>
        <v>LIT</v>
      </c>
      <c r="D167" s="11" t="str">
        <f ca="1"/>
        <v>Kubík</v>
      </c>
      <c r="E167" s="11">
        <f ca="1"/>
        <v>0</v>
      </c>
      <c r="F167" s="11">
        <f ca="1"/>
        <v>31</v>
      </c>
      <c r="G167" s="11">
        <f ca="1"/>
        <v>25</v>
      </c>
      <c r="H167" s="11">
        <f ca="1"/>
        <v>6</v>
      </c>
      <c r="I167">
        <f t="shared" ca="1" si="4"/>
        <v>0.80645161290322576</v>
      </c>
      <c r="J167">
        <f t="shared" ca="1" si="5"/>
        <v>-3.1245900057881544</v>
      </c>
    </row>
    <row r="168" spans="1:10" x14ac:dyDescent="0.25">
      <c r="I168" t="str">
        <f t="shared" si="4"/>
        <v/>
      </c>
      <c r="J168">
        <f t="shared" si="5"/>
        <v>0</v>
      </c>
    </row>
    <row r="169" spans="1:10" x14ac:dyDescent="0.25">
      <c r="I169" t="str">
        <f t="shared" si="4"/>
        <v/>
      </c>
      <c r="J169">
        <f t="shared" si="5"/>
        <v>0</v>
      </c>
    </row>
    <row r="170" spans="1:10" x14ac:dyDescent="0.25">
      <c r="I170" t="str">
        <f t="shared" si="4"/>
        <v/>
      </c>
      <c r="J170">
        <f t="shared" si="5"/>
        <v>0</v>
      </c>
    </row>
    <row r="171" spans="1:10" s="9" customFormat="1" x14ac:dyDescent="0.25">
      <c r="B171" s="10"/>
      <c r="I171" t="str">
        <f t="shared" si="4"/>
        <v/>
      </c>
      <c r="J171">
        <f t="shared" si="5"/>
        <v>0</v>
      </c>
    </row>
    <row r="172" spans="1:10" s="11" customFormat="1" x14ac:dyDescent="0.25">
      <c r="A172" s="11" t="str" cm="1">
        <f t="array" aca="1" ref="A172:H176" ca="1">_xlfn.TAKE(_xlfn._xlws.SORT((_xlfn._xlws.FILTER(RAW_GOALIES_GAMES!A:H,(RAW_GOALIES_GAMES!D:D=CALC_GOALIES!B36),(RAW_GOALIES_GAMES!B:B&lt;TODAY()))),1,-1),-5)</f>
        <v>25/26</v>
      </c>
      <c r="B172" s="12">
        <f ca="1"/>
        <v>46075</v>
      </c>
      <c r="C172" s="11" t="str">
        <f ca="1"/>
        <v>MBL</v>
      </c>
      <c r="D172" s="11" t="str">
        <f ca="1"/>
        <v>Furch</v>
      </c>
      <c r="E172" s="11">
        <f ca="1"/>
        <v>0</v>
      </c>
      <c r="F172" s="11">
        <f ca="1"/>
        <v>29</v>
      </c>
      <c r="G172" s="11">
        <f ca="1"/>
        <v>26</v>
      </c>
      <c r="H172" s="11">
        <f ca="1"/>
        <v>3</v>
      </c>
      <c r="I172">
        <f t="shared" ca="1" si="4"/>
        <v>0.89655172413793105</v>
      </c>
      <c r="J172">
        <f t="shared" ca="1" si="5"/>
        <v>-0.3101003279953698</v>
      </c>
    </row>
    <row r="173" spans="1:10" x14ac:dyDescent="0.25">
      <c r="A173" t="str">
        <f ca="1"/>
        <v>25/26</v>
      </c>
      <c r="B173" s="3">
        <f ca="1"/>
        <v>46077</v>
      </c>
      <c r="C173" t="str">
        <f ca="1"/>
        <v>MBL</v>
      </c>
      <c r="D173" t="str">
        <f ca="1"/>
        <v>Furch</v>
      </c>
      <c r="E173">
        <f ca="1"/>
        <v>0</v>
      </c>
      <c r="F173">
        <f ca="1"/>
        <v>20</v>
      </c>
      <c r="G173">
        <f ca="1"/>
        <v>18</v>
      </c>
      <c r="H173">
        <f ca="1"/>
        <v>2</v>
      </c>
      <c r="I173">
        <f t="shared" ca="1" si="4"/>
        <v>0.9</v>
      </c>
      <c r="J173">
        <f t="shared" ca="1" si="5"/>
        <v>-0.14489677792784139</v>
      </c>
    </row>
    <row r="174" spans="1:10" x14ac:dyDescent="0.25">
      <c r="A174" t="str">
        <f ca="1"/>
        <v>25/26</v>
      </c>
      <c r="B174" s="3">
        <f ca="1"/>
        <v>46080</v>
      </c>
      <c r="C174" t="str">
        <f ca="1"/>
        <v>MBL</v>
      </c>
      <c r="D174" t="str">
        <f ca="1"/>
        <v>Furch</v>
      </c>
      <c r="E174">
        <f ca="1"/>
        <v>0</v>
      </c>
      <c r="F174">
        <f ca="1"/>
        <v>28</v>
      </c>
      <c r="G174">
        <f ca="1"/>
        <v>23</v>
      </c>
      <c r="H174">
        <f ca="1"/>
        <v>5</v>
      </c>
      <c r="I174">
        <f t="shared" ca="1" si="4"/>
        <v>0.8214285714285714</v>
      </c>
      <c r="J174">
        <f t="shared" ca="1" si="5"/>
        <v>-2.4028554890989779</v>
      </c>
    </row>
    <row r="175" spans="1:10" x14ac:dyDescent="0.25">
      <c r="A175" t="str">
        <f ca="1"/>
        <v>25/26</v>
      </c>
      <c r="B175" s="3">
        <f ca="1"/>
        <v>46082</v>
      </c>
      <c r="C175" t="str">
        <f ca="1"/>
        <v>MBL</v>
      </c>
      <c r="D175" t="str">
        <f ca="1"/>
        <v>Furch</v>
      </c>
      <c r="E175">
        <f ca="1"/>
        <v>0</v>
      </c>
      <c r="F175">
        <f ca="1"/>
        <v>24</v>
      </c>
      <c r="G175">
        <f ca="1"/>
        <v>23</v>
      </c>
      <c r="H175">
        <f ca="1"/>
        <v>3</v>
      </c>
      <c r="I175">
        <f t="shared" ca="1" si="4"/>
        <v>0.875</v>
      </c>
      <c r="J175">
        <f t="shared" ca="1" si="5"/>
        <v>-0.77387613351340967</v>
      </c>
    </row>
    <row r="176" spans="1:10" s="9" customFormat="1" x14ac:dyDescent="0.25">
      <c r="A176" s="9" t="str">
        <f ca="1"/>
        <v>25/26</v>
      </c>
      <c r="B176" s="10">
        <f ca="1"/>
        <v>46085</v>
      </c>
      <c r="C176" s="9" t="str">
        <f ca="1"/>
        <v>MBL</v>
      </c>
      <c r="D176" s="9" t="str">
        <f ca="1"/>
        <v>Furch</v>
      </c>
      <c r="E176" s="9">
        <f ca="1"/>
        <v>0</v>
      </c>
      <c r="F176" s="9">
        <f ca="1"/>
        <v>29</v>
      </c>
      <c r="G176" s="9">
        <f ca="1"/>
        <v>27</v>
      </c>
      <c r="H176" s="9">
        <f ca="1"/>
        <v>2</v>
      </c>
      <c r="I176">
        <f t="shared" ca="1" si="4"/>
        <v>0.93103448275862066</v>
      </c>
      <c r="J176">
        <f t="shared" ca="1" si="5"/>
        <v>0.6898996720046302</v>
      </c>
    </row>
    <row r="177" spans="1:10" x14ac:dyDescent="0.25">
      <c r="A177" s="11" t="str" cm="1">
        <f t="array" aca="1" ref="A177:H181" ca="1">_xlfn.TAKE(_xlfn._xlws.SORT((_xlfn._xlws.FILTER(RAW_GOALIES_GAMES!A:H,(RAW_GOALIES_GAMES!D:D=CALC_GOALIES!B37),(RAW_GOALIES_GAMES!B:B&lt;TODAY()))),1,-1),-5)</f>
        <v>25/26</v>
      </c>
      <c r="B177" s="3">
        <f ca="1"/>
        <v>46078</v>
      </c>
      <c r="C177" t="str">
        <f ca="1"/>
        <v>VIT</v>
      </c>
      <c r="D177" t="str">
        <f ca="1"/>
        <v>Hrachovina</v>
      </c>
      <c r="E177">
        <f ca="1"/>
        <v>0</v>
      </c>
      <c r="F177">
        <f ca="1"/>
        <v>26</v>
      </c>
      <c r="G177">
        <f ca="1"/>
        <v>22</v>
      </c>
      <c r="H177">
        <f ca="1"/>
        <v>4</v>
      </c>
      <c r="I177">
        <f t="shared" ca="1" si="4"/>
        <v>0.84615384615384615</v>
      </c>
      <c r="J177">
        <f t="shared" ca="1" si="5"/>
        <v>-1.5883658113061938</v>
      </c>
    </row>
    <row r="178" spans="1:10" x14ac:dyDescent="0.25">
      <c r="A178" t="str">
        <f ca="1"/>
        <v>25/26</v>
      </c>
      <c r="B178" s="3">
        <f ca="1"/>
        <v>46080</v>
      </c>
      <c r="C178" t="str">
        <f ca="1"/>
        <v>VIT</v>
      </c>
      <c r="D178" t="str">
        <f ca="1"/>
        <v>Hrachovina</v>
      </c>
      <c r="E178">
        <f ca="1"/>
        <v>0</v>
      </c>
      <c r="F178">
        <f ca="1"/>
        <v>39</v>
      </c>
      <c r="G178">
        <f ca="1"/>
        <v>35</v>
      </c>
      <c r="H178">
        <f ca="1"/>
        <v>4</v>
      </c>
      <c r="I178">
        <f t="shared" ca="1" si="4"/>
        <v>0.89743589743589747</v>
      </c>
      <c r="J178">
        <f t="shared" ca="1" si="5"/>
        <v>-0.38254871695929094</v>
      </c>
    </row>
    <row r="179" spans="1:10" x14ac:dyDescent="0.25">
      <c r="A179" t="str">
        <f ca="1"/>
        <v>25/26</v>
      </c>
      <c r="B179" s="3">
        <f ca="1"/>
        <v>46082</v>
      </c>
      <c r="C179" t="str">
        <f ca="1"/>
        <v>VIT</v>
      </c>
      <c r="D179" t="str">
        <f ca="1"/>
        <v>Hrachovina</v>
      </c>
      <c r="E179">
        <f ca="1"/>
        <v>0</v>
      </c>
      <c r="F179">
        <f ca="1"/>
        <v>44</v>
      </c>
      <c r="G179">
        <f ca="1"/>
        <v>41</v>
      </c>
      <c r="H179">
        <f ca="1"/>
        <v>3</v>
      </c>
      <c r="I179">
        <f t="shared" ca="1" si="4"/>
        <v>0.93181818181818177</v>
      </c>
      <c r="J179">
        <f t="shared" ca="1" si="5"/>
        <v>1.0812270885587489</v>
      </c>
    </row>
    <row r="180" spans="1:10" x14ac:dyDescent="0.25">
      <c r="A180" t="str">
        <f ca="1"/>
        <v>25/26</v>
      </c>
      <c r="B180" s="3">
        <f ca="1"/>
        <v>46085</v>
      </c>
      <c r="C180" t="str">
        <f ca="1"/>
        <v>VIT</v>
      </c>
      <c r="D180" t="str">
        <f ca="1"/>
        <v>Hrachovina</v>
      </c>
      <c r="E180">
        <f ca="1"/>
        <v>0</v>
      </c>
      <c r="F180">
        <f ca="1"/>
        <v>41</v>
      </c>
      <c r="G180">
        <f ca="1"/>
        <v>39</v>
      </c>
      <c r="H180">
        <f ca="1"/>
        <v>2</v>
      </c>
      <c r="I180">
        <f t="shared" ca="1" si="4"/>
        <v>0.95121951219512191</v>
      </c>
      <c r="J180">
        <f t="shared" ca="1" si="5"/>
        <v>1.8029616052479254</v>
      </c>
    </row>
    <row r="181" spans="1:10" s="9" customFormat="1" x14ac:dyDescent="0.25">
      <c r="A181" s="9" t="str">
        <f ca="1"/>
        <v>25/26</v>
      </c>
      <c r="B181" s="10">
        <f ca="1"/>
        <v>46087</v>
      </c>
      <c r="C181" s="9" t="str">
        <f ca="1"/>
        <v>VIT</v>
      </c>
      <c r="D181" s="9" t="str">
        <f ca="1"/>
        <v>Hrachovina</v>
      </c>
      <c r="E181" s="9">
        <f ca="1"/>
        <v>0</v>
      </c>
      <c r="F181" s="9">
        <f ca="1"/>
        <v>49</v>
      </c>
      <c r="G181" s="9">
        <f ca="1"/>
        <v>44</v>
      </c>
      <c r="H181" s="9">
        <f ca="1"/>
        <v>5</v>
      </c>
      <c r="I181">
        <f t="shared" ca="1" si="4"/>
        <v>0.89795918367346939</v>
      </c>
      <c r="J181">
        <f t="shared" ca="1" si="5"/>
        <v>-0.45499710592321119</v>
      </c>
    </row>
    <row r="182" spans="1:10" s="11" customFormat="1" x14ac:dyDescent="0.25">
      <c r="B182" s="12"/>
      <c r="I182" t="str">
        <f t="shared" si="4"/>
        <v/>
      </c>
      <c r="J182">
        <f t="shared" si="5"/>
        <v>0</v>
      </c>
    </row>
    <row r="183" spans="1:10" x14ac:dyDescent="0.25">
      <c r="I183" t="str">
        <f t="shared" si="4"/>
        <v/>
      </c>
      <c r="J183">
        <f t="shared" si="5"/>
        <v>0</v>
      </c>
    </row>
    <row r="184" spans="1:10" x14ac:dyDescent="0.25">
      <c r="I184" t="str">
        <f t="shared" si="4"/>
        <v/>
      </c>
      <c r="J184">
        <f t="shared" si="5"/>
        <v>0</v>
      </c>
    </row>
    <row r="185" spans="1:10" x14ac:dyDescent="0.25">
      <c r="I185" t="str">
        <f t="shared" si="4"/>
        <v/>
      </c>
      <c r="J185">
        <f t="shared" si="5"/>
        <v>0</v>
      </c>
    </row>
    <row r="186" spans="1:10" s="9" customFormat="1" x14ac:dyDescent="0.25">
      <c r="B186" s="10"/>
      <c r="I186" t="str">
        <f t="shared" si="4"/>
        <v/>
      </c>
      <c r="J186">
        <f t="shared" si="5"/>
        <v>0</v>
      </c>
    </row>
    <row r="187" spans="1:10" s="11" customFormat="1" x14ac:dyDescent="0.25">
      <c r="B187" s="12"/>
      <c r="I187" t="str">
        <f t="shared" si="4"/>
        <v/>
      </c>
      <c r="J187">
        <f t="shared" si="5"/>
        <v>0</v>
      </c>
    </row>
    <row r="188" spans="1:10" x14ac:dyDescent="0.25">
      <c r="I188" t="str">
        <f t="shared" si="4"/>
        <v/>
      </c>
      <c r="J188">
        <f t="shared" si="5"/>
        <v>0</v>
      </c>
    </row>
    <row r="189" spans="1:10" x14ac:dyDescent="0.25">
      <c r="I189" t="str">
        <f t="shared" si="4"/>
        <v/>
      </c>
      <c r="J189">
        <f t="shared" si="5"/>
        <v>0</v>
      </c>
    </row>
    <row r="190" spans="1:10" x14ac:dyDescent="0.25">
      <c r="I190" t="str">
        <f t="shared" ref="I190:I253" si="6">IF(H190&lt;&gt;"",(F190-H190)/F190,"")</f>
        <v/>
      </c>
      <c r="J190">
        <f t="shared" si="5"/>
        <v>0</v>
      </c>
    </row>
    <row r="191" spans="1:10" s="9" customFormat="1" x14ac:dyDescent="0.25">
      <c r="B191" s="10"/>
      <c r="I191" t="str">
        <f t="shared" si="6"/>
        <v/>
      </c>
      <c r="J191">
        <f t="shared" ref="J191:J254" si="7">(F191*(1-$R$1)-H191)</f>
        <v>0</v>
      </c>
    </row>
    <row r="192" spans="1:10" x14ac:dyDescent="0.25">
      <c r="I192" t="str">
        <f t="shared" si="6"/>
        <v/>
      </c>
      <c r="J192">
        <f t="shared" si="7"/>
        <v>0</v>
      </c>
    </row>
    <row r="193" spans="2:10" x14ac:dyDescent="0.25">
      <c r="I193" t="str">
        <f t="shared" si="6"/>
        <v/>
      </c>
      <c r="J193">
        <f t="shared" si="7"/>
        <v>0</v>
      </c>
    </row>
    <row r="194" spans="2:10" x14ac:dyDescent="0.25">
      <c r="I194" t="str">
        <f t="shared" si="6"/>
        <v/>
      </c>
      <c r="J194">
        <f t="shared" si="7"/>
        <v>0</v>
      </c>
    </row>
    <row r="195" spans="2:10" x14ac:dyDescent="0.25">
      <c r="I195" t="str">
        <f t="shared" si="6"/>
        <v/>
      </c>
      <c r="J195">
        <f t="shared" si="7"/>
        <v>0</v>
      </c>
    </row>
    <row r="196" spans="2:10" s="9" customFormat="1" x14ac:dyDescent="0.25">
      <c r="B196" s="10"/>
      <c r="I196" t="str">
        <f t="shared" si="6"/>
        <v/>
      </c>
      <c r="J196">
        <f t="shared" si="7"/>
        <v>0</v>
      </c>
    </row>
    <row r="197" spans="2:10" s="11" customFormat="1" x14ac:dyDescent="0.25">
      <c r="B197" s="12"/>
      <c r="I197" t="str">
        <f t="shared" si="6"/>
        <v/>
      </c>
      <c r="J197">
        <f t="shared" si="7"/>
        <v>0</v>
      </c>
    </row>
    <row r="198" spans="2:10" x14ac:dyDescent="0.25">
      <c r="I198" t="str">
        <f t="shared" si="6"/>
        <v/>
      </c>
      <c r="J198">
        <f t="shared" si="7"/>
        <v>0</v>
      </c>
    </row>
    <row r="199" spans="2:10" x14ac:dyDescent="0.25">
      <c r="I199" t="str">
        <f t="shared" si="6"/>
        <v/>
      </c>
      <c r="J199">
        <f t="shared" si="7"/>
        <v>0</v>
      </c>
    </row>
    <row r="200" spans="2:10" x14ac:dyDescent="0.25">
      <c r="I200" t="str">
        <f t="shared" si="6"/>
        <v/>
      </c>
      <c r="J200">
        <f t="shared" si="7"/>
        <v>0</v>
      </c>
    </row>
    <row r="201" spans="2:10" s="9" customFormat="1" x14ac:dyDescent="0.25">
      <c r="B201" s="10"/>
      <c r="I201" t="str">
        <f t="shared" si="6"/>
        <v/>
      </c>
      <c r="J201">
        <f t="shared" si="7"/>
        <v>0</v>
      </c>
    </row>
    <row r="202" spans="2:10" s="11" customFormat="1" x14ac:dyDescent="0.25">
      <c r="B202" s="12"/>
      <c r="I202" t="str">
        <f t="shared" si="6"/>
        <v/>
      </c>
      <c r="J202">
        <f t="shared" si="7"/>
        <v>0</v>
      </c>
    </row>
    <row r="203" spans="2:10" x14ac:dyDescent="0.25">
      <c r="I203" t="str">
        <f t="shared" si="6"/>
        <v/>
      </c>
      <c r="J203">
        <f t="shared" si="7"/>
        <v>0</v>
      </c>
    </row>
    <row r="204" spans="2:10" x14ac:dyDescent="0.25">
      <c r="I204" t="str">
        <f t="shared" si="6"/>
        <v/>
      </c>
      <c r="J204">
        <f t="shared" si="7"/>
        <v>0</v>
      </c>
    </row>
    <row r="205" spans="2:10" x14ac:dyDescent="0.25">
      <c r="I205" t="str">
        <f t="shared" si="6"/>
        <v/>
      </c>
      <c r="J205">
        <f t="shared" si="7"/>
        <v>0</v>
      </c>
    </row>
    <row r="206" spans="2:10" s="9" customFormat="1" x14ac:dyDescent="0.25">
      <c r="B206" s="10"/>
      <c r="I206" t="str">
        <f t="shared" si="6"/>
        <v/>
      </c>
      <c r="J206">
        <f t="shared" si="7"/>
        <v>0</v>
      </c>
    </row>
    <row r="207" spans="2:10" x14ac:dyDescent="0.25">
      <c r="I207" t="str">
        <f t="shared" si="6"/>
        <v/>
      </c>
      <c r="J207">
        <f t="shared" si="7"/>
        <v>0</v>
      </c>
    </row>
    <row r="208" spans="2:10" x14ac:dyDescent="0.25">
      <c r="I208" t="str">
        <f t="shared" si="6"/>
        <v/>
      </c>
      <c r="J208">
        <f t="shared" si="7"/>
        <v>0</v>
      </c>
    </row>
    <row r="209" spans="2:10" x14ac:dyDescent="0.25">
      <c r="I209" t="str">
        <f t="shared" si="6"/>
        <v/>
      </c>
      <c r="J209">
        <f t="shared" si="7"/>
        <v>0</v>
      </c>
    </row>
    <row r="210" spans="2:10" x14ac:dyDescent="0.25">
      <c r="I210" t="str">
        <f t="shared" si="6"/>
        <v/>
      </c>
      <c r="J210">
        <f t="shared" si="7"/>
        <v>0</v>
      </c>
    </row>
    <row r="211" spans="2:10" s="9" customFormat="1" x14ac:dyDescent="0.25">
      <c r="B211" s="10"/>
      <c r="I211" t="str">
        <f t="shared" si="6"/>
        <v/>
      </c>
      <c r="J211">
        <f t="shared" si="7"/>
        <v>0</v>
      </c>
    </row>
    <row r="212" spans="2:10" s="11" customFormat="1" x14ac:dyDescent="0.25">
      <c r="B212" s="12"/>
      <c r="I212" t="str">
        <f t="shared" si="6"/>
        <v/>
      </c>
      <c r="J212">
        <f t="shared" si="7"/>
        <v>0</v>
      </c>
    </row>
    <row r="213" spans="2:10" x14ac:dyDescent="0.25">
      <c r="I213" t="str">
        <f t="shared" si="6"/>
        <v/>
      </c>
      <c r="J213">
        <f t="shared" si="7"/>
        <v>0</v>
      </c>
    </row>
    <row r="214" spans="2:10" x14ac:dyDescent="0.25">
      <c r="I214" t="str">
        <f t="shared" si="6"/>
        <v/>
      </c>
      <c r="J214">
        <f t="shared" si="7"/>
        <v>0</v>
      </c>
    </row>
    <row r="215" spans="2:10" x14ac:dyDescent="0.25">
      <c r="I215" t="str">
        <f t="shared" si="6"/>
        <v/>
      </c>
      <c r="J215">
        <f t="shared" si="7"/>
        <v>0</v>
      </c>
    </row>
    <row r="216" spans="2:10" s="9" customFormat="1" x14ac:dyDescent="0.25">
      <c r="B216" s="10"/>
      <c r="I216" t="str">
        <f t="shared" si="6"/>
        <v/>
      </c>
      <c r="J216">
        <f t="shared" si="7"/>
        <v>0</v>
      </c>
    </row>
    <row r="217" spans="2:10" s="11" customFormat="1" x14ac:dyDescent="0.25">
      <c r="B217" s="12"/>
      <c r="I217" t="str">
        <f t="shared" si="6"/>
        <v/>
      </c>
      <c r="J217">
        <f t="shared" si="7"/>
        <v>0</v>
      </c>
    </row>
    <row r="218" spans="2:10" x14ac:dyDescent="0.25">
      <c r="I218" t="str">
        <f t="shared" si="6"/>
        <v/>
      </c>
      <c r="J218">
        <f t="shared" si="7"/>
        <v>0</v>
      </c>
    </row>
    <row r="219" spans="2:10" x14ac:dyDescent="0.25">
      <c r="I219" t="str">
        <f t="shared" si="6"/>
        <v/>
      </c>
      <c r="J219">
        <f t="shared" si="7"/>
        <v>0</v>
      </c>
    </row>
    <row r="220" spans="2:10" x14ac:dyDescent="0.25">
      <c r="I220" t="str">
        <f t="shared" si="6"/>
        <v/>
      </c>
      <c r="J220">
        <f t="shared" si="7"/>
        <v>0</v>
      </c>
    </row>
    <row r="221" spans="2:10" s="9" customFormat="1" x14ac:dyDescent="0.25">
      <c r="B221" s="10"/>
      <c r="I221" t="str">
        <f t="shared" si="6"/>
        <v/>
      </c>
      <c r="J221">
        <f t="shared" si="7"/>
        <v>0</v>
      </c>
    </row>
    <row r="222" spans="2:10" x14ac:dyDescent="0.25">
      <c r="I222" t="str">
        <f t="shared" si="6"/>
        <v/>
      </c>
      <c r="J222">
        <f t="shared" si="7"/>
        <v>0</v>
      </c>
    </row>
    <row r="223" spans="2:10" x14ac:dyDescent="0.25">
      <c r="I223" t="str">
        <f t="shared" si="6"/>
        <v/>
      </c>
      <c r="J223">
        <f t="shared" si="7"/>
        <v>0</v>
      </c>
    </row>
    <row r="224" spans="2:10" x14ac:dyDescent="0.25">
      <c r="I224" t="str">
        <f t="shared" si="6"/>
        <v/>
      </c>
      <c r="J224">
        <f t="shared" si="7"/>
        <v>0</v>
      </c>
    </row>
    <row r="225" spans="2:10" x14ac:dyDescent="0.25">
      <c r="I225" t="str">
        <f t="shared" si="6"/>
        <v/>
      </c>
      <c r="J225">
        <f t="shared" si="7"/>
        <v>0</v>
      </c>
    </row>
    <row r="226" spans="2:10" s="9" customFormat="1" x14ac:dyDescent="0.25">
      <c r="B226" s="10"/>
      <c r="I226" t="str">
        <f t="shared" si="6"/>
        <v/>
      </c>
      <c r="J226">
        <f t="shared" si="7"/>
        <v>0</v>
      </c>
    </row>
    <row r="227" spans="2:10" s="11" customFormat="1" x14ac:dyDescent="0.25">
      <c r="B227" s="12"/>
      <c r="I227" t="str">
        <f t="shared" si="6"/>
        <v/>
      </c>
      <c r="J227">
        <f t="shared" si="7"/>
        <v>0</v>
      </c>
    </row>
    <row r="228" spans="2:10" x14ac:dyDescent="0.25">
      <c r="I228" t="str">
        <f t="shared" si="6"/>
        <v/>
      </c>
      <c r="J228">
        <f t="shared" si="7"/>
        <v>0</v>
      </c>
    </row>
    <row r="229" spans="2:10" x14ac:dyDescent="0.25">
      <c r="I229" t="str">
        <f t="shared" si="6"/>
        <v/>
      </c>
      <c r="J229">
        <f t="shared" si="7"/>
        <v>0</v>
      </c>
    </row>
    <row r="230" spans="2:10" x14ac:dyDescent="0.25">
      <c r="I230" t="str">
        <f t="shared" si="6"/>
        <v/>
      </c>
      <c r="J230">
        <f t="shared" si="7"/>
        <v>0</v>
      </c>
    </row>
    <row r="231" spans="2:10" s="9" customFormat="1" x14ac:dyDescent="0.25">
      <c r="B231" s="10"/>
      <c r="I231" t="str">
        <f t="shared" si="6"/>
        <v/>
      </c>
      <c r="J231">
        <f t="shared" si="7"/>
        <v>0</v>
      </c>
    </row>
    <row r="232" spans="2:10" s="11" customFormat="1" x14ac:dyDescent="0.25">
      <c r="B232" s="12"/>
      <c r="I232" t="str">
        <f t="shared" si="6"/>
        <v/>
      </c>
      <c r="J232">
        <f t="shared" si="7"/>
        <v>0</v>
      </c>
    </row>
    <row r="233" spans="2:10" x14ac:dyDescent="0.25">
      <c r="I233" t="str">
        <f t="shared" si="6"/>
        <v/>
      </c>
      <c r="J233">
        <f t="shared" si="7"/>
        <v>0</v>
      </c>
    </row>
    <row r="234" spans="2:10" x14ac:dyDescent="0.25">
      <c r="I234" t="str">
        <f t="shared" si="6"/>
        <v/>
      </c>
      <c r="J234">
        <f t="shared" si="7"/>
        <v>0</v>
      </c>
    </row>
    <row r="235" spans="2:10" x14ac:dyDescent="0.25">
      <c r="I235" t="str">
        <f t="shared" si="6"/>
        <v/>
      </c>
      <c r="J235">
        <f t="shared" si="7"/>
        <v>0</v>
      </c>
    </row>
    <row r="236" spans="2:10" s="9" customFormat="1" x14ac:dyDescent="0.25">
      <c r="B236" s="10"/>
      <c r="I236" t="str">
        <f t="shared" si="6"/>
        <v/>
      </c>
      <c r="J236">
        <f t="shared" si="7"/>
        <v>0</v>
      </c>
    </row>
    <row r="237" spans="2:10" x14ac:dyDescent="0.25">
      <c r="I237" t="str">
        <f t="shared" si="6"/>
        <v/>
      </c>
      <c r="J237">
        <f t="shared" si="7"/>
        <v>0</v>
      </c>
    </row>
    <row r="238" spans="2:10" x14ac:dyDescent="0.25">
      <c r="I238" t="str">
        <f t="shared" si="6"/>
        <v/>
      </c>
      <c r="J238">
        <f t="shared" si="7"/>
        <v>0</v>
      </c>
    </row>
    <row r="239" spans="2:10" x14ac:dyDescent="0.25">
      <c r="I239" t="str">
        <f t="shared" si="6"/>
        <v/>
      </c>
      <c r="J239">
        <f t="shared" si="7"/>
        <v>0</v>
      </c>
    </row>
    <row r="240" spans="2:10" x14ac:dyDescent="0.25">
      <c r="I240" t="str">
        <f t="shared" si="6"/>
        <v/>
      </c>
      <c r="J240">
        <f t="shared" si="7"/>
        <v>0</v>
      </c>
    </row>
    <row r="241" spans="2:10" s="9" customFormat="1" x14ac:dyDescent="0.25">
      <c r="B241" s="10"/>
      <c r="I241" t="str">
        <f t="shared" si="6"/>
        <v/>
      </c>
      <c r="J241">
        <f t="shared" si="7"/>
        <v>0</v>
      </c>
    </row>
    <row r="242" spans="2:10" s="11" customFormat="1" x14ac:dyDescent="0.25">
      <c r="B242" s="12"/>
      <c r="I242" t="str">
        <f t="shared" si="6"/>
        <v/>
      </c>
      <c r="J242">
        <f t="shared" si="7"/>
        <v>0</v>
      </c>
    </row>
    <row r="243" spans="2:10" x14ac:dyDescent="0.25">
      <c r="I243" t="str">
        <f t="shared" si="6"/>
        <v/>
      </c>
      <c r="J243">
        <f t="shared" si="7"/>
        <v>0</v>
      </c>
    </row>
    <row r="244" spans="2:10" x14ac:dyDescent="0.25">
      <c r="I244" t="str">
        <f t="shared" si="6"/>
        <v/>
      </c>
      <c r="J244">
        <f t="shared" si="7"/>
        <v>0</v>
      </c>
    </row>
    <row r="245" spans="2:10" x14ac:dyDescent="0.25">
      <c r="I245" t="str">
        <f t="shared" si="6"/>
        <v/>
      </c>
      <c r="J245">
        <f t="shared" si="7"/>
        <v>0</v>
      </c>
    </row>
    <row r="246" spans="2:10" s="9" customFormat="1" x14ac:dyDescent="0.25">
      <c r="B246" s="10"/>
      <c r="I246" t="str">
        <f t="shared" si="6"/>
        <v/>
      </c>
      <c r="J246">
        <f t="shared" si="7"/>
        <v>0</v>
      </c>
    </row>
    <row r="247" spans="2:10" s="11" customFormat="1" x14ac:dyDescent="0.25">
      <c r="B247" s="12"/>
      <c r="I247" t="str">
        <f t="shared" si="6"/>
        <v/>
      </c>
      <c r="J247">
        <f t="shared" si="7"/>
        <v>0</v>
      </c>
    </row>
    <row r="248" spans="2:10" x14ac:dyDescent="0.25">
      <c r="I248" t="str">
        <f t="shared" si="6"/>
        <v/>
      </c>
      <c r="J248">
        <f t="shared" si="7"/>
        <v>0</v>
      </c>
    </row>
    <row r="249" spans="2:10" x14ac:dyDescent="0.25">
      <c r="I249" t="str">
        <f t="shared" si="6"/>
        <v/>
      </c>
      <c r="J249">
        <f t="shared" si="7"/>
        <v>0</v>
      </c>
    </row>
    <row r="250" spans="2:10" x14ac:dyDescent="0.25">
      <c r="I250" t="str">
        <f t="shared" si="6"/>
        <v/>
      </c>
      <c r="J250">
        <f t="shared" si="7"/>
        <v>0</v>
      </c>
    </row>
    <row r="251" spans="2:10" s="9" customFormat="1" x14ac:dyDescent="0.25">
      <c r="B251" s="10"/>
      <c r="I251" t="str">
        <f t="shared" si="6"/>
        <v/>
      </c>
      <c r="J251">
        <f t="shared" si="7"/>
        <v>0</v>
      </c>
    </row>
    <row r="252" spans="2:10" x14ac:dyDescent="0.25">
      <c r="I252" t="str">
        <f t="shared" si="6"/>
        <v/>
      </c>
      <c r="J252">
        <f t="shared" si="7"/>
        <v>0</v>
      </c>
    </row>
    <row r="253" spans="2:10" x14ac:dyDescent="0.25">
      <c r="I253" t="str">
        <f t="shared" si="6"/>
        <v/>
      </c>
      <c r="J253">
        <f t="shared" si="7"/>
        <v>0</v>
      </c>
    </row>
    <row r="254" spans="2:10" x14ac:dyDescent="0.25">
      <c r="I254" t="str">
        <f t="shared" ref="I254:I317" si="8">IF(H254&lt;&gt;"",(F254-H254)/F254,"")</f>
        <v/>
      </c>
      <c r="J254">
        <f t="shared" si="7"/>
        <v>0</v>
      </c>
    </row>
    <row r="255" spans="2:10" x14ac:dyDescent="0.25">
      <c r="I255" t="str">
        <f t="shared" si="8"/>
        <v/>
      </c>
      <c r="J255">
        <f t="shared" ref="J255:J318" si="9">(F255*(1-$R$1)-H255)</f>
        <v>0</v>
      </c>
    </row>
    <row r="256" spans="2:10" s="9" customFormat="1" x14ac:dyDescent="0.25">
      <c r="B256" s="10"/>
      <c r="I256" t="str">
        <f t="shared" si="8"/>
        <v/>
      </c>
      <c r="J256">
        <f t="shared" si="9"/>
        <v>0</v>
      </c>
    </row>
    <row r="257" spans="2:10" s="11" customFormat="1" x14ac:dyDescent="0.25">
      <c r="B257" s="12"/>
      <c r="I257" t="str">
        <f t="shared" si="8"/>
        <v/>
      </c>
      <c r="J257">
        <f t="shared" si="9"/>
        <v>0</v>
      </c>
    </row>
    <row r="258" spans="2:10" x14ac:dyDescent="0.25">
      <c r="I258" t="str">
        <f t="shared" si="8"/>
        <v/>
      </c>
      <c r="J258">
        <f t="shared" si="9"/>
        <v>0</v>
      </c>
    </row>
    <row r="259" spans="2:10" x14ac:dyDescent="0.25">
      <c r="I259" t="str">
        <f t="shared" si="8"/>
        <v/>
      </c>
      <c r="J259">
        <f t="shared" si="9"/>
        <v>0</v>
      </c>
    </row>
    <row r="260" spans="2:10" x14ac:dyDescent="0.25">
      <c r="I260" t="str">
        <f t="shared" si="8"/>
        <v/>
      </c>
      <c r="J260">
        <f t="shared" si="9"/>
        <v>0</v>
      </c>
    </row>
    <row r="261" spans="2:10" s="9" customFormat="1" x14ac:dyDescent="0.25">
      <c r="B261" s="10"/>
      <c r="I261" t="str">
        <f t="shared" si="8"/>
        <v/>
      </c>
      <c r="J261">
        <f t="shared" si="9"/>
        <v>0</v>
      </c>
    </row>
    <row r="262" spans="2:10" s="11" customFormat="1" x14ac:dyDescent="0.25">
      <c r="B262" s="12"/>
      <c r="I262" t="str">
        <f t="shared" si="8"/>
        <v/>
      </c>
      <c r="J262">
        <f t="shared" si="9"/>
        <v>0</v>
      </c>
    </row>
    <row r="263" spans="2:10" x14ac:dyDescent="0.25">
      <c r="I263" t="str">
        <f t="shared" si="8"/>
        <v/>
      </c>
      <c r="J263">
        <f t="shared" si="9"/>
        <v>0</v>
      </c>
    </row>
    <row r="264" spans="2:10" x14ac:dyDescent="0.25">
      <c r="I264" t="str">
        <f t="shared" si="8"/>
        <v/>
      </c>
      <c r="J264">
        <f t="shared" si="9"/>
        <v>0</v>
      </c>
    </row>
    <row r="265" spans="2:10" x14ac:dyDescent="0.25">
      <c r="I265" t="str">
        <f t="shared" si="8"/>
        <v/>
      </c>
      <c r="J265">
        <f t="shared" si="9"/>
        <v>0</v>
      </c>
    </row>
    <row r="266" spans="2:10" s="9" customFormat="1" x14ac:dyDescent="0.25">
      <c r="B266" s="10"/>
      <c r="I266" t="str">
        <f t="shared" si="8"/>
        <v/>
      </c>
      <c r="J266">
        <f t="shared" si="9"/>
        <v>0</v>
      </c>
    </row>
    <row r="267" spans="2:10" x14ac:dyDescent="0.25">
      <c r="I267" t="str">
        <f t="shared" si="8"/>
        <v/>
      </c>
      <c r="J267">
        <f t="shared" si="9"/>
        <v>0</v>
      </c>
    </row>
    <row r="268" spans="2:10" x14ac:dyDescent="0.25">
      <c r="I268" t="str">
        <f t="shared" si="8"/>
        <v/>
      </c>
      <c r="J268">
        <f t="shared" si="9"/>
        <v>0</v>
      </c>
    </row>
    <row r="269" spans="2:10" x14ac:dyDescent="0.25">
      <c r="I269" t="str">
        <f t="shared" si="8"/>
        <v/>
      </c>
      <c r="J269">
        <f t="shared" si="9"/>
        <v>0</v>
      </c>
    </row>
    <row r="270" spans="2:10" x14ac:dyDescent="0.25">
      <c r="I270" t="str">
        <f t="shared" si="8"/>
        <v/>
      </c>
      <c r="J270">
        <f t="shared" si="9"/>
        <v>0</v>
      </c>
    </row>
    <row r="271" spans="2:10" s="9" customFormat="1" x14ac:dyDescent="0.25">
      <c r="B271" s="10"/>
      <c r="I271" t="str">
        <f t="shared" si="8"/>
        <v/>
      </c>
      <c r="J271">
        <f t="shared" si="9"/>
        <v>0</v>
      </c>
    </row>
    <row r="272" spans="2:10" s="11" customFormat="1" x14ac:dyDescent="0.25">
      <c r="B272" s="12"/>
      <c r="I272" t="str">
        <f t="shared" si="8"/>
        <v/>
      </c>
      <c r="J272">
        <f t="shared" si="9"/>
        <v>0</v>
      </c>
    </row>
    <row r="273" spans="2:10" x14ac:dyDescent="0.25">
      <c r="I273" t="str">
        <f t="shared" si="8"/>
        <v/>
      </c>
      <c r="J273">
        <f t="shared" si="9"/>
        <v>0</v>
      </c>
    </row>
    <row r="274" spans="2:10" x14ac:dyDescent="0.25">
      <c r="I274" t="str">
        <f t="shared" si="8"/>
        <v/>
      </c>
      <c r="J274">
        <f t="shared" si="9"/>
        <v>0</v>
      </c>
    </row>
    <row r="275" spans="2:10" x14ac:dyDescent="0.25">
      <c r="I275" t="str">
        <f t="shared" si="8"/>
        <v/>
      </c>
      <c r="J275">
        <f t="shared" si="9"/>
        <v>0</v>
      </c>
    </row>
    <row r="276" spans="2:10" s="9" customFormat="1" x14ac:dyDescent="0.25">
      <c r="B276" s="10"/>
      <c r="I276" t="str">
        <f t="shared" si="8"/>
        <v/>
      </c>
      <c r="J276">
        <f t="shared" si="9"/>
        <v>0</v>
      </c>
    </row>
    <row r="277" spans="2:10" s="11" customFormat="1" x14ac:dyDescent="0.25">
      <c r="B277" s="12"/>
      <c r="I277" t="str">
        <f t="shared" si="8"/>
        <v/>
      </c>
      <c r="J277">
        <f t="shared" si="9"/>
        <v>0</v>
      </c>
    </row>
    <row r="278" spans="2:10" x14ac:dyDescent="0.25">
      <c r="I278" t="str">
        <f t="shared" si="8"/>
        <v/>
      </c>
      <c r="J278">
        <f t="shared" si="9"/>
        <v>0</v>
      </c>
    </row>
    <row r="279" spans="2:10" x14ac:dyDescent="0.25">
      <c r="I279" t="str">
        <f t="shared" si="8"/>
        <v/>
      </c>
      <c r="J279">
        <f t="shared" si="9"/>
        <v>0</v>
      </c>
    </row>
    <row r="280" spans="2:10" x14ac:dyDescent="0.25">
      <c r="I280" t="str">
        <f t="shared" si="8"/>
        <v/>
      </c>
      <c r="J280">
        <f t="shared" si="9"/>
        <v>0</v>
      </c>
    </row>
    <row r="281" spans="2:10" s="9" customFormat="1" x14ac:dyDescent="0.25">
      <c r="B281" s="10"/>
      <c r="I281" t="str">
        <f t="shared" si="8"/>
        <v/>
      </c>
      <c r="J281">
        <f t="shared" si="9"/>
        <v>0</v>
      </c>
    </row>
    <row r="282" spans="2:10" x14ac:dyDescent="0.25">
      <c r="I282" t="str">
        <f t="shared" si="8"/>
        <v/>
      </c>
      <c r="J282">
        <f t="shared" si="9"/>
        <v>0</v>
      </c>
    </row>
    <row r="283" spans="2:10" x14ac:dyDescent="0.25">
      <c r="I283" t="str">
        <f t="shared" si="8"/>
        <v/>
      </c>
      <c r="J283">
        <f t="shared" si="9"/>
        <v>0</v>
      </c>
    </row>
    <row r="284" spans="2:10" x14ac:dyDescent="0.25">
      <c r="I284" t="str">
        <f t="shared" si="8"/>
        <v/>
      </c>
      <c r="J284">
        <f t="shared" si="9"/>
        <v>0</v>
      </c>
    </row>
    <row r="285" spans="2:10" x14ac:dyDescent="0.25">
      <c r="I285" t="str">
        <f t="shared" si="8"/>
        <v/>
      </c>
      <c r="J285">
        <f t="shared" si="9"/>
        <v>0</v>
      </c>
    </row>
    <row r="286" spans="2:10" s="9" customFormat="1" x14ac:dyDescent="0.25">
      <c r="B286" s="10"/>
      <c r="I286" t="str">
        <f t="shared" si="8"/>
        <v/>
      </c>
      <c r="J286">
        <f t="shared" si="9"/>
        <v>0</v>
      </c>
    </row>
    <row r="287" spans="2:10" s="11" customFormat="1" x14ac:dyDescent="0.25">
      <c r="B287" s="12"/>
      <c r="I287" t="str">
        <f t="shared" si="8"/>
        <v/>
      </c>
      <c r="J287">
        <f t="shared" si="9"/>
        <v>0</v>
      </c>
    </row>
    <row r="288" spans="2:10" x14ac:dyDescent="0.25">
      <c r="I288" t="str">
        <f t="shared" si="8"/>
        <v/>
      </c>
      <c r="J288">
        <f t="shared" si="9"/>
        <v>0</v>
      </c>
    </row>
    <row r="289" spans="2:10" x14ac:dyDescent="0.25">
      <c r="I289" t="str">
        <f t="shared" si="8"/>
        <v/>
      </c>
      <c r="J289">
        <f t="shared" si="9"/>
        <v>0</v>
      </c>
    </row>
    <row r="290" spans="2:10" x14ac:dyDescent="0.25">
      <c r="I290" t="str">
        <f t="shared" si="8"/>
        <v/>
      </c>
      <c r="J290">
        <f t="shared" si="9"/>
        <v>0</v>
      </c>
    </row>
    <row r="291" spans="2:10" s="9" customFormat="1" x14ac:dyDescent="0.25">
      <c r="B291" s="10"/>
      <c r="I291" t="str">
        <f t="shared" si="8"/>
        <v/>
      </c>
      <c r="J291">
        <f t="shared" si="9"/>
        <v>0</v>
      </c>
    </row>
    <row r="292" spans="2:10" s="11" customFormat="1" x14ac:dyDescent="0.25">
      <c r="B292" s="12"/>
      <c r="I292" t="str">
        <f t="shared" si="8"/>
        <v/>
      </c>
      <c r="J292">
        <f t="shared" si="9"/>
        <v>0</v>
      </c>
    </row>
    <row r="293" spans="2:10" x14ac:dyDescent="0.25">
      <c r="I293" t="str">
        <f t="shared" si="8"/>
        <v/>
      </c>
      <c r="J293">
        <f t="shared" si="9"/>
        <v>0</v>
      </c>
    </row>
    <row r="294" spans="2:10" x14ac:dyDescent="0.25">
      <c r="I294" t="str">
        <f t="shared" si="8"/>
        <v/>
      </c>
      <c r="J294">
        <f t="shared" si="9"/>
        <v>0</v>
      </c>
    </row>
    <row r="295" spans="2:10" x14ac:dyDescent="0.25">
      <c r="I295" t="str">
        <f t="shared" si="8"/>
        <v/>
      </c>
      <c r="J295">
        <f t="shared" si="9"/>
        <v>0</v>
      </c>
    </row>
    <row r="296" spans="2:10" s="9" customFormat="1" x14ac:dyDescent="0.25">
      <c r="B296" s="10"/>
      <c r="I296" t="str">
        <f t="shared" si="8"/>
        <v/>
      </c>
      <c r="J296">
        <f t="shared" si="9"/>
        <v>0</v>
      </c>
    </row>
    <row r="297" spans="2:10" x14ac:dyDescent="0.25">
      <c r="I297" t="str">
        <f t="shared" si="8"/>
        <v/>
      </c>
      <c r="J297">
        <f t="shared" si="9"/>
        <v>0</v>
      </c>
    </row>
    <row r="298" spans="2:10" x14ac:dyDescent="0.25">
      <c r="I298" t="str">
        <f t="shared" si="8"/>
        <v/>
      </c>
      <c r="J298">
        <f t="shared" si="9"/>
        <v>0</v>
      </c>
    </row>
    <row r="299" spans="2:10" x14ac:dyDescent="0.25">
      <c r="I299" t="str">
        <f t="shared" si="8"/>
        <v/>
      </c>
      <c r="J299">
        <f t="shared" si="9"/>
        <v>0</v>
      </c>
    </row>
    <row r="300" spans="2:10" x14ac:dyDescent="0.25">
      <c r="I300" t="str">
        <f t="shared" si="8"/>
        <v/>
      </c>
      <c r="J300">
        <f t="shared" si="9"/>
        <v>0</v>
      </c>
    </row>
    <row r="301" spans="2:10" s="9" customFormat="1" x14ac:dyDescent="0.25">
      <c r="B301" s="10"/>
      <c r="I301" t="str">
        <f t="shared" si="8"/>
        <v/>
      </c>
      <c r="J301">
        <f t="shared" si="9"/>
        <v>0</v>
      </c>
    </row>
    <row r="302" spans="2:10" s="11" customFormat="1" x14ac:dyDescent="0.25">
      <c r="B302" s="12"/>
      <c r="I302" t="str">
        <f t="shared" si="8"/>
        <v/>
      </c>
      <c r="J302">
        <f t="shared" si="9"/>
        <v>0</v>
      </c>
    </row>
    <row r="303" spans="2:10" x14ac:dyDescent="0.25">
      <c r="I303" t="str">
        <f t="shared" si="8"/>
        <v/>
      </c>
      <c r="J303">
        <f t="shared" si="9"/>
        <v>0</v>
      </c>
    </row>
    <row r="304" spans="2:10" x14ac:dyDescent="0.25">
      <c r="I304" t="str">
        <f t="shared" si="8"/>
        <v/>
      </c>
      <c r="J304">
        <f t="shared" si="9"/>
        <v>0</v>
      </c>
    </row>
    <row r="305" spans="2:10" x14ac:dyDescent="0.25">
      <c r="I305" t="str">
        <f t="shared" si="8"/>
        <v/>
      </c>
      <c r="J305">
        <f t="shared" si="9"/>
        <v>0</v>
      </c>
    </row>
    <row r="306" spans="2:10" s="9" customFormat="1" x14ac:dyDescent="0.25">
      <c r="B306" s="10"/>
      <c r="I306" t="str">
        <f t="shared" si="8"/>
        <v/>
      </c>
      <c r="J306">
        <f t="shared" si="9"/>
        <v>0</v>
      </c>
    </row>
    <row r="307" spans="2:10" s="11" customFormat="1" x14ac:dyDescent="0.25">
      <c r="B307" s="12"/>
      <c r="I307" t="str">
        <f t="shared" si="8"/>
        <v/>
      </c>
      <c r="J307">
        <f t="shared" si="9"/>
        <v>0</v>
      </c>
    </row>
    <row r="308" spans="2:10" x14ac:dyDescent="0.25">
      <c r="I308" t="str">
        <f t="shared" si="8"/>
        <v/>
      </c>
      <c r="J308">
        <f t="shared" si="9"/>
        <v>0</v>
      </c>
    </row>
    <row r="309" spans="2:10" x14ac:dyDescent="0.25">
      <c r="I309" t="str">
        <f t="shared" si="8"/>
        <v/>
      </c>
      <c r="J309">
        <f t="shared" si="9"/>
        <v>0</v>
      </c>
    </row>
    <row r="310" spans="2:10" x14ac:dyDescent="0.25">
      <c r="I310" t="str">
        <f t="shared" si="8"/>
        <v/>
      </c>
      <c r="J310">
        <f t="shared" si="9"/>
        <v>0</v>
      </c>
    </row>
    <row r="311" spans="2:10" s="9" customFormat="1" x14ac:dyDescent="0.25">
      <c r="B311" s="10"/>
      <c r="I311" t="str">
        <f t="shared" si="8"/>
        <v/>
      </c>
      <c r="J311">
        <f t="shared" si="9"/>
        <v>0</v>
      </c>
    </row>
    <row r="312" spans="2:10" x14ac:dyDescent="0.25">
      <c r="I312" t="str">
        <f t="shared" si="8"/>
        <v/>
      </c>
      <c r="J312">
        <f t="shared" si="9"/>
        <v>0</v>
      </c>
    </row>
    <row r="313" spans="2:10" x14ac:dyDescent="0.25">
      <c r="I313" t="str">
        <f t="shared" si="8"/>
        <v/>
      </c>
      <c r="J313">
        <f t="shared" si="9"/>
        <v>0</v>
      </c>
    </row>
    <row r="314" spans="2:10" x14ac:dyDescent="0.25">
      <c r="I314" t="str">
        <f t="shared" si="8"/>
        <v/>
      </c>
      <c r="J314">
        <f t="shared" si="9"/>
        <v>0</v>
      </c>
    </row>
    <row r="315" spans="2:10" x14ac:dyDescent="0.25">
      <c r="I315" t="str">
        <f t="shared" si="8"/>
        <v/>
      </c>
      <c r="J315">
        <f t="shared" si="9"/>
        <v>0</v>
      </c>
    </row>
    <row r="316" spans="2:10" s="9" customFormat="1" x14ac:dyDescent="0.25">
      <c r="B316" s="10"/>
      <c r="I316" t="str">
        <f t="shared" si="8"/>
        <v/>
      </c>
      <c r="J316">
        <f t="shared" si="9"/>
        <v>0</v>
      </c>
    </row>
    <row r="317" spans="2:10" s="11" customFormat="1" x14ac:dyDescent="0.25">
      <c r="B317" s="12"/>
      <c r="I317" t="str">
        <f t="shared" si="8"/>
        <v/>
      </c>
      <c r="J317">
        <f t="shared" si="9"/>
        <v>0</v>
      </c>
    </row>
    <row r="318" spans="2:10" x14ac:dyDescent="0.25">
      <c r="I318" t="str">
        <f t="shared" ref="I318:I381" si="10">IF(H318&lt;&gt;"",(F318-H318)/F318,"")</f>
        <v/>
      </c>
      <c r="J318">
        <f t="shared" si="9"/>
        <v>0</v>
      </c>
    </row>
    <row r="319" spans="2:10" x14ac:dyDescent="0.25">
      <c r="I319" t="str">
        <f t="shared" si="10"/>
        <v/>
      </c>
      <c r="J319">
        <f t="shared" ref="J319:J382" si="11">(F319*(1-$R$1)-H319)</f>
        <v>0</v>
      </c>
    </row>
    <row r="320" spans="2:10" x14ac:dyDescent="0.25">
      <c r="I320" t="str">
        <f t="shared" si="10"/>
        <v/>
      </c>
      <c r="J320">
        <f t="shared" si="11"/>
        <v>0</v>
      </c>
    </row>
    <row r="321" spans="2:10" s="9" customFormat="1" x14ac:dyDescent="0.25">
      <c r="B321" s="10"/>
      <c r="I321" t="str">
        <f t="shared" si="10"/>
        <v/>
      </c>
      <c r="J321">
        <f t="shared" si="11"/>
        <v>0</v>
      </c>
    </row>
    <row r="322" spans="2:10" s="11" customFormat="1" x14ac:dyDescent="0.25">
      <c r="B322" s="12"/>
      <c r="I322" t="str">
        <f t="shared" si="10"/>
        <v/>
      </c>
      <c r="J322">
        <f t="shared" si="11"/>
        <v>0</v>
      </c>
    </row>
    <row r="323" spans="2:10" x14ac:dyDescent="0.25">
      <c r="I323" t="str">
        <f t="shared" si="10"/>
        <v/>
      </c>
      <c r="J323">
        <f t="shared" si="11"/>
        <v>0</v>
      </c>
    </row>
    <row r="324" spans="2:10" x14ac:dyDescent="0.25">
      <c r="I324" t="str">
        <f t="shared" si="10"/>
        <v/>
      </c>
      <c r="J324">
        <f t="shared" si="11"/>
        <v>0</v>
      </c>
    </row>
    <row r="325" spans="2:10" x14ac:dyDescent="0.25">
      <c r="I325" t="str">
        <f t="shared" si="10"/>
        <v/>
      </c>
      <c r="J325">
        <f t="shared" si="11"/>
        <v>0</v>
      </c>
    </row>
    <row r="326" spans="2:10" s="9" customFormat="1" x14ac:dyDescent="0.25">
      <c r="B326" s="10"/>
      <c r="I326" t="str">
        <f t="shared" si="10"/>
        <v/>
      </c>
      <c r="J326">
        <f t="shared" si="11"/>
        <v>0</v>
      </c>
    </row>
    <row r="327" spans="2:10" x14ac:dyDescent="0.25">
      <c r="I327" t="str">
        <f t="shared" si="10"/>
        <v/>
      </c>
      <c r="J327">
        <f t="shared" si="11"/>
        <v>0</v>
      </c>
    </row>
    <row r="328" spans="2:10" x14ac:dyDescent="0.25">
      <c r="I328" t="str">
        <f t="shared" si="10"/>
        <v/>
      </c>
      <c r="J328">
        <f t="shared" si="11"/>
        <v>0</v>
      </c>
    </row>
    <row r="329" spans="2:10" x14ac:dyDescent="0.25">
      <c r="I329" t="str">
        <f t="shared" si="10"/>
        <v/>
      </c>
      <c r="J329">
        <f t="shared" si="11"/>
        <v>0</v>
      </c>
    </row>
    <row r="330" spans="2:10" x14ac:dyDescent="0.25">
      <c r="I330" t="str">
        <f t="shared" si="10"/>
        <v/>
      </c>
      <c r="J330">
        <f t="shared" si="11"/>
        <v>0</v>
      </c>
    </row>
    <row r="331" spans="2:10" s="9" customFormat="1" x14ac:dyDescent="0.25">
      <c r="B331" s="10"/>
      <c r="I331" t="str">
        <f t="shared" si="10"/>
        <v/>
      </c>
      <c r="J331">
        <f t="shared" si="11"/>
        <v>0</v>
      </c>
    </row>
    <row r="332" spans="2:10" s="11" customFormat="1" x14ac:dyDescent="0.25">
      <c r="B332" s="12"/>
      <c r="I332" t="str">
        <f t="shared" si="10"/>
        <v/>
      </c>
      <c r="J332">
        <f t="shared" si="11"/>
        <v>0</v>
      </c>
    </row>
    <row r="333" spans="2:10" x14ac:dyDescent="0.25">
      <c r="I333" t="str">
        <f t="shared" si="10"/>
        <v/>
      </c>
      <c r="J333">
        <f t="shared" si="11"/>
        <v>0</v>
      </c>
    </row>
    <row r="334" spans="2:10" x14ac:dyDescent="0.25">
      <c r="I334" t="str">
        <f t="shared" si="10"/>
        <v/>
      </c>
      <c r="J334">
        <f t="shared" si="11"/>
        <v>0</v>
      </c>
    </row>
    <row r="335" spans="2:10" x14ac:dyDescent="0.25">
      <c r="I335" t="str">
        <f t="shared" si="10"/>
        <v/>
      </c>
      <c r="J335">
        <f t="shared" si="11"/>
        <v>0</v>
      </c>
    </row>
    <row r="336" spans="2:10" s="9" customFormat="1" x14ac:dyDescent="0.25">
      <c r="B336" s="10"/>
      <c r="I336" t="str">
        <f t="shared" si="10"/>
        <v/>
      </c>
      <c r="J336">
        <f t="shared" si="11"/>
        <v>0</v>
      </c>
    </row>
    <row r="337" spans="2:10" s="11" customFormat="1" x14ac:dyDescent="0.25">
      <c r="B337" s="12"/>
      <c r="I337" t="str">
        <f t="shared" si="10"/>
        <v/>
      </c>
      <c r="J337">
        <f t="shared" si="11"/>
        <v>0</v>
      </c>
    </row>
    <row r="338" spans="2:10" x14ac:dyDescent="0.25">
      <c r="I338" t="str">
        <f t="shared" si="10"/>
        <v/>
      </c>
      <c r="J338">
        <f t="shared" si="11"/>
        <v>0</v>
      </c>
    </row>
    <row r="339" spans="2:10" x14ac:dyDescent="0.25">
      <c r="I339" t="str">
        <f t="shared" si="10"/>
        <v/>
      </c>
      <c r="J339">
        <f t="shared" si="11"/>
        <v>0</v>
      </c>
    </row>
    <row r="340" spans="2:10" x14ac:dyDescent="0.25">
      <c r="I340" t="str">
        <f t="shared" si="10"/>
        <v/>
      </c>
      <c r="J340">
        <f t="shared" si="11"/>
        <v>0</v>
      </c>
    </row>
    <row r="341" spans="2:10" s="9" customFormat="1" x14ac:dyDescent="0.25">
      <c r="B341" s="10"/>
      <c r="I341" t="str">
        <f t="shared" si="10"/>
        <v/>
      </c>
      <c r="J341">
        <f t="shared" si="11"/>
        <v>0</v>
      </c>
    </row>
    <row r="342" spans="2:10" x14ac:dyDescent="0.25">
      <c r="I342" t="str">
        <f t="shared" si="10"/>
        <v/>
      </c>
      <c r="J342">
        <f t="shared" si="11"/>
        <v>0</v>
      </c>
    </row>
    <row r="343" spans="2:10" x14ac:dyDescent="0.25">
      <c r="I343" t="str">
        <f t="shared" si="10"/>
        <v/>
      </c>
      <c r="J343">
        <f t="shared" si="11"/>
        <v>0</v>
      </c>
    </row>
    <row r="344" spans="2:10" x14ac:dyDescent="0.25">
      <c r="I344" t="str">
        <f t="shared" si="10"/>
        <v/>
      </c>
      <c r="J344">
        <f t="shared" si="11"/>
        <v>0</v>
      </c>
    </row>
    <row r="345" spans="2:10" x14ac:dyDescent="0.25">
      <c r="I345" t="str">
        <f t="shared" si="10"/>
        <v/>
      </c>
      <c r="J345">
        <f t="shared" si="11"/>
        <v>0</v>
      </c>
    </row>
    <row r="346" spans="2:10" s="9" customFormat="1" x14ac:dyDescent="0.25">
      <c r="B346" s="10"/>
      <c r="I346" t="str">
        <f t="shared" si="10"/>
        <v/>
      </c>
      <c r="J346">
        <f t="shared" si="11"/>
        <v>0</v>
      </c>
    </row>
    <row r="347" spans="2:10" s="11" customFormat="1" x14ac:dyDescent="0.25">
      <c r="B347" s="12"/>
      <c r="I347" t="str">
        <f t="shared" si="10"/>
        <v/>
      </c>
      <c r="J347">
        <f t="shared" si="11"/>
        <v>0</v>
      </c>
    </row>
    <row r="348" spans="2:10" x14ac:dyDescent="0.25">
      <c r="I348" t="str">
        <f t="shared" si="10"/>
        <v/>
      </c>
      <c r="J348">
        <f t="shared" si="11"/>
        <v>0</v>
      </c>
    </row>
    <row r="349" spans="2:10" x14ac:dyDescent="0.25">
      <c r="I349" t="str">
        <f t="shared" si="10"/>
        <v/>
      </c>
      <c r="J349">
        <f t="shared" si="11"/>
        <v>0</v>
      </c>
    </row>
    <row r="350" spans="2:10" x14ac:dyDescent="0.25">
      <c r="I350" t="str">
        <f t="shared" si="10"/>
        <v/>
      </c>
      <c r="J350">
        <f t="shared" si="11"/>
        <v>0</v>
      </c>
    </row>
    <row r="351" spans="2:10" s="9" customFormat="1" x14ac:dyDescent="0.25">
      <c r="B351" s="10"/>
      <c r="I351" t="str">
        <f t="shared" si="10"/>
        <v/>
      </c>
      <c r="J351">
        <f t="shared" si="11"/>
        <v>0</v>
      </c>
    </row>
    <row r="352" spans="2:10" s="11" customFormat="1" x14ac:dyDescent="0.25">
      <c r="B352" s="12"/>
      <c r="I352" t="str">
        <f t="shared" si="10"/>
        <v/>
      </c>
      <c r="J352">
        <f t="shared" si="11"/>
        <v>0</v>
      </c>
    </row>
    <row r="353" spans="2:10" x14ac:dyDescent="0.25">
      <c r="I353" t="str">
        <f t="shared" si="10"/>
        <v/>
      </c>
      <c r="J353">
        <f t="shared" si="11"/>
        <v>0</v>
      </c>
    </row>
    <row r="354" spans="2:10" x14ac:dyDescent="0.25">
      <c r="I354" t="str">
        <f t="shared" si="10"/>
        <v/>
      </c>
      <c r="J354">
        <f t="shared" si="11"/>
        <v>0</v>
      </c>
    </row>
    <row r="355" spans="2:10" x14ac:dyDescent="0.25">
      <c r="I355" t="str">
        <f t="shared" si="10"/>
        <v/>
      </c>
      <c r="J355">
        <f t="shared" si="11"/>
        <v>0</v>
      </c>
    </row>
    <row r="356" spans="2:10" s="9" customFormat="1" x14ac:dyDescent="0.25">
      <c r="B356" s="10"/>
      <c r="I356" t="str">
        <f t="shared" si="10"/>
        <v/>
      </c>
      <c r="J356">
        <f t="shared" si="11"/>
        <v>0</v>
      </c>
    </row>
    <row r="357" spans="2:10" x14ac:dyDescent="0.25">
      <c r="I357" t="str">
        <f t="shared" si="10"/>
        <v/>
      </c>
      <c r="J357">
        <f t="shared" si="11"/>
        <v>0</v>
      </c>
    </row>
    <row r="358" spans="2:10" x14ac:dyDescent="0.25">
      <c r="I358" t="str">
        <f t="shared" si="10"/>
        <v/>
      </c>
      <c r="J358">
        <f t="shared" si="11"/>
        <v>0</v>
      </c>
    </row>
    <row r="359" spans="2:10" x14ac:dyDescent="0.25">
      <c r="I359" t="str">
        <f t="shared" si="10"/>
        <v/>
      </c>
      <c r="J359">
        <f t="shared" si="11"/>
        <v>0</v>
      </c>
    </row>
    <row r="360" spans="2:10" x14ac:dyDescent="0.25">
      <c r="I360" t="str">
        <f t="shared" si="10"/>
        <v/>
      </c>
      <c r="J360">
        <f t="shared" si="11"/>
        <v>0</v>
      </c>
    </row>
    <row r="361" spans="2:10" s="9" customFormat="1" x14ac:dyDescent="0.25">
      <c r="B361" s="10"/>
      <c r="I361" t="str">
        <f t="shared" si="10"/>
        <v/>
      </c>
      <c r="J361">
        <f t="shared" si="11"/>
        <v>0</v>
      </c>
    </row>
    <row r="362" spans="2:10" s="11" customFormat="1" x14ac:dyDescent="0.25">
      <c r="B362" s="12"/>
      <c r="I362" t="str">
        <f t="shared" si="10"/>
        <v/>
      </c>
      <c r="J362">
        <f t="shared" si="11"/>
        <v>0</v>
      </c>
    </row>
    <row r="363" spans="2:10" x14ac:dyDescent="0.25">
      <c r="I363" t="str">
        <f t="shared" si="10"/>
        <v/>
      </c>
      <c r="J363">
        <f t="shared" si="11"/>
        <v>0</v>
      </c>
    </row>
    <row r="364" spans="2:10" x14ac:dyDescent="0.25">
      <c r="I364" t="str">
        <f t="shared" si="10"/>
        <v/>
      </c>
      <c r="J364">
        <f t="shared" si="11"/>
        <v>0</v>
      </c>
    </row>
    <row r="365" spans="2:10" x14ac:dyDescent="0.25">
      <c r="I365" t="str">
        <f t="shared" si="10"/>
        <v/>
      </c>
      <c r="J365">
        <f t="shared" si="11"/>
        <v>0</v>
      </c>
    </row>
    <row r="366" spans="2:10" s="9" customFormat="1" x14ac:dyDescent="0.25">
      <c r="B366" s="10"/>
      <c r="I366" t="str">
        <f t="shared" si="10"/>
        <v/>
      </c>
      <c r="J366">
        <f t="shared" si="11"/>
        <v>0</v>
      </c>
    </row>
    <row r="367" spans="2:10" s="11" customFormat="1" x14ac:dyDescent="0.25">
      <c r="B367" s="12"/>
      <c r="I367" t="str">
        <f t="shared" si="10"/>
        <v/>
      </c>
      <c r="J367">
        <f t="shared" si="11"/>
        <v>0</v>
      </c>
    </row>
    <row r="368" spans="2:10" x14ac:dyDescent="0.25">
      <c r="I368" t="str">
        <f t="shared" si="10"/>
        <v/>
      </c>
      <c r="J368">
        <f t="shared" si="11"/>
        <v>0</v>
      </c>
    </row>
    <row r="369" spans="2:10" x14ac:dyDescent="0.25">
      <c r="I369" t="str">
        <f t="shared" si="10"/>
        <v/>
      </c>
      <c r="J369">
        <f t="shared" si="11"/>
        <v>0</v>
      </c>
    </row>
    <row r="370" spans="2:10" x14ac:dyDescent="0.25">
      <c r="I370" t="str">
        <f t="shared" si="10"/>
        <v/>
      </c>
      <c r="J370">
        <f t="shared" si="11"/>
        <v>0</v>
      </c>
    </row>
    <row r="371" spans="2:10" s="9" customFormat="1" x14ac:dyDescent="0.25">
      <c r="B371" s="10"/>
      <c r="I371" t="str">
        <f t="shared" si="10"/>
        <v/>
      </c>
      <c r="J371">
        <f t="shared" si="11"/>
        <v>0</v>
      </c>
    </row>
    <row r="372" spans="2:10" x14ac:dyDescent="0.25">
      <c r="I372" t="str">
        <f t="shared" si="10"/>
        <v/>
      </c>
      <c r="J372">
        <f t="shared" si="11"/>
        <v>0</v>
      </c>
    </row>
    <row r="373" spans="2:10" x14ac:dyDescent="0.25">
      <c r="I373" t="str">
        <f t="shared" si="10"/>
        <v/>
      </c>
      <c r="J373">
        <f t="shared" si="11"/>
        <v>0</v>
      </c>
    </row>
    <row r="374" spans="2:10" x14ac:dyDescent="0.25">
      <c r="I374" t="str">
        <f t="shared" si="10"/>
        <v/>
      </c>
      <c r="J374">
        <f t="shared" si="11"/>
        <v>0</v>
      </c>
    </row>
    <row r="375" spans="2:10" x14ac:dyDescent="0.25">
      <c r="I375" t="str">
        <f t="shared" si="10"/>
        <v/>
      </c>
      <c r="J375">
        <f t="shared" si="11"/>
        <v>0</v>
      </c>
    </row>
    <row r="376" spans="2:10" x14ac:dyDescent="0.25">
      <c r="I376" t="str">
        <f t="shared" si="10"/>
        <v/>
      </c>
      <c r="J376">
        <f t="shared" si="11"/>
        <v>0</v>
      </c>
    </row>
    <row r="377" spans="2:10" x14ac:dyDescent="0.25">
      <c r="I377" t="str">
        <f t="shared" si="10"/>
        <v/>
      </c>
      <c r="J377">
        <f t="shared" si="11"/>
        <v>0</v>
      </c>
    </row>
    <row r="378" spans="2:10" s="9" customFormat="1" x14ac:dyDescent="0.25">
      <c r="B378" s="10"/>
      <c r="I378" t="str">
        <f t="shared" si="10"/>
        <v/>
      </c>
      <c r="J378">
        <f t="shared" si="11"/>
        <v>0</v>
      </c>
    </row>
    <row r="379" spans="2:10" x14ac:dyDescent="0.25">
      <c r="I379" t="str">
        <f t="shared" si="10"/>
        <v/>
      </c>
      <c r="J379">
        <f t="shared" si="11"/>
        <v>0</v>
      </c>
    </row>
    <row r="380" spans="2:10" x14ac:dyDescent="0.25">
      <c r="I380" t="str">
        <f t="shared" si="10"/>
        <v/>
      </c>
      <c r="J380">
        <f t="shared" si="11"/>
        <v>0</v>
      </c>
    </row>
    <row r="381" spans="2:10" x14ac:dyDescent="0.25">
      <c r="I381" t="str">
        <f t="shared" si="10"/>
        <v/>
      </c>
      <c r="J381">
        <f t="shared" si="11"/>
        <v>0</v>
      </c>
    </row>
    <row r="382" spans="2:10" x14ac:dyDescent="0.25">
      <c r="I382" t="str">
        <f t="shared" ref="I382:I445" si="12">IF(H382&lt;&gt;"",(F382-H382)/F382,"")</f>
        <v/>
      </c>
      <c r="J382">
        <f t="shared" si="11"/>
        <v>0</v>
      </c>
    </row>
    <row r="383" spans="2:10" s="9" customFormat="1" x14ac:dyDescent="0.25">
      <c r="B383" s="10"/>
      <c r="I383" t="str">
        <f t="shared" si="12"/>
        <v/>
      </c>
      <c r="J383">
        <f t="shared" ref="J383:J446" si="13">(F383*(1-$R$1)-H383)</f>
        <v>0</v>
      </c>
    </row>
    <row r="384" spans="2:10" s="11" customFormat="1" x14ac:dyDescent="0.25">
      <c r="B384" s="12"/>
      <c r="I384" t="str">
        <f t="shared" si="12"/>
        <v/>
      </c>
      <c r="J384">
        <f t="shared" si="13"/>
        <v>0</v>
      </c>
    </row>
    <row r="385" spans="2:10" x14ac:dyDescent="0.25">
      <c r="I385" t="str">
        <f t="shared" si="12"/>
        <v/>
      </c>
      <c r="J385">
        <f t="shared" si="13"/>
        <v>0</v>
      </c>
    </row>
    <row r="386" spans="2:10" x14ac:dyDescent="0.25">
      <c r="I386" t="str">
        <f t="shared" si="12"/>
        <v/>
      </c>
      <c r="J386">
        <f t="shared" si="13"/>
        <v>0</v>
      </c>
    </row>
    <row r="387" spans="2:10" x14ac:dyDescent="0.25">
      <c r="I387" t="str">
        <f t="shared" si="12"/>
        <v/>
      </c>
      <c r="J387">
        <f t="shared" si="13"/>
        <v>0</v>
      </c>
    </row>
    <row r="388" spans="2:10" s="9" customFormat="1" x14ac:dyDescent="0.25">
      <c r="B388" s="10"/>
      <c r="I388" t="str">
        <f t="shared" si="12"/>
        <v/>
      </c>
      <c r="J388">
        <f t="shared" si="13"/>
        <v>0</v>
      </c>
    </row>
    <row r="389" spans="2:10" s="11" customFormat="1" x14ac:dyDescent="0.25">
      <c r="B389" s="12"/>
      <c r="I389" t="str">
        <f t="shared" si="12"/>
        <v/>
      </c>
      <c r="J389">
        <f t="shared" si="13"/>
        <v>0</v>
      </c>
    </row>
    <row r="390" spans="2:10" x14ac:dyDescent="0.25">
      <c r="I390" t="str">
        <f t="shared" si="12"/>
        <v/>
      </c>
      <c r="J390">
        <f t="shared" si="13"/>
        <v>0</v>
      </c>
    </row>
    <row r="391" spans="2:10" x14ac:dyDescent="0.25">
      <c r="I391" t="str">
        <f t="shared" si="12"/>
        <v/>
      </c>
      <c r="J391">
        <f t="shared" si="13"/>
        <v>0</v>
      </c>
    </row>
    <row r="392" spans="2:10" x14ac:dyDescent="0.25">
      <c r="I392" t="str">
        <f t="shared" si="12"/>
        <v/>
      </c>
      <c r="J392">
        <f t="shared" si="13"/>
        <v>0</v>
      </c>
    </row>
    <row r="393" spans="2:10" s="9" customFormat="1" x14ac:dyDescent="0.25">
      <c r="B393" s="10"/>
      <c r="I393" t="str">
        <f t="shared" si="12"/>
        <v/>
      </c>
      <c r="J393">
        <f t="shared" si="13"/>
        <v>0</v>
      </c>
    </row>
    <row r="394" spans="2:10" x14ac:dyDescent="0.25">
      <c r="I394" t="str">
        <f t="shared" si="12"/>
        <v/>
      </c>
      <c r="J394">
        <f t="shared" si="13"/>
        <v>0</v>
      </c>
    </row>
    <row r="395" spans="2:10" x14ac:dyDescent="0.25">
      <c r="I395" t="str">
        <f t="shared" si="12"/>
        <v/>
      </c>
      <c r="J395">
        <f t="shared" si="13"/>
        <v>0</v>
      </c>
    </row>
    <row r="396" spans="2:10" x14ac:dyDescent="0.25">
      <c r="I396" t="str">
        <f t="shared" si="12"/>
        <v/>
      </c>
      <c r="J396">
        <f t="shared" si="13"/>
        <v>0</v>
      </c>
    </row>
    <row r="397" spans="2:10" x14ac:dyDescent="0.25">
      <c r="I397" t="str">
        <f t="shared" si="12"/>
        <v/>
      </c>
      <c r="J397">
        <f t="shared" si="13"/>
        <v>0</v>
      </c>
    </row>
    <row r="398" spans="2:10" s="9" customFormat="1" x14ac:dyDescent="0.25">
      <c r="B398" s="10"/>
      <c r="I398" t="str">
        <f t="shared" si="12"/>
        <v/>
      </c>
      <c r="J398">
        <f t="shared" si="13"/>
        <v>0</v>
      </c>
    </row>
    <row r="399" spans="2:10" s="11" customFormat="1" x14ac:dyDescent="0.25">
      <c r="B399" s="12"/>
      <c r="I399" t="str">
        <f t="shared" si="12"/>
        <v/>
      </c>
      <c r="J399">
        <f t="shared" si="13"/>
        <v>0</v>
      </c>
    </row>
    <row r="400" spans="2:10" x14ac:dyDescent="0.25">
      <c r="I400" t="str">
        <f t="shared" si="12"/>
        <v/>
      </c>
      <c r="J400">
        <f t="shared" si="13"/>
        <v>0</v>
      </c>
    </row>
    <row r="401" spans="2:10" x14ac:dyDescent="0.25">
      <c r="I401" t="str">
        <f t="shared" si="12"/>
        <v/>
      </c>
      <c r="J401">
        <f t="shared" si="13"/>
        <v>0</v>
      </c>
    </row>
    <row r="402" spans="2:10" x14ac:dyDescent="0.25">
      <c r="I402" t="str">
        <f t="shared" si="12"/>
        <v/>
      </c>
      <c r="J402">
        <f t="shared" si="13"/>
        <v>0</v>
      </c>
    </row>
    <row r="403" spans="2:10" s="9" customFormat="1" x14ac:dyDescent="0.25">
      <c r="B403" s="10"/>
      <c r="I403" t="str">
        <f t="shared" si="12"/>
        <v/>
      </c>
      <c r="J403">
        <f t="shared" si="13"/>
        <v>0</v>
      </c>
    </row>
    <row r="404" spans="2:10" s="11" customFormat="1" x14ac:dyDescent="0.25">
      <c r="B404" s="12"/>
      <c r="I404" t="str">
        <f t="shared" si="12"/>
        <v/>
      </c>
      <c r="J404">
        <f t="shared" si="13"/>
        <v>0</v>
      </c>
    </row>
    <row r="405" spans="2:10" x14ac:dyDescent="0.25">
      <c r="I405" t="str">
        <f t="shared" si="12"/>
        <v/>
      </c>
      <c r="J405">
        <f t="shared" si="13"/>
        <v>0</v>
      </c>
    </row>
    <row r="406" spans="2:10" x14ac:dyDescent="0.25">
      <c r="I406" t="str">
        <f t="shared" si="12"/>
        <v/>
      </c>
      <c r="J406">
        <f t="shared" si="13"/>
        <v>0</v>
      </c>
    </row>
    <row r="407" spans="2:10" x14ac:dyDescent="0.25">
      <c r="I407" t="str">
        <f t="shared" si="12"/>
        <v/>
      </c>
      <c r="J407">
        <f t="shared" si="13"/>
        <v>0</v>
      </c>
    </row>
    <row r="408" spans="2:10" s="9" customFormat="1" x14ac:dyDescent="0.25">
      <c r="B408" s="10"/>
      <c r="I408" t="str">
        <f t="shared" si="12"/>
        <v/>
      </c>
      <c r="J408">
        <f t="shared" si="13"/>
        <v>0</v>
      </c>
    </row>
    <row r="409" spans="2:10" x14ac:dyDescent="0.25">
      <c r="I409" t="str">
        <f t="shared" si="12"/>
        <v/>
      </c>
      <c r="J409">
        <f t="shared" si="13"/>
        <v>0</v>
      </c>
    </row>
    <row r="410" spans="2:10" x14ac:dyDescent="0.25">
      <c r="I410" t="str">
        <f t="shared" si="12"/>
        <v/>
      </c>
      <c r="J410">
        <f t="shared" si="13"/>
        <v>0</v>
      </c>
    </row>
    <row r="411" spans="2:10" x14ac:dyDescent="0.25">
      <c r="I411" t="str">
        <f t="shared" si="12"/>
        <v/>
      </c>
      <c r="J411">
        <f t="shared" si="13"/>
        <v>0</v>
      </c>
    </row>
    <row r="412" spans="2:10" x14ac:dyDescent="0.25">
      <c r="I412" t="str">
        <f t="shared" si="12"/>
        <v/>
      </c>
      <c r="J412">
        <f t="shared" si="13"/>
        <v>0</v>
      </c>
    </row>
    <row r="413" spans="2:10" s="9" customFormat="1" x14ac:dyDescent="0.25">
      <c r="B413" s="10"/>
      <c r="I413" t="str">
        <f t="shared" si="12"/>
        <v/>
      </c>
      <c r="J413">
        <f t="shared" si="13"/>
        <v>0</v>
      </c>
    </row>
    <row r="414" spans="2:10" s="11" customFormat="1" x14ac:dyDescent="0.25">
      <c r="B414" s="12"/>
      <c r="I414" t="str">
        <f t="shared" si="12"/>
        <v/>
      </c>
      <c r="J414">
        <f t="shared" si="13"/>
        <v>0</v>
      </c>
    </row>
    <row r="415" spans="2:10" x14ac:dyDescent="0.25">
      <c r="I415" t="str">
        <f t="shared" si="12"/>
        <v/>
      </c>
      <c r="J415">
        <f t="shared" si="13"/>
        <v>0</v>
      </c>
    </row>
    <row r="416" spans="2:10" x14ac:dyDescent="0.25">
      <c r="I416" t="str">
        <f t="shared" si="12"/>
        <v/>
      </c>
      <c r="J416">
        <f t="shared" si="13"/>
        <v>0</v>
      </c>
    </row>
    <row r="417" spans="2:10" x14ac:dyDescent="0.25">
      <c r="I417" t="str">
        <f t="shared" si="12"/>
        <v/>
      </c>
      <c r="J417">
        <f t="shared" si="13"/>
        <v>0</v>
      </c>
    </row>
    <row r="418" spans="2:10" s="9" customFormat="1" x14ac:dyDescent="0.25">
      <c r="B418" s="10"/>
      <c r="I418" t="str">
        <f t="shared" si="12"/>
        <v/>
      </c>
      <c r="J418">
        <f t="shared" si="13"/>
        <v>0</v>
      </c>
    </row>
    <row r="419" spans="2:10" s="11" customFormat="1" x14ac:dyDescent="0.25">
      <c r="B419" s="12"/>
      <c r="I419" t="str">
        <f t="shared" si="12"/>
        <v/>
      </c>
      <c r="J419">
        <f t="shared" si="13"/>
        <v>0</v>
      </c>
    </row>
    <row r="420" spans="2:10" x14ac:dyDescent="0.25">
      <c r="I420" t="str">
        <f t="shared" si="12"/>
        <v/>
      </c>
      <c r="J420">
        <f t="shared" si="13"/>
        <v>0</v>
      </c>
    </row>
    <row r="421" spans="2:10" x14ac:dyDescent="0.25">
      <c r="I421" t="str">
        <f t="shared" si="12"/>
        <v/>
      </c>
      <c r="J421">
        <f t="shared" si="13"/>
        <v>0</v>
      </c>
    </row>
    <row r="422" spans="2:10" x14ac:dyDescent="0.25">
      <c r="I422" t="str">
        <f t="shared" si="12"/>
        <v/>
      </c>
      <c r="J422">
        <f t="shared" si="13"/>
        <v>0</v>
      </c>
    </row>
    <row r="423" spans="2:10" s="9" customFormat="1" x14ac:dyDescent="0.25">
      <c r="B423" s="10"/>
      <c r="I423" t="str">
        <f t="shared" si="12"/>
        <v/>
      </c>
      <c r="J423">
        <f t="shared" si="13"/>
        <v>0</v>
      </c>
    </row>
    <row r="424" spans="2:10" x14ac:dyDescent="0.25">
      <c r="I424" t="str">
        <f t="shared" si="12"/>
        <v/>
      </c>
      <c r="J424">
        <f t="shared" si="13"/>
        <v>0</v>
      </c>
    </row>
    <row r="425" spans="2:10" x14ac:dyDescent="0.25">
      <c r="I425" t="str">
        <f t="shared" si="12"/>
        <v/>
      </c>
      <c r="J425">
        <f t="shared" si="13"/>
        <v>0</v>
      </c>
    </row>
    <row r="426" spans="2:10" x14ac:dyDescent="0.25">
      <c r="I426" t="str">
        <f t="shared" si="12"/>
        <v/>
      </c>
      <c r="J426">
        <f t="shared" si="13"/>
        <v>0</v>
      </c>
    </row>
    <row r="427" spans="2:10" x14ac:dyDescent="0.25">
      <c r="I427" t="str">
        <f t="shared" si="12"/>
        <v/>
      </c>
      <c r="J427">
        <f t="shared" si="13"/>
        <v>0</v>
      </c>
    </row>
    <row r="428" spans="2:10" s="9" customFormat="1" x14ac:dyDescent="0.25">
      <c r="B428" s="10"/>
      <c r="I428" t="str">
        <f t="shared" si="12"/>
        <v/>
      </c>
      <c r="J428">
        <f t="shared" si="13"/>
        <v>0</v>
      </c>
    </row>
    <row r="429" spans="2:10" s="11" customFormat="1" x14ac:dyDescent="0.25">
      <c r="B429" s="12"/>
      <c r="I429" t="str">
        <f t="shared" si="12"/>
        <v/>
      </c>
      <c r="J429">
        <f t="shared" si="13"/>
        <v>0</v>
      </c>
    </row>
    <row r="430" spans="2:10" x14ac:dyDescent="0.25">
      <c r="I430" t="str">
        <f t="shared" si="12"/>
        <v/>
      </c>
      <c r="J430">
        <f t="shared" si="13"/>
        <v>0</v>
      </c>
    </row>
    <row r="431" spans="2:10" x14ac:dyDescent="0.25">
      <c r="I431" t="str">
        <f t="shared" si="12"/>
        <v/>
      </c>
      <c r="J431">
        <f t="shared" si="13"/>
        <v>0</v>
      </c>
    </row>
    <row r="432" spans="2:10" x14ac:dyDescent="0.25">
      <c r="I432" t="str">
        <f t="shared" si="12"/>
        <v/>
      </c>
      <c r="J432">
        <f t="shared" si="13"/>
        <v>0</v>
      </c>
    </row>
    <row r="433" spans="2:10" s="9" customFormat="1" x14ac:dyDescent="0.25">
      <c r="B433" s="10"/>
      <c r="I433" t="str">
        <f t="shared" si="12"/>
        <v/>
      </c>
      <c r="J433">
        <f t="shared" si="13"/>
        <v>0</v>
      </c>
    </row>
    <row r="434" spans="2:10" s="11" customFormat="1" x14ac:dyDescent="0.25">
      <c r="B434" s="12"/>
      <c r="I434" t="str">
        <f t="shared" si="12"/>
        <v/>
      </c>
      <c r="J434">
        <f t="shared" si="13"/>
        <v>0</v>
      </c>
    </row>
    <row r="435" spans="2:10" x14ac:dyDescent="0.25">
      <c r="I435" t="str">
        <f t="shared" si="12"/>
        <v/>
      </c>
      <c r="J435">
        <f t="shared" si="13"/>
        <v>0</v>
      </c>
    </row>
    <row r="436" spans="2:10" x14ac:dyDescent="0.25">
      <c r="I436" t="str">
        <f t="shared" si="12"/>
        <v/>
      </c>
      <c r="J436">
        <f t="shared" si="13"/>
        <v>0</v>
      </c>
    </row>
    <row r="437" spans="2:10" x14ac:dyDescent="0.25">
      <c r="I437" t="str">
        <f t="shared" si="12"/>
        <v/>
      </c>
      <c r="J437">
        <f t="shared" si="13"/>
        <v>0</v>
      </c>
    </row>
    <row r="438" spans="2:10" s="9" customFormat="1" x14ac:dyDescent="0.25">
      <c r="B438" s="10"/>
      <c r="I438" t="str">
        <f t="shared" si="12"/>
        <v/>
      </c>
      <c r="J438">
        <f t="shared" si="13"/>
        <v>0</v>
      </c>
    </row>
    <row r="439" spans="2:10" x14ac:dyDescent="0.25">
      <c r="I439" t="str">
        <f t="shared" si="12"/>
        <v/>
      </c>
      <c r="J439">
        <f t="shared" si="13"/>
        <v>0</v>
      </c>
    </row>
    <row r="440" spans="2:10" x14ac:dyDescent="0.25">
      <c r="I440" t="str">
        <f t="shared" si="12"/>
        <v/>
      </c>
      <c r="J440">
        <f t="shared" si="13"/>
        <v>0</v>
      </c>
    </row>
    <row r="441" spans="2:10" x14ac:dyDescent="0.25">
      <c r="I441" t="str">
        <f t="shared" si="12"/>
        <v/>
      </c>
      <c r="J441">
        <f t="shared" si="13"/>
        <v>0</v>
      </c>
    </row>
    <row r="442" spans="2:10" x14ac:dyDescent="0.25">
      <c r="I442" t="str">
        <f t="shared" si="12"/>
        <v/>
      </c>
      <c r="J442">
        <f t="shared" si="13"/>
        <v>0</v>
      </c>
    </row>
    <row r="443" spans="2:10" s="9" customFormat="1" x14ac:dyDescent="0.25">
      <c r="B443" s="10"/>
      <c r="I443" t="str">
        <f t="shared" si="12"/>
        <v/>
      </c>
      <c r="J443">
        <f t="shared" si="13"/>
        <v>0</v>
      </c>
    </row>
    <row r="444" spans="2:10" s="11" customFormat="1" x14ac:dyDescent="0.25">
      <c r="B444" s="12"/>
      <c r="I444" t="str">
        <f t="shared" si="12"/>
        <v/>
      </c>
      <c r="J444">
        <f t="shared" si="13"/>
        <v>0</v>
      </c>
    </row>
    <row r="445" spans="2:10" x14ac:dyDescent="0.25">
      <c r="I445" t="str">
        <f t="shared" si="12"/>
        <v/>
      </c>
      <c r="J445">
        <f t="shared" si="13"/>
        <v>0</v>
      </c>
    </row>
    <row r="446" spans="2:10" x14ac:dyDescent="0.25">
      <c r="I446" t="str">
        <f t="shared" ref="I446:I509" si="14">IF(H446&lt;&gt;"",(F446-H446)/F446,"")</f>
        <v/>
      </c>
      <c r="J446">
        <f t="shared" si="13"/>
        <v>0</v>
      </c>
    </row>
    <row r="447" spans="2:10" x14ac:dyDescent="0.25">
      <c r="I447" t="str">
        <f t="shared" si="14"/>
        <v/>
      </c>
      <c r="J447">
        <f t="shared" ref="J447:J510" si="15">(F447*(1-$R$1)-H447)</f>
        <v>0</v>
      </c>
    </row>
    <row r="448" spans="2:10" s="9" customFormat="1" x14ac:dyDescent="0.25">
      <c r="B448" s="10"/>
      <c r="I448" t="str">
        <f t="shared" si="14"/>
        <v/>
      </c>
      <c r="J448">
        <f t="shared" si="15"/>
        <v>0</v>
      </c>
    </row>
    <row r="449" spans="2:10" s="11" customFormat="1" x14ac:dyDescent="0.25">
      <c r="B449" s="12"/>
      <c r="I449" t="str">
        <f t="shared" si="14"/>
        <v/>
      </c>
      <c r="J449">
        <f t="shared" si="15"/>
        <v>0</v>
      </c>
    </row>
    <row r="450" spans="2:10" x14ac:dyDescent="0.25">
      <c r="I450" t="str">
        <f t="shared" si="14"/>
        <v/>
      </c>
      <c r="J450">
        <f t="shared" si="15"/>
        <v>0</v>
      </c>
    </row>
    <row r="451" spans="2:10" x14ac:dyDescent="0.25">
      <c r="I451" t="str">
        <f t="shared" si="14"/>
        <v/>
      </c>
      <c r="J451">
        <f t="shared" si="15"/>
        <v>0</v>
      </c>
    </row>
    <row r="452" spans="2:10" x14ac:dyDescent="0.25">
      <c r="I452" t="str">
        <f t="shared" si="14"/>
        <v/>
      </c>
      <c r="J452">
        <f t="shared" si="15"/>
        <v>0</v>
      </c>
    </row>
    <row r="453" spans="2:10" s="9" customFormat="1" x14ac:dyDescent="0.25">
      <c r="B453" s="10"/>
      <c r="I453" t="str">
        <f t="shared" si="14"/>
        <v/>
      </c>
      <c r="J453">
        <f t="shared" si="15"/>
        <v>0</v>
      </c>
    </row>
    <row r="454" spans="2:10" x14ac:dyDescent="0.25">
      <c r="I454" t="str">
        <f t="shared" si="14"/>
        <v/>
      </c>
      <c r="J454">
        <f t="shared" si="15"/>
        <v>0</v>
      </c>
    </row>
    <row r="455" spans="2:10" x14ac:dyDescent="0.25">
      <c r="I455" t="str">
        <f t="shared" si="14"/>
        <v/>
      </c>
      <c r="J455">
        <f t="shared" si="15"/>
        <v>0</v>
      </c>
    </row>
    <row r="456" spans="2:10" x14ac:dyDescent="0.25">
      <c r="I456" t="str">
        <f t="shared" si="14"/>
        <v/>
      </c>
      <c r="J456">
        <f t="shared" si="15"/>
        <v>0</v>
      </c>
    </row>
    <row r="457" spans="2:10" x14ac:dyDescent="0.25">
      <c r="I457" t="str">
        <f t="shared" si="14"/>
        <v/>
      </c>
      <c r="J457">
        <f t="shared" si="15"/>
        <v>0</v>
      </c>
    </row>
    <row r="458" spans="2:10" s="9" customFormat="1" x14ac:dyDescent="0.25">
      <c r="B458" s="10"/>
      <c r="I458" t="str">
        <f t="shared" si="14"/>
        <v/>
      </c>
      <c r="J458">
        <f t="shared" si="15"/>
        <v>0</v>
      </c>
    </row>
    <row r="459" spans="2:10" s="11" customFormat="1" x14ac:dyDescent="0.25">
      <c r="B459" s="12"/>
      <c r="I459" t="str">
        <f t="shared" si="14"/>
        <v/>
      </c>
      <c r="J459">
        <f t="shared" si="15"/>
        <v>0</v>
      </c>
    </row>
    <row r="460" spans="2:10" x14ac:dyDescent="0.25">
      <c r="I460" t="str">
        <f t="shared" si="14"/>
        <v/>
      </c>
      <c r="J460">
        <f t="shared" si="15"/>
        <v>0</v>
      </c>
    </row>
    <row r="461" spans="2:10" x14ac:dyDescent="0.25">
      <c r="I461" t="str">
        <f t="shared" si="14"/>
        <v/>
      </c>
      <c r="J461">
        <f t="shared" si="15"/>
        <v>0</v>
      </c>
    </row>
    <row r="462" spans="2:10" x14ac:dyDescent="0.25">
      <c r="I462" t="str">
        <f t="shared" si="14"/>
        <v/>
      </c>
      <c r="J462">
        <f t="shared" si="15"/>
        <v>0</v>
      </c>
    </row>
    <row r="463" spans="2:10" s="9" customFormat="1" x14ac:dyDescent="0.25">
      <c r="B463" s="10"/>
      <c r="I463" t="str">
        <f t="shared" si="14"/>
        <v/>
      </c>
      <c r="J463">
        <f t="shared" si="15"/>
        <v>0</v>
      </c>
    </row>
    <row r="464" spans="2:10" s="11" customFormat="1" x14ac:dyDescent="0.25">
      <c r="B464" s="12"/>
      <c r="I464" t="str">
        <f t="shared" si="14"/>
        <v/>
      </c>
      <c r="J464">
        <f t="shared" si="15"/>
        <v>0</v>
      </c>
    </row>
    <row r="465" spans="2:10" x14ac:dyDescent="0.25">
      <c r="I465" t="str">
        <f t="shared" si="14"/>
        <v/>
      </c>
      <c r="J465">
        <f t="shared" si="15"/>
        <v>0</v>
      </c>
    </row>
    <row r="466" spans="2:10" x14ac:dyDescent="0.25">
      <c r="I466" t="str">
        <f t="shared" si="14"/>
        <v/>
      </c>
      <c r="J466">
        <f t="shared" si="15"/>
        <v>0</v>
      </c>
    </row>
    <row r="467" spans="2:10" x14ac:dyDescent="0.25">
      <c r="I467" t="str">
        <f t="shared" si="14"/>
        <v/>
      </c>
      <c r="J467">
        <f t="shared" si="15"/>
        <v>0</v>
      </c>
    </row>
    <row r="468" spans="2:10" s="9" customFormat="1" x14ac:dyDescent="0.25">
      <c r="B468" s="10"/>
      <c r="I468" t="str">
        <f t="shared" si="14"/>
        <v/>
      </c>
      <c r="J468">
        <f t="shared" si="15"/>
        <v>0</v>
      </c>
    </row>
    <row r="469" spans="2:10" x14ac:dyDescent="0.25">
      <c r="I469" t="str">
        <f t="shared" si="14"/>
        <v/>
      </c>
      <c r="J469">
        <f t="shared" si="15"/>
        <v>0</v>
      </c>
    </row>
    <row r="470" spans="2:10" x14ac:dyDescent="0.25">
      <c r="I470" t="str">
        <f t="shared" si="14"/>
        <v/>
      </c>
      <c r="J470">
        <f t="shared" si="15"/>
        <v>0</v>
      </c>
    </row>
    <row r="471" spans="2:10" x14ac:dyDescent="0.25">
      <c r="I471" t="str">
        <f t="shared" si="14"/>
        <v/>
      </c>
      <c r="J471">
        <f t="shared" si="15"/>
        <v>0</v>
      </c>
    </row>
    <row r="472" spans="2:10" x14ac:dyDescent="0.25">
      <c r="I472" t="str">
        <f t="shared" si="14"/>
        <v/>
      </c>
      <c r="J472">
        <f t="shared" si="15"/>
        <v>0</v>
      </c>
    </row>
    <row r="473" spans="2:10" s="9" customFormat="1" x14ac:dyDescent="0.25">
      <c r="B473" s="10"/>
      <c r="I473" t="str">
        <f t="shared" si="14"/>
        <v/>
      </c>
      <c r="J473">
        <f t="shared" si="15"/>
        <v>0</v>
      </c>
    </row>
    <row r="474" spans="2:10" s="11" customFormat="1" x14ac:dyDescent="0.25">
      <c r="B474" s="12"/>
      <c r="I474" t="str">
        <f t="shared" si="14"/>
        <v/>
      </c>
      <c r="J474">
        <f t="shared" si="15"/>
        <v>0</v>
      </c>
    </row>
    <row r="475" spans="2:10" x14ac:dyDescent="0.25">
      <c r="I475" t="str">
        <f t="shared" si="14"/>
        <v/>
      </c>
      <c r="J475">
        <f t="shared" si="15"/>
        <v>0</v>
      </c>
    </row>
    <row r="476" spans="2:10" x14ac:dyDescent="0.25">
      <c r="I476" t="str">
        <f t="shared" si="14"/>
        <v/>
      </c>
      <c r="J476">
        <f t="shared" si="15"/>
        <v>0</v>
      </c>
    </row>
    <row r="477" spans="2:10" x14ac:dyDescent="0.25">
      <c r="I477" t="str">
        <f t="shared" si="14"/>
        <v/>
      </c>
      <c r="J477">
        <f t="shared" si="15"/>
        <v>0</v>
      </c>
    </row>
    <row r="478" spans="2:10" s="9" customFormat="1" x14ac:dyDescent="0.25">
      <c r="B478" s="10"/>
      <c r="I478" t="str">
        <f t="shared" si="14"/>
        <v/>
      </c>
      <c r="J478">
        <f t="shared" si="15"/>
        <v>0</v>
      </c>
    </row>
    <row r="479" spans="2:10" s="11" customFormat="1" x14ac:dyDescent="0.25">
      <c r="B479" s="12"/>
      <c r="I479" t="str">
        <f t="shared" si="14"/>
        <v/>
      </c>
      <c r="J479">
        <f t="shared" si="15"/>
        <v>0</v>
      </c>
    </row>
    <row r="480" spans="2:10" x14ac:dyDescent="0.25">
      <c r="I480" t="str">
        <f t="shared" si="14"/>
        <v/>
      </c>
      <c r="J480">
        <f t="shared" si="15"/>
        <v>0</v>
      </c>
    </row>
    <row r="481" spans="2:10" x14ac:dyDescent="0.25">
      <c r="I481" t="str">
        <f t="shared" si="14"/>
        <v/>
      </c>
      <c r="J481">
        <f t="shared" si="15"/>
        <v>0</v>
      </c>
    </row>
    <row r="482" spans="2:10" x14ac:dyDescent="0.25">
      <c r="I482" t="str">
        <f t="shared" si="14"/>
        <v/>
      </c>
      <c r="J482">
        <f t="shared" si="15"/>
        <v>0</v>
      </c>
    </row>
    <row r="483" spans="2:10" s="9" customFormat="1" x14ac:dyDescent="0.25">
      <c r="B483" s="10"/>
      <c r="I483" t="str">
        <f t="shared" si="14"/>
        <v/>
      </c>
      <c r="J483">
        <f t="shared" si="15"/>
        <v>0</v>
      </c>
    </row>
    <row r="484" spans="2:10" x14ac:dyDescent="0.25">
      <c r="I484" t="str">
        <f t="shared" si="14"/>
        <v/>
      </c>
      <c r="J484">
        <f t="shared" si="15"/>
        <v>0</v>
      </c>
    </row>
    <row r="485" spans="2:10" x14ac:dyDescent="0.25">
      <c r="I485" t="str">
        <f t="shared" si="14"/>
        <v/>
      </c>
      <c r="J485">
        <f t="shared" si="15"/>
        <v>0</v>
      </c>
    </row>
    <row r="486" spans="2:10" x14ac:dyDescent="0.25">
      <c r="I486" t="str">
        <f t="shared" si="14"/>
        <v/>
      </c>
      <c r="J486">
        <f t="shared" si="15"/>
        <v>0</v>
      </c>
    </row>
    <row r="487" spans="2:10" x14ac:dyDescent="0.25">
      <c r="I487" t="str">
        <f t="shared" si="14"/>
        <v/>
      </c>
      <c r="J487">
        <f t="shared" si="15"/>
        <v>0</v>
      </c>
    </row>
    <row r="488" spans="2:10" s="9" customFormat="1" x14ac:dyDescent="0.25">
      <c r="B488" s="10"/>
      <c r="I488" t="str">
        <f t="shared" si="14"/>
        <v/>
      </c>
      <c r="J488">
        <f t="shared" si="15"/>
        <v>0</v>
      </c>
    </row>
    <row r="489" spans="2:10" s="11" customFormat="1" x14ac:dyDescent="0.25">
      <c r="B489" s="12"/>
      <c r="I489" t="str">
        <f t="shared" si="14"/>
        <v/>
      </c>
      <c r="J489">
        <f t="shared" si="15"/>
        <v>0</v>
      </c>
    </row>
    <row r="490" spans="2:10" x14ac:dyDescent="0.25">
      <c r="I490" t="str">
        <f t="shared" si="14"/>
        <v/>
      </c>
      <c r="J490">
        <f t="shared" si="15"/>
        <v>0</v>
      </c>
    </row>
    <row r="491" spans="2:10" x14ac:dyDescent="0.25">
      <c r="I491" t="str">
        <f t="shared" si="14"/>
        <v/>
      </c>
      <c r="J491">
        <f t="shared" si="15"/>
        <v>0</v>
      </c>
    </row>
    <row r="492" spans="2:10" x14ac:dyDescent="0.25">
      <c r="I492" t="str">
        <f t="shared" si="14"/>
        <v/>
      </c>
      <c r="J492">
        <f t="shared" si="15"/>
        <v>0</v>
      </c>
    </row>
    <row r="493" spans="2:10" s="9" customFormat="1" x14ac:dyDescent="0.25">
      <c r="B493" s="10"/>
      <c r="I493" t="str">
        <f t="shared" si="14"/>
        <v/>
      </c>
      <c r="J493">
        <f t="shared" si="15"/>
        <v>0</v>
      </c>
    </row>
    <row r="494" spans="2:10" s="11" customFormat="1" x14ac:dyDescent="0.25">
      <c r="B494" s="12"/>
      <c r="I494" t="str">
        <f t="shared" si="14"/>
        <v/>
      </c>
      <c r="J494">
        <f t="shared" si="15"/>
        <v>0</v>
      </c>
    </row>
    <row r="495" spans="2:10" x14ac:dyDescent="0.25">
      <c r="I495" t="str">
        <f t="shared" si="14"/>
        <v/>
      </c>
      <c r="J495">
        <f t="shared" si="15"/>
        <v>0</v>
      </c>
    </row>
    <row r="496" spans="2:10" x14ac:dyDescent="0.25">
      <c r="I496" t="str">
        <f t="shared" si="14"/>
        <v/>
      </c>
      <c r="J496">
        <f t="shared" si="15"/>
        <v>0</v>
      </c>
    </row>
    <row r="497" spans="2:10" x14ac:dyDescent="0.25">
      <c r="I497" t="str">
        <f t="shared" si="14"/>
        <v/>
      </c>
      <c r="J497">
        <f t="shared" si="15"/>
        <v>0</v>
      </c>
    </row>
    <row r="498" spans="2:10" s="9" customFormat="1" x14ac:dyDescent="0.25">
      <c r="B498" s="10"/>
      <c r="I498" t="str">
        <f t="shared" si="14"/>
        <v/>
      </c>
      <c r="J498">
        <f t="shared" si="15"/>
        <v>0</v>
      </c>
    </row>
    <row r="499" spans="2:10" x14ac:dyDescent="0.25">
      <c r="I499" t="str">
        <f t="shared" si="14"/>
        <v/>
      </c>
      <c r="J499">
        <f t="shared" si="15"/>
        <v>0</v>
      </c>
    </row>
    <row r="500" spans="2:10" x14ac:dyDescent="0.25">
      <c r="I500" t="str">
        <f t="shared" si="14"/>
        <v/>
      </c>
      <c r="J500">
        <f t="shared" si="15"/>
        <v>0</v>
      </c>
    </row>
    <row r="501" spans="2:10" x14ac:dyDescent="0.25">
      <c r="I501" t="str">
        <f t="shared" si="14"/>
        <v/>
      </c>
      <c r="J501">
        <f t="shared" si="15"/>
        <v>0</v>
      </c>
    </row>
    <row r="502" spans="2:10" x14ac:dyDescent="0.25">
      <c r="I502" t="str">
        <f t="shared" si="14"/>
        <v/>
      </c>
      <c r="J502">
        <f t="shared" si="15"/>
        <v>0</v>
      </c>
    </row>
    <row r="503" spans="2:10" s="9" customFormat="1" x14ac:dyDescent="0.25">
      <c r="B503" s="10"/>
      <c r="I503" t="str">
        <f t="shared" si="14"/>
        <v/>
      </c>
      <c r="J503">
        <f t="shared" si="15"/>
        <v>0</v>
      </c>
    </row>
    <row r="504" spans="2:10" s="11" customFormat="1" x14ac:dyDescent="0.25">
      <c r="B504" s="12"/>
      <c r="I504" t="str">
        <f t="shared" si="14"/>
        <v/>
      </c>
      <c r="J504">
        <f t="shared" si="15"/>
        <v>0</v>
      </c>
    </row>
    <row r="505" spans="2:10" x14ac:dyDescent="0.25">
      <c r="I505" t="str">
        <f t="shared" si="14"/>
        <v/>
      </c>
      <c r="J505">
        <f t="shared" si="15"/>
        <v>0</v>
      </c>
    </row>
    <row r="506" spans="2:10" x14ac:dyDescent="0.25">
      <c r="I506" t="str">
        <f t="shared" si="14"/>
        <v/>
      </c>
      <c r="J506">
        <f t="shared" si="15"/>
        <v>0</v>
      </c>
    </row>
    <row r="507" spans="2:10" x14ac:dyDescent="0.25">
      <c r="I507" t="str">
        <f t="shared" si="14"/>
        <v/>
      </c>
      <c r="J507">
        <f t="shared" si="15"/>
        <v>0</v>
      </c>
    </row>
    <row r="508" spans="2:10" s="9" customFormat="1" x14ac:dyDescent="0.25">
      <c r="B508" s="10"/>
      <c r="I508" t="str">
        <f t="shared" si="14"/>
        <v/>
      </c>
      <c r="J508">
        <f t="shared" si="15"/>
        <v>0</v>
      </c>
    </row>
    <row r="509" spans="2:10" s="11" customFormat="1" x14ac:dyDescent="0.25">
      <c r="B509" s="12"/>
      <c r="I509" t="str">
        <f t="shared" si="14"/>
        <v/>
      </c>
      <c r="J509">
        <f t="shared" si="15"/>
        <v>0</v>
      </c>
    </row>
    <row r="510" spans="2:10" x14ac:dyDescent="0.25">
      <c r="I510" t="str">
        <f t="shared" ref="I510:I551" si="16">IF(H510&lt;&gt;"",(F510-H510)/F510,"")</f>
        <v/>
      </c>
      <c r="J510">
        <f t="shared" si="15"/>
        <v>0</v>
      </c>
    </row>
    <row r="511" spans="2:10" x14ac:dyDescent="0.25">
      <c r="I511" t="str">
        <f t="shared" si="16"/>
        <v/>
      </c>
      <c r="J511">
        <f t="shared" ref="J511:J551" si="17">(F511*(1-$R$1)-H511)</f>
        <v>0</v>
      </c>
    </row>
    <row r="512" spans="2:10" x14ac:dyDescent="0.25">
      <c r="I512" t="str">
        <f t="shared" si="16"/>
        <v/>
      </c>
      <c r="J512">
        <f t="shared" si="17"/>
        <v>0</v>
      </c>
    </row>
    <row r="513" spans="2:10" s="9" customFormat="1" x14ac:dyDescent="0.25">
      <c r="B513" s="10"/>
      <c r="I513" t="str">
        <f t="shared" si="16"/>
        <v/>
      </c>
      <c r="J513">
        <f t="shared" si="17"/>
        <v>0</v>
      </c>
    </row>
    <row r="514" spans="2:10" x14ac:dyDescent="0.25">
      <c r="I514" t="str">
        <f t="shared" si="16"/>
        <v/>
      </c>
      <c r="J514">
        <f t="shared" si="17"/>
        <v>0</v>
      </c>
    </row>
    <row r="515" spans="2:10" x14ac:dyDescent="0.25">
      <c r="I515" t="str">
        <f t="shared" si="16"/>
        <v/>
      </c>
      <c r="J515">
        <f t="shared" si="17"/>
        <v>0</v>
      </c>
    </row>
    <row r="516" spans="2:10" x14ac:dyDescent="0.25">
      <c r="I516" t="str">
        <f t="shared" si="16"/>
        <v/>
      </c>
      <c r="J516">
        <f t="shared" si="17"/>
        <v>0</v>
      </c>
    </row>
    <row r="517" spans="2:10" x14ac:dyDescent="0.25">
      <c r="I517" t="str">
        <f t="shared" si="16"/>
        <v/>
      </c>
      <c r="J517">
        <f t="shared" si="17"/>
        <v>0</v>
      </c>
    </row>
    <row r="518" spans="2:10" s="9" customFormat="1" x14ac:dyDescent="0.25">
      <c r="B518" s="10"/>
      <c r="I518" t="str">
        <f t="shared" si="16"/>
        <v/>
      </c>
      <c r="J518">
        <f t="shared" si="17"/>
        <v>0</v>
      </c>
    </row>
    <row r="519" spans="2:10" s="11" customFormat="1" x14ac:dyDescent="0.25">
      <c r="B519" s="12"/>
      <c r="I519" t="str">
        <f t="shared" si="16"/>
        <v/>
      </c>
      <c r="J519">
        <f t="shared" si="17"/>
        <v>0</v>
      </c>
    </row>
    <row r="520" spans="2:10" x14ac:dyDescent="0.25">
      <c r="I520" t="str">
        <f t="shared" si="16"/>
        <v/>
      </c>
      <c r="J520">
        <f t="shared" si="17"/>
        <v>0</v>
      </c>
    </row>
    <row r="521" spans="2:10" x14ac:dyDescent="0.25">
      <c r="I521" t="str">
        <f t="shared" si="16"/>
        <v/>
      </c>
      <c r="J521">
        <f t="shared" si="17"/>
        <v>0</v>
      </c>
    </row>
    <row r="522" spans="2:10" x14ac:dyDescent="0.25">
      <c r="I522" t="str">
        <f t="shared" si="16"/>
        <v/>
      </c>
      <c r="J522">
        <f t="shared" si="17"/>
        <v>0</v>
      </c>
    </row>
    <row r="523" spans="2:10" s="9" customFormat="1" x14ac:dyDescent="0.25">
      <c r="B523" s="10"/>
      <c r="I523" t="str">
        <f t="shared" si="16"/>
        <v/>
      </c>
      <c r="J523">
        <f t="shared" si="17"/>
        <v>0</v>
      </c>
    </row>
    <row r="524" spans="2:10" s="11" customFormat="1" x14ac:dyDescent="0.25">
      <c r="B524" s="12"/>
      <c r="I524" t="str">
        <f t="shared" si="16"/>
        <v/>
      </c>
      <c r="J524">
        <f t="shared" si="17"/>
        <v>0</v>
      </c>
    </row>
    <row r="525" spans="2:10" x14ac:dyDescent="0.25">
      <c r="I525" t="str">
        <f t="shared" si="16"/>
        <v/>
      </c>
      <c r="J525">
        <f t="shared" si="17"/>
        <v>0</v>
      </c>
    </row>
    <row r="526" spans="2:10" x14ac:dyDescent="0.25">
      <c r="I526" t="str">
        <f t="shared" si="16"/>
        <v/>
      </c>
      <c r="J526">
        <f t="shared" si="17"/>
        <v>0</v>
      </c>
    </row>
    <row r="527" spans="2:10" x14ac:dyDescent="0.25">
      <c r="I527" t="str">
        <f t="shared" si="16"/>
        <v/>
      </c>
      <c r="J527">
        <f t="shared" si="17"/>
        <v>0</v>
      </c>
    </row>
    <row r="528" spans="2:10" s="9" customFormat="1" x14ac:dyDescent="0.25">
      <c r="B528" s="10"/>
      <c r="I528" t="str">
        <f t="shared" si="16"/>
        <v/>
      </c>
      <c r="J528">
        <f t="shared" si="17"/>
        <v>0</v>
      </c>
    </row>
    <row r="529" spans="2:10" x14ac:dyDescent="0.25">
      <c r="I529" t="str">
        <f t="shared" si="16"/>
        <v/>
      </c>
      <c r="J529">
        <f t="shared" si="17"/>
        <v>0</v>
      </c>
    </row>
    <row r="530" spans="2:10" x14ac:dyDescent="0.25">
      <c r="I530" t="str">
        <f t="shared" si="16"/>
        <v/>
      </c>
      <c r="J530">
        <f t="shared" si="17"/>
        <v>0</v>
      </c>
    </row>
    <row r="531" spans="2:10" x14ac:dyDescent="0.25">
      <c r="I531" t="str">
        <f t="shared" si="16"/>
        <v/>
      </c>
      <c r="J531">
        <f t="shared" si="17"/>
        <v>0</v>
      </c>
    </row>
    <row r="532" spans="2:10" x14ac:dyDescent="0.25">
      <c r="I532" t="str">
        <f t="shared" si="16"/>
        <v/>
      </c>
      <c r="J532">
        <f t="shared" si="17"/>
        <v>0</v>
      </c>
    </row>
    <row r="533" spans="2:10" s="9" customFormat="1" x14ac:dyDescent="0.25">
      <c r="B533" s="10"/>
      <c r="I533" t="str">
        <f t="shared" si="16"/>
        <v/>
      </c>
      <c r="J533">
        <f t="shared" si="17"/>
        <v>0</v>
      </c>
    </row>
    <row r="534" spans="2:10" s="11" customFormat="1" x14ac:dyDescent="0.25">
      <c r="B534" s="12"/>
      <c r="I534" t="str">
        <f t="shared" si="16"/>
        <v/>
      </c>
      <c r="J534">
        <f t="shared" si="17"/>
        <v>0</v>
      </c>
    </row>
    <row r="535" spans="2:10" x14ac:dyDescent="0.25">
      <c r="I535" t="str">
        <f t="shared" si="16"/>
        <v/>
      </c>
      <c r="J535">
        <f t="shared" si="17"/>
        <v>0</v>
      </c>
    </row>
    <row r="536" spans="2:10" x14ac:dyDescent="0.25">
      <c r="I536" t="str">
        <f t="shared" si="16"/>
        <v/>
      </c>
      <c r="J536">
        <f t="shared" si="17"/>
        <v>0</v>
      </c>
    </row>
    <row r="537" spans="2:10" x14ac:dyDescent="0.25">
      <c r="I537" t="str">
        <f t="shared" si="16"/>
        <v/>
      </c>
      <c r="J537">
        <f t="shared" si="17"/>
        <v>0</v>
      </c>
    </row>
    <row r="538" spans="2:10" s="9" customFormat="1" x14ac:dyDescent="0.25">
      <c r="B538" s="10"/>
      <c r="I538" t="str">
        <f t="shared" si="16"/>
        <v/>
      </c>
      <c r="J538">
        <f t="shared" si="17"/>
        <v>0</v>
      </c>
    </row>
    <row r="539" spans="2:10" s="11" customFormat="1" x14ac:dyDescent="0.25">
      <c r="B539" s="12"/>
      <c r="I539" t="str">
        <f t="shared" si="16"/>
        <v/>
      </c>
      <c r="J539">
        <f t="shared" si="17"/>
        <v>0</v>
      </c>
    </row>
    <row r="540" spans="2:10" x14ac:dyDescent="0.25">
      <c r="I540" t="str">
        <f t="shared" si="16"/>
        <v/>
      </c>
      <c r="J540">
        <f t="shared" si="17"/>
        <v>0</v>
      </c>
    </row>
    <row r="541" spans="2:10" x14ac:dyDescent="0.25">
      <c r="I541" t="str">
        <f t="shared" si="16"/>
        <v/>
      </c>
      <c r="J541">
        <f t="shared" si="17"/>
        <v>0</v>
      </c>
    </row>
    <row r="542" spans="2:10" x14ac:dyDescent="0.25">
      <c r="I542" t="str">
        <f t="shared" si="16"/>
        <v/>
      </c>
      <c r="J542">
        <f t="shared" si="17"/>
        <v>0</v>
      </c>
    </row>
    <row r="543" spans="2:10" s="9" customFormat="1" x14ac:dyDescent="0.25">
      <c r="B543" s="10"/>
      <c r="I543" t="str">
        <f t="shared" si="16"/>
        <v/>
      </c>
      <c r="J543">
        <f t="shared" si="17"/>
        <v>0</v>
      </c>
    </row>
    <row r="544" spans="2:10" x14ac:dyDescent="0.25">
      <c r="I544" t="str">
        <f t="shared" si="16"/>
        <v/>
      </c>
      <c r="J544">
        <f t="shared" si="17"/>
        <v>0</v>
      </c>
    </row>
    <row r="545" spans="2:10" x14ac:dyDescent="0.25">
      <c r="I545" t="str">
        <f t="shared" si="16"/>
        <v/>
      </c>
      <c r="J545">
        <f t="shared" si="17"/>
        <v>0</v>
      </c>
    </row>
    <row r="546" spans="2:10" x14ac:dyDescent="0.25">
      <c r="I546" t="str">
        <f t="shared" si="16"/>
        <v/>
      </c>
      <c r="J546">
        <f t="shared" si="17"/>
        <v>0</v>
      </c>
    </row>
    <row r="547" spans="2:10" x14ac:dyDescent="0.25">
      <c r="I547" t="str">
        <f t="shared" si="16"/>
        <v/>
      </c>
      <c r="J547">
        <f t="shared" si="17"/>
        <v>0</v>
      </c>
    </row>
    <row r="548" spans="2:10" s="9" customFormat="1" x14ac:dyDescent="0.25">
      <c r="B548" s="10"/>
      <c r="I548" t="str">
        <f t="shared" si="16"/>
        <v/>
      </c>
      <c r="J548">
        <f t="shared" si="17"/>
        <v>0</v>
      </c>
    </row>
    <row r="549" spans="2:10" s="11" customFormat="1" x14ac:dyDescent="0.25">
      <c r="B549" s="12"/>
      <c r="I549" t="str">
        <f t="shared" si="16"/>
        <v/>
      </c>
      <c r="J549">
        <f t="shared" si="17"/>
        <v>0</v>
      </c>
    </row>
    <row r="550" spans="2:10" x14ac:dyDescent="0.25">
      <c r="I550" t="str">
        <f t="shared" si="16"/>
        <v/>
      </c>
      <c r="J550">
        <f t="shared" si="17"/>
        <v>0</v>
      </c>
    </row>
    <row r="551" spans="2:10" x14ac:dyDescent="0.25">
      <c r="I551" t="str">
        <f t="shared" si="16"/>
        <v/>
      </c>
      <c r="J551">
        <f t="shared" si="17"/>
        <v>0</v>
      </c>
    </row>
    <row r="553" spans="2:10" s="9" customFormat="1" x14ac:dyDescent="0.25">
      <c r="B553" s="10"/>
    </row>
    <row r="554" spans="2:10" s="11" customFormat="1" x14ac:dyDescent="0.25">
      <c r="B554" s="12"/>
    </row>
    <row r="558" spans="2:10" s="9" customFormat="1" x14ac:dyDescent="0.25">
      <c r="B558" s="10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4F4C-05FC-44C2-8592-AB978FC68EA3}">
  <sheetPr>
    <tabColor rgb="FF00B0F0"/>
  </sheetPr>
  <dimension ref="A1:V731"/>
  <sheetViews>
    <sheetView topLeftCell="A720" workbookViewId="0">
      <selection activeCell="I734" sqref="I734"/>
    </sheetView>
  </sheetViews>
  <sheetFormatPr defaultRowHeight="15" x14ac:dyDescent="0.25"/>
  <cols>
    <col min="2" max="2" width="10.140625" bestFit="1" customWidth="1"/>
    <col min="4" max="4" width="8.42578125" bestFit="1" customWidth="1"/>
    <col min="7" max="7" width="9.140625" customWidth="1"/>
    <col min="8" max="8" width="12.42578125" customWidth="1"/>
    <col min="9" max="9" width="17.5703125" customWidth="1"/>
    <col min="10" max="10" width="12.42578125" customWidth="1"/>
    <col min="11" max="11" width="17.5703125" customWidth="1"/>
    <col min="12" max="12" width="8.85546875" customWidth="1"/>
    <col min="13" max="13" width="13.85546875" bestFit="1" customWidth="1"/>
    <col min="14" max="14" width="7" bestFit="1" customWidth="1"/>
    <col min="15" max="15" width="7.140625" bestFit="1" customWidth="1"/>
    <col min="16" max="16" width="8.7109375" bestFit="1" customWidth="1"/>
    <col min="17" max="17" width="7.28515625" bestFit="1" customWidth="1"/>
    <col min="18" max="18" width="18.42578125" bestFit="1" customWidth="1"/>
    <col min="19" max="19" width="19.5703125" bestFit="1" customWidth="1"/>
    <col min="20" max="20" width="8.85546875" bestFit="1" customWidth="1"/>
    <col min="22" max="22" width="14.42578125" bestFit="1" customWidth="1"/>
  </cols>
  <sheetData>
    <row r="1" spans="1:22" ht="18.75" x14ac:dyDescent="0.3">
      <c r="A1" s="1" t="s">
        <v>0</v>
      </c>
      <c r="B1" s="1" t="s">
        <v>1</v>
      </c>
      <c r="C1" s="1" t="s">
        <v>2</v>
      </c>
      <c r="D1" s="1" t="s">
        <v>143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7</v>
      </c>
      <c r="K1" s="1" t="s">
        <v>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29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120</v>
      </c>
    </row>
    <row r="2" spans="1:22" x14ac:dyDescent="0.25">
      <c r="A2" t="s">
        <v>109</v>
      </c>
      <c r="B2" s="3">
        <v>45909</v>
      </c>
      <c r="C2" t="s">
        <v>30</v>
      </c>
      <c r="D2">
        <v>1</v>
      </c>
      <c r="E2" t="s">
        <v>46</v>
      </c>
      <c r="F2" t="s">
        <v>136</v>
      </c>
      <c r="G2">
        <v>0</v>
      </c>
      <c r="H2">
        <v>3</v>
      </c>
      <c r="I2">
        <v>2</v>
      </c>
      <c r="J2">
        <v>26</v>
      </c>
      <c r="K2">
        <v>28</v>
      </c>
      <c r="L2">
        <v>2.2999999999999998</v>
      </c>
      <c r="M2">
        <v>1.69</v>
      </c>
      <c r="N2">
        <v>0</v>
      </c>
      <c r="O2" s="5">
        <v>2</v>
      </c>
      <c r="P2">
        <v>0</v>
      </c>
      <c r="Q2" s="5">
        <v>3</v>
      </c>
      <c r="R2" t="s">
        <v>140</v>
      </c>
      <c r="S2" s="4">
        <v>26</v>
      </c>
      <c r="T2">
        <v>0</v>
      </c>
      <c r="U2" t="s">
        <v>33</v>
      </c>
      <c r="V2" t="s">
        <v>121</v>
      </c>
    </row>
    <row r="3" spans="1:22" x14ac:dyDescent="0.25">
      <c r="A3" t="s">
        <v>109</v>
      </c>
      <c r="B3" s="3">
        <v>45909</v>
      </c>
      <c r="C3" t="s">
        <v>30</v>
      </c>
      <c r="D3">
        <v>1</v>
      </c>
      <c r="E3" t="s">
        <v>136</v>
      </c>
      <c r="F3" t="s">
        <v>46</v>
      </c>
      <c r="G3">
        <v>1</v>
      </c>
      <c r="H3">
        <v>2</v>
      </c>
      <c r="I3">
        <v>3</v>
      </c>
      <c r="J3">
        <v>28</v>
      </c>
      <c r="K3">
        <v>26</v>
      </c>
      <c r="L3">
        <v>1.69</v>
      </c>
      <c r="M3">
        <v>2.2999999999999998</v>
      </c>
      <c r="N3">
        <v>0</v>
      </c>
      <c r="O3" s="5">
        <v>3</v>
      </c>
      <c r="P3">
        <v>0</v>
      </c>
      <c r="Q3" s="5">
        <v>2</v>
      </c>
      <c r="R3" t="s">
        <v>111</v>
      </c>
      <c r="S3" s="4">
        <v>23</v>
      </c>
      <c r="T3">
        <v>0</v>
      </c>
      <c r="U3" t="s">
        <v>35</v>
      </c>
      <c r="V3" t="s">
        <v>121</v>
      </c>
    </row>
    <row r="4" spans="1:22" x14ac:dyDescent="0.25">
      <c r="A4" t="s">
        <v>109</v>
      </c>
      <c r="B4" s="3">
        <v>45910</v>
      </c>
      <c r="C4" t="s">
        <v>30</v>
      </c>
      <c r="D4">
        <v>1</v>
      </c>
      <c r="E4" t="s">
        <v>31</v>
      </c>
      <c r="F4" t="s">
        <v>32</v>
      </c>
      <c r="G4">
        <v>1</v>
      </c>
      <c r="H4">
        <v>7</v>
      </c>
      <c r="I4">
        <v>1</v>
      </c>
      <c r="J4">
        <v>29</v>
      </c>
      <c r="K4">
        <v>33</v>
      </c>
      <c r="N4">
        <v>3</v>
      </c>
      <c r="O4" s="4">
        <v>6</v>
      </c>
      <c r="P4">
        <v>0</v>
      </c>
      <c r="Q4" s="5">
        <v>8</v>
      </c>
      <c r="R4" t="s">
        <v>34</v>
      </c>
      <c r="S4" s="7">
        <v>32</v>
      </c>
      <c r="T4">
        <v>0</v>
      </c>
      <c r="U4" t="s">
        <v>33</v>
      </c>
      <c r="V4" t="s">
        <v>121</v>
      </c>
    </row>
    <row r="5" spans="1:22" x14ac:dyDescent="0.25">
      <c r="A5" t="s">
        <v>109</v>
      </c>
      <c r="B5" s="3">
        <v>45910</v>
      </c>
      <c r="C5" t="s">
        <v>30</v>
      </c>
      <c r="D5">
        <v>1</v>
      </c>
      <c r="E5" t="s">
        <v>41</v>
      </c>
      <c r="F5" t="s">
        <v>38</v>
      </c>
      <c r="G5">
        <v>1</v>
      </c>
      <c r="H5">
        <v>8</v>
      </c>
      <c r="I5">
        <v>2</v>
      </c>
      <c r="J5">
        <v>38</v>
      </c>
      <c r="K5">
        <v>30</v>
      </c>
      <c r="L5">
        <v>2.74</v>
      </c>
      <c r="M5">
        <v>3.24</v>
      </c>
      <c r="N5">
        <v>3</v>
      </c>
      <c r="O5" s="4">
        <v>4</v>
      </c>
      <c r="P5">
        <v>0</v>
      </c>
      <c r="Q5" s="5">
        <v>3</v>
      </c>
      <c r="R5" t="s">
        <v>108</v>
      </c>
      <c r="S5" s="7">
        <v>28</v>
      </c>
      <c r="T5">
        <v>0</v>
      </c>
      <c r="U5" t="s">
        <v>33</v>
      </c>
      <c r="V5" t="s">
        <v>121</v>
      </c>
    </row>
    <row r="6" spans="1:22" x14ac:dyDescent="0.25">
      <c r="A6" t="s">
        <v>109</v>
      </c>
      <c r="B6" s="3">
        <v>45910</v>
      </c>
      <c r="C6" t="s">
        <v>30</v>
      </c>
      <c r="D6">
        <v>1</v>
      </c>
      <c r="E6" t="s">
        <v>42</v>
      </c>
      <c r="F6" t="s">
        <v>43</v>
      </c>
      <c r="G6">
        <v>1</v>
      </c>
      <c r="H6">
        <v>4</v>
      </c>
      <c r="I6">
        <v>2</v>
      </c>
      <c r="J6">
        <v>28</v>
      </c>
      <c r="K6">
        <v>14</v>
      </c>
      <c r="N6">
        <v>0</v>
      </c>
      <c r="O6" s="5">
        <v>7</v>
      </c>
      <c r="P6">
        <v>1</v>
      </c>
      <c r="Q6" s="5">
        <v>5</v>
      </c>
      <c r="R6" t="s">
        <v>144</v>
      </c>
      <c r="S6" s="4">
        <v>12</v>
      </c>
      <c r="T6">
        <v>0</v>
      </c>
      <c r="U6" t="s">
        <v>35</v>
      </c>
      <c r="V6" t="s">
        <v>121</v>
      </c>
    </row>
    <row r="7" spans="1:22" x14ac:dyDescent="0.25">
      <c r="A7" t="s">
        <v>109</v>
      </c>
      <c r="B7" s="3">
        <v>45910</v>
      </c>
      <c r="C7" t="s">
        <v>30</v>
      </c>
      <c r="D7">
        <v>1</v>
      </c>
      <c r="E7" t="s">
        <v>40</v>
      </c>
      <c r="F7" t="s">
        <v>36</v>
      </c>
      <c r="G7">
        <v>1</v>
      </c>
      <c r="H7">
        <v>1</v>
      </c>
      <c r="I7">
        <v>2</v>
      </c>
      <c r="J7">
        <v>28</v>
      </c>
      <c r="K7">
        <v>15</v>
      </c>
      <c r="N7">
        <v>0</v>
      </c>
      <c r="O7">
        <v>5</v>
      </c>
      <c r="P7">
        <v>1</v>
      </c>
      <c r="Q7">
        <v>5</v>
      </c>
      <c r="R7" t="s">
        <v>107</v>
      </c>
      <c r="S7">
        <v>13</v>
      </c>
      <c r="T7">
        <v>0</v>
      </c>
      <c r="U7" t="s">
        <v>35</v>
      </c>
      <c r="V7" t="s">
        <v>121</v>
      </c>
    </row>
    <row r="8" spans="1:22" x14ac:dyDescent="0.25">
      <c r="A8" t="s">
        <v>109</v>
      </c>
      <c r="B8" s="3">
        <v>45910</v>
      </c>
      <c r="C8" t="s">
        <v>30</v>
      </c>
      <c r="D8">
        <v>1</v>
      </c>
      <c r="E8" t="s">
        <v>44</v>
      </c>
      <c r="F8" t="s">
        <v>45</v>
      </c>
      <c r="G8">
        <v>1</v>
      </c>
      <c r="H8">
        <v>4</v>
      </c>
      <c r="I8">
        <v>7</v>
      </c>
      <c r="J8">
        <v>31</v>
      </c>
      <c r="K8">
        <v>24</v>
      </c>
      <c r="N8">
        <v>1</v>
      </c>
      <c r="O8">
        <v>6</v>
      </c>
      <c r="P8">
        <v>1</v>
      </c>
      <c r="Q8">
        <v>6</v>
      </c>
      <c r="R8" t="s">
        <v>147</v>
      </c>
      <c r="S8">
        <v>17</v>
      </c>
      <c r="T8">
        <v>0</v>
      </c>
      <c r="U8" t="s">
        <v>35</v>
      </c>
      <c r="V8" t="s">
        <v>121</v>
      </c>
    </row>
    <row r="9" spans="1:22" x14ac:dyDescent="0.25">
      <c r="A9" t="s">
        <v>109</v>
      </c>
      <c r="B9" s="3">
        <v>45910</v>
      </c>
      <c r="C9" t="s">
        <v>30</v>
      </c>
      <c r="D9">
        <v>1</v>
      </c>
      <c r="E9" t="s">
        <v>137</v>
      </c>
      <c r="F9" t="s">
        <v>39</v>
      </c>
      <c r="G9">
        <v>1</v>
      </c>
      <c r="H9">
        <v>1</v>
      </c>
      <c r="I9">
        <v>3</v>
      </c>
      <c r="J9">
        <v>24</v>
      </c>
      <c r="K9">
        <v>25</v>
      </c>
      <c r="N9">
        <v>0</v>
      </c>
      <c r="O9">
        <v>5</v>
      </c>
      <c r="P9">
        <v>0</v>
      </c>
      <c r="Q9">
        <v>6</v>
      </c>
      <c r="R9" t="s">
        <v>100</v>
      </c>
      <c r="S9">
        <v>22</v>
      </c>
      <c r="T9">
        <v>0</v>
      </c>
      <c r="U9" t="s">
        <v>35</v>
      </c>
      <c r="V9" t="s">
        <v>121</v>
      </c>
    </row>
    <row r="10" spans="1:22" x14ac:dyDescent="0.25">
      <c r="A10" t="s">
        <v>109</v>
      </c>
      <c r="B10" s="3">
        <v>45910</v>
      </c>
      <c r="C10" t="s">
        <v>30</v>
      </c>
      <c r="D10">
        <v>1</v>
      </c>
      <c r="E10" t="s">
        <v>43</v>
      </c>
      <c r="F10" t="s">
        <v>42</v>
      </c>
      <c r="G10">
        <v>0</v>
      </c>
      <c r="H10">
        <v>2</v>
      </c>
      <c r="I10">
        <v>4</v>
      </c>
      <c r="J10">
        <v>14</v>
      </c>
      <c r="K10">
        <v>28</v>
      </c>
      <c r="N10">
        <v>1</v>
      </c>
      <c r="O10">
        <v>5</v>
      </c>
      <c r="P10">
        <v>0</v>
      </c>
      <c r="Q10">
        <v>7</v>
      </c>
      <c r="R10" t="s">
        <v>149</v>
      </c>
      <c r="S10">
        <v>24</v>
      </c>
      <c r="T10">
        <v>0</v>
      </c>
      <c r="U10" t="s">
        <v>35</v>
      </c>
      <c r="V10" t="s">
        <v>121</v>
      </c>
    </row>
    <row r="11" spans="1:22" x14ac:dyDescent="0.25">
      <c r="A11" t="s">
        <v>109</v>
      </c>
      <c r="B11" s="3">
        <v>45910</v>
      </c>
      <c r="C11" t="s">
        <v>30</v>
      </c>
      <c r="D11">
        <v>1</v>
      </c>
      <c r="E11" t="s">
        <v>36</v>
      </c>
      <c r="F11" t="s">
        <v>40</v>
      </c>
      <c r="G11">
        <v>0</v>
      </c>
      <c r="H11">
        <v>2</v>
      </c>
      <c r="I11">
        <v>1</v>
      </c>
      <c r="J11">
        <v>15</v>
      </c>
      <c r="K11">
        <v>28</v>
      </c>
      <c r="N11">
        <v>1</v>
      </c>
      <c r="O11">
        <v>5</v>
      </c>
      <c r="P11">
        <v>0</v>
      </c>
      <c r="Q11">
        <v>5</v>
      </c>
      <c r="R11" t="s">
        <v>146</v>
      </c>
      <c r="S11">
        <v>27</v>
      </c>
      <c r="T11">
        <v>0</v>
      </c>
      <c r="U11" t="s">
        <v>33</v>
      </c>
      <c r="V11" t="s">
        <v>121</v>
      </c>
    </row>
    <row r="12" spans="1:22" x14ac:dyDescent="0.25">
      <c r="A12" t="s">
        <v>109</v>
      </c>
      <c r="B12" s="3">
        <v>45910</v>
      </c>
      <c r="C12" t="s">
        <v>30</v>
      </c>
      <c r="D12">
        <v>1</v>
      </c>
      <c r="E12" t="s">
        <v>32</v>
      </c>
      <c r="F12" t="s">
        <v>31</v>
      </c>
      <c r="G12">
        <v>0</v>
      </c>
      <c r="H12">
        <v>1</v>
      </c>
      <c r="I12">
        <v>7</v>
      </c>
      <c r="J12">
        <v>33</v>
      </c>
      <c r="K12">
        <v>29</v>
      </c>
      <c r="N12">
        <v>0</v>
      </c>
      <c r="O12">
        <v>6</v>
      </c>
      <c r="P12">
        <v>3</v>
      </c>
      <c r="Q12">
        <v>8</v>
      </c>
      <c r="R12" t="s">
        <v>101</v>
      </c>
      <c r="S12">
        <v>26</v>
      </c>
      <c r="T12">
        <v>0</v>
      </c>
      <c r="U12" t="s">
        <v>35</v>
      </c>
      <c r="V12" t="s">
        <v>121</v>
      </c>
    </row>
    <row r="13" spans="1:22" x14ac:dyDescent="0.25">
      <c r="A13" t="s">
        <v>109</v>
      </c>
      <c r="B13" s="3">
        <v>45910</v>
      </c>
      <c r="C13" t="s">
        <v>30</v>
      </c>
      <c r="D13">
        <v>1</v>
      </c>
      <c r="E13" t="s">
        <v>38</v>
      </c>
      <c r="F13" t="s">
        <v>41</v>
      </c>
      <c r="G13">
        <v>0</v>
      </c>
      <c r="H13">
        <v>2</v>
      </c>
      <c r="I13">
        <v>8</v>
      </c>
      <c r="J13">
        <v>30</v>
      </c>
      <c r="K13">
        <v>38</v>
      </c>
      <c r="L13">
        <v>3.24</v>
      </c>
      <c r="M13">
        <v>2.74</v>
      </c>
      <c r="N13">
        <v>0</v>
      </c>
      <c r="O13">
        <v>3</v>
      </c>
      <c r="P13">
        <v>3</v>
      </c>
      <c r="Q13">
        <v>4</v>
      </c>
      <c r="R13" t="s">
        <v>104</v>
      </c>
      <c r="S13">
        <v>30</v>
      </c>
      <c r="T13">
        <v>0</v>
      </c>
      <c r="U13" t="s">
        <v>35</v>
      </c>
      <c r="V13" t="s">
        <v>121</v>
      </c>
    </row>
    <row r="14" spans="1:22" x14ac:dyDescent="0.25">
      <c r="A14" t="s">
        <v>109</v>
      </c>
      <c r="B14" s="3">
        <v>45910</v>
      </c>
      <c r="C14" t="s">
        <v>30</v>
      </c>
      <c r="D14">
        <v>1</v>
      </c>
      <c r="E14" t="s">
        <v>39</v>
      </c>
      <c r="F14" t="s">
        <v>137</v>
      </c>
      <c r="G14">
        <v>0</v>
      </c>
      <c r="H14">
        <v>3</v>
      </c>
      <c r="I14">
        <v>1</v>
      </c>
      <c r="J14">
        <v>25</v>
      </c>
      <c r="K14">
        <v>24</v>
      </c>
      <c r="N14">
        <v>0</v>
      </c>
      <c r="O14">
        <v>6</v>
      </c>
      <c r="P14">
        <v>0</v>
      </c>
      <c r="Q14">
        <v>5</v>
      </c>
      <c r="R14" t="s">
        <v>105</v>
      </c>
      <c r="S14">
        <v>23</v>
      </c>
      <c r="T14">
        <v>0</v>
      </c>
      <c r="U14" t="s">
        <v>33</v>
      </c>
      <c r="V14" t="s">
        <v>121</v>
      </c>
    </row>
    <row r="15" spans="1:22" x14ac:dyDescent="0.25">
      <c r="A15" t="s">
        <v>109</v>
      </c>
      <c r="B15" s="3">
        <v>45910</v>
      </c>
      <c r="C15" t="s">
        <v>30</v>
      </c>
      <c r="D15">
        <v>1</v>
      </c>
      <c r="E15" t="s">
        <v>45</v>
      </c>
      <c r="F15" t="s">
        <v>44</v>
      </c>
      <c r="G15">
        <v>0</v>
      </c>
      <c r="H15">
        <v>7</v>
      </c>
      <c r="I15">
        <v>4</v>
      </c>
      <c r="J15">
        <v>24</v>
      </c>
      <c r="K15">
        <v>31</v>
      </c>
      <c r="N15">
        <v>1</v>
      </c>
      <c r="O15">
        <v>6</v>
      </c>
      <c r="P15">
        <v>1</v>
      </c>
      <c r="Q15">
        <v>6</v>
      </c>
      <c r="R15" t="s">
        <v>148</v>
      </c>
      <c r="S15">
        <v>27</v>
      </c>
      <c r="T15">
        <v>0</v>
      </c>
      <c r="U15" t="s">
        <v>33</v>
      </c>
      <c r="V15" t="s">
        <v>121</v>
      </c>
    </row>
    <row r="16" spans="1:22" x14ac:dyDescent="0.25">
      <c r="A16" t="s">
        <v>109</v>
      </c>
      <c r="B16" s="3">
        <v>45912</v>
      </c>
      <c r="C16" t="s">
        <v>30</v>
      </c>
      <c r="D16">
        <v>2</v>
      </c>
      <c r="E16" t="s">
        <v>31</v>
      </c>
      <c r="F16" t="s">
        <v>137</v>
      </c>
      <c r="G16">
        <v>0</v>
      </c>
      <c r="H16">
        <v>2</v>
      </c>
      <c r="I16">
        <v>4</v>
      </c>
      <c r="J16">
        <v>29</v>
      </c>
      <c r="K16">
        <v>36</v>
      </c>
      <c r="L16">
        <v>2.71</v>
      </c>
      <c r="M16">
        <v>3</v>
      </c>
      <c r="N16">
        <v>0</v>
      </c>
      <c r="O16" s="5">
        <v>6</v>
      </c>
      <c r="P16">
        <v>1</v>
      </c>
      <c r="Q16" s="4">
        <v>8</v>
      </c>
      <c r="R16" t="s">
        <v>34</v>
      </c>
      <c r="S16" s="7">
        <v>32</v>
      </c>
      <c r="T16">
        <v>0</v>
      </c>
      <c r="U16" t="s">
        <v>35</v>
      </c>
      <c r="V16" t="s">
        <v>121</v>
      </c>
    </row>
    <row r="17" spans="1:22" x14ac:dyDescent="0.25">
      <c r="A17" t="s">
        <v>109</v>
      </c>
      <c r="B17" s="3">
        <v>45912</v>
      </c>
      <c r="C17" t="s">
        <v>30</v>
      </c>
      <c r="D17">
        <v>2</v>
      </c>
      <c r="E17" t="s">
        <v>41</v>
      </c>
      <c r="F17" t="s">
        <v>46</v>
      </c>
      <c r="G17">
        <v>0</v>
      </c>
      <c r="H17">
        <v>2</v>
      </c>
      <c r="I17">
        <v>5</v>
      </c>
      <c r="J17">
        <v>21</v>
      </c>
      <c r="K17">
        <v>39</v>
      </c>
      <c r="L17">
        <v>2.44</v>
      </c>
      <c r="M17">
        <v>3.79</v>
      </c>
      <c r="N17">
        <v>0</v>
      </c>
      <c r="O17" s="5">
        <v>6</v>
      </c>
      <c r="P17">
        <v>1</v>
      </c>
      <c r="Q17" s="5">
        <v>6</v>
      </c>
      <c r="R17" t="s">
        <v>108</v>
      </c>
      <c r="S17" s="4">
        <v>34</v>
      </c>
      <c r="T17">
        <v>0</v>
      </c>
      <c r="U17" t="s">
        <v>35</v>
      </c>
      <c r="V17" t="s">
        <v>121</v>
      </c>
    </row>
    <row r="18" spans="1:22" x14ac:dyDescent="0.25">
      <c r="A18" t="s">
        <v>109</v>
      </c>
      <c r="B18" s="3">
        <v>45912</v>
      </c>
      <c r="C18" t="s">
        <v>30</v>
      </c>
      <c r="D18">
        <v>2</v>
      </c>
      <c r="E18" t="s">
        <v>46</v>
      </c>
      <c r="F18" t="s">
        <v>41</v>
      </c>
      <c r="G18">
        <v>1</v>
      </c>
      <c r="H18">
        <v>5</v>
      </c>
      <c r="I18">
        <v>2</v>
      </c>
      <c r="J18">
        <v>39</v>
      </c>
      <c r="K18">
        <v>21</v>
      </c>
      <c r="L18">
        <v>3.79</v>
      </c>
      <c r="M18">
        <v>2.44</v>
      </c>
      <c r="N18">
        <v>0</v>
      </c>
      <c r="O18" s="5">
        <v>6</v>
      </c>
      <c r="P18">
        <v>1</v>
      </c>
      <c r="Q18" s="5">
        <v>6</v>
      </c>
      <c r="R18" t="s">
        <v>141</v>
      </c>
      <c r="S18" s="4">
        <v>19</v>
      </c>
      <c r="T18">
        <v>0</v>
      </c>
      <c r="U18" t="s">
        <v>33</v>
      </c>
      <c r="V18" t="s">
        <v>121</v>
      </c>
    </row>
    <row r="19" spans="1:22" x14ac:dyDescent="0.25">
      <c r="A19" t="s">
        <v>109</v>
      </c>
      <c r="B19" s="3">
        <v>45912</v>
      </c>
      <c r="C19" t="s">
        <v>30</v>
      </c>
      <c r="D19">
        <v>2</v>
      </c>
      <c r="E19" t="s">
        <v>42</v>
      </c>
      <c r="F19" t="s">
        <v>36</v>
      </c>
      <c r="G19">
        <v>0</v>
      </c>
      <c r="H19">
        <v>3</v>
      </c>
      <c r="I19">
        <v>1</v>
      </c>
      <c r="J19">
        <v>29</v>
      </c>
      <c r="K19">
        <v>30</v>
      </c>
      <c r="L19">
        <v>2.44</v>
      </c>
      <c r="M19">
        <v>2.42</v>
      </c>
      <c r="N19">
        <v>2</v>
      </c>
      <c r="O19" s="5">
        <v>3</v>
      </c>
      <c r="P19">
        <v>1</v>
      </c>
      <c r="Q19" s="5">
        <v>4</v>
      </c>
      <c r="R19" t="s">
        <v>144</v>
      </c>
      <c r="S19" s="4">
        <v>29</v>
      </c>
      <c r="T19">
        <v>0</v>
      </c>
      <c r="U19" t="s">
        <v>33</v>
      </c>
      <c r="V19" t="s">
        <v>121</v>
      </c>
    </row>
    <row r="20" spans="1:22" x14ac:dyDescent="0.25">
      <c r="A20" t="s">
        <v>109</v>
      </c>
      <c r="B20" s="3">
        <v>45912</v>
      </c>
      <c r="C20" t="s">
        <v>30</v>
      </c>
      <c r="D20">
        <v>2</v>
      </c>
      <c r="E20" t="s">
        <v>136</v>
      </c>
      <c r="F20" t="s">
        <v>32</v>
      </c>
      <c r="G20">
        <v>0</v>
      </c>
      <c r="H20">
        <v>4</v>
      </c>
      <c r="I20">
        <v>3</v>
      </c>
      <c r="J20">
        <v>21</v>
      </c>
      <c r="K20">
        <v>18</v>
      </c>
      <c r="N20">
        <v>1</v>
      </c>
      <c r="O20">
        <v>4</v>
      </c>
      <c r="P20">
        <v>0</v>
      </c>
      <c r="Q20">
        <v>4</v>
      </c>
      <c r="R20" t="s">
        <v>111</v>
      </c>
      <c r="S20">
        <v>15</v>
      </c>
      <c r="T20">
        <v>0</v>
      </c>
      <c r="U20" t="s">
        <v>33</v>
      </c>
      <c r="V20" t="s">
        <v>121</v>
      </c>
    </row>
    <row r="21" spans="1:22" x14ac:dyDescent="0.25">
      <c r="A21" t="s">
        <v>109</v>
      </c>
      <c r="B21" s="3">
        <v>45912</v>
      </c>
      <c r="C21" t="s">
        <v>30</v>
      </c>
      <c r="D21">
        <v>2</v>
      </c>
      <c r="E21" t="s">
        <v>40</v>
      </c>
      <c r="F21" t="s">
        <v>45</v>
      </c>
      <c r="G21">
        <v>0</v>
      </c>
      <c r="H21">
        <v>0</v>
      </c>
      <c r="I21">
        <v>1</v>
      </c>
      <c r="J21">
        <v>41</v>
      </c>
      <c r="K21">
        <v>24</v>
      </c>
      <c r="N21">
        <v>0</v>
      </c>
      <c r="O21">
        <v>3</v>
      </c>
      <c r="P21">
        <v>0</v>
      </c>
      <c r="Q21">
        <v>5</v>
      </c>
      <c r="R21" t="s">
        <v>107</v>
      </c>
      <c r="S21">
        <v>24</v>
      </c>
      <c r="T21">
        <v>1</v>
      </c>
      <c r="U21" t="s">
        <v>35</v>
      </c>
      <c r="V21" t="s">
        <v>121</v>
      </c>
    </row>
    <row r="22" spans="1:22" x14ac:dyDescent="0.25">
      <c r="A22" t="s">
        <v>109</v>
      </c>
      <c r="B22" s="3">
        <v>45912</v>
      </c>
      <c r="C22" t="s">
        <v>30</v>
      </c>
      <c r="D22">
        <v>2</v>
      </c>
      <c r="E22" t="s">
        <v>44</v>
      </c>
      <c r="F22" t="s">
        <v>43</v>
      </c>
      <c r="G22">
        <v>0</v>
      </c>
      <c r="H22">
        <v>4</v>
      </c>
      <c r="I22">
        <v>0</v>
      </c>
      <c r="J22">
        <v>26</v>
      </c>
      <c r="K22">
        <v>24</v>
      </c>
      <c r="N22">
        <v>1</v>
      </c>
      <c r="O22">
        <v>6</v>
      </c>
      <c r="P22">
        <v>0</v>
      </c>
      <c r="Q22">
        <v>6</v>
      </c>
      <c r="R22" t="s">
        <v>150</v>
      </c>
      <c r="S22">
        <v>24</v>
      </c>
      <c r="T22">
        <v>0</v>
      </c>
      <c r="U22" t="s">
        <v>33</v>
      </c>
      <c r="V22" t="s">
        <v>121</v>
      </c>
    </row>
    <row r="23" spans="1:22" x14ac:dyDescent="0.25">
      <c r="A23" t="s">
        <v>109</v>
      </c>
      <c r="B23" s="3">
        <v>45912</v>
      </c>
      <c r="C23" t="s">
        <v>30</v>
      </c>
      <c r="D23">
        <v>2</v>
      </c>
      <c r="E23" t="s">
        <v>137</v>
      </c>
      <c r="F23" t="s">
        <v>31</v>
      </c>
      <c r="G23">
        <v>1</v>
      </c>
      <c r="H23">
        <v>4</v>
      </c>
      <c r="I23">
        <v>2</v>
      </c>
      <c r="J23">
        <v>36</v>
      </c>
      <c r="K23">
        <v>29</v>
      </c>
      <c r="L23">
        <v>3</v>
      </c>
      <c r="M23">
        <v>2.71</v>
      </c>
      <c r="N23">
        <v>1</v>
      </c>
      <c r="O23">
        <v>8</v>
      </c>
      <c r="P23">
        <v>0</v>
      </c>
      <c r="Q23">
        <v>6</v>
      </c>
      <c r="R23" t="s">
        <v>100</v>
      </c>
      <c r="S23">
        <v>27</v>
      </c>
      <c r="T23">
        <v>0</v>
      </c>
      <c r="U23" t="s">
        <v>33</v>
      </c>
      <c r="V23" t="s">
        <v>121</v>
      </c>
    </row>
    <row r="24" spans="1:22" x14ac:dyDescent="0.25">
      <c r="A24" t="s">
        <v>109</v>
      </c>
      <c r="B24" s="3">
        <v>45912</v>
      </c>
      <c r="C24" t="s">
        <v>30</v>
      </c>
      <c r="D24">
        <v>2</v>
      </c>
      <c r="E24" t="s">
        <v>43</v>
      </c>
      <c r="F24" t="s">
        <v>44</v>
      </c>
      <c r="G24">
        <v>1</v>
      </c>
      <c r="H24">
        <v>0</v>
      </c>
      <c r="I24">
        <v>4</v>
      </c>
      <c r="J24">
        <v>24</v>
      </c>
      <c r="K24">
        <v>26</v>
      </c>
      <c r="N24">
        <v>0</v>
      </c>
      <c r="O24">
        <v>6</v>
      </c>
      <c r="P24">
        <v>1</v>
      </c>
      <c r="Q24">
        <v>6</v>
      </c>
      <c r="R24" t="s">
        <v>149</v>
      </c>
      <c r="S24">
        <v>22</v>
      </c>
      <c r="T24">
        <v>0</v>
      </c>
      <c r="U24" t="s">
        <v>35</v>
      </c>
      <c r="V24" t="s">
        <v>121</v>
      </c>
    </row>
    <row r="25" spans="1:22" x14ac:dyDescent="0.25">
      <c r="A25" t="s">
        <v>109</v>
      </c>
      <c r="B25" s="3">
        <v>45912</v>
      </c>
      <c r="C25" t="s">
        <v>30</v>
      </c>
      <c r="D25">
        <v>2</v>
      </c>
      <c r="E25" t="s">
        <v>36</v>
      </c>
      <c r="F25" t="s">
        <v>42</v>
      </c>
      <c r="G25">
        <v>1</v>
      </c>
      <c r="H25">
        <v>1</v>
      </c>
      <c r="I25">
        <v>3</v>
      </c>
      <c r="J25">
        <v>30</v>
      </c>
      <c r="K25">
        <v>29</v>
      </c>
      <c r="L25">
        <v>2.42</v>
      </c>
      <c r="M25">
        <v>2.44</v>
      </c>
      <c r="N25">
        <v>1</v>
      </c>
      <c r="O25">
        <v>4</v>
      </c>
      <c r="P25">
        <v>2</v>
      </c>
      <c r="Q25">
        <v>3</v>
      </c>
      <c r="R25" t="s">
        <v>146</v>
      </c>
      <c r="S25">
        <v>26</v>
      </c>
      <c r="T25">
        <v>0</v>
      </c>
      <c r="U25" t="s">
        <v>35</v>
      </c>
      <c r="V25" t="s">
        <v>121</v>
      </c>
    </row>
    <row r="26" spans="1:22" x14ac:dyDescent="0.25">
      <c r="A26" t="s">
        <v>109</v>
      </c>
      <c r="B26" s="3">
        <v>45912</v>
      </c>
      <c r="C26" t="s">
        <v>30</v>
      </c>
      <c r="D26">
        <v>2</v>
      </c>
      <c r="E26" t="s">
        <v>32</v>
      </c>
      <c r="F26" t="s">
        <v>136</v>
      </c>
      <c r="G26">
        <v>1</v>
      </c>
      <c r="H26">
        <v>3</v>
      </c>
      <c r="I26">
        <v>4</v>
      </c>
      <c r="J26">
        <v>18</v>
      </c>
      <c r="K26">
        <v>21</v>
      </c>
      <c r="N26">
        <v>0</v>
      </c>
      <c r="O26">
        <v>4</v>
      </c>
      <c r="P26">
        <v>1</v>
      </c>
      <c r="Q26">
        <v>4</v>
      </c>
      <c r="R26" t="s">
        <v>101</v>
      </c>
      <c r="S26">
        <v>17</v>
      </c>
      <c r="T26">
        <v>0</v>
      </c>
      <c r="U26" t="s">
        <v>35</v>
      </c>
      <c r="V26" t="s">
        <v>121</v>
      </c>
    </row>
    <row r="27" spans="1:22" x14ac:dyDescent="0.25">
      <c r="A27" t="s">
        <v>109</v>
      </c>
      <c r="B27" s="3">
        <v>45912</v>
      </c>
      <c r="C27" t="s">
        <v>30</v>
      </c>
      <c r="D27">
        <v>2</v>
      </c>
      <c r="E27" t="s">
        <v>38</v>
      </c>
      <c r="F27" t="s">
        <v>39</v>
      </c>
      <c r="G27">
        <v>1</v>
      </c>
      <c r="H27">
        <v>1</v>
      </c>
      <c r="I27">
        <v>4</v>
      </c>
      <c r="J27">
        <v>26</v>
      </c>
      <c r="K27">
        <v>29</v>
      </c>
      <c r="N27">
        <v>1</v>
      </c>
      <c r="O27">
        <v>2</v>
      </c>
      <c r="P27">
        <v>1</v>
      </c>
      <c r="Q27">
        <v>2</v>
      </c>
      <c r="R27" t="s">
        <v>104</v>
      </c>
      <c r="S27">
        <v>25</v>
      </c>
      <c r="T27">
        <v>0</v>
      </c>
      <c r="U27" t="s">
        <v>35</v>
      </c>
      <c r="V27" t="s">
        <v>121</v>
      </c>
    </row>
    <row r="28" spans="1:22" x14ac:dyDescent="0.25">
      <c r="A28" t="s">
        <v>109</v>
      </c>
      <c r="B28" s="3">
        <v>45912</v>
      </c>
      <c r="C28" t="s">
        <v>30</v>
      </c>
      <c r="D28">
        <v>2</v>
      </c>
      <c r="E28" t="s">
        <v>39</v>
      </c>
      <c r="F28" t="s">
        <v>38</v>
      </c>
      <c r="G28">
        <v>0</v>
      </c>
      <c r="H28">
        <v>4</v>
      </c>
      <c r="I28">
        <v>1</v>
      </c>
      <c r="J28">
        <v>29</v>
      </c>
      <c r="K28">
        <v>26</v>
      </c>
      <c r="N28">
        <v>1</v>
      </c>
      <c r="O28">
        <v>2</v>
      </c>
      <c r="P28">
        <v>1</v>
      </c>
      <c r="Q28">
        <v>2</v>
      </c>
      <c r="R28" t="s">
        <v>105</v>
      </c>
      <c r="S28">
        <v>25</v>
      </c>
      <c r="T28">
        <v>0</v>
      </c>
      <c r="U28" t="s">
        <v>33</v>
      </c>
      <c r="V28" t="s">
        <v>121</v>
      </c>
    </row>
    <row r="29" spans="1:22" x14ac:dyDescent="0.25">
      <c r="A29" t="s">
        <v>109</v>
      </c>
      <c r="B29" s="3">
        <v>45912</v>
      </c>
      <c r="C29" t="s">
        <v>30</v>
      </c>
      <c r="D29">
        <v>2</v>
      </c>
      <c r="E29" t="s">
        <v>45</v>
      </c>
      <c r="F29" t="s">
        <v>40</v>
      </c>
      <c r="G29">
        <v>1</v>
      </c>
      <c r="H29">
        <v>1</v>
      </c>
      <c r="I29">
        <v>0</v>
      </c>
      <c r="J29">
        <v>24</v>
      </c>
      <c r="K29">
        <v>41</v>
      </c>
      <c r="N29">
        <v>0</v>
      </c>
      <c r="O29">
        <v>5</v>
      </c>
      <c r="P29">
        <v>0</v>
      </c>
      <c r="Q29">
        <v>3</v>
      </c>
      <c r="R29" t="s">
        <v>148</v>
      </c>
      <c r="S29">
        <v>41</v>
      </c>
      <c r="T29">
        <v>1</v>
      </c>
      <c r="U29" t="s">
        <v>33</v>
      </c>
      <c r="V29" t="s">
        <v>121</v>
      </c>
    </row>
    <row r="30" spans="1:22" x14ac:dyDescent="0.25">
      <c r="A30" t="s">
        <v>109</v>
      </c>
      <c r="B30" s="3">
        <v>45914</v>
      </c>
      <c r="C30" t="s">
        <v>30</v>
      </c>
      <c r="D30">
        <v>3</v>
      </c>
      <c r="E30" t="s">
        <v>31</v>
      </c>
      <c r="F30" t="s">
        <v>36</v>
      </c>
      <c r="G30">
        <v>1</v>
      </c>
      <c r="H30">
        <v>4</v>
      </c>
      <c r="I30">
        <v>1</v>
      </c>
      <c r="J30">
        <v>43</v>
      </c>
      <c r="K30">
        <v>14</v>
      </c>
      <c r="L30">
        <v>4.1100000000000003</v>
      </c>
      <c r="M30">
        <v>1.3</v>
      </c>
      <c r="N30">
        <v>2</v>
      </c>
      <c r="O30" s="4">
        <v>6</v>
      </c>
      <c r="P30">
        <v>0</v>
      </c>
      <c r="Q30" s="5">
        <v>4</v>
      </c>
      <c r="R30" t="s">
        <v>34</v>
      </c>
      <c r="S30" s="7">
        <v>13</v>
      </c>
      <c r="T30">
        <v>0</v>
      </c>
      <c r="U30" t="s">
        <v>33</v>
      </c>
      <c r="V30" t="s">
        <v>121</v>
      </c>
    </row>
    <row r="31" spans="1:22" x14ac:dyDescent="0.25">
      <c r="A31" t="s">
        <v>109</v>
      </c>
      <c r="B31" s="3">
        <v>45914</v>
      </c>
      <c r="C31" t="s">
        <v>30</v>
      </c>
      <c r="D31">
        <v>3</v>
      </c>
      <c r="E31" t="s">
        <v>41</v>
      </c>
      <c r="F31" t="s">
        <v>137</v>
      </c>
      <c r="G31">
        <v>1</v>
      </c>
      <c r="H31">
        <v>4</v>
      </c>
      <c r="I31">
        <v>2</v>
      </c>
      <c r="J31">
        <v>23</v>
      </c>
      <c r="K31">
        <v>26</v>
      </c>
      <c r="L31">
        <v>3.46</v>
      </c>
      <c r="M31">
        <v>1.83</v>
      </c>
      <c r="N31">
        <v>0</v>
      </c>
      <c r="O31" s="5">
        <v>5</v>
      </c>
      <c r="P31">
        <v>1</v>
      </c>
      <c r="Q31" s="5">
        <v>3</v>
      </c>
      <c r="R31" t="s">
        <v>110</v>
      </c>
      <c r="S31" s="4">
        <v>24</v>
      </c>
      <c r="T31">
        <v>0</v>
      </c>
      <c r="U31" t="s">
        <v>33</v>
      </c>
      <c r="V31" t="s">
        <v>121</v>
      </c>
    </row>
    <row r="32" spans="1:22" x14ac:dyDescent="0.25">
      <c r="A32" t="s">
        <v>109</v>
      </c>
      <c r="B32" s="3">
        <v>45914</v>
      </c>
      <c r="C32" t="s">
        <v>30</v>
      </c>
      <c r="D32">
        <v>3</v>
      </c>
      <c r="E32" t="s">
        <v>46</v>
      </c>
      <c r="F32" t="s">
        <v>42</v>
      </c>
      <c r="G32">
        <v>0</v>
      </c>
      <c r="H32">
        <v>0</v>
      </c>
      <c r="I32">
        <v>2</v>
      </c>
      <c r="J32">
        <v>27</v>
      </c>
      <c r="K32">
        <v>21</v>
      </c>
      <c r="L32">
        <v>3.37</v>
      </c>
      <c r="M32">
        <v>2.36</v>
      </c>
      <c r="N32">
        <v>0</v>
      </c>
      <c r="O32" s="5">
        <v>9</v>
      </c>
      <c r="P32">
        <v>1</v>
      </c>
      <c r="Q32" s="5">
        <v>8</v>
      </c>
      <c r="R32" t="s">
        <v>140</v>
      </c>
      <c r="S32" s="4">
        <v>19</v>
      </c>
      <c r="T32">
        <v>0</v>
      </c>
      <c r="U32" t="s">
        <v>35</v>
      </c>
      <c r="V32" t="s">
        <v>121</v>
      </c>
    </row>
    <row r="33" spans="1:22" x14ac:dyDescent="0.25">
      <c r="A33" t="s">
        <v>109</v>
      </c>
      <c r="B33" s="3">
        <v>45914</v>
      </c>
      <c r="C33" t="s">
        <v>30</v>
      </c>
      <c r="D33">
        <v>3</v>
      </c>
      <c r="E33" t="s">
        <v>42</v>
      </c>
      <c r="F33" t="s">
        <v>46</v>
      </c>
      <c r="G33">
        <v>1</v>
      </c>
      <c r="H33">
        <v>2</v>
      </c>
      <c r="I33">
        <v>0</v>
      </c>
      <c r="J33">
        <v>21</v>
      </c>
      <c r="K33">
        <v>27</v>
      </c>
      <c r="L33">
        <v>2.36</v>
      </c>
      <c r="M33">
        <v>3.37</v>
      </c>
      <c r="N33">
        <v>1</v>
      </c>
      <c r="O33" s="5">
        <v>8</v>
      </c>
      <c r="P33">
        <v>0</v>
      </c>
      <c r="Q33" s="5">
        <v>9</v>
      </c>
      <c r="R33" t="s">
        <v>144</v>
      </c>
      <c r="S33" s="4">
        <v>27</v>
      </c>
      <c r="T33">
        <v>0</v>
      </c>
      <c r="U33" t="s">
        <v>33</v>
      </c>
      <c r="V33" t="s">
        <v>121</v>
      </c>
    </row>
    <row r="34" spans="1:22" x14ac:dyDescent="0.25">
      <c r="A34" t="s">
        <v>109</v>
      </c>
      <c r="B34" s="3">
        <v>45914</v>
      </c>
      <c r="C34" t="s">
        <v>30</v>
      </c>
      <c r="D34">
        <v>3</v>
      </c>
      <c r="E34" t="s">
        <v>136</v>
      </c>
      <c r="F34" t="s">
        <v>39</v>
      </c>
      <c r="G34">
        <v>0</v>
      </c>
      <c r="H34">
        <v>4</v>
      </c>
      <c r="I34">
        <v>1</v>
      </c>
      <c r="J34">
        <v>28</v>
      </c>
      <c r="K34">
        <v>24</v>
      </c>
      <c r="N34">
        <v>2</v>
      </c>
      <c r="O34">
        <v>7</v>
      </c>
      <c r="P34">
        <v>0</v>
      </c>
      <c r="Q34">
        <v>10</v>
      </c>
      <c r="R34" t="s">
        <v>103</v>
      </c>
      <c r="S34">
        <v>23</v>
      </c>
      <c r="T34">
        <v>0</v>
      </c>
      <c r="U34" t="s">
        <v>33</v>
      </c>
      <c r="V34" t="s">
        <v>121</v>
      </c>
    </row>
    <row r="35" spans="1:22" x14ac:dyDescent="0.25">
      <c r="A35" t="s">
        <v>109</v>
      </c>
      <c r="B35" s="3">
        <v>45914</v>
      </c>
      <c r="C35" t="s">
        <v>30</v>
      </c>
      <c r="D35">
        <v>3</v>
      </c>
      <c r="E35" t="s">
        <v>40</v>
      </c>
      <c r="F35" t="s">
        <v>32</v>
      </c>
      <c r="G35">
        <v>1</v>
      </c>
      <c r="H35">
        <v>4</v>
      </c>
      <c r="I35">
        <v>2</v>
      </c>
      <c r="J35">
        <v>31</v>
      </c>
      <c r="K35">
        <v>34</v>
      </c>
      <c r="N35">
        <v>2</v>
      </c>
      <c r="O35">
        <v>5</v>
      </c>
      <c r="P35">
        <v>1</v>
      </c>
      <c r="Q35">
        <v>5</v>
      </c>
      <c r="R35" t="s">
        <v>107</v>
      </c>
      <c r="S35">
        <v>32</v>
      </c>
      <c r="T35">
        <v>0</v>
      </c>
      <c r="U35" t="s">
        <v>33</v>
      </c>
      <c r="V35" t="s">
        <v>121</v>
      </c>
    </row>
    <row r="36" spans="1:22" x14ac:dyDescent="0.25">
      <c r="A36" t="s">
        <v>109</v>
      </c>
      <c r="B36" s="3">
        <v>45914</v>
      </c>
      <c r="C36" t="s">
        <v>30</v>
      </c>
      <c r="D36">
        <v>3</v>
      </c>
      <c r="E36" t="s">
        <v>44</v>
      </c>
      <c r="F36" t="s">
        <v>38</v>
      </c>
      <c r="G36">
        <v>1</v>
      </c>
      <c r="H36">
        <v>2</v>
      </c>
      <c r="I36">
        <v>4</v>
      </c>
      <c r="J36">
        <v>23</v>
      </c>
      <c r="K36">
        <v>41</v>
      </c>
      <c r="N36">
        <v>0</v>
      </c>
      <c r="O36">
        <v>3</v>
      </c>
      <c r="P36">
        <v>0</v>
      </c>
      <c r="Q36">
        <v>5</v>
      </c>
      <c r="R36" t="s">
        <v>150</v>
      </c>
      <c r="S36">
        <v>37</v>
      </c>
      <c r="T36">
        <v>0</v>
      </c>
      <c r="U36" t="s">
        <v>35</v>
      </c>
      <c r="V36" t="s">
        <v>121</v>
      </c>
    </row>
    <row r="37" spans="1:22" x14ac:dyDescent="0.25">
      <c r="A37" t="s">
        <v>109</v>
      </c>
      <c r="B37" s="3">
        <v>45914</v>
      </c>
      <c r="C37" t="s">
        <v>30</v>
      </c>
      <c r="D37">
        <v>3</v>
      </c>
      <c r="E37" t="s">
        <v>137</v>
      </c>
      <c r="F37" t="s">
        <v>41</v>
      </c>
      <c r="G37">
        <v>0</v>
      </c>
      <c r="H37">
        <v>2</v>
      </c>
      <c r="I37">
        <v>4</v>
      </c>
      <c r="J37">
        <v>26</v>
      </c>
      <c r="K37">
        <v>23</v>
      </c>
      <c r="L37">
        <v>1.83</v>
      </c>
      <c r="M37">
        <v>3.46</v>
      </c>
      <c r="N37">
        <v>1</v>
      </c>
      <c r="O37">
        <v>3</v>
      </c>
      <c r="P37">
        <v>0</v>
      </c>
      <c r="Q37">
        <v>5</v>
      </c>
      <c r="R37" t="s">
        <v>100</v>
      </c>
      <c r="S37">
        <v>19</v>
      </c>
      <c r="T37">
        <v>0</v>
      </c>
      <c r="U37" t="s">
        <v>35</v>
      </c>
      <c r="V37" t="s">
        <v>121</v>
      </c>
    </row>
    <row r="38" spans="1:22" x14ac:dyDescent="0.25">
      <c r="A38" t="s">
        <v>109</v>
      </c>
      <c r="B38" s="3">
        <v>45914</v>
      </c>
      <c r="C38" t="s">
        <v>30</v>
      </c>
      <c r="D38">
        <v>3</v>
      </c>
      <c r="E38" t="s">
        <v>43</v>
      </c>
      <c r="F38" t="s">
        <v>45</v>
      </c>
      <c r="G38">
        <v>1</v>
      </c>
      <c r="H38">
        <v>0</v>
      </c>
      <c r="I38">
        <v>3</v>
      </c>
      <c r="J38">
        <v>32</v>
      </c>
      <c r="K38">
        <v>22</v>
      </c>
      <c r="N38">
        <v>0</v>
      </c>
      <c r="O38">
        <v>2</v>
      </c>
      <c r="P38">
        <v>1</v>
      </c>
      <c r="Q38">
        <v>4</v>
      </c>
      <c r="R38" t="s">
        <v>151</v>
      </c>
      <c r="S38">
        <v>19</v>
      </c>
      <c r="T38">
        <v>0</v>
      </c>
      <c r="U38" t="s">
        <v>35</v>
      </c>
      <c r="V38" t="s">
        <v>121</v>
      </c>
    </row>
    <row r="39" spans="1:22" x14ac:dyDescent="0.25">
      <c r="A39" t="s">
        <v>109</v>
      </c>
      <c r="B39" s="3">
        <v>45914</v>
      </c>
      <c r="C39" t="s">
        <v>30</v>
      </c>
      <c r="D39">
        <v>3</v>
      </c>
      <c r="E39" t="s">
        <v>36</v>
      </c>
      <c r="F39" t="s">
        <v>31</v>
      </c>
      <c r="G39">
        <v>0</v>
      </c>
      <c r="H39">
        <v>1</v>
      </c>
      <c r="I39">
        <v>4</v>
      </c>
      <c r="J39">
        <v>14</v>
      </c>
      <c r="K39">
        <v>43</v>
      </c>
      <c r="L39">
        <v>1.3</v>
      </c>
      <c r="M39">
        <v>4.1100000000000003</v>
      </c>
      <c r="N39">
        <v>0</v>
      </c>
      <c r="O39">
        <v>4</v>
      </c>
      <c r="P39">
        <v>2</v>
      </c>
      <c r="Q39">
        <v>6</v>
      </c>
      <c r="R39" t="s">
        <v>102</v>
      </c>
      <c r="S39">
        <v>39</v>
      </c>
      <c r="T39">
        <v>0</v>
      </c>
      <c r="U39" t="s">
        <v>35</v>
      </c>
      <c r="V39" t="s">
        <v>121</v>
      </c>
    </row>
    <row r="40" spans="1:22" x14ac:dyDescent="0.25">
      <c r="A40" t="s">
        <v>109</v>
      </c>
      <c r="B40" s="3">
        <v>45914</v>
      </c>
      <c r="C40" t="s">
        <v>30</v>
      </c>
      <c r="D40">
        <v>3</v>
      </c>
      <c r="E40" t="s">
        <v>32</v>
      </c>
      <c r="F40" t="s">
        <v>40</v>
      </c>
      <c r="G40">
        <v>0</v>
      </c>
      <c r="H40">
        <v>2</v>
      </c>
      <c r="I40">
        <v>4</v>
      </c>
      <c r="J40">
        <v>34</v>
      </c>
      <c r="K40">
        <v>31</v>
      </c>
      <c r="N40">
        <v>1</v>
      </c>
      <c r="O40">
        <v>5</v>
      </c>
      <c r="P40">
        <v>2</v>
      </c>
      <c r="Q40">
        <v>5</v>
      </c>
      <c r="R40" t="s">
        <v>117</v>
      </c>
      <c r="S40">
        <v>27</v>
      </c>
      <c r="T40">
        <v>0</v>
      </c>
      <c r="U40" t="s">
        <v>35</v>
      </c>
      <c r="V40" t="s">
        <v>121</v>
      </c>
    </row>
    <row r="41" spans="1:22" x14ac:dyDescent="0.25">
      <c r="A41" t="s">
        <v>109</v>
      </c>
      <c r="B41" s="3">
        <v>45914</v>
      </c>
      <c r="C41" t="s">
        <v>30</v>
      </c>
      <c r="D41">
        <v>3</v>
      </c>
      <c r="E41" t="s">
        <v>38</v>
      </c>
      <c r="F41" t="s">
        <v>44</v>
      </c>
      <c r="G41">
        <v>0</v>
      </c>
      <c r="H41">
        <v>4</v>
      </c>
      <c r="I41">
        <v>2</v>
      </c>
      <c r="J41">
        <v>41</v>
      </c>
      <c r="K41">
        <v>23</v>
      </c>
      <c r="N41">
        <v>0</v>
      </c>
      <c r="O41">
        <v>5</v>
      </c>
      <c r="P41">
        <v>0</v>
      </c>
      <c r="Q41">
        <v>3</v>
      </c>
      <c r="R41" t="s">
        <v>104</v>
      </c>
      <c r="S41">
        <v>21</v>
      </c>
      <c r="T41">
        <v>0</v>
      </c>
      <c r="U41" t="s">
        <v>33</v>
      </c>
      <c r="V41" t="s">
        <v>121</v>
      </c>
    </row>
    <row r="42" spans="1:22" x14ac:dyDescent="0.25">
      <c r="A42" t="s">
        <v>109</v>
      </c>
      <c r="B42" s="3">
        <v>45914</v>
      </c>
      <c r="C42" t="s">
        <v>30</v>
      </c>
      <c r="D42">
        <v>3</v>
      </c>
      <c r="E42" t="s">
        <v>39</v>
      </c>
      <c r="F42" t="s">
        <v>136</v>
      </c>
      <c r="G42">
        <v>1</v>
      </c>
      <c r="H42">
        <v>1</v>
      </c>
      <c r="I42">
        <v>4</v>
      </c>
      <c r="J42">
        <v>24</v>
      </c>
      <c r="K42">
        <v>28</v>
      </c>
      <c r="N42">
        <v>0</v>
      </c>
      <c r="O42">
        <v>10</v>
      </c>
      <c r="P42">
        <v>2</v>
      </c>
      <c r="Q42">
        <v>7</v>
      </c>
      <c r="R42" t="s">
        <v>105</v>
      </c>
      <c r="S42">
        <v>24</v>
      </c>
      <c r="T42">
        <v>0</v>
      </c>
      <c r="U42" t="s">
        <v>35</v>
      </c>
      <c r="V42" t="s">
        <v>121</v>
      </c>
    </row>
    <row r="43" spans="1:22" x14ac:dyDescent="0.25">
      <c r="A43" t="s">
        <v>109</v>
      </c>
      <c r="B43" s="3">
        <v>45914</v>
      </c>
      <c r="C43" t="s">
        <v>30</v>
      </c>
      <c r="D43">
        <v>3</v>
      </c>
      <c r="E43" t="s">
        <v>45</v>
      </c>
      <c r="F43" t="s">
        <v>43</v>
      </c>
      <c r="G43">
        <v>0</v>
      </c>
      <c r="H43">
        <v>3</v>
      </c>
      <c r="I43">
        <v>0</v>
      </c>
      <c r="J43">
        <v>22</v>
      </c>
      <c r="K43">
        <v>32</v>
      </c>
      <c r="N43">
        <v>1</v>
      </c>
      <c r="O43">
        <v>4</v>
      </c>
      <c r="P43">
        <v>0</v>
      </c>
      <c r="Q43">
        <v>2</v>
      </c>
      <c r="R43" t="s">
        <v>152</v>
      </c>
      <c r="S43">
        <v>32</v>
      </c>
      <c r="T43">
        <v>0</v>
      </c>
      <c r="U43" t="s">
        <v>33</v>
      </c>
      <c r="V43" t="s">
        <v>121</v>
      </c>
    </row>
    <row r="44" spans="1:22" x14ac:dyDescent="0.25">
      <c r="A44" t="s">
        <v>109</v>
      </c>
      <c r="B44" s="3">
        <v>45916</v>
      </c>
      <c r="C44" t="s">
        <v>30</v>
      </c>
      <c r="D44">
        <v>4</v>
      </c>
      <c r="E44" t="s">
        <v>31</v>
      </c>
      <c r="F44" t="s">
        <v>136</v>
      </c>
      <c r="G44">
        <v>0</v>
      </c>
      <c r="H44">
        <v>1</v>
      </c>
      <c r="I44">
        <v>4</v>
      </c>
      <c r="J44">
        <v>31</v>
      </c>
      <c r="K44">
        <v>33</v>
      </c>
      <c r="L44">
        <v>2.78</v>
      </c>
      <c r="M44">
        <v>3.94</v>
      </c>
      <c r="N44">
        <v>1</v>
      </c>
      <c r="O44" s="4">
        <v>6</v>
      </c>
      <c r="P44">
        <v>1</v>
      </c>
      <c r="Q44" s="4">
        <v>6</v>
      </c>
      <c r="R44" t="s">
        <v>37</v>
      </c>
      <c r="S44" s="4">
        <v>29</v>
      </c>
      <c r="T44">
        <v>0</v>
      </c>
      <c r="U44" t="s">
        <v>35</v>
      </c>
      <c r="V44" t="s">
        <v>121</v>
      </c>
    </row>
    <row r="45" spans="1:22" x14ac:dyDescent="0.25">
      <c r="A45" t="s">
        <v>109</v>
      </c>
      <c r="B45" s="3">
        <v>45916</v>
      </c>
      <c r="C45" t="s">
        <v>30</v>
      </c>
      <c r="D45">
        <v>4</v>
      </c>
      <c r="E45" t="s">
        <v>41</v>
      </c>
      <c r="F45" t="s">
        <v>36</v>
      </c>
      <c r="G45">
        <v>0</v>
      </c>
      <c r="H45">
        <v>1</v>
      </c>
      <c r="I45">
        <v>2</v>
      </c>
      <c r="J45">
        <v>22</v>
      </c>
      <c r="K45">
        <v>22</v>
      </c>
      <c r="L45">
        <v>2.19</v>
      </c>
      <c r="M45">
        <v>3.1</v>
      </c>
      <c r="N45">
        <v>0</v>
      </c>
      <c r="O45" s="5">
        <v>1</v>
      </c>
      <c r="P45">
        <v>0</v>
      </c>
      <c r="Q45" s="5">
        <v>2</v>
      </c>
      <c r="R45" t="s">
        <v>110</v>
      </c>
      <c r="S45" s="4">
        <v>20</v>
      </c>
      <c r="T45">
        <v>0</v>
      </c>
      <c r="U45" t="s">
        <v>35</v>
      </c>
      <c r="V45" t="s">
        <v>121</v>
      </c>
    </row>
    <row r="46" spans="1:22" x14ac:dyDescent="0.25">
      <c r="A46" t="s">
        <v>109</v>
      </c>
      <c r="B46" s="3">
        <v>45916</v>
      </c>
      <c r="C46" t="s">
        <v>30</v>
      </c>
      <c r="D46">
        <v>4</v>
      </c>
      <c r="E46" t="s">
        <v>46</v>
      </c>
      <c r="F46" t="s">
        <v>44</v>
      </c>
      <c r="G46">
        <v>1</v>
      </c>
      <c r="H46">
        <v>1</v>
      </c>
      <c r="I46">
        <v>2</v>
      </c>
      <c r="J46">
        <v>38</v>
      </c>
      <c r="K46">
        <v>32</v>
      </c>
      <c r="L46">
        <v>3.22</v>
      </c>
      <c r="M46">
        <v>2.5299999999999998</v>
      </c>
      <c r="N46">
        <v>1</v>
      </c>
      <c r="O46" s="5">
        <v>3</v>
      </c>
      <c r="P46">
        <v>0</v>
      </c>
      <c r="Q46" s="5">
        <v>3</v>
      </c>
      <c r="R46" t="s">
        <v>141</v>
      </c>
      <c r="S46" s="4">
        <v>30</v>
      </c>
      <c r="T46">
        <v>0</v>
      </c>
      <c r="U46" t="s">
        <v>35</v>
      </c>
      <c r="V46" t="s">
        <v>121</v>
      </c>
    </row>
    <row r="47" spans="1:22" x14ac:dyDescent="0.25">
      <c r="A47" t="s">
        <v>109</v>
      </c>
      <c r="B47" s="3">
        <v>45916</v>
      </c>
      <c r="C47" t="s">
        <v>30</v>
      </c>
      <c r="D47">
        <v>4</v>
      </c>
      <c r="E47" t="s">
        <v>44</v>
      </c>
      <c r="F47" t="s">
        <v>46</v>
      </c>
      <c r="G47">
        <v>0</v>
      </c>
      <c r="H47">
        <v>2</v>
      </c>
      <c r="I47">
        <v>1</v>
      </c>
      <c r="J47">
        <v>32</v>
      </c>
      <c r="K47">
        <v>38</v>
      </c>
      <c r="L47">
        <v>2.5299999999999998</v>
      </c>
      <c r="M47">
        <v>3.22</v>
      </c>
      <c r="N47">
        <v>0</v>
      </c>
      <c r="O47">
        <v>3</v>
      </c>
      <c r="P47">
        <v>1</v>
      </c>
      <c r="Q47">
        <v>3</v>
      </c>
      <c r="R47" t="s">
        <v>150</v>
      </c>
      <c r="S47">
        <v>37</v>
      </c>
      <c r="T47">
        <v>0</v>
      </c>
      <c r="U47" t="s">
        <v>33</v>
      </c>
      <c r="V47" t="s">
        <v>121</v>
      </c>
    </row>
    <row r="48" spans="1:22" x14ac:dyDescent="0.25">
      <c r="A48" t="s">
        <v>109</v>
      </c>
      <c r="B48" s="3">
        <v>45916</v>
      </c>
      <c r="C48" t="s">
        <v>30</v>
      </c>
      <c r="D48">
        <v>4</v>
      </c>
      <c r="E48" t="s">
        <v>42</v>
      </c>
      <c r="F48" t="s">
        <v>45</v>
      </c>
      <c r="G48">
        <v>1</v>
      </c>
      <c r="H48">
        <v>5</v>
      </c>
      <c r="I48">
        <v>2</v>
      </c>
      <c r="J48">
        <v>17</v>
      </c>
      <c r="K48">
        <v>21</v>
      </c>
      <c r="L48">
        <v>2.74</v>
      </c>
      <c r="M48">
        <v>1.3</v>
      </c>
      <c r="N48">
        <v>2</v>
      </c>
      <c r="O48" s="5">
        <v>3</v>
      </c>
      <c r="P48">
        <v>1</v>
      </c>
      <c r="Q48" s="5">
        <v>2</v>
      </c>
      <c r="R48" t="s">
        <v>144</v>
      </c>
      <c r="S48" s="4">
        <v>19</v>
      </c>
      <c r="T48">
        <v>0</v>
      </c>
      <c r="U48" t="s">
        <v>33</v>
      </c>
      <c r="V48" t="s">
        <v>121</v>
      </c>
    </row>
    <row r="49" spans="1:22" x14ac:dyDescent="0.25">
      <c r="A49" t="s">
        <v>109</v>
      </c>
      <c r="B49" s="3">
        <v>45916</v>
      </c>
      <c r="C49" t="s">
        <v>30</v>
      </c>
      <c r="D49">
        <v>4</v>
      </c>
      <c r="E49" t="s">
        <v>136</v>
      </c>
      <c r="F49" t="s">
        <v>31</v>
      </c>
      <c r="G49">
        <v>1</v>
      </c>
      <c r="H49">
        <v>4</v>
      </c>
      <c r="I49">
        <v>1</v>
      </c>
      <c r="J49">
        <v>33</v>
      </c>
      <c r="K49">
        <v>31</v>
      </c>
      <c r="L49">
        <v>3.94</v>
      </c>
      <c r="M49">
        <v>2.78</v>
      </c>
      <c r="N49">
        <v>1</v>
      </c>
      <c r="O49" s="4">
        <v>6</v>
      </c>
      <c r="P49">
        <v>1</v>
      </c>
      <c r="Q49" s="5">
        <v>6</v>
      </c>
      <c r="R49" t="s">
        <v>103</v>
      </c>
      <c r="S49" s="4">
        <v>30</v>
      </c>
      <c r="T49">
        <v>0</v>
      </c>
      <c r="U49" t="s">
        <v>33</v>
      </c>
      <c r="V49" t="s">
        <v>121</v>
      </c>
    </row>
    <row r="50" spans="1:22" x14ac:dyDescent="0.25">
      <c r="A50" t="s">
        <v>109</v>
      </c>
      <c r="B50" s="3">
        <v>45916</v>
      </c>
      <c r="C50" t="s">
        <v>30</v>
      </c>
      <c r="D50">
        <v>4</v>
      </c>
      <c r="E50" t="s">
        <v>137</v>
      </c>
      <c r="F50" t="s">
        <v>43</v>
      </c>
      <c r="G50">
        <v>1</v>
      </c>
      <c r="H50">
        <v>2</v>
      </c>
      <c r="I50">
        <v>4</v>
      </c>
      <c r="J50">
        <v>60</v>
      </c>
      <c r="K50">
        <v>16</v>
      </c>
      <c r="N50">
        <v>0</v>
      </c>
      <c r="O50">
        <v>8</v>
      </c>
      <c r="P50">
        <v>1</v>
      </c>
      <c r="Q50">
        <v>3</v>
      </c>
      <c r="R50" t="s">
        <v>116</v>
      </c>
      <c r="S50">
        <v>12</v>
      </c>
      <c r="T50">
        <v>0</v>
      </c>
      <c r="U50" t="s">
        <v>35</v>
      </c>
      <c r="V50" t="s">
        <v>121</v>
      </c>
    </row>
    <row r="51" spans="1:22" x14ac:dyDescent="0.25">
      <c r="A51" t="s">
        <v>109</v>
      </c>
      <c r="B51" s="3">
        <v>45916</v>
      </c>
      <c r="C51" t="s">
        <v>30</v>
      </c>
      <c r="D51">
        <v>4</v>
      </c>
      <c r="E51" t="s">
        <v>43</v>
      </c>
      <c r="F51" t="s">
        <v>137</v>
      </c>
      <c r="G51">
        <v>0</v>
      </c>
      <c r="H51">
        <v>4</v>
      </c>
      <c r="I51">
        <v>2</v>
      </c>
      <c r="J51">
        <v>16</v>
      </c>
      <c r="K51">
        <v>60</v>
      </c>
      <c r="N51">
        <v>1</v>
      </c>
      <c r="O51">
        <v>3</v>
      </c>
      <c r="P51">
        <v>0</v>
      </c>
      <c r="Q51">
        <v>8</v>
      </c>
      <c r="R51" t="s">
        <v>151</v>
      </c>
      <c r="S51">
        <v>58</v>
      </c>
      <c r="T51">
        <v>0</v>
      </c>
      <c r="U51" t="s">
        <v>33</v>
      </c>
      <c r="V51" t="s">
        <v>121</v>
      </c>
    </row>
    <row r="52" spans="1:22" x14ac:dyDescent="0.25">
      <c r="A52" t="s">
        <v>109</v>
      </c>
      <c r="B52" s="3">
        <v>45916</v>
      </c>
      <c r="C52" t="s">
        <v>30</v>
      </c>
      <c r="D52">
        <v>4</v>
      </c>
      <c r="E52" t="s">
        <v>36</v>
      </c>
      <c r="F52" t="s">
        <v>41</v>
      </c>
      <c r="G52">
        <v>1</v>
      </c>
      <c r="H52">
        <v>2</v>
      </c>
      <c r="I52">
        <v>1</v>
      </c>
      <c r="J52">
        <v>22</v>
      </c>
      <c r="K52">
        <v>22</v>
      </c>
      <c r="L52">
        <v>3.1</v>
      </c>
      <c r="M52">
        <v>2.19</v>
      </c>
      <c r="N52">
        <v>0</v>
      </c>
      <c r="O52" s="5">
        <v>2</v>
      </c>
      <c r="P52">
        <v>0</v>
      </c>
      <c r="Q52" s="5">
        <v>1</v>
      </c>
      <c r="R52" t="s">
        <v>146</v>
      </c>
      <c r="S52" s="4">
        <v>21</v>
      </c>
      <c r="T52">
        <v>0</v>
      </c>
      <c r="U52" t="s">
        <v>33</v>
      </c>
      <c r="V52" t="s">
        <v>121</v>
      </c>
    </row>
    <row r="53" spans="1:22" x14ac:dyDescent="0.25">
      <c r="A53" t="s">
        <v>109</v>
      </c>
      <c r="B53" s="3">
        <v>45916</v>
      </c>
      <c r="C53" t="s">
        <v>30</v>
      </c>
      <c r="D53">
        <v>4</v>
      </c>
      <c r="E53" t="s">
        <v>32</v>
      </c>
      <c r="F53" t="s">
        <v>39</v>
      </c>
      <c r="G53">
        <v>1</v>
      </c>
      <c r="H53">
        <v>4</v>
      </c>
      <c r="I53">
        <v>3</v>
      </c>
      <c r="J53">
        <v>32</v>
      </c>
      <c r="K53">
        <v>29</v>
      </c>
      <c r="N53">
        <v>0</v>
      </c>
      <c r="O53">
        <v>8</v>
      </c>
      <c r="P53">
        <v>1</v>
      </c>
      <c r="Q53">
        <v>3</v>
      </c>
      <c r="R53" t="s">
        <v>117</v>
      </c>
      <c r="S53">
        <v>26</v>
      </c>
      <c r="T53">
        <v>1</v>
      </c>
      <c r="U53" t="s">
        <v>33</v>
      </c>
      <c r="V53" t="s">
        <v>121</v>
      </c>
    </row>
    <row r="54" spans="1:22" x14ac:dyDescent="0.25">
      <c r="A54" t="s">
        <v>109</v>
      </c>
      <c r="B54" s="3">
        <v>45916</v>
      </c>
      <c r="C54" t="s">
        <v>30</v>
      </c>
      <c r="D54">
        <v>4</v>
      </c>
      <c r="E54" t="s">
        <v>39</v>
      </c>
      <c r="F54" t="s">
        <v>32</v>
      </c>
      <c r="G54">
        <v>0</v>
      </c>
      <c r="H54">
        <v>3</v>
      </c>
      <c r="I54">
        <v>4</v>
      </c>
      <c r="J54">
        <v>29</v>
      </c>
      <c r="K54">
        <v>32</v>
      </c>
      <c r="N54">
        <v>1</v>
      </c>
      <c r="O54">
        <v>3</v>
      </c>
      <c r="P54">
        <v>0</v>
      </c>
      <c r="Q54">
        <v>8</v>
      </c>
      <c r="R54" t="s">
        <v>105</v>
      </c>
      <c r="S54">
        <v>28</v>
      </c>
      <c r="T54">
        <v>1</v>
      </c>
      <c r="U54" t="s">
        <v>35</v>
      </c>
      <c r="V54" t="s">
        <v>121</v>
      </c>
    </row>
    <row r="55" spans="1:22" x14ac:dyDescent="0.25">
      <c r="A55" t="s">
        <v>109</v>
      </c>
      <c r="B55" s="3">
        <v>45916</v>
      </c>
      <c r="C55" t="s">
        <v>30</v>
      </c>
      <c r="D55">
        <v>4</v>
      </c>
      <c r="E55" t="s">
        <v>45</v>
      </c>
      <c r="F55" t="s">
        <v>42</v>
      </c>
      <c r="G55">
        <v>0</v>
      </c>
      <c r="H55">
        <v>2</v>
      </c>
      <c r="I55">
        <v>5</v>
      </c>
      <c r="J55">
        <v>21</v>
      </c>
      <c r="K55">
        <v>17</v>
      </c>
      <c r="L55">
        <v>1.3</v>
      </c>
      <c r="M55">
        <v>2.74</v>
      </c>
      <c r="N55">
        <v>1</v>
      </c>
      <c r="O55">
        <v>2</v>
      </c>
      <c r="P55">
        <v>2</v>
      </c>
      <c r="Q55">
        <v>3</v>
      </c>
      <c r="R55" t="s">
        <v>148</v>
      </c>
      <c r="S55">
        <v>12</v>
      </c>
      <c r="T55">
        <v>0</v>
      </c>
      <c r="U55" t="s">
        <v>35</v>
      </c>
      <c r="V55" t="s">
        <v>121</v>
      </c>
    </row>
    <row r="56" spans="1:22" x14ac:dyDescent="0.25">
      <c r="A56" t="s">
        <v>109</v>
      </c>
      <c r="B56" s="3">
        <v>45917</v>
      </c>
      <c r="C56" t="s">
        <v>30</v>
      </c>
      <c r="D56">
        <v>4</v>
      </c>
      <c r="E56" t="s">
        <v>38</v>
      </c>
      <c r="F56" t="s">
        <v>40</v>
      </c>
      <c r="G56">
        <v>1</v>
      </c>
      <c r="H56">
        <v>4</v>
      </c>
      <c r="I56">
        <v>1</v>
      </c>
      <c r="J56">
        <v>34</v>
      </c>
      <c r="K56">
        <v>31</v>
      </c>
      <c r="N56">
        <v>0</v>
      </c>
      <c r="O56">
        <v>6</v>
      </c>
      <c r="P56">
        <v>0</v>
      </c>
      <c r="Q56">
        <v>4</v>
      </c>
      <c r="R56" t="s">
        <v>104</v>
      </c>
      <c r="S56">
        <v>30</v>
      </c>
      <c r="T56">
        <v>0</v>
      </c>
      <c r="U56" t="s">
        <v>33</v>
      </c>
      <c r="V56" t="s">
        <v>121</v>
      </c>
    </row>
    <row r="57" spans="1:22" x14ac:dyDescent="0.25">
      <c r="A57" t="s">
        <v>109</v>
      </c>
      <c r="B57" s="3">
        <v>45917</v>
      </c>
      <c r="C57" t="s">
        <v>30</v>
      </c>
      <c r="D57">
        <v>4</v>
      </c>
      <c r="E57" t="s">
        <v>40</v>
      </c>
      <c r="F57" t="s">
        <v>38</v>
      </c>
      <c r="G57">
        <v>0</v>
      </c>
      <c r="H57">
        <v>1</v>
      </c>
      <c r="I57">
        <v>4</v>
      </c>
      <c r="J57">
        <v>31</v>
      </c>
      <c r="K57">
        <v>34</v>
      </c>
      <c r="N57">
        <v>0</v>
      </c>
      <c r="O57">
        <v>4</v>
      </c>
      <c r="P57">
        <v>0</v>
      </c>
      <c r="Q57">
        <v>6</v>
      </c>
      <c r="R57" t="s">
        <v>107</v>
      </c>
      <c r="S57">
        <v>30</v>
      </c>
      <c r="T57">
        <v>0</v>
      </c>
      <c r="U57" t="s">
        <v>35</v>
      </c>
      <c r="V57" t="s">
        <v>121</v>
      </c>
    </row>
    <row r="58" spans="1:22" x14ac:dyDescent="0.25">
      <c r="A58" t="s">
        <v>109</v>
      </c>
      <c r="B58" s="3">
        <v>45919</v>
      </c>
      <c r="C58" t="s">
        <v>30</v>
      </c>
      <c r="D58">
        <v>5</v>
      </c>
      <c r="E58" t="s">
        <v>31</v>
      </c>
      <c r="F58" t="s">
        <v>38</v>
      </c>
      <c r="G58">
        <v>1</v>
      </c>
      <c r="H58">
        <v>3</v>
      </c>
      <c r="I58">
        <v>1</v>
      </c>
      <c r="J58">
        <v>41</v>
      </c>
      <c r="K58">
        <v>20</v>
      </c>
      <c r="L58">
        <v>4.2</v>
      </c>
      <c r="M58">
        <v>1.56</v>
      </c>
      <c r="N58">
        <v>1</v>
      </c>
      <c r="O58" s="4">
        <v>3</v>
      </c>
      <c r="P58">
        <v>0</v>
      </c>
      <c r="Q58" s="4">
        <v>3</v>
      </c>
      <c r="R58" t="s">
        <v>34</v>
      </c>
      <c r="S58" s="4">
        <v>19</v>
      </c>
      <c r="T58">
        <v>0</v>
      </c>
      <c r="U58" t="s">
        <v>33</v>
      </c>
      <c r="V58" t="s">
        <v>121</v>
      </c>
    </row>
    <row r="59" spans="1:22" x14ac:dyDescent="0.25">
      <c r="A59" t="s">
        <v>109</v>
      </c>
      <c r="B59" s="3">
        <v>45919</v>
      </c>
      <c r="C59" t="s">
        <v>30</v>
      </c>
      <c r="D59">
        <v>5</v>
      </c>
      <c r="E59" t="s">
        <v>41</v>
      </c>
      <c r="F59" t="s">
        <v>39</v>
      </c>
      <c r="G59">
        <v>1</v>
      </c>
      <c r="H59">
        <v>2</v>
      </c>
      <c r="I59">
        <v>1</v>
      </c>
      <c r="J59">
        <v>31</v>
      </c>
      <c r="K59">
        <v>31</v>
      </c>
      <c r="L59">
        <v>2.0699999999999998</v>
      </c>
      <c r="M59">
        <v>3.09</v>
      </c>
      <c r="N59">
        <v>0</v>
      </c>
      <c r="O59" s="5">
        <v>1</v>
      </c>
      <c r="P59">
        <v>1</v>
      </c>
      <c r="Q59" s="5">
        <v>2</v>
      </c>
      <c r="R59" t="s">
        <v>108</v>
      </c>
      <c r="S59" s="4">
        <v>30</v>
      </c>
      <c r="T59">
        <v>1</v>
      </c>
      <c r="U59" t="s">
        <v>33</v>
      </c>
      <c r="V59" t="s">
        <v>121</v>
      </c>
    </row>
    <row r="60" spans="1:22" x14ac:dyDescent="0.25">
      <c r="A60" t="s">
        <v>109</v>
      </c>
      <c r="B60" s="3">
        <v>45919</v>
      </c>
      <c r="C60" t="s">
        <v>30</v>
      </c>
      <c r="D60">
        <v>5</v>
      </c>
      <c r="E60" t="s">
        <v>46</v>
      </c>
      <c r="F60" t="s">
        <v>43</v>
      </c>
      <c r="G60">
        <v>0</v>
      </c>
      <c r="H60">
        <v>5</v>
      </c>
      <c r="I60">
        <v>1</v>
      </c>
      <c r="J60">
        <v>34</v>
      </c>
      <c r="K60">
        <v>20</v>
      </c>
      <c r="L60">
        <v>4.3</v>
      </c>
      <c r="M60">
        <v>2.0499999999999998</v>
      </c>
      <c r="N60">
        <v>1</v>
      </c>
      <c r="O60" s="5">
        <v>2</v>
      </c>
      <c r="P60">
        <v>1</v>
      </c>
      <c r="Q60" s="5">
        <v>2</v>
      </c>
      <c r="R60" t="s">
        <v>140</v>
      </c>
      <c r="S60" s="4">
        <v>19</v>
      </c>
      <c r="T60">
        <v>0</v>
      </c>
      <c r="U60" t="s">
        <v>33</v>
      </c>
      <c r="V60" t="s">
        <v>121</v>
      </c>
    </row>
    <row r="61" spans="1:22" x14ac:dyDescent="0.25">
      <c r="A61" t="s">
        <v>109</v>
      </c>
      <c r="B61" s="3">
        <v>45919</v>
      </c>
      <c r="C61" t="s">
        <v>30</v>
      </c>
      <c r="D61">
        <v>5</v>
      </c>
      <c r="E61" t="s">
        <v>42</v>
      </c>
      <c r="F61" t="s">
        <v>137</v>
      </c>
      <c r="G61">
        <v>1</v>
      </c>
      <c r="H61">
        <v>4</v>
      </c>
      <c r="I61">
        <v>5</v>
      </c>
      <c r="J61">
        <v>21</v>
      </c>
      <c r="K61">
        <v>36</v>
      </c>
      <c r="L61">
        <v>1.93</v>
      </c>
      <c r="M61">
        <v>4.1399999999999997</v>
      </c>
      <c r="N61">
        <v>2</v>
      </c>
      <c r="O61" s="5">
        <v>6</v>
      </c>
      <c r="P61">
        <v>0</v>
      </c>
      <c r="Q61" s="5">
        <v>3</v>
      </c>
      <c r="R61" t="s">
        <v>144</v>
      </c>
      <c r="S61" s="4">
        <v>31</v>
      </c>
      <c r="T61">
        <v>0</v>
      </c>
      <c r="U61" t="s">
        <v>35</v>
      </c>
      <c r="V61" t="s">
        <v>121</v>
      </c>
    </row>
    <row r="62" spans="1:22" x14ac:dyDescent="0.25">
      <c r="A62" t="s">
        <v>109</v>
      </c>
      <c r="B62" s="3">
        <v>45919</v>
      </c>
      <c r="C62" t="s">
        <v>30</v>
      </c>
      <c r="D62">
        <v>5</v>
      </c>
      <c r="E62" t="s">
        <v>136</v>
      </c>
      <c r="F62" t="s">
        <v>40</v>
      </c>
      <c r="G62">
        <v>0</v>
      </c>
      <c r="H62">
        <v>4</v>
      </c>
      <c r="I62">
        <v>1</v>
      </c>
      <c r="J62">
        <v>20</v>
      </c>
      <c r="K62">
        <v>34</v>
      </c>
      <c r="N62">
        <v>1</v>
      </c>
      <c r="O62">
        <v>8</v>
      </c>
      <c r="P62">
        <v>1</v>
      </c>
      <c r="Q62">
        <v>8</v>
      </c>
      <c r="R62" t="s">
        <v>103</v>
      </c>
      <c r="S62">
        <v>33</v>
      </c>
      <c r="T62">
        <v>0</v>
      </c>
      <c r="U62" t="s">
        <v>33</v>
      </c>
      <c r="V62" t="s">
        <v>121</v>
      </c>
    </row>
    <row r="63" spans="1:22" x14ac:dyDescent="0.25">
      <c r="A63" t="s">
        <v>109</v>
      </c>
      <c r="B63" s="3">
        <v>45919</v>
      </c>
      <c r="C63" t="s">
        <v>30</v>
      </c>
      <c r="D63">
        <v>5</v>
      </c>
      <c r="E63" t="s">
        <v>40</v>
      </c>
      <c r="F63" t="s">
        <v>136</v>
      </c>
      <c r="G63">
        <v>1</v>
      </c>
      <c r="H63">
        <v>1</v>
      </c>
      <c r="I63">
        <v>4</v>
      </c>
      <c r="J63">
        <v>34</v>
      </c>
      <c r="K63">
        <v>20</v>
      </c>
      <c r="N63">
        <v>1</v>
      </c>
      <c r="O63">
        <v>8</v>
      </c>
      <c r="P63">
        <v>1</v>
      </c>
      <c r="Q63">
        <v>8</v>
      </c>
      <c r="R63" t="s">
        <v>115</v>
      </c>
      <c r="S63">
        <v>16</v>
      </c>
      <c r="T63">
        <v>0</v>
      </c>
      <c r="U63" t="s">
        <v>35</v>
      </c>
      <c r="V63" t="s">
        <v>121</v>
      </c>
    </row>
    <row r="64" spans="1:22" x14ac:dyDescent="0.25">
      <c r="A64" t="s">
        <v>109</v>
      </c>
      <c r="B64" s="3">
        <v>45919</v>
      </c>
      <c r="C64" t="s">
        <v>30</v>
      </c>
      <c r="D64">
        <v>5</v>
      </c>
      <c r="E64" t="s">
        <v>44</v>
      </c>
      <c r="F64" t="s">
        <v>32</v>
      </c>
      <c r="G64">
        <v>1</v>
      </c>
      <c r="H64">
        <v>3</v>
      </c>
      <c r="I64">
        <v>1</v>
      </c>
      <c r="J64">
        <v>25</v>
      </c>
      <c r="K64">
        <v>42</v>
      </c>
      <c r="N64">
        <v>0</v>
      </c>
      <c r="O64">
        <v>6</v>
      </c>
      <c r="P64">
        <v>0</v>
      </c>
      <c r="Q64">
        <v>4</v>
      </c>
      <c r="R64" t="s">
        <v>150</v>
      </c>
      <c r="S64">
        <v>41</v>
      </c>
      <c r="T64">
        <v>0</v>
      </c>
      <c r="U64" t="s">
        <v>33</v>
      </c>
      <c r="V64" t="s">
        <v>121</v>
      </c>
    </row>
    <row r="65" spans="1:22" x14ac:dyDescent="0.25">
      <c r="A65" t="s">
        <v>109</v>
      </c>
      <c r="B65" s="3">
        <v>45919</v>
      </c>
      <c r="C65" t="s">
        <v>30</v>
      </c>
      <c r="D65">
        <v>5</v>
      </c>
      <c r="E65" t="s">
        <v>137</v>
      </c>
      <c r="F65" t="s">
        <v>42</v>
      </c>
      <c r="G65">
        <v>0</v>
      </c>
      <c r="H65">
        <v>5</v>
      </c>
      <c r="I65">
        <v>4</v>
      </c>
      <c r="J65">
        <v>36</v>
      </c>
      <c r="K65">
        <v>21</v>
      </c>
      <c r="L65">
        <v>4.1399999999999997</v>
      </c>
      <c r="M65">
        <v>1.93</v>
      </c>
      <c r="N65">
        <v>0</v>
      </c>
      <c r="O65">
        <v>3</v>
      </c>
      <c r="P65">
        <v>2</v>
      </c>
      <c r="Q65">
        <v>6</v>
      </c>
      <c r="R65" t="s">
        <v>100</v>
      </c>
      <c r="S65">
        <v>17</v>
      </c>
      <c r="T65">
        <v>0</v>
      </c>
      <c r="U65" t="s">
        <v>33</v>
      </c>
      <c r="V65" t="s">
        <v>121</v>
      </c>
    </row>
    <row r="66" spans="1:22" x14ac:dyDescent="0.25">
      <c r="A66" t="s">
        <v>109</v>
      </c>
      <c r="B66" s="3">
        <v>45919</v>
      </c>
      <c r="C66" t="s">
        <v>30</v>
      </c>
      <c r="D66">
        <v>5</v>
      </c>
      <c r="E66" t="s">
        <v>43</v>
      </c>
      <c r="F66" t="s">
        <v>46</v>
      </c>
      <c r="G66">
        <v>1</v>
      </c>
      <c r="H66">
        <v>1</v>
      </c>
      <c r="I66">
        <v>5</v>
      </c>
      <c r="J66">
        <v>20</v>
      </c>
      <c r="K66">
        <v>34</v>
      </c>
      <c r="L66">
        <v>2.0499999999999998</v>
      </c>
      <c r="M66">
        <v>4.3</v>
      </c>
      <c r="N66">
        <v>1</v>
      </c>
      <c r="O66">
        <v>2</v>
      </c>
      <c r="P66">
        <v>1</v>
      </c>
      <c r="Q66">
        <v>2</v>
      </c>
      <c r="R66" t="s">
        <v>149</v>
      </c>
      <c r="S66">
        <v>29</v>
      </c>
      <c r="T66">
        <v>0</v>
      </c>
      <c r="U66" t="s">
        <v>35</v>
      </c>
      <c r="V66" t="s">
        <v>121</v>
      </c>
    </row>
    <row r="67" spans="1:22" x14ac:dyDescent="0.25">
      <c r="A67" t="s">
        <v>109</v>
      </c>
      <c r="B67" s="3">
        <v>45919</v>
      </c>
      <c r="C67" t="s">
        <v>30</v>
      </c>
      <c r="D67">
        <v>5</v>
      </c>
      <c r="E67" t="s">
        <v>36</v>
      </c>
      <c r="F67" t="s">
        <v>45</v>
      </c>
      <c r="G67">
        <v>0</v>
      </c>
      <c r="H67">
        <v>4</v>
      </c>
      <c r="I67">
        <v>2</v>
      </c>
      <c r="J67">
        <v>23</v>
      </c>
      <c r="K67">
        <v>27</v>
      </c>
      <c r="N67">
        <v>0</v>
      </c>
      <c r="O67">
        <v>1</v>
      </c>
      <c r="P67">
        <v>0</v>
      </c>
      <c r="Q67">
        <v>2</v>
      </c>
      <c r="R67" t="s">
        <v>146</v>
      </c>
      <c r="S67">
        <v>25</v>
      </c>
      <c r="T67">
        <v>0</v>
      </c>
      <c r="U67" t="s">
        <v>33</v>
      </c>
      <c r="V67" t="s">
        <v>121</v>
      </c>
    </row>
    <row r="68" spans="1:22" x14ac:dyDescent="0.25">
      <c r="A68" t="s">
        <v>109</v>
      </c>
      <c r="B68" s="3">
        <v>45919</v>
      </c>
      <c r="C68" t="s">
        <v>30</v>
      </c>
      <c r="D68">
        <v>5</v>
      </c>
      <c r="E68" t="s">
        <v>32</v>
      </c>
      <c r="F68" t="s">
        <v>44</v>
      </c>
      <c r="G68">
        <v>0</v>
      </c>
      <c r="H68">
        <v>1</v>
      </c>
      <c r="I68">
        <v>3</v>
      </c>
      <c r="J68">
        <v>25</v>
      </c>
      <c r="K68">
        <v>42</v>
      </c>
      <c r="N68">
        <v>0</v>
      </c>
      <c r="O68">
        <v>4</v>
      </c>
      <c r="P68">
        <v>0</v>
      </c>
      <c r="Q68">
        <v>6</v>
      </c>
      <c r="R68" t="s">
        <v>117</v>
      </c>
      <c r="S68">
        <v>22</v>
      </c>
      <c r="T68">
        <v>0</v>
      </c>
      <c r="U68" t="s">
        <v>35</v>
      </c>
      <c r="V68" t="s">
        <v>121</v>
      </c>
    </row>
    <row r="69" spans="1:22" x14ac:dyDescent="0.25">
      <c r="A69" t="s">
        <v>109</v>
      </c>
      <c r="B69" s="3">
        <v>45919</v>
      </c>
      <c r="C69" t="s">
        <v>30</v>
      </c>
      <c r="D69">
        <v>5</v>
      </c>
      <c r="E69" t="s">
        <v>38</v>
      </c>
      <c r="F69" t="s">
        <v>31</v>
      </c>
      <c r="G69">
        <v>0</v>
      </c>
      <c r="H69">
        <v>1</v>
      </c>
      <c r="I69">
        <v>3</v>
      </c>
      <c r="J69">
        <v>30</v>
      </c>
      <c r="K69">
        <v>41</v>
      </c>
      <c r="L69">
        <v>1.56</v>
      </c>
      <c r="M69">
        <v>4.2</v>
      </c>
      <c r="N69">
        <v>0</v>
      </c>
      <c r="O69">
        <v>3</v>
      </c>
      <c r="P69">
        <v>1</v>
      </c>
      <c r="Q69">
        <v>3</v>
      </c>
      <c r="R69" t="s">
        <v>104</v>
      </c>
      <c r="S69">
        <v>38</v>
      </c>
      <c r="T69">
        <v>0</v>
      </c>
      <c r="U69" t="s">
        <v>35</v>
      </c>
      <c r="V69" t="s">
        <v>121</v>
      </c>
    </row>
    <row r="70" spans="1:22" x14ac:dyDescent="0.25">
      <c r="A70" t="s">
        <v>109</v>
      </c>
      <c r="B70" s="3">
        <v>45919</v>
      </c>
      <c r="C70" t="s">
        <v>30</v>
      </c>
      <c r="D70">
        <v>5</v>
      </c>
      <c r="E70" t="s">
        <v>39</v>
      </c>
      <c r="F70" t="s">
        <v>41</v>
      </c>
      <c r="G70">
        <v>0</v>
      </c>
      <c r="H70">
        <v>1</v>
      </c>
      <c r="I70">
        <v>2</v>
      </c>
      <c r="J70">
        <v>31</v>
      </c>
      <c r="K70">
        <v>31</v>
      </c>
      <c r="L70">
        <v>3.09</v>
      </c>
      <c r="M70">
        <v>2.0699999999999998</v>
      </c>
      <c r="N70">
        <v>1</v>
      </c>
      <c r="O70">
        <v>2</v>
      </c>
      <c r="P70">
        <v>0</v>
      </c>
      <c r="Q70">
        <v>1</v>
      </c>
      <c r="R70" t="s">
        <v>106</v>
      </c>
      <c r="S70">
        <v>29</v>
      </c>
      <c r="T70">
        <v>1</v>
      </c>
      <c r="U70" t="s">
        <v>35</v>
      </c>
      <c r="V70" t="s">
        <v>121</v>
      </c>
    </row>
    <row r="71" spans="1:22" x14ac:dyDescent="0.25">
      <c r="A71" t="s">
        <v>109</v>
      </c>
      <c r="B71" s="3">
        <v>45919</v>
      </c>
      <c r="C71" t="s">
        <v>30</v>
      </c>
      <c r="D71">
        <v>5</v>
      </c>
      <c r="E71" t="s">
        <v>45</v>
      </c>
      <c r="F71" t="s">
        <v>36</v>
      </c>
      <c r="G71">
        <v>1</v>
      </c>
      <c r="H71">
        <v>2</v>
      </c>
      <c r="I71">
        <v>4</v>
      </c>
      <c r="J71">
        <v>27</v>
      </c>
      <c r="K71">
        <v>23</v>
      </c>
      <c r="N71">
        <v>0</v>
      </c>
      <c r="O71">
        <v>2</v>
      </c>
      <c r="P71">
        <v>0</v>
      </c>
      <c r="Q71">
        <v>1</v>
      </c>
      <c r="R71" t="s">
        <v>152</v>
      </c>
      <c r="S71">
        <v>19</v>
      </c>
      <c r="T71">
        <v>0</v>
      </c>
      <c r="U71" t="s">
        <v>35</v>
      </c>
      <c r="V71" t="s">
        <v>121</v>
      </c>
    </row>
    <row r="72" spans="1:22" x14ac:dyDescent="0.25">
      <c r="A72" t="s">
        <v>109</v>
      </c>
      <c r="B72" s="3">
        <v>45921</v>
      </c>
      <c r="C72" t="s">
        <v>30</v>
      </c>
      <c r="D72">
        <v>6</v>
      </c>
      <c r="E72" t="s">
        <v>31</v>
      </c>
      <c r="F72" t="s">
        <v>39</v>
      </c>
      <c r="G72">
        <v>0</v>
      </c>
      <c r="H72">
        <v>1</v>
      </c>
      <c r="I72">
        <v>2</v>
      </c>
      <c r="J72">
        <v>27</v>
      </c>
      <c r="K72">
        <v>13</v>
      </c>
      <c r="L72">
        <v>1.6</v>
      </c>
      <c r="M72">
        <v>2.7</v>
      </c>
      <c r="N72">
        <v>0</v>
      </c>
      <c r="O72" s="5">
        <v>5</v>
      </c>
      <c r="P72">
        <v>2</v>
      </c>
      <c r="Q72" s="4">
        <v>5</v>
      </c>
      <c r="R72" t="s">
        <v>34</v>
      </c>
      <c r="S72" s="4">
        <v>11</v>
      </c>
      <c r="T72">
        <v>0</v>
      </c>
      <c r="U72" t="s">
        <v>35</v>
      </c>
      <c r="V72" t="s">
        <v>121</v>
      </c>
    </row>
    <row r="73" spans="1:22" x14ac:dyDescent="0.25">
      <c r="A73" t="s">
        <v>109</v>
      </c>
      <c r="B73" s="3">
        <v>45921</v>
      </c>
      <c r="C73" t="s">
        <v>30</v>
      </c>
      <c r="D73">
        <v>6</v>
      </c>
      <c r="E73" t="s">
        <v>41</v>
      </c>
      <c r="F73" t="s">
        <v>136</v>
      </c>
      <c r="G73">
        <v>0</v>
      </c>
      <c r="H73">
        <v>3</v>
      </c>
      <c r="I73">
        <v>2</v>
      </c>
      <c r="J73">
        <v>12</v>
      </c>
      <c r="K73">
        <v>43</v>
      </c>
      <c r="L73">
        <v>1.19</v>
      </c>
      <c r="M73">
        <v>4.2</v>
      </c>
      <c r="N73">
        <v>0</v>
      </c>
      <c r="O73" s="5">
        <v>3</v>
      </c>
      <c r="P73">
        <v>0</v>
      </c>
      <c r="Q73" s="5">
        <v>6</v>
      </c>
      <c r="R73" t="s">
        <v>110</v>
      </c>
      <c r="S73" s="4">
        <v>41</v>
      </c>
      <c r="T73">
        <v>0</v>
      </c>
      <c r="U73" t="s">
        <v>33</v>
      </c>
      <c r="V73" t="s">
        <v>121</v>
      </c>
    </row>
    <row r="74" spans="1:22" x14ac:dyDescent="0.25">
      <c r="A74" t="s">
        <v>109</v>
      </c>
      <c r="B74" s="3">
        <v>45921</v>
      </c>
      <c r="C74" t="s">
        <v>30</v>
      </c>
      <c r="D74">
        <v>6</v>
      </c>
      <c r="E74" t="s">
        <v>46</v>
      </c>
      <c r="F74" t="s">
        <v>45</v>
      </c>
      <c r="G74">
        <v>0</v>
      </c>
      <c r="H74">
        <v>3</v>
      </c>
      <c r="I74">
        <v>2</v>
      </c>
      <c r="J74">
        <v>34</v>
      </c>
      <c r="K74">
        <v>32</v>
      </c>
      <c r="L74">
        <v>3.28</v>
      </c>
      <c r="M74">
        <v>2.98</v>
      </c>
      <c r="N74">
        <v>1</v>
      </c>
      <c r="O74" s="5">
        <v>3</v>
      </c>
      <c r="P74">
        <v>1</v>
      </c>
      <c r="Q74" s="5">
        <v>6</v>
      </c>
      <c r="R74" t="s">
        <v>140</v>
      </c>
      <c r="S74" s="4">
        <v>30</v>
      </c>
      <c r="T74">
        <v>1</v>
      </c>
      <c r="U74" t="s">
        <v>33</v>
      </c>
      <c r="V74" t="s">
        <v>121</v>
      </c>
    </row>
    <row r="75" spans="1:22" x14ac:dyDescent="0.25">
      <c r="A75" t="s">
        <v>109</v>
      </c>
      <c r="B75" s="3">
        <v>45921</v>
      </c>
      <c r="C75" t="s">
        <v>30</v>
      </c>
      <c r="D75">
        <v>6</v>
      </c>
      <c r="E75" t="s">
        <v>42</v>
      </c>
      <c r="F75" t="s">
        <v>32</v>
      </c>
      <c r="G75">
        <v>0</v>
      </c>
      <c r="H75">
        <v>5</v>
      </c>
      <c r="I75">
        <v>3</v>
      </c>
      <c r="J75">
        <v>30</v>
      </c>
      <c r="K75">
        <v>36</v>
      </c>
      <c r="L75">
        <v>3.14</v>
      </c>
      <c r="M75">
        <v>2.74</v>
      </c>
      <c r="N75">
        <v>1</v>
      </c>
      <c r="O75" s="5">
        <v>5</v>
      </c>
      <c r="P75">
        <v>0</v>
      </c>
      <c r="Q75" s="5">
        <v>5</v>
      </c>
      <c r="R75" t="s">
        <v>145</v>
      </c>
      <c r="S75" s="4">
        <v>33</v>
      </c>
      <c r="T75">
        <v>0</v>
      </c>
      <c r="U75" t="s">
        <v>33</v>
      </c>
      <c r="V75" t="s">
        <v>121</v>
      </c>
    </row>
    <row r="76" spans="1:22" x14ac:dyDescent="0.25">
      <c r="A76" t="s">
        <v>109</v>
      </c>
      <c r="B76" s="3">
        <v>45921</v>
      </c>
      <c r="C76" t="s">
        <v>30</v>
      </c>
      <c r="D76">
        <v>6</v>
      </c>
      <c r="E76" t="s">
        <v>136</v>
      </c>
      <c r="F76" t="s">
        <v>41</v>
      </c>
      <c r="G76">
        <v>1</v>
      </c>
      <c r="H76">
        <v>2</v>
      </c>
      <c r="I76">
        <v>3</v>
      </c>
      <c r="J76">
        <v>43</v>
      </c>
      <c r="K76">
        <v>12</v>
      </c>
      <c r="L76">
        <v>4.2</v>
      </c>
      <c r="M76">
        <v>1.19</v>
      </c>
      <c r="N76">
        <v>0</v>
      </c>
      <c r="O76">
        <v>6</v>
      </c>
      <c r="P76">
        <v>0</v>
      </c>
      <c r="Q76">
        <v>3</v>
      </c>
      <c r="R76" t="s">
        <v>103</v>
      </c>
      <c r="S76">
        <v>9</v>
      </c>
      <c r="T76">
        <v>0</v>
      </c>
      <c r="U76" t="s">
        <v>35</v>
      </c>
      <c r="V76" t="s">
        <v>121</v>
      </c>
    </row>
    <row r="77" spans="1:22" x14ac:dyDescent="0.25">
      <c r="A77" t="s">
        <v>109</v>
      </c>
      <c r="B77" s="3">
        <v>45921</v>
      </c>
      <c r="C77" t="s">
        <v>30</v>
      </c>
      <c r="D77">
        <v>6</v>
      </c>
      <c r="E77" t="s">
        <v>40</v>
      </c>
      <c r="F77" t="s">
        <v>137</v>
      </c>
      <c r="G77">
        <v>0</v>
      </c>
      <c r="H77">
        <v>1</v>
      </c>
      <c r="I77">
        <v>4</v>
      </c>
      <c r="J77">
        <v>31</v>
      </c>
      <c r="K77">
        <v>31</v>
      </c>
      <c r="N77">
        <v>0</v>
      </c>
      <c r="O77">
        <v>5</v>
      </c>
      <c r="P77">
        <v>1</v>
      </c>
      <c r="Q77">
        <v>6</v>
      </c>
      <c r="R77" t="s">
        <v>107</v>
      </c>
      <c r="S77">
        <v>27</v>
      </c>
      <c r="T77">
        <v>0</v>
      </c>
      <c r="U77" t="s">
        <v>35</v>
      </c>
      <c r="V77" t="s">
        <v>121</v>
      </c>
    </row>
    <row r="78" spans="1:22" x14ac:dyDescent="0.25">
      <c r="A78" t="s">
        <v>109</v>
      </c>
      <c r="B78" s="3">
        <v>45921</v>
      </c>
      <c r="C78" t="s">
        <v>30</v>
      </c>
      <c r="D78">
        <v>6</v>
      </c>
      <c r="E78" t="s">
        <v>44</v>
      </c>
      <c r="F78" t="s">
        <v>36</v>
      </c>
      <c r="G78">
        <v>0</v>
      </c>
      <c r="H78">
        <v>3</v>
      </c>
      <c r="I78">
        <v>2</v>
      </c>
      <c r="J78">
        <v>25</v>
      </c>
      <c r="K78">
        <v>33</v>
      </c>
      <c r="N78">
        <v>1</v>
      </c>
      <c r="O78">
        <v>3</v>
      </c>
      <c r="P78">
        <v>0</v>
      </c>
      <c r="Q78">
        <v>3</v>
      </c>
      <c r="R78" t="s">
        <v>147</v>
      </c>
      <c r="S78">
        <v>31</v>
      </c>
      <c r="T78">
        <v>0</v>
      </c>
      <c r="U78" t="s">
        <v>33</v>
      </c>
      <c r="V78" t="s">
        <v>121</v>
      </c>
    </row>
    <row r="79" spans="1:22" x14ac:dyDescent="0.25">
      <c r="A79" t="s">
        <v>109</v>
      </c>
      <c r="B79" s="3">
        <v>45921</v>
      </c>
      <c r="C79" t="s">
        <v>30</v>
      </c>
      <c r="D79">
        <v>6</v>
      </c>
      <c r="E79" t="s">
        <v>137</v>
      </c>
      <c r="F79" t="s">
        <v>40</v>
      </c>
      <c r="G79">
        <v>1</v>
      </c>
      <c r="H79">
        <v>4</v>
      </c>
      <c r="I79">
        <v>1</v>
      </c>
      <c r="J79">
        <v>31</v>
      </c>
      <c r="K79">
        <v>31</v>
      </c>
      <c r="N79">
        <v>1</v>
      </c>
      <c r="O79">
        <v>6</v>
      </c>
      <c r="P79">
        <v>0</v>
      </c>
      <c r="Q79">
        <v>5</v>
      </c>
      <c r="R79" t="s">
        <v>100</v>
      </c>
      <c r="S79">
        <v>27</v>
      </c>
      <c r="T79">
        <v>0</v>
      </c>
      <c r="U79" t="s">
        <v>33</v>
      </c>
      <c r="V79" t="s">
        <v>121</v>
      </c>
    </row>
    <row r="80" spans="1:22" x14ac:dyDescent="0.25">
      <c r="A80" t="s">
        <v>109</v>
      </c>
      <c r="B80" s="3">
        <v>45921</v>
      </c>
      <c r="C80" t="s">
        <v>30</v>
      </c>
      <c r="D80">
        <v>6</v>
      </c>
      <c r="E80" t="s">
        <v>36</v>
      </c>
      <c r="F80" t="s">
        <v>44</v>
      </c>
      <c r="G80">
        <v>1</v>
      </c>
      <c r="H80">
        <v>2</v>
      </c>
      <c r="I80">
        <v>3</v>
      </c>
      <c r="J80">
        <v>33</v>
      </c>
      <c r="K80">
        <v>25</v>
      </c>
      <c r="N80">
        <v>0</v>
      </c>
      <c r="O80">
        <v>3</v>
      </c>
      <c r="P80">
        <v>1</v>
      </c>
      <c r="Q80">
        <v>3</v>
      </c>
      <c r="R80" t="s">
        <v>146</v>
      </c>
      <c r="S80">
        <v>22</v>
      </c>
      <c r="T80">
        <v>0</v>
      </c>
      <c r="U80" t="s">
        <v>35</v>
      </c>
      <c r="V80" t="s">
        <v>121</v>
      </c>
    </row>
    <row r="81" spans="1:22" x14ac:dyDescent="0.25">
      <c r="A81" t="s">
        <v>109</v>
      </c>
      <c r="B81" s="3">
        <v>45921</v>
      </c>
      <c r="C81" t="s">
        <v>30</v>
      </c>
      <c r="D81">
        <v>6</v>
      </c>
      <c r="E81" t="s">
        <v>32</v>
      </c>
      <c r="F81" t="s">
        <v>42</v>
      </c>
      <c r="G81">
        <v>1</v>
      </c>
      <c r="H81">
        <v>3</v>
      </c>
      <c r="I81">
        <v>5</v>
      </c>
      <c r="J81">
        <v>36</v>
      </c>
      <c r="K81">
        <v>30</v>
      </c>
      <c r="L81">
        <v>2.74</v>
      </c>
      <c r="M81">
        <v>3.14</v>
      </c>
      <c r="N81">
        <v>0</v>
      </c>
      <c r="O81">
        <v>5</v>
      </c>
      <c r="P81">
        <v>1</v>
      </c>
      <c r="Q81">
        <v>5</v>
      </c>
      <c r="R81" t="s">
        <v>101</v>
      </c>
      <c r="S81">
        <v>25</v>
      </c>
      <c r="T81">
        <v>0</v>
      </c>
      <c r="U81" t="s">
        <v>35</v>
      </c>
      <c r="V81" t="s">
        <v>121</v>
      </c>
    </row>
    <row r="82" spans="1:22" x14ac:dyDescent="0.25">
      <c r="A82" t="s">
        <v>109</v>
      </c>
      <c r="B82" s="3">
        <v>45921</v>
      </c>
      <c r="C82" t="s">
        <v>30</v>
      </c>
      <c r="D82">
        <v>6</v>
      </c>
      <c r="E82" t="s">
        <v>39</v>
      </c>
      <c r="F82" t="s">
        <v>31</v>
      </c>
      <c r="G82">
        <v>1</v>
      </c>
      <c r="H82">
        <v>2</v>
      </c>
      <c r="I82">
        <v>1</v>
      </c>
      <c r="J82">
        <v>13</v>
      </c>
      <c r="K82">
        <v>27</v>
      </c>
      <c r="L82">
        <v>2.7</v>
      </c>
      <c r="M82">
        <v>1.6</v>
      </c>
      <c r="N82">
        <v>2</v>
      </c>
      <c r="O82">
        <v>5</v>
      </c>
      <c r="P82">
        <v>0</v>
      </c>
      <c r="Q82">
        <v>5</v>
      </c>
      <c r="R82" t="s">
        <v>106</v>
      </c>
      <c r="S82">
        <v>26</v>
      </c>
      <c r="T82">
        <v>0</v>
      </c>
      <c r="U82" t="s">
        <v>33</v>
      </c>
      <c r="V82" t="s">
        <v>121</v>
      </c>
    </row>
    <row r="83" spans="1:22" x14ac:dyDescent="0.25">
      <c r="A83" t="s">
        <v>109</v>
      </c>
      <c r="B83" s="3">
        <v>45921</v>
      </c>
      <c r="C83" t="s">
        <v>30</v>
      </c>
      <c r="D83">
        <v>6</v>
      </c>
      <c r="E83" t="s">
        <v>45</v>
      </c>
      <c r="F83" t="s">
        <v>46</v>
      </c>
      <c r="G83">
        <v>1</v>
      </c>
      <c r="H83">
        <v>2</v>
      </c>
      <c r="I83">
        <v>3</v>
      </c>
      <c r="J83">
        <v>32</v>
      </c>
      <c r="K83">
        <v>34</v>
      </c>
      <c r="L83">
        <v>2.98</v>
      </c>
      <c r="M83">
        <v>3.27</v>
      </c>
      <c r="N83">
        <v>1</v>
      </c>
      <c r="O83">
        <v>6</v>
      </c>
      <c r="P83">
        <v>1</v>
      </c>
      <c r="Q83">
        <v>3</v>
      </c>
      <c r="R83" t="s">
        <v>148</v>
      </c>
      <c r="S83">
        <v>32</v>
      </c>
      <c r="T83">
        <v>1</v>
      </c>
      <c r="U83" t="s">
        <v>35</v>
      </c>
      <c r="V83" t="s">
        <v>121</v>
      </c>
    </row>
    <row r="84" spans="1:22" x14ac:dyDescent="0.25">
      <c r="A84" t="s">
        <v>109</v>
      </c>
      <c r="B84" s="3">
        <v>45923</v>
      </c>
      <c r="C84" t="s">
        <v>30</v>
      </c>
      <c r="D84">
        <v>7</v>
      </c>
      <c r="E84" t="s">
        <v>31</v>
      </c>
      <c r="F84" t="s">
        <v>40</v>
      </c>
      <c r="G84">
        <v>0</v>
      </c>
      <c r="H84">
        <v>5</v>
      </c>
      <c r="I84">
        <v>4</v>
      </c>
      <c r="J84">
        <v>22</v>
      </c>
      <c r="K84">
        <v>39</v>
      </c>
      <c r="L84">
        <v>1.23</v>
      </c>
      <c r="M84">
        <v>3.71</v>
      </c>
      <c r="N84">
        <v>1</v>
      </c>
      <c r="O84" s="4">
        <v>2</v>
      </c>
      <c r="P84">
        <v>0</v>
      </c>
      <c r="Q84" s="4">
        <v>3</v>
      </c>
      <c r="R84" t="s">
        <v>37</v>
      </c>
      <c r="S84" s="4">
        <v>35</v>
      </c>
      <c r="T84">
        <v>0</v>
      </c>
      <c r="U84" t="s">
        <v>33</v>
      </c>
      <c r="V84" t="s">
        <v>121</v>
      </c>
    </row>
    <row r="85" spans="1:22" x14ac:dyDescent="0.25">
      <c r="A85" t="s">
        <v>109</v>
      </c>
      <c r="B85" s="3">
        <v>45923</v>
      </c>
      <c r="C85" t="s">
        <v>30</v>
      </c>
      <c r="D85">
        <v>7</v>
      </c>
      <c r="E85" t="s">
        <v>46</v>
      </c>
      <c r="F85" t="s">
        <v>38</v>
      </c>
      <c r="G85">
        <v>0</v>
      </c>
      <c r="H85">
        <v>2</v>
      </c>
      <c r="I85">
        <v>4</v>
      </c>
      <c r="J85">
        <v>33</v>
      </c>
      <c r="K85">
        <v>23</v>
      </c>
      <c r="L85">
        <v>3.45</v>
      </c>
      <c r="M85">
        <v>3.18</v>
      </c>
      <c r="N85">
        <v>1</v>
      </c>
      <c r="O85" s="5">
        <v>5</v>
      </c>
      <c r="P85">
        <v>3</v>
      </c>
      <c r="Q85" s="5">
        <v>7</v>
      </c>
      <c r="R85" t="s">
        <v>141</v>
      </c>
      <c r="S85" s="4">
        <v>19</v>
      </c>
      <c r="T85">
        <v>0</v>
      </c>
      <c r="U85" t="s">
        <v>35</v>
      </c>
      <c r="V85" t="s">
        <v>121</v>
      </c>
    </row>
    <row r="86" spans="1:22" x14ac:dyDescent="0.25">
      <c r="A86" t="s">
        <v>109</v>
      </c>
      <c r="B86" s="3">
        <v>45923</v>
      </c>
      <c r="C86" t="s">
        <v>30</v>
      </c>
      <c r="D86">
        <v>7</v>
      </c>
      <c r="E86" t="s">
        <v>42</v>
      </c>
      <c r="F86" t="s">
        <v>39</v>
      </c>
      <c r="G86">
        <v>1</v>
      </c>
      <c r="H86">
        <v>4</v>
      </c>
      <c r="I86">
        <v>2</v>
      </c>
      <c r="J86">
        <v>29</v>
      </c>
      <c r="K86">
        <v>18</v>
      </c>
      <c r="L86">
        <v>2.61</v>
      </c>
      <c r="M86">
        <v>1.41</v>
      </c>
      <c r="N86">
        <v>1</v>
      </c>
      <c r="O86" s="5">
        <v>8</v>
      </c>
      <c r="P86">
        <v>0</v>
      </c>
      <c r="Q86" s="5">
        <v>3</v>
      </c>
      <c r="R86" t="s">
        <v>144</v>
      </c>
      <c r="S86" s="4">
        <v>16</v>
      </c>
      <c r="T86">
        <v>0</v>
      </c>
      <c r="U86" t="s">
        <v>33</v>
      </c>
      <c r="V86" t="s">
        <v>121</v>
      </c>
    </row>
    <row r="87" spans="1:22" x14ac:dyDescent="0.25">
      <c r="A87" t="s">
        <v>109</v>
      </c>
      <c r="B87" s="3">
        <v>45923</v>
      </c>
      <c r="C87" t="s">
        <v>30</v>
      </c>
      <c r="D87">
        <v>7</v>
      </c>
      <c r="E87" t="s">
        <v>136</v>
      </c>
      <c r="F87" t="s">
        <v>44</v>
      </c>
      <c r="G87">
        <v>0</v>
      </c>
      <c r="H87">
        <v>1</v>
      </c>
      <c r="I87">
        <v>3</v>
      </c>
      <c r="J87">
        <v>22</v>
      </c>
      <c r="K87">
        <v>39</v>
      </c>
      <c r="N87">
        <v>1</v>
      </c>
      <c r="O87">
        <v>4</v>
      </c>
      <c r="P87">
        <v>0</v>
      </c>
      <c r="Q87">
        <v>3</v>
      </c>
      <c r="R87" t="s">
        <v>111</v>
      </c>
      <c r="S87">
        <v>36</v>
      </c>
      <c r="T87">
        <v>0</v>
      </c>
      <c r="U87" t="s">
        <v>35</v>
      </c>
      <c r="V87" t="s">
        <v>121</v>
      </c>
    </row>
    <row r="88" spans="1:22" x14ac:dyDescent="0.25">
      <c r="A88" t="s">
        <v>109</v>
      </c>
      <c r="B88" s="3">
        <v>45923</v>
      </c>
      <c r="C88" t="s">
        <v>30</v>
      </c>
      <c r="D88">
        <v>7</v>
      </c>
      <c r="E88" t="s">
        <v>40</v>
      </c>
      <c r="F88" t="s">
        <v>31</v>
      </c>
      <c r="G88">
        <v>1</v>
      </c>
      <c r="H88">
        <v>4</v>
      </c>
      <c r="I88">
        <v>5</v>
      </c>
      <c r="J88">
        <v>39</v>
      </c>
      <c r="K88">
        <v>22</v>
      </c>
      <c r="L88">
        <v>3.71</v>
      </c>
      <c r="M88">
        <v>1.23</v>
      </c>
      <c r="N88">
        <v>0</v>
      </c>
      <c r="O88">
        <v>3</v>
      </c>
      <c r="P88">
        <v>1</v>
      </c>
      <c r="Q88">
        <v>2</v>
      </c>
      <c r="R88" t="s">
        <v>107</v>
      </c>
      <c r="S88">
        <v>17</v>
      </c>
      <c r="T88">
        <v>0</v>
      </c>
      <c r="U88" t="s">
        <v>35</v>
      </c>
      <c r="V88" t="s">
        <v>121</v>
      </c>
    </row>
    <row r="89" spans="1:22" x14ac:dyDescent="0.25">
      <c r="A89" t="s">
        <v>109</v>
      </c>
      <c r="B89" s="3">
        <v>45923</v>
      </c>
      <c r="C89" t="s">
        <v>30</v>
      </c>
      <c r="D89">
        <v>7</v>
      </c>
      <c r="E89" t="s">
        <v>44</v>
      </c>
      <c r="F89" t="s">
        <v>136</v>
      </c>
      <c r="G89">
        <v>1</v>
      </c>
      <c r="H89">
        <v>3</v>
      </c>
      <c r="I89">
        <v>1</v>
      </c>
      <c r="J89">
        <v>39</v>
      </c>
      <c r="K89">
        <v>22</v>
      </c>
      <c r="N89">
        <v>0</v>
      </c>
      <c r="O89">
        <v>3</v>
      </c>
      <c r="P89">
        <v>1</v>
      </c>
      <c r="Q89">
        <v>4</v>
      </c>
      <c r="R89" t="s">
        <v>150</v>
      </c>
      <c r="S89">
        <v>21</v>
      </c>
      <c r="T89">
        <v>0</v>
      </c>
      <c r="U89" t="s">
        <v>33</v>
      </c>
      <c r="V89" t="s">
        <v>121</v>
      </c>
    </row>
    <row r="90" spans="1:22" x14ac:dyDescent="0.25">
      <c r="A90" t="s">
        <v>109</v>
      </c>
      <c r="B90" s="3">
        <v>45923</v>
      </c>
      <c r="C90" t="s">
        <v>30</v>
      </c>
      <c r="D90">
        <v>7</v>
      </c>
      <c r="E90" t="s">
        <v>137</v>
      </c>
      <c r="F90" t="s">
        <v>45</v>
      </c>
      <c r="G90">
        <v>0</v>
      </c>
      <c r="H90">
        <v>2</v>
      </c>
      <c r="I90">
        <v>4</v>
      </c>
      <c r="J90">
        <v>30</v>
      </c>
      <c r="K90">
        <v>23</v>
      </c>
      <c r="N90">
        <v>0</v>
      </c>
      <c r="O90">
        <v>4</v>
      </c>
      <c r="P90">
        <v>0</v>
      </c>
      <c r="Q90">
        <v>3</v>
      </c>
      <c r="R90" t="s">
        <v>116</v>
      </c>
      <c r="S90">
        <v>19</v>
      </c>
      <c r="T90">
        <v>0</v>
      </c>
      <c r="U90" t="s">
        <v>35</v>
      </c>
      <c r="V90" t="s">
        <v>121</v>
      </c>
    </row>
    <row r="91" spans="1:22" x14ac:dyDescent="0.25">
      <c r="A91" t="s">
        <v>109</v>
      </c>
      <c r="B91" s="3">
        <v>45923</v>
      </c>
      <c r="C91" t="s">
        <v>30</v>
      </c>
      <c r="D91">
        <v>7</v>
      </c>
      <c r="E91" t="s">
        <v>43</v>
      </c>
      <c r="F91" t="s">
        <v>36</v>
      </c>
      <c r="G91">
        <v>1</v>
      </c>
      <c r="H91">
        <v>4</v>
      </c>
      <c r="I91">
        <v>2</v>
      </c>
      <c r="J91">
        <v>29</v>
      </c>
      <c r="K91">
        <v>40</v>
      </c>
      <c r="N91">
        <v>0</v>
      </c>
      <c r="O91">
        <v>4</v>
      </c>
      <c r="P91">
        <v>0</v>
      </c>
      <c r="Q91">
        <v>4</v>
      </c>
      <c r="R91" t="s">
        <v>151</v>
      </c>
      <c r="S91">
        <v>38</v>
      </c>
      <c r="T91">
        <v>0</v>
      </c>
      <c r="U91" t="s">
        <v>33</v>
      </c>
      <c r="V91" t="s">
        <v>121</v>
      </c>
    </row>
    <row r="92" spans="1:22" x14ac:dyDescent="0.25">
      <c r="A92" t="s">
        <v>109</v>
      </c>
      <c r="B92" s="3">
        <v>45923</v>
      </c>
      <c r="C92" t="s">
        <v>30</v>
      </c>
      <c r="D92">
        <v>7</v>
      </c>
      <c r="E92" t="s">
        <v>36</v>
      </c>
      <c r="F92" t="s">
        <v>43</v>
      </c>
      <c r="G92">
        <v>0</v>
      </c>
      <c r="H92">
        <v>2</v>
      </c>
      <c r="I92">
        <v>4</v>
      </c>
      <c r="J92">
        <v>40</v>
      </c>
      <c r="K92">
        <v>29</v>
      </c>
      <c r="N92">
        <v>0</v>
      </c>
      <c r="O92">
        <v>4</v>
      </c>
      <c r="P92">
        <v>0</v>
      </c>
      <c r="Q92">
        <v>4</v>
      </c>
      <c r="R92" t="s">
        <v>102</v>
      </c>
      <c r="S92">
        <v>25</v>
      </c>
      <c r="T92">
        <v>0</v>
      </c>
      <c r="U92" t="s">
        <v>35</v>
      </c>
      <c r="V92" t="s">
        <v>121</v>
      </c>
    </row>
    <row r="93" spans="1:22" x14ac:dyDescent="0.25">
      <c r="A93" t="s">
        <v>109</v>
      </c>
      <c r="B93" s="3">
        <v>45923</v>
      </c>
      <c r="C93" t="s">
        <v>30</v>
      </c>
      <c r="D93">
        <v>7</v>
      </c>
      <c r="E93" t="s">
        <v>38</v>
      </c>
      <c r="F93" t="s">
        <v>46</v>
      </c>
      <c r="G93">
        <v>1</v>
      </c>
      <c r="H93">
        <v>4</v>
      </c>
      <c r="I93">
        <v>2</v>
      </c>
      <c r="J93">
        <v>23</v>
      </c>
      <c r="K93">
        <v>33</v>
      </c>
      <c r="L93">
        <v>3.18</v>
      </c>
      <c r="M93">
        <v>3.45</v>
      </c>
      <c r="N93">
        <v>3</v>
      </c>
      <c r="O93">
        <v>7</v>
      </c>
      <c r="P93">
        <v>1</v>
      </c>
      <c r="Q93">
        <v>5</v>
      </c>
      <c r="R93" t="s">
        <v>104</v>
      </c>
      <c r="S93">
        <v>31</v>
      </c>
      <c r="T93">
        <v>0</v>
      </c>
      <c r="U93" t="s">
        <v>33</v>
      </c>
      <c r="V93" t="s">
        <v>121</v>
      </c>
    </row>
    <row r="94" spans="1:22" x14ac:dyDescent="0.25">
      <c r="A94" t="s">
        <v>109</v>
      </c>
      <c r="B94" s="3">
        <v>45923</v>
      </c>
      <c r="C94" t="s">
        <v>30</v>
      </c>
      <c r="D94">
        <v>7</v>
      </c>
      <c r="E94" t="s">
        <v>39</v>
      </c>
      <c r="F94" t="s">
        <v>42</v>
      </c>
      <c r="G94">
        <v>0</v>
      </c>
      <c r="H94">
        <v>2</v>
      </c>
      <c r="I94">
        <v>4</v>
      </c>
      <c r="J94">
        <v>18</v>
      </c>
      <c r="K94">
        <v>29</v>
      </c>
      <c r="L94">
        <v>1.41</v>
      </c>
      <c r="M94">
        <v>2.61</v>
      </c>
      <c r="N94">
        <v>0</v>
      </c>
      <c r="O94">
        <v>3</v>
      </c>
      <c r="P94">
        <v>1</v>
      </c>
      <c r="Q94">
        <v>8</v>
      </c>
      <c r="R94" t="s">
        <v>106</v>
      </c>
      <c r="S94">
        <v>25</v>
      </c>
      <c r="T94">
        <v>0</v>
      </c>
      <c r="U94" t="s">
        <v>35</v>
      </c>
      <c r="V94" t="s">
        <v>121</v>
      </c>
    </row>
    <row r="95" spans="1:22" x14ac:dyDescent="0.25">
      <c r="A95" t="s">
        <v>109</v>
      </c>
      <c r="B95" s="3">
        <v>45923</v>
      </c>
      <c r="C95" t="s">
        <v>30</v>
      </c>
      <c r="D95">
        <v>7</v>
      </c>
      <c r="E95" t="s">
        <v>45</v>
      </c>
      <c r="F95" t="s">
        <v>137</v>
      </c>
      <c r="G95">
        <v>1</v>
      </c>
      <c r="H95">
        <v>4</v>
      </c>
      <c r="I95">
        <v>2</v>
      </c>
      <c r="J95">
        <v>23</v>
      </c>
      <c r="K95">
        <v>30</v>
      </c>
      <c r="N95">
        <v>0</v>
      </c>
      <c r="O95">
        <v>3</v>
      </c>
      <c r="P95">
        <v>0</v>
      </c>
      <c r="Q95">
        <v>4</v>
      </c>
      <c r="R95" t="s">
        <v>148</v>
      </c>
      <c r="S95">
        <v>28</v>
      </c>
      <c r="T95">
        <v>0</v>
      </c>
      <c r="U95" t="s">
        <v>33</v>
      </c>
      <c r="V95" t="s">
        <v>121</v>
      </c>
    </row>
    <row r="96" spans="1:22" x14ac:dyDescent="0.25">
      <c r="A96" t="s">
        <v>109</v>
      </c>
      <c r="B96" s="3">
        <v>45925</v>
      </c>
      <c r="C96" t="s">
        <v>30</v>
      </c>
      <c r="D96">
        <v>8</v>
      </c>
      <c r="E96" t="s">
        <v>31</v>
      </c>
      <c r="F96" t="s">
        <v>41</v>
      </c>
      <c r="G96">
        <v>1</v>
      </c>
      <c r="H96">
        <v>4</v>
      </c>
      <c r="I96">
        <v>5</v>
      </c>
      <c r="J96">
        <v>27</v>
      </c>
      <c r="K96">
        <v>18</v>
      </c>
      <c r="L96">
        <v>3.02</v>
      </c>
      <c r="M96">
        <v>1.68</v>
      </c>
      <c r="N96">
        <v>0</v>
      </c>
      <c r="O96" s="5">
        <v>3</v>
      </c>
      <c r="P96">
        <v>2</v>
      </c>
      <c r="Q96" s="4">
        <v>3</v>
      </c>
      <c r="R96" t="s">
        <v>34</v>
      </c>
      <c r="S96" s="4">
        <v>13</v>
      </c>
      <c r="T96">
        <v>0</v>
      </c>
      <c r="U96" t="s">
        <v>35</v>
      </c>
      <c r="V96" t="s">
        <v>121</v>
      </c>
    </row>
    <row r="97" spans="1:22" x14ac:dyDescent="0.25">
      <c r="A97" t="s">
        <v>109</v>
      </c>
      <c r="B97" s="3">
        <v>45925</v>
      </c>
      <c r="C97" t="s">
        <v>30</v>
      </c>
      <c r="D97">
        <v>8</v>
      </c>
      <c r="E97" t="s">
        <v>41</v>
      </c>
      <c r="F97" t="s">
        <v>31</v>
      </c>
      <c r="G97">
        <v>0</v>
      </c>
      <c r="H97">
        <v>5</v>
      </c>
      <c r="I97">
        <v>4</v>
      </c>
      <c r="J97">
        <v>18</v>
      </c>
      <c r="K97">
        <v>27</v>
      </c>
      <c r="L97">
        <v>1.68</v>
      </c>
      <c r="M97">
        <v>3.02</v>
      </c>
      <c r="N97">
        <v>2</v>
      </c>
      <c r="O97" s="5">
        <v>3</v>
      </c>
      <c r="P97">
        <v>0</v>
      </c>
      <c r="Q97" s="5">
        <v>3</v>
      </c>
      <c r="R97" t="s">
        <v>108</v>
      </c>
      <c r="S97" s="4">
        <v>23</v>
      </c>
      <c r="T97">
        <v>0</v>
      </c>
      <c r="U97" t="s">
        <v>33</v>
      </c>
      <c r="V97" t="s">
        <v>121</v>
      </c>
    </row>
    <row r="98" spans="1:22" x14ac:dyDescent="0.25">
      <c r="A98" t="s">
        <v>109</v>
      </c>
      <c r="B98" s="3">
        <v>45926</v>
      </c>
      <c r="C98" t="s">
        <v>30</v>
      </c>
      <c r="D98">
        <v>8</v>
      </c>
      <c r="E98" t="s">
        <v>46</v>
      </c>
      <c r="F98" t="s">
        <v>36</v>
      </c>
      <c r="G98">
        <v>0</v>
      </c>
      <c r="H98">
        <v>7</v>
      </c>
      <c r="I98">
        <v>2</v>
      </c>
      <c r="J98">
        <v>33</v>
      </c>
      <c r="K98">
        <v>21</v>
      </c>
      <c r="L98">
        <v>2.57</v>
      </c>
      <c r="M98">
        <v>2.74</v>
      </c>
      <c r="N98">
        <v>0</v>
      </c>
      <c r="O98" s="5">
        <v>5</v>
      </c>
      <c r="P98">
        <v>1</v>
      </c>
      <c r="Q98" s="5">
        <v>4</v>
      </c>
      <c r="R98" t="s">
        <v>142</v>
      </c>
      <c r="S98" s="4">
        <v>19</v>
      </c>
      <c r="T98">
        <v>0</v>
      </c>
      <c r="U98" t="s">
        <v>33</v>
      </c>
      <c r="V98" t="s">
        <v>121</v>
      </c>
    </row>
    <row r="99" spans="1:22" x14ac:dyDescent="0.25">
      <c r="A99" t="s">
        <v>109</v>
      </c>
      <c r="B99" s="3">
        <v>45926</v>
      </c>
      <c r="C99" t="s">
        <v>30</v>
      </c>
      <c r="D99">
        <v>8</v>
      </c>
      <c r="E99" t="s">
        <v>42</v>
      </c>
      <c r="F99" t="s">
        <v>136</v>
      </c>
      <c r="G99">
        <v>0</v>
      </c>
      <c r="H99">
        <v>0</v>
      </c>
      <c r="I99">
        <v>8</v>
      </c>
      <c r="J99">
        <v>21</v>
      </c>
      <c r="K99">
        <v>35</v>
      </c>
      <c r="L99">
        <v>1.34</v>
      </c>
      <c r="M99">
        <v>2.66</v>
      </c>
      <c r="N99">
        <v>0</v>
      </c>
      <c r="O99" s="5">
        <v>3</v>
      </c>
      <c r="P99">
        <v>1</v>
      </c>
      <c r="Q99" s="5">
        <v>6</v>
      </c>
      <c r="R99" t="s">
        <v>145</v>
      </c>
      <c r="S99" s="4">
        <v>27</v>
      </c>
      <c r="T99">
        <v>0</v>
      </c>
      <c r="U99" t="s">
        <v>35</v>
      </c>
      <c r="V99" t="s">
        <v>121</v>
      </c>
    </row>
    <row r="100" spans="1:22" x14ac:dyDescent="0.25">
      <c r="A100" t="s">
        <v>109</v>
      </c>
      <c r="B100" s="3">
        <v>45926</v>
      </c>
      <c r="C100" t="s">
        <v>30</v>
      </c>
      <c r="D100">
        <v>8</v>
      </c>
      <c r="E100" t="s">
        <v>136</v>
      </c>
      <c r="F100" t="s">
        <v>42</v>
      </c>
      <c r="G100">
        <v>1</v>
      </c>
      <c r="H100">
        <v>8</v>
      </c>
      <c r="I100">
        <v>0</v>
      </c>
      <c r="J100">
        <v>35</v>
      </c>
      <c r="K100">
        <v>21</v>
      </c>
      <c r="L100">
        <v>2.66</v>
      </c>
      <c r="M100">
        <v>1.34</v>
      </c>
      <c r="N100">
        <v>1</v>
      </c>
      <c r="O100">
        <v>6</v>
      </c>
      <c r="P100">
        <v>0</v>
      </c>
      <c r="Q100">
        <v>3</v>
      </c>
      <c r="R100" t="s">
        <v>103</v>
      </c>
      <c r="S100">
        <v>21</v>
      </c>
      <c r="T100">
        <v>0</v>
      </c>
      <c r="U100" t="s">
        <v>33</v>
      </c>
      <c r="V100" t="s">
        <v>121</v>
      </c>
    </row>
    <row r="101" spans="1:22" x14ac:dyDescent="0.25">
      <c r="A101" t="s">
        <v>109</v>
      </c>
      <c r="B101" s="3">
        <v>45926</v>
      </c>
      <c r="C101" t="s">
        <v>30</v>
      </c>
      <c r="D101">
        <v>8</v>
      </c>
      <c r="E101" t="s">
        <v>40</v>
      </c>
      <c r="F101" t="s">
        <v>39</v>
      </c>
      <c r="G101">
        <v>0</v>
      </c>
      <c r="H101">
        <v>1</v>
      </c>
      <c r="I101">
        <v>3</v>
      </c>
      <c r="J101">
        <v>28</v>
      </c>
      <c r="K101">
        <v>18</v>
      </c>
      <c r="N101">
        <v>1</v>
      </c>
      <c r="O101">
        <v>7</v>
      </c>
      <c r="P101">
        <v>2</v>
      </c>
      <c r="Q101">
        <v>4</v>
      </c>
      <c r="R101" t="s">
        <v>107</v>
      </c>
      <c r="S101">
        <v>15</v>
      </c>
      <c r="T101">
        <v>0</v>
      </c>
      <c r="U101" t="s">
        <v>35</v>
      </c>
      <c r="V101" t="s">
        <v>121</v>
      </c>
    </row>
    <row r="102" spans="1:22" x14ac:dyDescent="0.25">
      <c r="A102" t="s">
        <v>109</v>
      </c>
      <c r="B102" s="3">
        <v>45926</v>
      </c>
      <c r="C102" t="s">
        <v>30</v>
      </c>
      <c r="D102">
        <v>8</v>
      </c>
      <c r="E102" t="s">
        <v>44</v>
      </c>
      <c r="F102" t="s">
        <v>137</v>
      </c>
      <c r="G102">
        <v>0</v>
      </c>
      <c r="H102">
        <v>1</v>
      </c>
      <c r="I102">
        <v>2</v>
      </c>
      <c r="J102">
        <v>23</v>
      </c>
      <c r="K102">
        <v>23</v>
      </c>
      <c r="N102">
        <v>0</v>
      </c>
      <c r="O102">
        <v>2</v>
      </c>
      <c r="P102">
        <v>1</v>
      </c>
      <c r="Q102">
        <v>2</v>
      </c>
      <c r="R102" t="s">
        <v>150</v>
      </c>
      <c r="S102">
        <v>21</v>
      </c>
      <c r="T102">
        <v>0</v>
      </c>
      <c r="U102" t="s">
        <v>35</v>
      </c>
      <c r="V102" t="s">
        <v>121</v>
      </c>
    </row>
    <row r="103" spans="1:22" x14ac:dyDescent="0.25">
      <c r="A103" t="s">
        <v>109</v>
      </c>
      <c r="B103" s="3">
        <v>45926</v>
      </c>
      <c r="C103" t="s">
        <v>30</v>
      </c>
      <c r="D103">
        <v>8</v>
      </c>
      <c r="E103" t="s">
        <v>137</v>
      </c>
      <c r="F103" t="s">
        <v>44</v>
      </c>
      <c r="G103">
        <v>1</v>
      </c>
      <c r="H103">
        <v>2</v>
      </c>
      <c r="I103">
        <v>1</v>
      </c>
      <c r="J103">
        <v>23</v>
      </c>
      <c r="K103">
        <v>23</v>
      </c>
      <c r="N103">
        <v>1</v>
      </c>
      <c r="O103">
        <v>2</v>
      </c>
      <c r="P103">
        <v>0</v>
      </c>
      <c r="Q103">
        <v>2</v>
      </c>
      <c r="R103" t="s">
        <v>100</v>
      </c>
      <c r="S103">
        <v>22</v>
      </c>
      <c r="T103">
        <v>0</v>
      </c>
      <c r="U103" t="s">
        <v>33</v>
      </c>
      <c r="V103" t="s">
        <v>121</v>
      </c>
    </row>
    <row r="104" spans="1:22" x14ac:dyDescent="0.25">
      <c r="A104" t="s">
        <v>109</v>
      </c>
      <c r="B104" s="3">
        <v>45926</v>
      </c>
      <c r="C104" t="s">
        <v>30</v>
      </c>
      <c r="D104">
        <v>8</v>
      </c>
      <c r="E104" t="s">
        <v>43</v>
      </c>
      <c r="F104" t="s">
        <v>32</v>
      </c>
      <c r="G104">
        <v>0</v>
      </c>
      <c r="H104">
        <v>0</v>
      </c>
      <c r="I104">
        <v>2</v>
      </c>
      <c r="J104">
        <v>14</v>
      </c>
      <c r="K104">
        <v>41</v>
      </c>
      <c r="N104">
        <v>0</v>
      </c>
      <c r="O104">
        <v>3</v>
      </c>
      <c r="P104">
        <v>1</v>
      </c>
      <c r="Q104">
        <v>5</v>
      </c>
      <c r="R104" t="s">
        <v>151</v>
      </c>
      <c r="S104">
        <v>39</v>
      </c>
      <c r="T104">
        <v>0</v>
      </c>
      <c r="U104" t="s">
        <v>35</v>
      </c>
      <c r="V104" t="s">
        <v>121</v>
      </c>
    </row>
    <row r="105" spans="1:22" x14ac:dyDescent="0.25">
      <c r="A105" t="s">
        <v>109</v>
      </c>
      <c r="B105" s="3">
        <v>45926</v>
      </c>
      <c r="C105" t="s">
        <v>30</v>
      </c>
      <c r="D105">
        <v>8</v>
      </c>
      <c r="E105" t="s">
        <v>36</v>
      </c>
      <c r="F105" t="s">
        <v>46</v>
      </c>
      <c r="G105">
        <v>1</v>
      </c>
      <c r="H105">
        <v>2</v>
      </c>
      <c r="I105">
        <v>7</v>
      </c>
      <c r="J105">
        <v>21</v>
      </c>
      <c r="K105">
        <v>33</v>
      </c>
      <c r="L105">
        <v>2.74</v>
      </c>
      <c r="M105">
        <v>2.57</v>
      </c>
      <c r="N105">
        <v>1</v>
      </c>
      <c r="O105">
        <v>4</v>
      </c>
      <c r="P105">
        <v>0</v>
      </c>
      <c r="Q105">
        <v>5</v>
      </c>
      <c r="R105" t="s">
        <v>102</v>
      </c>
      <c r="S105">
        <v>26</v>
      </c>
      <c r="T105">
        <v>0</v>
      </c>
      <c r="U105" t="s">
        <v>35</v>
      </c>
      <c r="V105" t="s">
        <v>121</v>
      </c>
    </row>
    <row r="106" spans="1:22" x14ac:dyDescent="0.25">
      <c r="A106" t="s">
        <v>109</v>
      </c>
      <c r="B106" s="3">
        <v>45926</v>
      </c>
      <c r="C106" t="s">
        <v>30</v>
      </c>
      <c r="D106">
        <v>8</v>
      </c>
      <c r="E106" t="s">
        <v>32</v>
      </c>
      <c r="F106" t="s">
        <v>43</v>
      </c>
      <c r="G106">
        <v>1</v>
      </c>
      <c r="H106">
        <v>2</v>
      </c>
      <c r="I106">
        <v>0</v>
      </c>
      <c r="J106">
        <v>41</v>
      </c>
      <c r="K106">
        <v>14</v>
      </c>
      <c r="N106">
        <v>1</v>
      </c>
      <c r="O106">
        <v>5</v>
      </c>
      <c r="P106">
        <v>0</v>
      </c>
      <c r="Q106">
        <v>3</v>
      </c>
      <c r="R106" t="s">
        <v>117</v>
      </c>
      <c r="S106">
        <v>14</v>
      </c>
      <c r="T106">
        <v>0</v>
      </c>
      <c r="U106" t="s">
        <v>33</v>
      </c>
      <c r="V106" t="s">
        <v>121</v>
      </c>
    </row>
    <row r="107" spans="1:22" x14ac:dyDescent="0.25">
      <c r="A107" t="s">
        <v>109</v>
      </c>
      <c r="B107" s="3">
        <v>45926</v>
      </c>
      <c r="C107" t="s">
        <v>30</v>
      </c>
      <c r="D107">
        <v>8</v>
      </c>
      <c r="E107" t="s">
        <v>38</v>
      </c>
      <c r="F107" t="s">
        <v>45</v>
      </c>
      <c r="G107">
        <v>1</v>
      </c>
      <c r="H107">
        <v>2</v>
      </c>
      <c r="I107">
        <v>3</v>
      </c>
      <c r="J107">
        <v>29</v>
      </c>
      <c r="K107">
        <v>25</v>
      </c>
      <c r="N107">
        <v>1</v>
      </c>
      <c r="O107">
        <v>3</v>
      </c>
      <c r="P107">
        <v>1</v>
      </c>
      <c r="Q107">
        <v>3</v>
      </c>
      <c r="R107" t="s">
        <v>104</v>
      </c>
      <c r="S107">
        <v>23</v>
      </c>
      <c r="T107">
        <v>1</v>
      </c>
      <c r="U107" t="s">
        <v>35</v>
      </c>
      <c r="V107" t="s">
        <v>121</v>
      </c>
    </row>
    <row r="108" spans="1:22" x14ac:dyDescent="0.25">
      <c r="A108" t="s">
        <v>109</v>
      </c>
      <c r="B108" s="3">
        <v>45926</v>
      </c>
      <c r="C108" t="s">
        <v>30</v>
      </c>
      <c r="D108">
        <v>8</v>
      </c>
      <c r="E108" t="s">
        <v>39</v>
      </c>
      <c r="F108" t="s">
        <v>40</v>
      </c>
      <c r="G108">
        <v>1</v>
      </c>
      <c r="H108">
        <v>3</v>
      </c>
      <c r="I108">
        <v>1</v>
      </c>
      <c r="J108">
        <v>18</v>
      </c>
      <c r="K108">
        <v>28</v>
      </c>
      <c r="N108">
        <v>2</v>
      </c>
      <c r="O108">
        <v>4</v>
      </c>
      <c r="P108">
        <v>1</v>
      </c>
      <c r="Q108">
        <v>7</v>
      </c>
      <c r="R108" t="s">
        <v>105</v>
      </c>
      <c r="S108">
        <v>27</v>
      </c>
      <c r="T108">
        <v>0</v>
      </c>
      <c r="U108" t="s">
        <v>33</v>
      </c>
      <c r="V108" t="s">
        <v>121</v>
      </c>
    </row>
    <row r="109" spans="1:22" x14ac:dyDescent="0.25">
      <c r="A109" t="s">
        <v>109</v>
      </c>
      <c r="B109" s="3">
        <v>45926</v>
      </c>
      <c r="C109" t="s">
        <v>30</v>
      </c>
      <c r="D109">
        <v>8</v>
      </c>
      <c r="E109" t="s">
        <v>45</v>
      </c>
      <c r="F109" t="s">
        <v>38</v>
      </c>
      <c r="G109">
        <v>0</v>
      </c>
      <c r="H109">
        <v>3</v>
      </c>
      <c r="I109">
        <v>2</v>
      </c>
      <c r="J109">
        <v>25</v>
      </c>
      <c r="K109">
        <v>29</v>
      </c>
      <c r="N109">
        <v>1</v>
      </c>
      <c r="O109">
        <v>3</v>
      </c>
      <c r="P109">
        <v>1</v>
      </c>
      <c r="Q109">
        <v>3</v>
      </c>
      <c r="R109" t="s">
        <v>148</v>
      </c>
      <c r="S109">
        <v>27</v>
      </c>
      <c r="T109">
        <v>1</v>
      </c>
      <c r="U109" t="s">
        <v>33</v>
      </c>
      <c r="V109" t="s">
        <v>121</v>
      </c>
    </row>
    <row r="110" spans="1:22" x14ac:dyDescent="0.25">
      <c r="A110" t="s">
        <v>109</v>
      </c>
      <c r="B110" s="3">
        <v>45928</v>
      </c>
      <c r="C110" t="s">
        <v>30</v>
      </c>
      <c r="D110">
        <v>9</v>
      </c>
      <c r="E110" t="s">
        <v>31</v>
      </c>
      <c r="F110" t="s">
        <v>42</v>
      </c>
      <c r="G110">
        <v>0</v>
      </c>
      <c r="H110">
        <v>2</v>
      </c>
      <c r="I110">
        <v>1</v>
      </c>
      <c r="J110">
        <v>20</v>
      </c>
      <c r="K110">
        <v>24</v>
      </c>
      <c r="L110">
        <v>2.33</v>
      </c>
      <c r="M110">
        <v>1.53</v>
      </c>
      <c r="N110">
        <v>0</v>
      </c>
      <c r="O110" s="5">
        <v>2</v>
      </c>
      <c r="P110">
        <v>0</v>
      </c>
      <c r="Q110" s="5">
        <v>4</v>
      </c>
      <c r="R110" t="s">
        <v>34</v>
      </c>
      <c r="S110" s="4">
        <v>23</v>
      </c>
      <c r="T110">
        <v>1</v>
      </c>
      <c r="U110" t="s">
        <v>35</v>
      </c>
      <c r="V110" t="s">
        <v>121</v>
      </c>
    </row>
    <row r="111" spans="1:22" x14ac:dyDescent="0.25">
      <c r="A111" t="s">
        <v>109</v>
      </c>
      <c r="B111" s="3">
        <v>45928</v>
      </c>
      <c r="C111" t="s">
        <v>30</v>
      </c>
      <c r="D111">
        <v>9</v>
      </c>
      <c r="E111" t="s">
        <v>41</v>
      </c>
      <c r="F111" t="s">
        <v>40</v>
      </c>
      <c r="G111">
        <v>1</v>
      </c>
      <c r="H111">
        <v>3</v>
      </c>
      <c r="I111">
        <v>2</v>
      </c>
      <c r="J111">
        <v>27</v>
      </c>
      <c r="K111">
        <v>41</v>
      </c>
      <c r="L111">
        <v>1.91</v>
      </c>
      <c r="M111">
        <v>3.11</v>
      </c>
      <c r="N111">
        <v>1</v>
      </c>
      <c r="O111" s="5">
        <v>3</v>
      </c>
      <c r="P111">
        <v>1</v>
      </c>
      <c r="Q111" s="5">
        <v>3</v>
      </c>
      <c r="R111" t="s">
        <v>110</v>
      </c>
      <c r="S111" s="4">
        <v>39</v>
      </c>
      <c r="T111">
        <v>1</v>
      </c>
      <c r="U111" t="s">
        <v>33</v>
      </c>
      <c r="V111" t="s">
        <v>121</v>
      </c>
    </row>
    <row r="112" spans="1:22" x14ac:dyDescent="0.25">
      <c r="A112" t="s">
        <v>109</v>
      </c>
      <c r="B112" s="3">
        <v>45928</v>
      </c>
      <c r="C112" t="s">
        <v>30</v>
      </c>
      <c r="D112">
        <v>9</v>
      </c>
      <c r="E112" t="s">
        <v>46</v>
      </c>
      <c r="F112" t="s">
        <v>137</v>
      </c>
      <c r="G112">
        <v>1</v>
      </c>
      <c r="H112">
        <v>1</v>
      </c>
      <c r="I112">
        <v>3</v>
      </c>
      <c r="J112">
        <v>45</v>
      </c>
      <c r="K112">
        <v>17</v>
      </c>
      <c r="L112">
        <v>4.59</v>
      </c>
      <c r="M112">
        <v>2.48</v>
      </c>
      <c r="N112">
        <v>1</v>
      </c>
      <c r="O112" s="5">
        <v>6</v>
      </c>
      <c r="P112">
        <v>0</v>
      </c>
      <c r="Q112" s="5">
        <v>5</v>
      </c>
      <c r="R112" t="s">
        <v>142</v>
      </c>
      <c r="S112" s="4">
        <v>14</v>
      </c>
      <c r="T112">
        <v>0</v>
      </c>
      <c r="U112" t="s">
        <v>35</v>
      </c>
      <c r="V112" t="s">
        <v>121</v>
      </c>
    </row>
    <row r="113" spans="1:22" x14ac:dyDescent="0.25">
      <c r="A113" t="s">
        <v>109</v>
      </c>
      <c r="B113" s="3">
        <v>45928</v>
      </c>
      <c r="C113" t="s">
        <v>30</v>
      </c>
      <c r="D113">
        <v>9</v>
      </c>
      <c r="E113" t="s">
        <v>42</v>
      </c>
      <c r="F113" t="s">
        <v>31</v>
      </c>
      <c r="G113">
        <v>1</v>
      </c>
      <c r="H113">
        <v>1</v>
      </c>
      <c r="I113">
        <v>2</v>
      </c>
      <c r="J113">
        <v>24</v>
      </c>
      <c r="K113">
        <v>21</v>
      </c>
      <c r="L113">
        <v>1.53</v>
      </c>
      <c r="M113">
        <v>2.33</v>
      </c>
      <c r="N113">
        <v>0</v>
      </c>
      <c r="O113" s="5">
        <v>4</v>
      </c>
      <c r="P113">
        <v>0</v>
      </c>
      <c r="Q113" s="5">
        <v>2</v>
      </c>
      <c r="R113" t="s">
        <v>144</v>
      </c>
      <c r="S113" s="4">
        <v>19</v>
      </c>
      <c r="T113">
        <v>1</v>
      </c>
      <c r="U113" t="s">
        <v>35</v>
      </c>
      <c r="V113" t="s">
        <v>121</v>
      </c>
    </row>
    <row r="114" spans="1:22" x14ac:dyDescent="0.25">
      <c r="A114" t="s">
        <v>109</v>
      </c>
      <c r="B114" s="3">
        <v>45928</v>
      </c>
      <c r="C114" t="s">
        <v>30</v>
      </c>
      <c r="D114">
        <v>9</v>
      </c>
      <c r="E114" t="s">
        <v>136</v>
      </c>
      <c r="F114" t="s">
        <v>43</v>
      </c>
      <c r="G114">
        <v>0</v>
      </c>
      <c r="H114">
        <v>6</v>
      </c>
      <c r="I114">
        <v>3</v>
      </c>
      <c r="J114">
        <v>34</v>
      </c>
      <c r="K114">
        <v>26</v>
      </c>
      <c r="N114">
        <v>1</v>
      </c>
      <c r="O114">
        <v>4</v>
      </c>
      <c r="P114">
        <v>0</v>
      </c>
      <c r="Q114">
        <v>4</v>
      </c>
      <c r="R114" t="s">
        <v>103</v>
      </c>
      <c r="S114">
        <v>23</v>
      </c>
      <c r="T114">
        <v>0</v>
      </c>
      <c r="U114" t="s">
        <v>33</v>
      </c>
      <c r="V114" t="s">
        <v>121</v>
      </c>
    </row>
    <row r="115" spans="1:22" x14ac:dyDescent="0.25">
      <c r="A115" t="s">
        <v>109</v>
      </c>
      <c r="B115" s="3">
        <v>45928</v>
      </c>
      <c r="C115" t="s">
        <v>30</v>
      </c>
      <c r="D115">
        <v>9</v>
      </c>
      <c r="E115" t="s">
        <v>40</v>
      </c>
      <c r="F115" t="s">
        <v>41</v>
      </c>
      <c r="G115">
        <v>0</v>
      </c>
      <c r="H115">
        <v>2</v>
      </c>
      <c r="I115">
        <v>3</v>
      </c>
      <c r="J115">
        <v>41</v>
      </c>
      <c r="K115">
        <v>27</v>
      </c>
      <c r="L115">
        <v>3.11</v>
      </c>
      <c r="M115">
        <v>1.91</v>
      </c>
      <c r="N115">
        <v>1</v>
      </c>
      <c r="O115">
        <v>3</v>
      </c>
      <c r="P115">
        <v>1</v>
      </c>
      <c r="Q115">
        <v>3</v>
      </c>
      <c r="R115" t="s">
        <v>107</v>
      </c>
      <c r="S115">
        <v>24</v>
      </c>
      <c r="T115">
        <v>1</v>
      </c>
      <c r="U115" t="s">
        <v>35</v>
      </c>
      <c r="V115" t="s">
        <v>121</v>
      </c>
    </row>
    <row r="116" spans="1:22" x14ac:dyDescent="0.25">
      <c r="A116" t="s">
        <v>109</v>
      </c>
      <c r="B116" s="3">
        <v>45928</v>
      </c>
      <c r="C116" t="s">
        <v>30</v>
      </c>
      <c r="D116">
        <v>9</v>
      </c>
      <c r="E116" t="s">
        <v>44</v>
      </c>
      <c r="F116" t="s">
        <v>39</v>
      </c>
      <c r="G116">
        <v>0</v>
      </c>
      <c r="H116">
        <v>2</v>
      </c>
      <c r="I116">
        <v>3</v>
      </c>
      <c r="J116">
        <v>27</v>
      </c>
      <c r="K116">
        <v>31</v>
      </c>
      <c r="N116">
        <v>1</v>
      </c>
      <c r="O116">
        <v>7</v>
      </c>
      <c r="P116">
        <v>1</v>
      </c>
      <c r="Q116">
        <v>7</v>
      </c>
      <c r="R116" t="s">
        <v>150</v>
      </c>
      <c r="S116">
        <v>29</v>
      </c>
      <c r="T116">
        <v>1</v>
      </c>
      <c r="U116" t="s">
        <v>35</v>
      </c>
      <c r="V116" t="s">
        <v>121</v>
      </c>
    </row>
    <row r="117" spans="1:22" x14ac:dyDescent="0.25">
      <c r="A117" t="s">
        <v>109</v>
      </c>
      <c r="B117" s="3">
        <v>45928</v>
      </c>
      <c r="C117" t="s">
        <v>30</v>
      </c>
      <c r="D117">
        <v>9</v>
      </c>
      <c r="E117" t="s">
        <v>137</v>
      </c>
      <c r="F117" t="s">
        <v>46</v>
      </c>
      <c r="G117">
        <v>0</v>
      </c>
      <c r="H117">
        <v>3</v>
      </c>
      <c r="I117">
        <v>1</v>
      </c>
      <c r="J117">
        <v>17</v>
      </c>
      <c r="K117">
        <v>45</v>
      </c>
      <c r="L117">
        <v>2.48</v>
      </c>
      <c r="M117">
        <v>4.59</v>
      </c>
      <c r="N117">
        <v>0</v>
      </c>
      <c r="O117">
        <v>5</v>
      </c>
      <c r="P117">
        <v>1</v>
      </c>
      <c r="Q117">
        <v>6</v>
      </c>
      <c r="R117" t="s">
        <v>100</v>
      </c>
      <c r="S117">
        <v>44</v>
      </c>
      <c r="T117">
        <v>0</v>
      </c>
      <c r="U117" t="s">
        <v>33</v>
      </c>
      <c r="V117" t="s">
        <v>121</v>
      </c>
    </row>
    <row r="118" spans="1:22" x14ac:dyDescent="0.25">
      <c r="A118" t="s">
        <v>109</v>
      </c>
      <c r="B118" s="3">
        <v>45928</v>
      </c>
      <c r="C118" t="s">
        <v>30</v>
      </c>
      <c r="D118">
        <v>9</v>
      </c>
      <c r="E118" t="s">
        <v>43</v>
      </c>
      <c r="F118" t="s">
        <v>136</v>
      </c>
      <c r="G118">
        <v>1</v>
      </c>
      <c r="H118">
        <v>3</v>
      </c>
      <c r="I118">
        <v>6</v>
      </c>
      <c r="J118">
        <v>26</v>
      </c>
      <c r="K118">
        <v>34</v>
      </c>
      <c r="N118">
        <v>0</v>
      </c>
      <c r="O118">
        <v>4</v>
      </c>
      <c r="P118">
        <v>1</v>
      </c>
      <c r="Q118">
        <v>4</v>
      </c>
      <c r="R118" t="s">
        <v>151</v>
      </c>
      <c r="S118">
        <v>28</v>
      </c>
      <c r="T118">
        <v>0</v>
      </c>
      <c r="U118" t="s">
        <v>35</v>
      </c>
      <c r="V118" t="s">
        <v>121</v>
      </c>
    </row>
    <row r="119" spans="1:22" x14ac:dyDescent="0.25">
      <c r="A119" t="s">
        <v>109</v>
      </c>
      <c r="B119" s="3">
        <v>45928</v>
      </c>
      <c r="C119" t="s">
        <v>30</v>
      </c>
      <c r="D119">
        <v>9</v>
      </c>
      <c r="E119" t="s">
        <v>36</v>
      </c>
      <c r="F119" t="s">
        <v>38</v>
      </c>
      <c r="G119">
        <v>0</v>
      </c>
      <c r="H119">
        <v>1</v>
      </c>
      <c r="I119">
        <v>3</v>
      </c>
      <c r="J119">
        <v>32</v>
      </c>
      <c r="K119">
        <v>25</v>
      </c>
      <c r="N119">
        <v>0</v>
      </c>
      <c r="O119">
        <v>8</v>
      </c>
      <c r="P119">
        <v>0</v>
      </c>
      <c r="Q119">
        <v>4</v>
      </c>
      <c r="R119" t="s">
        <v>146</v>
      </c>
      <c r="S119">
        <v>22</v>
      </c>
      <c r="T119">
        <v>0</v>
      </c>
      <c r="U119" t="s">
        <v>35</v>
      </c>
      <c r="V119" t="s">
        <v>121</v>
      </c>
    </row>
    <row r="120" spans="1:22" x14ac:dyDescent="0.25">
      <c r="A120" t="s">
        <v>109</v>
      </c>
      <c r="B120" s="3">
        <v>45928</v>
      </c>
      <c r="C120" t="s">
        <v>30</v>
      </c>
      <c r="D120">
        <v>9</v>
      </c>
      <c r="E120" t="s">
        <v>32</v>
      </c>
      <c r="F120" t="s">
        <v>45</v>
      </c>
      <c r="G120">
        <v>0</v>
      </c>
      <c r="H120">
        <v>4</v>
      </c>
      <c r="I120">
        <v>0</v>
      </c>
      <c r="J120">
        <v>37</v>
      </c>
      <c r="K120">
        <v>16</v>
      </c>
      <c r="N120">
        <v>2</v>
      </c>
      <c r="O120">
        <v>6</v>
      </c>
      <c r="P120">
        <v>0</v>
      </c>
      <c r="Q120">
        <v>1</v>
      </c>
      <c r="R120" t="s">
        <v>117</v>
      </c>
      <c r="S120">
        <v>16</v>
      </c>
      <c r="T120">
        <v>0</v>
      </c>
      <c r="U120" t="s">
        <v>33</v>
      </c>
      <c r="V120" t="s">
        <v>121</v>
      </c>
    </row>
    <row r="121" spans="1:22" x14ac:dyDescent="0.25">
      <c r="A121" t="s">
        <v>109</v>
      </c>
      <c r="B121" s="3">
        <v>45928</v>
      </c>
      <c r="C121" t="s">
        <v>30</v>
      </c>
      <c r="D121">
        <v>9</v>
      </c>
      <c r="E121" t="s">
        <v>38</v>
      </c>
      <c r="F121" t="s">
        <v>36</v>
      </c>
      <c r="G121">
        <v>1</v>
      </c>
      <c r="H121">
        <v>3</v>
      </c>
      <c r="I121">
        <v>1</v>
      </c>
      <c r="J121">
        <v>25</v>
      </c>
      <c r="K121">
        <v>32</v>
      </c>
      <c r="N121">
        <v>0</v>
      </c>
      <c r="O121">
        <v>4</v>
      </c>
      <c r="P121">
        <v>0</v>
      </c>
      <c r="Q121">
        <v>8</v>
      </c>
      <c r="R121" t="s">
        <v>104</v>
      </c>
      <c r="S121">
        <v>31</v>
      </c>
      <c r="T121">
        <v>0</v>
      </c>
      <c r="U121" t="s">
        <v>33</v>
      </c>
      <c r="V121" t="s">
        <v>121</v>
      </c>
    </row>
    <row r="122" spans="1:22" x14ac:dyDescent="0.25">
      <c r="A122" t="s">
        <v>109</v>
      </c>
      <c r="B122" s="3">
        <v>45928</v>
      </c>
      <c r="C122" t="s">
        <v>30</v>
      </c>
      <c r="D122">
        <v>9</v>
      </c>
      <c r="E122" t="s">
        <v>39</v>
      </c>
      <c r="F122" t="s">
        <v>44</v>
      </c>
      <c r="G122">
        <v>1</v>
      </c>
      <c r="H122">
        <v>3</v>
      </c>
      <c r="I122">
        <v>2</v>
      </c>
      <c r="J122">
        <v>31</v>
      </c>
      <c r="K122">
        <v>27</v>
      </c>
      <c r="N122">
        <v>1</v>
      </c>
      <c r="O122">
        <v>7</v>
      </c>
      <c r="P122">
        <v>1</v>
      </c>
      <c r="Q122">
        <v>7</v>
      </c>
      <c r="R122" t="s">
        <v>105</v>
      </c>
      <c r="S122">
        <v>25</v>
      </c>
      <c r="T122">
        <v>1</v>
      </c>
      <c r="U122" t="s">
        <v>33</v>
      </c>
      <c r="V122" t="s">
        <v>121</v>
      </c>
    </row>
    <row r="123" spans="1:22" x14ac:dyDescent="0.25">
      <c r="A123" t="s">
        <v>109</v>
      </c>
      <c r="B123" s="3">
        <v>45928</v>
      </c>
      <c r="C123" t="s">
        <v>30</v>
      </c>
      <c r="D123">
        <v>9</v>
      </c>
      <c r="E123" t="s">
        <v>45</v>
      </c>
      <c r="F123" t="s">
        <v>32</v>
      </c>
      <c r="G123">
        <v>1</v>
      </c>
      <c r="H123">
        <v>0</v>
      </c>
      <c r="I123">
        <v>4</v>
      </c>
      <c r="J123">
        <v>16</v>
      </c>
      <c r="K123">
        <v>37</v>
      </c>
      <c r="N123">
        <v>0</v>
      </c>
      <c r="O123">
        <v>1</v>
      </c>
      <c r="P123">
        <v>2</v>
      </c>
      <c r="Q123">
        <v>6</v>
      </c>
      <c r="R123" t="s">
        <v>152</v>
      </c>
      <c r="S123">
        <v>33</v>
      </c>
      <c r="T123">
        <v>0</v>
      </c>
      <c r="U123" t="s">
        <v>35</v>
      </c>
      <c r="V123" t="s">
        <v>121</v>
      </c>
    </row>
    <row r="124" spans="1:22" x14ac:dyDescent="0.25">
      <c r="A124" t="s">
        <v>109</v>
      </c>
      <c r="B124" s="3">
        <v>45930</v>
      </c>
      <c r="C124" t="s">
        <v>30</v>
      </c>
      <c r="D124">
        <v>10</v>
      </c>
      <c r="E124" t="s">
        <v>31</v>
      </c>
      <c r="F124" t="s">
        <v>43</v>
      </c>
      <c r="G124">
        <v>1</v>
      </c>
      <c r="H124">
        <v>2</v>
      </c>
      <c r="I124">
        <v>1</v>
      </c>
      <c r="J124">
        <v>43</v>
      </c>
      <c r="K124">
        <v>20</v>
      </c>
      <c r="L124">
        <v>3.62</v>
      </c>
      <c r="M124">
        <v>1.44</v>
      </c>
      <c r="N124">
        <v>1</v>
      </c>
      <c r="O124" s="4">
        <v>4</v>
      </c>
      <c r="P124">
        <v>0</v>
      </c>
      <c r="Q124" s="5">
        <v>3</v>
      </c>
      <c r="R124" t="s">
        <v>37</v>
      </c>
      <c r="S124" s="4">
        <v>19</v>
      </c>
      <c r="T124">
        <v>1</v>
      </c>
      <c r="U124" t="s">
        <v>33</v>
      </c>
      <c r="V124" t="s">
        <v>121</v>
      </c>
    </row>
    <row r="125" spans="1:22" x14ac:dyDescent="0.25">
      <c r="A125" t="s">
        <v>109</v>
      </c>
      <c r="B125" s="3">
        <v>45930</v>
      </c>
      <c r="C125" t="s">
        <v>30</v>
      </c>
      <c r="D125">
        <v>10</v>
      </c>
      <c r="E125" t="s">
        <v>41</v>
      </c>
      <c r="F125" t="s">
        <v>42</v>
      </c>
      <c r="G125">
        <v>1</v>
      </c>
      <c r="H125">
        <v>1</v>
      </c>
      <c r="I125">
        <v>0</v>
      </c>
      <c r="J125">
        <v>20</v>
      </c>
      <c r="K125">
        <v>23</v>
      </c>
      <c r="L125">
        <v>2.13</v>
      </c>
      <c r="M125">
        <v>1.47</v>
      </c>
      <c r="N125">
        <v>0</v>
      </c>
      <c r="O125" s="5">
        <v>4</v>
      </c>
      <c r="P125">
        <v>0</v>
      </c>
      <c r="Q125" s="5">
        <v>2</v>
      </c>
      <c r="R125" t="s">
        <v>110</v>
      </c>
      <c r="S125" s="4">
        <v>23</v>
      </c>
      <c r="T125">
        <v>0</v>
      </c>
      <c r="U125" t="s">
        <v>33</v>
      </c>
      <c r="V125" t="s">
        <v>121</v>
      </c>
    </row>
    <row r="126" spans="1:22" x14ac:dyDescent="0.25">
      <c r="A126" t="s">
        <v>109</v>
      </c>
      <c r="B126" s="3">
        <v>45930</v>
      </c>
      <c r="C126" t="s">
        <v>30</v>
      </c>
      <c r="D126">
        <v>10</v>
      </c>
      <c r="E126" t="s">
        <v>46</v>
      </c>
      <c r="F126" t="s">
        <v>39</v>
      </c>
      <c r="G126">
        <v>1</v>
      </c>
      <c r="H126">
        <v>0</v>
      </c>
      <c r="I126">
        <v>2</v>
      </c>
      <c r="J126">
        <v>41</v>
      </c>
      <c r="K126">
        <v>34</v>
      </c>
      <c r="L126">
        <v>3.25</v>
      </c>
      <c r="M126">
        <v>3.53</v>
      </c>
      <c r="N126">
        <v>0</v>
      </c>
      <c r="O126" s="5">
        <v>6</v>
      </c>
      <c r="P126">
        <v>0</v>
      </c>
      <c r="Q126" s="5">
        <v>6</v>
      </c>
      <c r="R126" t="s">
        <v>142</v>
      </c>
      <c r="S126" s="4">
        <v>32</v>
      </c>
      <c r="T126">
        <v>0</v>
      </c>
      <c r="U126" t="s">
        <v>35</v>
      </c>
      <c r="V126" t="s">
        <v>121</v>
      </c>
    </row>
    <row r="127" spans="1:22" x14ac:dyDescent="0.25">
      <c r="A127" t="s">
        <v>109</v>
      </c>
      <c r="B127" s="3">
        <v>45930</v>
      </c>
      <c r="C127" t="s">
        <v>30</v>
      </c>
      <c r="D127">
        <v>10</v>
      </c>
      <c r="E127" t="s">
        <v>42</v>
      </c>
      <c r="F127" t="s">
        <v>41</v>
      </c>
      <c r="G127">
        <v>0</v>
      </c>
      <c r="H127">
        <v>0</v>
      </c>
      <c r="I127">
        <v>1</v>
      </c>
      <c r="J127">
        <v>23</v>
      </c>
      <c r="K127">
        <v>20</v>
      </c>
      <c r="L127">
        <v>1.47</v>
      </c>
      <c r="M127">
        <v>2.13</v>
      </c>
      <c r="N127">
        <v>0</v>
      </c>
      <c r="O127" s="5">
        <v>2</v>
      </c>
      <c r="P127">
        <v>0</v>
      </c>
      <c r="Q127" s="5">
        <v>4</v>
      </c>
      <c r="R127" t="s">
        <v>144</v>
      </c>
      <c r="S127" s="4">
        <v>19</v>
      </c>
      <c r="T127">
        <v>0</v>
      </c>
      <c r="U127" t="s">
        <v>35</v>
      </c>
      <c r="V127" t="s">
        <v>121</v>
      </c>
    </row>
    <row r="128" spans="1:22" x14ac:dyDescent="0.25">
      <c r="A128" t="s">
        <v>109</v>
      </c>
      <c r="B128" s="3">
        <v>45930</v>
      </c>
      <c r="C128" t="s">
        <v>30</v>
      </c>
      <c r="D128">
        <v>10</v>
      </c>
      <c r="E128" t="s">
        <v>136</v>
      </c>
      <c r="F128" t="s">
        <v>45</v>
      </c>
      <c r="G128">
        <v>1</v>
      </c>
      <c r="H128">
        <v>2</v>
      </c>
      <c r="I128">
        <v>1</v>
      </c>
      <c r="J128">
        <v>29</v>
      </c>
      <c r="K128">
        <v>28</v>
      </c>
      <c r="N128">
        <v>0</v>
      </c>
      <c r="O128">
        <v>3</v>
      </c>
      <c r="P128">
        <v>1</v>
      </c>
      <c r="Q128">
        <v>4</v>
      </c>
      <c r="R128" t="s">
        <v>103</v>
      </c>
      <c r="S128">
        <v>27</v>
      </c>
      <c r="T128">
        <v>0</v>
      </c>
      <c r="U128" t="s">
        <v>33</v>
      </c>
      <c r="V128" t="s">
        <v>121</v>
      </c>
    </row>
    <row r="129" spans="1:22" x14ac:dyDescent="0.25">
      <c r="A129" t="s">
        <v>109</v>
      </c>
      <c r="B129" s="3">
        <v>45930</v>
      </c>
      <c r="C129" t="s">
        <v>30</v>
      </c>
      <c r="D129">
        <v>10</v>
      </c>
      <c r="E129" t="s">
        <v>40</v>
      </c>
      <c r="F129" t="s">
        <v>44</v>
      </c>
      <c r="G129">
        <v>1</v>
      </c>
      <c r="H129">
        <v>1</v>
      </c>
      <c r="I129">
        <v>3</v>
      </c>
      <c r="J129">
        <v>33</v>
      </c>
      <c r="K129">
        <v>29</v>
      </c>
      <c r="N129">
        <v>0</v>
      </c>
      <c r="O129">
        <v>4</v>
      </c>
      <c r="P129">
        <v>0</v>
      </c>
      <c r="Q129">
        <v>3</v>
      </c>
      <c r="R129" t="s">
        <v>107</v>
      </c>
      <c r="S129">
        <v>26</v>
      </c>
      <c r="T129">
        <v>0</v>
      </c>
      <c r="U129" t="s">
        <v>35</v>
      </c>
      <c r="V129" t="s">
        <v>121</v>
      </c>
    </row>
    <row r="130" spans="1:22" x14ac:dyDescent="0.25">
      <c r="A130" t="s">
        <v>109</v>
      </c>
      <c r="B130" s="3">
        <v>45930</v>
      </c>
      <c r="C130" t="s">
        <v>30</v>
      </c>
      <c r="D130">
        <v>10</v>
      </c>
      <c r="E130" t="s">
        <v>44</v>
      </c>
      <c r="F130" t="s">
        <v>40</v>
      </c>
      <c r="G130">
        <v>0</v>
      </c>
      <c r="H130">
        <v>3</v>
      </c>
      <c r="I130">
        <v>1</v>
      </c>
      <c r="J130">
        <v>29</v>
      </c>
      <c r="K130">
        <v>33</v>
      </c>
      <c r="N130">
        <v>0</v>
      </c>
      <c r="O130">
        <v>3</v>
      </c>
      <c r="P130">
        <v>0</v>
      </c>
      <c r="Q130">
        <v>4</v>
      </c>
      <c r="R130" t="s">
        <v>150</v>
      </c>
      <c r="S130">
        <v>32</v>
      </c>
      <c r="T130">
        <v>0</v>
      </c>
      <c r="U130" t="s">
        <v>33</v>
      </c>
      <c r="V130" t="s">
        <v>121</v>
      </c>
    </row>
    <row r="131" spans="1:22" x14ac:dyDescent="0.25">
      <c r="A131" t="s">
        <v>109</v>
      </c>
      <c r="B131" s="3">
        <v>45930</v>
      </c>
      <c r="C131" t="s">
        <v>30</v>
      </c>
      <c r="D131">
        <v>10</v>
      </c>
      <c r="E131" t="s">
        <v>137</v>
      </c>
      <c r="F131" t="s">
        <v>36</v>
      </c>
      <c r="G131">
        <v>1</v>
      </c>
      <c r="H131">
        <v>0</v>
      </c>
      <c r="I131">
        <v>3</v>
      </c>
      <c r="J131">
        <v>33</v>
      </c>
      <c r="K131">
        <v>23</v>
      </c>
      <c r="N131">
        <v>0</v>
      </c>
      <c r="O131">
        <v>2</v>
      </c>
      <c r="P131">
        <v>0</v>
      </c>
      <c r="Q131">
        <v>3</v>
      </c>
      <c r="R131" t="s">
        <v>100</v>
      </c>
      <c r="S131">
        <v>20</v>
      </c>
      <c r="T131">
        <v>0</v>
      </c>
      <c r="U131" t="s">
        <v>35</v>
      </c>
      <c r="V131" t="s">
        <v>121</v>
      </c>
    </row>
    <row r="132" spans="1:22" x14ac:dyDescent="0.25">
      <c r="A132" t="s">
        <v>109</v>
      </c>
      <c r="B132" s="3">
        <v>45930</v>
      </c>
      <c r="C132" t="s">
        <v>30</v>
      </c>
      <c r="D132">
        <v>10</v>
      </c>
      <c r="E132" t="s">
        <v>43</v>
      </c>
      <c r="F132" t="s">
        <v>31</v>
      </c>
      <c r="G132">
        <v>0</v>
      </c>
      <c r="H132">
        <v>1</v>
      </c>
      <c r="I132">
        <v>2</v>
      </c>
      <c r="J132">
        <v>20</v>
      </c>
      <c r="K132">
        <v>43</v>
      </c>
      <c r="L132">
        <v>1.44</v>
      </c>
      <c r="M132">
        <v>3.62</v>
      </c>
      <c r="N132">
        <v>0</v>
      </c>
      <c r="O132">
        <v>3</v>
      </c>
      <c r="P132">
        <v>1</v>
      </c>
      <c r="Q132">
        <v>4</v>
      </c>
      <c r="R132" t="s">
        <v>149</v>
      </c>
      <c r="S132">
        <v>41</v>
      </c>
      <c r="T132">
        <v>1</v>
      </c>
      <c r="U132" t="s">
        <v>35</v>
      </c>
      <c r="V132" t="s">
        <v>121</v>
      </c>
    </row>
    <row r="133" spans="1:22" x14ac:dyDescent="0.25">
      <c r="A133" t="s">
        <v>109</v>
      </c>
      <c r="B133" s="3">
        <v>45930</v>
      </c>
      <c r="C133" t="s">
        <v>30</v>
      </c>
      <c r="D133">
        <v>10</v>
      </c>
      <c r="E133" t="s">
        <v>36</v>
      </c>
      <c r="F133" t="s">
        <v>137</v>
      </c>
      <c r="G133">
        <v>0</v>
      </c>
      <c r="H133">
        <v>3</v>
      </c>
      <c r="I133">
        <v>0</v>
      </c>
      <c r="J133">
        <v>23</v>
      </c>
      <c r="K133">
        <v>33</v>
      </c>
      <c r="N133">
        <v>0</v>
      </c>
      <c r="O133">
        <v>3</v>
      </c>
      <c r="P133">
        <v>0</v>
      </c>
      <c r="Q133">
        <v>2</v>
      </c>
      <c r="R133" t="s">
        <v>146</v>
      </c>
      <c r="S133">
        <v>33</v>
      </c>
      <c r="T133">
        <v>0</v>
      </c>
      <c r="U133" t="s">
        <v>33</v>
      </c>
      <c r="V133" t="s">
        <v>121</v>
      </c>
    </row>
    <row r="134" spans="1:22" x14ac:dyDescent="0.25">
      <c r="A134" t="s">
        <v>109</v>
      </c>
      <c r="B134" s="3">
        <v>45930</v>
      </c>
      <c r="C134" t="s">
        <v>30</v>
      </c>
      <c r="D134">
        <v>10</v>
      </c>
      <c r="E134" t="s">
        <v>32</v>
      </c>
      <c r="F134" t="s">
        <v>38</v>
      </c>
      <c r="G134">
        <v>1</v>
      </c>
      <c r="H134">
        <v>0</v>
      </c>
      <c r="I134">
        <v>1</v>
      </c>
      <c r="J134">
        <v>31</v>
      </c>
      <c r="K134">
        <v>20</v>
      </c>
      <c r="N134">
        <v>0</v>
      </c>
      <c r="O134">
        <v>5</v>
      </c>
      <c r="P134">
        <v>0</v>
      </c>
      <c r="Q134">
        <v>3</v>
      </c>
      <c r="R134" t="s">
        <v>117</v>
      </c>
      <c r="S134">
        <v>19</v>
      </c>
      <c r="T134">
        <v>0</v>
      </c>
      <c r="U134" t="s">
        <v>35</v>
      </c>
      <c r="V134" t="s">
        <v>121</v>
      </c>
    </row>
    <row r="135" spans="1:22" x14ac:dyDescent="0.25">
      <c r="A135" t="s">
        <v>109</v>
      </c>
      <c r="B135" s="3">
        <v>45930</v>
      </c>
      <c r="C135" t="s">
        <v>30</v>
      </c>
      <c r="D135">
        <v>10</v>
      </c>
      <c r="E135" t="s">
        <v>38</v>
      </c>
      <c r="F135" t="s">
        <v>32</v>
      </c>
      <c r="G135">
        <v>0</v>
      </c>
      <c r="H135">
        <v>1</v>
      </c>
      <c r="I135">
        <v>0</v>
      </c>
      <c r="J135">
        <v>20</v>
      </c>
      <c r="K135">
        <v>31</v>
      </c>
      <c r="N135">
        <v>0</v>
      </c>
      <c r="O135">
        <v>3</v>
      </c>
      <c r="P135">
        <v>0</v>
      </c>
      <c r="Q135">
        <v>5</v>
      </c>
      <c r="R135" t="s">
        <v>104</v>
      </c>
      <c r="S135">
        <v>31</v>
      </c>
      <c r="T135">
        <v>0</v>
      </c>
      <c r="U135" t="s">
        <v>33</v>
      </c>
      <c r="V135" t="s">
        <v>121</v>
      </c>
    </row>
    <row r="136" spans="1:22" x14ac:dyDescent="0.25">
      <c r="A136" t="s">
        <v>109</v>
      </c>
      <c r="B136" s="3">
        <v>45930</v>
      </c>
      <c r="C136" t="s">
        <v>30</v>
      </c>
      <c r="D136">
        <v>10</v>
      </c>
      <c r="E136" t="s">
        <v>39</v>
      </c>
      <c r="F136" t="s">
        <v>46</v>
      </c>
      <c r="G136">
        <v>0</v>
      </c>
      <c r="H136">
        <v>2</v>
      </c>
      <c r="I136">
        <v>0</v>
      </c>
      <c r="J136">
        <v>34</v>
      </c>
      <c r="K136">
        <v>41</v>
      </c>
      <c r="L136">
        <v>3.53</v>
      </c>
      <c r="M136">
        <v>3.25</v>
      </c>
      <c r="N136">
        <v>0</v>
      </c>
      <c r="O136">
        <v>6</v>
      </c>
      <c r="P136">
        <v>0</v>
      </c>
      <c r="Q136">
        <v>6</v>
      </c>
      <c r="R136" t="s">
        <v>106</v>
      </c>
      <c r="S136">
        <v>41</v>
      </c>
      <c r="T136">
        <v>0</v>
      </c>
      <c r="U136" t="s">
        <v>33</v>
      </c>
      <c r="V136" t="s">
        <v>121</v>
      </c>
    </row>
    <row r="137" spans="1:22" x14ac:dyDescent="0.25">
      <c r="A137" t="s">
        <v>109</v>
      </c>
      <c r="B137" s="3">
        <v>45930</v>
      </c>
      <c r="C137" t="s">
        <v>30</v>
      </c>
      <c r="D137">
        <v>10</v>
      </c>
      <c r="E137" t="s">
        <v>45</v>
      </c>
      <c r="F137" t="s">
        <v>136</v>
      </c>
      <c r="G137">
        <v>0</v>
      </c>
      <c r="H137">
        <v>1</v>
      </c>
      <c r="I137">
        <v>2</v>
      </c>
      <c r="J137">
        <v>28</v>
      </c>
      <c r="K137">
        <v>29</v>
      </c>
      <c r="N137">
        <v>1</v>
      </c>
      <c r="O137">
        <v>4</v>
      </c>
      <c r="P137">
        <v>0</v>
      </c>
      <c r="Q137">
        <v>3</v>
      </c>
      <c r="R137" t="s">
        <v>148</v>
      </c>
      <c r="S137">
        <v>27</v>
      </c>
      <c r="T137">
        <v>0</v>
      </c>
      <c r="U137" t="s">
        <v>35</v>
      </c>
      <c r="V137" t="s">
        <v>121</v>
      </c>
    </row>
    <row r="138" spans="1:22" x14ac:dyDescent="0.25">
      <c r="A138" t="s">
        <v>109</v>
      </c>
      <c r="B138" s="3">
        <v>45933</v>
      </c>
      <c r="C138" t="s">
        <v>30</v>
      </c>
      <c r="D138">
        <v>11</v>
      </c>
      <c r="E138" t="s">
        <v>31</v>
      </c>
      <c r="F138" t="s">
        <v>44</v>
      </c>
      <c r="G138">
        <v>0</v>
      </c>
      <c r="H138">
        <v>3</v>
      </c>
      <c r="I138">
        <v>0</v>
      </c>
      <c r="J138">
        <v>23</v>
      </c>
      <c r="K138">
        <v>26</v>
      </c>
      <c r="L138">
        <v>1.89</v>
      </c>
      <c r="M138">
        <v>2.3199999999999998</v>
      </c>
      <c r="N138">
        <v>0</v>
      </c>
      <c r="O138" s="5">
        <v>3</v>
      </c>
      <c r="P138">
        <v>0</v>
      </c>
      <c r="Q138" s="5">
        <v>4</v>
      </c>
      <c r="R138" t="s">
        <v>34</v>
      </c>
      <c r="S138" s="4">
        <v>26</v>
      </c>
      <c r="T138">
        <v>0</v>
      </c>
      <c r="U138" t="s">
        <v>33</v>
      </c>
      <c r="V138" t="s">
        <v>121</v>
      </c>
    </row>
    <row r="139" spans="1:22" x14ac:dyDescent="0.25">
      <c r="A139" t="s">
        <v>109</v>
      </c>
      <c r="B139" s="3">
        <v>45933</v>
      </c>
      <c r="C139" t="s">
        <v>30</v>
      </c>
      <c r="D139">
        <v>11</v>
      </c>
      <c r="E139" t="s">
        <v>41</v>
      </c>
      <c r="F139" t="s">
        <v>45</v>
      </c>
      <c r="G139">
        <v>1</v>
      </c>
      <c r="H139">
        <v>4</v>
      </c>
      <c r="I139">
        <v>5</v>
      </c>
      <c r="J139">
        <v>44</v>
      </c>
      <c r="K139">
        <v>34</v>
      </c>
      <c r="L139">
        <v>3.75</v>
      </c>
      <c r="M139">
        <v>1.52</v>
      </c>
      <c r="N139">
        <v>0</v>
      </c>
      <c r="O139" s="5">
        <v>5</v>
      </c>
      <c r="P139">
        <v>1</v>
      </c>
      <c r="Q139" s="5">
        <v>2</v>
      </c>
      <c r="R139" t="s">
        <v>108</v>
      </c>
      <c r="S139" s="4">
        <v>30</v>
      </c>
      <c r="T139">
        <v>1</v>
      </c>
      <c r="U139" t="s">
        <v>35</v>
      </c>
      <c r="V139" t="s">
        <v>121</v>
      </c>
    </row>
    <row r="140" spans="1:22" x14ac:dyDescent="0.25">
      <c r="A140" t="s">
        <v>109</v>
      </c>
      <c r="B140" s="3">
        <v>45933</v>
      </c>
      <c r="C140" t="s">
        <v>30</v>
      </c>
      <c r="D140">
        <v>11</v>
      </c>
      <c r="E140" t="s">
        <v>46</v>
      </c>
      <c r="F140" t="s">
        <v>32</v>
      </c>
      <c r="G140">
        <v>1</v>
      </c>
      <c r="H140">
        <v>0</v>
      </c>
      <c r="I140">
        <v>2</v>
      </c>
      <c r="J140">
        <v>36</v>
      </c>
      <c r="K140">
        <v>29</v>
      </c>
      <c r="L140">
        <v>2.88</v>
      </c>
      <c r="M140">
        <v>2.74</v>
      </c>
      <c r="N140">
        <v>0</v>
      </c>
      <c r="O140" s="5">
        <v>4</v>
      </c>
      <c r="P140">
        <v>0</v>
      </c>
      <c r="Q140" s="5">
        <v>5</v>
      </c>
      <c r="R140" t="s">
        <v>142</v>
      </c>
      <c r="S140" s="4">
        <v>27</v>
      </c>
      <c r="T140">
        <v>0</v>
      </c>
      <c r="U140" t="s">
        <v>35</v>
      </c>
      <c r="V140" t="s">
        <v>121</v>
      </c>
    </row>
    <row r="141" spans="1:22" x14ac:dyDescent="0.25">
      <c r="A141" t="s">
        <v>109</v>
      </c>
      <c r="B141" s="3">
        <v>45933</v>
      </c>
      <c r="C141" t="s">
        <v>30</v>
      </c>
      <c r="D141">
        <v>11</v>
      </c>
      <c r="E141" t="s">
        <v>42</v>
      </c>
      <c r="F141" t="s">
        <v>40</v>
      </c>
      <c r="G141">
        <v>1</v>
      </c>
      <c r="H141">
        <v>3</v>
      </c>
      <c r="I141">
        <v>4</v>
      </c>
      <c r="J141">
        <v>35</v>
      </c>
      <c r="K141">
        <v>37</v>
      </c>
      <c r="L141">
        <v>2.21</v>
      </c>
      <c r="M141">
        <v>2.25</v>
      </c>
      <c r="N141">
        <v>0</v>
      </c>
      <c r="O141">
        <v>6</v>
      </c>
      <c r="P141">
        <v>0</v>
      </c>
      <c r="Q141">
        <v>3</v>
      </c>
      <c r="R141" t="s">
        <v>144</v>
      </c>
      <c r="S141">
        <v>34</v>
      </c>
      <c r="T141">
        <v>1</v>
      </c>
      <c r="U141" t="s">
        <v>35</v>
      </c>
      <c r="V141" t="s">
        <v>121</v>
      </c>
    </row>
    <row r="142" spans="1:22" x14ac:dyDescent="0.25">
      <c r="A142" t="s">
        <v>109</v>
      </c>
      <c r="B142" s="3">
        <v>45933</v>
      </c>
      <c r="C142" t="s">
        <v>30</v>
      </c>
      <c r="D142">
        <v>11</v>
      </c>
      <c r="E142" t="s">
        <v>136</v>
      </c>
      <c r="F142" t="s">
        <v>36</v>
      </c>
      <c r="G142">
        <v>0</v>
      </c>
      <c r="H142">
        <v>4</v>
      </c>
      <c r="I142">
        <v>3</v>
      </c>
      <c r="J142">
        <v>18</v>
      </c>
      <c r="K142">
        <v>27</v>
      </c>
      <c r="N142">
        <v>2</v>
      </c>
      <c r="O142">
        <v>3</v>
      </c>
      <c r="P142">
        <v>1</v>
      </c>
      <c r="Q142">
        <v>3</v>
      </c>
      <c r="R142" t="s">
        <v>103</v>
      </c>
      <c r="S142">
        <v>24</v>
      </c>
      <c r="T142">
        <v>0</v>
      </c>
      <c r="U142" t="s">
        <v>33</v>
      </c>
      <c r="V142" t="s">
        <v>121</v>
      </c>
    </row>
    <row r="143" spans="1:22" x14ac:dyDescent="0.25">
      <c r="A143" t="s">
        <v>109</v>
      </c>
      <c r="B143" s="3">
        <v>45933</v>
      </c>
      <c r="C143" t="s">
        <v>30</v>
      </c>
      <c r="D143">
        <v>11</v>
      </c>
      <c r="E143" t="s">
        <v>40</v>
      </c>
      <c r="F143" t="s">
        <v>42</v>
      </c>
      <c r="G143">
        <v>0</v>
      </c>
      <c r="H143">
        <v>4</v>
      </c>
      <c r="I143">
        <v>3</v>
      </c>
      <c r="J143">
        <v>37</v>
      </c>
      <c r="K143">
        <v>35</v>
      </c>
      <c r="L143">
        <v>2.25</v>
      </c>
      <c r="M143">
        <v>2.21</v>
      </c>
      <c r="N143">
        <v>0</v>
      </c>
      <c r="O143">
        <v>3</v>
      </c>
      <c r="P143">
        <v>0</v>
      </c>
      <c r="Q143">
        <v>6</v>
      </c>
      <c r="R143" t="s">
        <v>107</v>
      </c>
      <c r="S143">
        <v>32</v>
      </c>
      <c r="T143">
        <v>1</v>
      </c>
      <c r="U143" t="s">
        <v>33</v>
      </c>
      <c r="V143" t="s">
        <v>121</v>
      </c>
    </row>
    <row r="144" spans="1:22" x14ac:dyDescent="0.25">
      <c r="A144" t="s">
        <v>109</v>
      </c>
      <c r="B144" s="3">
        <v>45933</v>
      </c>
      <c r="C144" t="s">
        <v>30</v>
      </c>
      <c r="D144">
        <v>11</v>
      </c>
      <c r="E144" t="s">
        <v>44</v>
      </c>
      <c r="F144" t="s">
        <v>31</v>
      </c>
      <c r="G144">
        <v>1</v>
      </c>
      <c r="H144">
        <v>0</v>
      </c>
      <c r="I144">
        <v>3</v>
      </c>
      <c r="J144">
        <v>26</v>
      </c>
      <c r="K144">
        <v>23</v>
      </c>
      <c r="L144">
        <v>2.3199999999999998</v>
      </c>
      <c r="M144">
        <v>1.89</v>
      </c>
      <c r="N144">
        <v>0</v>
      </c>
      <c r="O144">
        <v>4</v>
      </c>
      <c r="P144">
        <v>0</v>
      </c>
      <c r="Q144">
        <v>3</v>
      </c>
      <c r="R144" t="s">
        <v>150</v>
      </c>
      <c r="S144">
        <v>20</v>
      </c>
      <c r="T144">
        <v>0</v>
      </c>
      <c r="U144" t="s">
        <v>35</v>
      </c>
      <c r="V144" t="s">
        <v>121</v>
      </c>
    </row>
    <row r="145" spans="1:22" x14ac:dyDescent="0.25">
      <c r="A145" t="s">
        <v>109</v>
      </c>
      <c r="B145" s="3">
        <v>45933</v>
      </c>
      <c r="C145" t="s">
        <v>30</v>
      </c>
      <c r="D145">
        <v>11</v>
      </c>
      <c r="E145" t="s">
        <v>137</v>
      </c>
      <c r="F145" t="s">
        <v>38</v>
      </c>
      <c r="G145">
        <v>0</v>
      </c>
      <c r="H145">
        <v>1</v>
      </c>
      <c r="I145">
        <v>0</v>
      </c>
      <c r="J145">
        <v>28</v>
      </c>
      <c r="K145">
        <v>30</v>
      </c>
      <c r="N145">
        <v>0</v>
      </c>
      <c r="O145">
        <v>2</v>
      </c>
      <c r="P145">
        <v>0</v>
      </c>
      <c r="Q145">
        <v>5</v>
      </c>
      <c r="R145" t="s">
        <v>116</v>
      </c>
      <c r="S145">
        <v>30</v>
      </c>
      <c r="T145">
        <v>0</v>
      </c>
      <c r="U145" t="s">
        <v>33</v>
      </c>
      <c r="V145" t="s">
        <v>121</v>
      </c>
    </row>
    <row r="146" spans="1:22" x14ac:dyDescent="0.25">
      <c r="A146" t="s">
        <v>109</v>
      </c>
      <c r="B146" s="3">
        <v>45933</v>
      </c>
      <c r="C146" t="s">
        <v>30</v>
      </c>
      <c r="D146">
        <v>11</v>
      </c>
      <c r="E146" t="s">
        <v>43</v>
      </c>
      <c r="F146" t="s">
        <v>39</v>
      </c>
      <c r="G146">
        <v>1</v>
      </c>
      <c r="H146">
        <v>1</v>
      </c>
      <c r="I146">
        <v>2</v>
      </c>
      <c r="J146">
        <v>22</v>
      </c>
      <c r="K146">
        <v>21</v>
      </c>
      <c r="N146">
        <v>0</v>
      </c>
      <c r="O146">
        <v>4</v>
      </c>
      <c r="P146">
        <v>0</v>
      </c>
      <c r="Q146">
        <v>3</v>
      </c>
      <c r="R146" t="s">
        <v>149</v>
      </c>
      <c r="S146">
        <v>19</v>
      </c>
      <c r="T146">
        <v>0</v>
      </c>
      <c r="U146" t="s">
        <v>35</v>
      </c>
      <c r="V146" t="s">
        <v>121</v>
      </c>
    </row>
    <row r="147" spans="1:22" x14ac:dyDescent="0.25">
      <c r="A147" t="s">
        <v>109</v>
      </c>
      <c r="B147" s="3">
        <v>45933</v>
      </c>
      <c r="C147" t="s">
        <v>30</v>
      </c>
      <c r="D147">
        <v>11</v>
      </c>
      <c r="E147" t="s">
        <v>36</v>
      </c>
      <c r="F147" t="s">
        <v>136</v>
      </c>
      <c r="G147">
        <v>1</v>
      </c>
      <c r="H147">
        <v>3</v>
      </c>
      <c r="I147">
        <v>4</v>
      </c>
      <c r="J147">
        <v>27</v>
      </c>
      <c r="K147">
        <v>18</v>
      </c>
      <c r="N147">
        <v>1</v>
      </c>
      <c r="O147">
        <v>3</v>
      </c>
      <c r="P147">
        <v>2</v>
      </c>
      <c r="Q147">
        <v>3</v>
      </c>
      <c r="R147" t="s">
        <v>146</v>
      </c>
      <c r="S147">
        <v>14</v>
      </c>
      <c r="T147">
        <v>0</v>
      </c>
      <c r="U147" t="s">
        <v>35</v>
      </c>
      <c r="V147" t="s">
        <v>121</v>
      </c>
    </row>
    <row r="148" spans="1:22" x14ac:dyDescent="0.25">
      <c r="A148" t="s">
        <v>109</v>
      </c>
      <c r="B148" s="3">
        <v>45933</v>
      </c>
      <c r="C148" t="s">
        <v>30</v>
      </c>
      <c r="D148">
        <v>11</v>
      </c>
      <c r="E148" t="s">
        <v>32</v>
      </c>
      <c r="F148" t="s">
        <v>46</v>
      </c>
      <c r="G148">
        <v>0</v>
      </c>
      <c r="H148">
        <v>2</v>
      </c>
      <c r="I148">
        <v>0</v>
      </c>
      <c r="J148">
        <v>29</v>
      </c>
      <c r="K148">
        <v>36</v>
      </c>
      <c r="L148">
        <v>2.74</v>
      </c>
      <c r="M148">
        <v>2.88</v>
      </c>
      <c r="N148">
        <v>0</v>
      </c>
      <c r="O148">
        <v>5</v>
      </c>
      <c r="P148">
        <v>0</v>
      </c>
      <c r="Q148">
        <v>4</v>
      </c>
      <c r="R148" t="s">
        <v>117</v>
      </c>
      <c r="S148">
        <v>36</v>
      </c>
      <c r="T148">
        <v>0</v>
      </c>
      <c r="U148" t="s">
        <v>33</v>
      </c>
      <c r="V148" t="s">
        <v>121</v>
      </c>
    </row>
    <row r="149" spans="1:22" x14ac:dyDescent="0.25">
      <c r="A149" t="s">
        <v>109</v>
      </c>
      <c r="B149" s="3">
        <v>45933</v>
      </c>
      <c r="C149" t="s">
        <v>30</v>
      </c>
      <c r="D149">
        <v>11</v>
      </c>
      <c r="E149" t="s">
        <v>38</v>
      </c>
      <c r="F149" t="s">
        <v>137</v>
      </c>
      <c r="G149">
        <v>1</v>
      </c>
      <c r="H149">
        <v>0</v>
      </c>
      <c r="I149">
        <v>1</v>
      </c>
      <c r="J149">
        <v>30</v>
      </c>
      <c r="K149">
        <v>28</v>
      </c>
      <c r="N149">
        <v>0</v>
      </c>
      <c r="O149">
        <v>5</v>
      </c>
      <c r="P149">
        <v>0</v>
      </c>
      <c r="Q149">
        <v>2</v>
      </c>
      <c r="R149" t="s">
        <v>104</v>
      </c>
      <c r="S149">
        <v>27</v>
      </c>
      <c r="T149">
        <v>0</v>
      </c>
      <c r="U149" t="s">
        <v>35</v>
      </c>
      <c r="V149" t="s">
        <v>121</v>
      </c>
    </row>
    <row r="150" spans="1:22" x14ac:dyDescent="0.25">
      <c r="A150" t="s">
        <v>109</v>
      </c>
      <c r="B150" s="3">
        <v>45933</v>
      </c>
      <c r="C150" t="s">
        <v>30</v>
      </c>
      <c r="D150">
        <v>11</v>
      </c>
      <c r="E150" t="s">
        <v>39</v>
      </c>
      <c r="F150" t="s">
        <v>43</v>
      </c>
      <c r="G150">
        <v>0</v>
      </c>
      <c r="H150">
        <v>2</v>
      </c>
      <c r="I150">
        <v>1</v>
      </c>
      <c r="J150">
        <v>21</v>
      </c>
      <c r="K150">
        <v>22</v>
      </c>
      <c r="N150">
        <v>0</v>
      </c>
      <c r="O150">
        <v>3</v>
      </c>
      <c r="P150">
        <v>0</v>
      </c>
      <c r="Q150">
        <v>4</v>
      </c>
      <c r="R150" t="s">
        <v>105</v>
      </c>
      <c r="S150">
        <v>21</v>
      </c>
      <c r="T150">
        <v>0</v>
      </c>
      <c r="U150" t="s">
        <v>33</v>
      </c>
      <c r="V150" t="s">
        <v>121</v>
      </c>
    </row>
    <row r="151" spans="1:22" x14ac:dyDescent="0.25">
      <c r="A151" t="s">
        <v>109</v>
      </c>
      <c r="B151" s="3">
        <v>45933</v>
      </c>
      <c r="C151" t="s">
        <v>30</v>
      </c>
      <c r="D151">
        <v>11</v>
      </c>
      <c r="E151" t="s">
        <v>45</v>
      </c>
      <c r="F151" t="s">
        <v>41</v>
      </c>
      <c r="G151">
        <v>0</v>
      </c>
      <c r="H151">
        <v>5</v>
      </c>
      <c r="I151">
        <v>4</v>
      </c>
      <c r="J151">
        <v>34</v>
      </c>
      <c r="K151">
        <v>44</v>
      </c>
      <c r="L151">
        <v>1.52</v>
      </c>
      <c r="M151">
        <v>3.75</v>
      </c>
      <c r="N151">
        <v>1</v>
      </c>
      <c r="O151">
        <v>2</v>
      </c>
      <c r="P151">
        <v>0</v>
      </c>
      <c r="Q151">
        <v>5</v>
      </c>
      <c r="R151" t="s">
        <v>148</v>
      </c>
      <c r="S151">
        <v>40</v>
      </c>
      <c r="T151">
        <v>1</v>
      </c>
      <c r="U151" t="s">
        <v>33</v>
      </c>
      <c r="V151" t="s">
        <v>121</v>
      </c>
    </row>
    <row r="152" spans="1:22" x14ac:dyDescent="0.25">
      <c r="A152" t="s">
        <v>109</v>
      </c>
      <c r="B152" s="3">
        <v>45935</v>
      </c>
      <c r="C152" t="s">
        <v>30</v>
      </c>
      <c r="D152">
        <v>12</v>
      </c>
      <c r="E152" t="s">
        <v>31</v>
      </c>
      <c r="F152" t="s">
        <v>45</v>
      </c>
      <c r="G152">
        <v>1</v>
      </c>
      <c r="H152">
        <v>4</v>
      </c>
      <c r="I152">
        <v>3</v>
      </c>
      <c r="J152">
        <v>49</v>
      </c>
      <c r="K152">
        <v>20</v>
      </c>
      <c r="L152">
        <v>3.75</v>
      </c>
      <c r="M152">
        <v>1.79</v>
      </c>
      <c r="N152">
        <v>1</v>
      </c>
      <c r="O152" s="4">
        <v>5</v>
      </c>
      <c r="P152">
        <v>1</v>
      </c>
      <c r="Q152" s="4">
        <v>4</v>
      </c>
      <c r="R152" t="s">
        <v>34</v>
      </c>
      <c r="S152" s="4">
        <v>16</v>
      </c>
      <c r="T152">
        <v>0</v>
      </c>
      <c r="U152" t="s">
        <v>35</v>
      </c>
      <c r="V152" t="s">
        <v>121</v>
      </c>
    </row>
    <row r="153" spans="1:22" x14ac:dyDescent="0.25">
      <c r="A153" t="s">
        <v>109</v>
      </c>
      <c r="B153" s="3">
        <v>45935</v>
      </c>
      <c r="C153" t="s">
        <v>30</v>
      </c>
      <c r="D153">
        <v>12</v>
      </c>
      <c r="E153" t="s">
        <v>41</v>
      </c>
      <c r="F153" t="s">
        <v>43</v>
      </c>
      <c r="G153">
        <v>1</v>
      </c>
      <c r="H153">
        <v>3</v>
      </c>
      <c r="I153">
        <v>1</v>
      </c>
      <c r="J153">
        <v>42</v>
      </c>
      <c r="K153">
        <v>21</v>
      </c>
      <c r="L153">
        <v>5.78</v>
      </c>
      <c r="M153">
        <v>1.1100000000000001</v>
      </c>
      <c r="N153">
        <v>1</v>
      </c>
      <c r="O153" s="5">
        <v>5</v>
      </c>
      <c r="P153">
        <v>0</v>
      </c>
      <c r="Q153" s="5">
        <v>3</v>
      </c>
      <c r="R153" t="s">
        <v>110</v>
      </c>
      <c r="S153" s="4">
        <v>20</v>
      </c>
      <c r="T153">
        <v>0</v>
      </c>
      <c r="U153" t="s">
        <v>33</v>
      </c>
      <c r="V153" t="s">
        <v>121</v>
      </c>
    </row>
    <row r="154" spans="1:22" x14ac:dyDescent="0.25">
      <c r="A154" t="s">
        <v>109</v>
      </c>
      <c r="B154" s="3">
        <v>45935</v>
      </c>
      <c r="C154" t="s">
        <v>30</v>
      </c>
      <c r="D154">
        <v>12</v>
      </c>
      <c r="E154" t="s">
        <v>46</v>
      </c>
      <c r="F154" t="s">
        <v>40</v>
      </c>
      <c r="G154">
        <v>0</v>
      </c>
      <c r="H154">
        <v>4</v>
      </c>
      <c r="I154">
        <v>5</v>
      </c>
      <c r="J154">
        <v>27</v>
      </c>
      <c r="K154">
        <v>26</v>
      </c>
      <c r="L154">
        <v>2.41</v>
      </c>
      <c r="M154">
        <v>2.23</v>
      </c>
      <c r="N154">
        <v>1</v>
      </c>
      <c r="O154" s="5">
        <v>6</v>
      </c>
      <c r="P154">
        <v>1</v>
      </c>
      <c r="Q154" s="5">
        <v>5</v>
      </c>
      <c r="R154" t="s">
        <v>140</v>
      </c>
      <c r="S154" s="4">
        <v>21</v>
      </c>
      <c r="T154">
        <v>0</v>
      </c>
      <c r="U154" t="s">
        <v>35</v>
      </c>
      <c r="V154" t="s">
        <v>121</v>
      </c>
    </row>
    <row r="155" spans="1:22" x14ac:dyDescent="0.25">
      <c r="A155" t="s">
        <v>109</v>
      </c>
      <c r="B155" s="3">
        <v>45935</v>
      </c>
      <c r="C155" t="s">
        <v>30</v>
      </c>
      <c r="D155">
        <v>12</v>
      </c>
      <c r="E155" t="s">
        <v>42</v>
      </c>
      <c r="F155" t="s">
        <v>44</v>
      </c>
      <c r="G155">
        <v>1</v>
      </c>
      <c r="H155">
        <v>3</v>
      </c>
      <c r="I155">
        <v>1</v>
      </c>
      <c r="J155">
        <v>26</v>
      </c>
      <c r="K155">
        <v>30</v>
      </c>
      <c r="L155">
        <v>3.19</v>
      </c>
      <c r="M155">
        <v>1.62</v>
      </c>
      <c r="N155">
        <v>0</v>
      </c>
      <c r="O155">
        <v>3</v>
      </c>
      <c r="P155">
        <v>0</v>
      </c>
      <c r="Q155">
        <v>0</v>
      </c>
      <c r="R155" t="s">
        <v>145</v>
      </c>
      <c r="S155">
        <v>29</v>
      </c>
      <c r="T155">
        <v>0</v>
      </c>
      <c r="U155" t="s">
        <v>33</v>
      </c>
      <c r="V155" t="s">
        <v>121</v>
      </c>
    </row>
    <row r="156" spans="1:22" x14ac:dyDescent="0.25">
      <c r="A156" t="s">
        <v>109</v>
      </c>
      <c r="B156" s="3">
        <v>45935</v>
      </c>
      <c r="C156" t="s">
        <v>30</v>
      </c>
      <c r="D156">
        <v>12</v>
      </c>
      <c r="E156" t="s">
        <v>136</v>
      </c>
      <c r="F156" t="s">
        <v>38</v>
      </c>
      <c r="G156">
        <v>1</v>
      </c>
      <c r="H156">
        <v>1</v>
      </c>
      <c r="I156">
        <v>3</v>
      </c>
      <c r="J156">
        <v>31</v>
      </c>
      <c r="K156">
        <v>14</v>
      </c>
      <c r="N156">
        <v>1</v>
      </c>
      <c r="O156">
        <v>7</v>
      </c>
      <c r="P156">
        <v>0</v>
      </c>
      <c r="Q156">
        <v>1</v>
      </c>
      <c r="R156" t="s">
        <v>103</v>
      </c>
      <c r="S156">
        <v>11</v>
      </c>
      <c r="T156">
        <v>0</v>
      </c>
      <c r="U156" t="s">
        <v>35</v>
      </c>
      <c r="V156" t="s">
        <v>121</v>
      </c>
    </row>
    <row r="157" spans="1:22" x14ac:dyDescent="0.25">
      <c r="A157" t="s">
        <v>109</v>
      </c>
      <c r="B157" s="3">
        <v>45935</v>
      </c>
      <c r="C157" t="s">
        <v>30</v>
      </c>
      <c r="D157">
        <v>12</v>
      </c>
      <c r="E157" t="s">
        <v>40</v>
      </c>
      <c r="F157" t="s">
        <v>46</v>
      </c>
      <c r="G157">
        <v>1</v>
      </c>
      <c r="H157">
        <v>5</v>
      </c>
      <c r="I157">
        <v>4</v>
      </c>
      <c r="J157">
        <v>26</v>
      </c>
      <c r="K157">
        <v>27</v>
      </c>
      <c r="L157">
        <v>2.23</v>
      </c>
      <c r="M157">
        <v>2.41</v>
      </c>
      <c r="N157">
        <v>1</v>
      </c>
      <c r="O157">
        <v>5</v>
      </c>
      <c r="P157">
        <v>1</v>
      </c>
      <c r="Q157">
        <v>6</v>
      </c>
      <c r="R157" t="s">
        <v>107</v>
      </c>
      <c r="S157">
        <v>23</v>
      </c>
      <c r="T157">
        <v>0</v>
      </c>
      <c r="U157" t="s">
        <v>33</v>
      </c>
      <c r="V157" t="s">
        <v>121</v>
      </c>
    </row>
    <row r="158" spans="1:22" x14ac:dyDescent="0.25">
      <c r="A158" t="s">
        <v>109</v>
      </c>
      <c r="B158" s="3">
        <v>45935</v>
      </c>
      <c r="C158" t="s">
        <v>30</v>
      </c>
      <c r="D158">
        <v>12</v>
      </c>
      <c r="E158" t="s">
        <v>44</v>
      </c>
      <c r="F158" t="s">
        <v>42</v>
      </c>
      <c r="G158">
        <v>0</v>
      </c>
      <c r="H158">
        <v>1</v>
      </c>
      <c r="I158">
        <v>3</v>
      </c>
      <c r="J158">
        <v>30</v>
      </c>
      <c r="K158">
        <v>26</v>
      </c>
      <c r="L158">
        <v>1.62</v>
      </c>
      <c r="M158">
        <v>3.19</v>
      </c>
      <c r="N158">
        <v>0</v>
      </c>
      <c r="O158">
        <v>0</v>
      </c>
      <c r="P158">
        <v>0</v>
      </c>
      <c r="Q158">
        <v>3</v>
      </c>
      <c r="R158" t="s">
        <v>147</v>
      </c>
      <c r="S158">
        <v>23</v>
      </c>
      <c r="T158">
        <v>0</v>
      </c>
      <c r="U158" t="s">
        <v>35</v>
      </c>
      <c r="V158" t="s">
        <v>121</v>
      </c>
    </row>
    <row r="159" spans="1:22" x14ac:dyDescent="0.25">
      <c r="A159" t="s">
        <v>109</v>
      </c>
      <c r="B159" s="3">
        <v>45935</v>
      </c>
      <c r="C159" t="s">
        <v>30</v>
      </c>
      <c r="D159">
        <v>12</v>
      </c>
      <c r="E159" t="s">
        <v>137</v>
      </c>
      <c r="F159" t="s">
        <v>32</v>
      </c>
      <c r="G159">
        <v>0</v>
      </c>
      <c r="H159">
        <v>3</v>
      </c>
      <c r="I159">
        <v>4</v>
      </c>
      <c r="J159">
        <v>32</v>
      </c>
      <c r="K159">
        <v>30</v>
      </c>
      <c r="N159">
        <v>1</v>
      </c>
      <c r="O159">
        <v>5</v>
      </c>
      <c r="P159">
        <v>1</v>
      </c>
      <c r="Q159">
        <v>2</v>
      </c>
      <c r="R159" t="s">
        <v>100</v>
      </c>
      <c r="S159">
        <v>26</v>
      </c>
      <c r="T159">
        <v>1</v>
      </c>
      <c r="U159" t="s">
        <v>35</v>
      </c>
      <c r="V159" t="s">
        <v>121</v>
      </c>
    </row>
    <row r="160" spans="1:22" x14ac:dyDescent="0.25">
      <c r="A160" t="s">
        <v>109</v>
      </c>
      <c r="B160" s="3">
        <v>45935</v>
      </c>
      <c r="C160" t="s">
        <v>30</v>
      </c>
      <c r="D160">
        <v>12</v>
      </c>
      <c r="E160" t="s">
        <v>43</v>
      </c>
      <c r="F160" t="s">
        <v>41</v>
      </c>
      <c r="G160">
        <v>0</v>
      </c>
      <c r="H160">
        <v>1</v>
      </c>
      <c r="I160">
        <v>3</v>
      </c>
      <c r="J160">
        <v>21</v>
      </c>
      <c r="K160">
        <v>42</v>
      </c>
      <c r="L160">
        <v>1.1100000000000001</v>
      </c>
      <c r="M160">
        <v>5.78</v>
      </c>
      <c r="N160">
        <v>0</v>
      </c>
      <c r="O160">
        <v>3</v>
      </c>
      <c r="P160">
        <v>1</v>
      </c>
      <c r="Q160">
        <v>5</v>
      </c>
      <c r="R160" t="s">
        <v>151</v>
      </c>
      <c r="S160">
        <v>39</v>
      </c>
      <c r="T160">
        <v>0</v>
      </c>
      <c r="U160" t="s">
        <v>35</v>
      </c>
      <c r="V160" t="s">
        <v>121</v>
      </c>
    </row>
    <row r="161" spans="1:22" x14ac:dyDescent="0.25">
      <c r="A161" t="s">
        <v>109</v>
      </c>
      <c r="B161" s="3">
        <v>45935</v>
      </c>
      <c r="C161" t="s">
        <v>30</v>
      </c>
      <c r="D161">
        <v>12</v>
      </c>
      <c r="E161" t="s">
        <v>32</v>
      </c>
      <c r="F161" t="s">
        <v>137</v>
      </c>
      <c r="G161">
        <v>1</v>
      </c>
      <c r="H161">
        <v>4</v>
      </c>
      <c r="I161">
        <v>3</v>
      </c>
      <c r="J161">
        <v>30</v>
      </c>
      <c r="K161">
        <v>32</v>
      </c>
      <c r="N161">
        <v>1</v>
      </c>
      <c r="O161">
        <v>2</v>
      </c>
      <c r="P161">
        <v>1</v>
      </c>
      <c r="Q161">
        <v>5</v>
      </c>
      <c r="R161" t="s">
        <v>117</v>
      </c>
      <c r="S161">
        <v>29</v>
      </c>
      <c r="T161">
        <v>1</v>
      </c>
      <c r="U161" t="s">
        <v>33</v>
      </c>
      <c r="V161" t="s">
        <v>121</v>
      </c>
    </row>
    <row r="162" spans="1:22" x14ac:dyDescent="0.25">
      <c r="A162" t="s">
        <v>109</v>
      </c>
      <c r="B162" s="3">
        <v>45935</v>
      </c>
      <c r="C162" t="s">
        <v>30</v>
      </c>
      <c r="D162">
        <v>12</v>
      </c>
      <c r="E162" t="s">
        <v>38</v>
      </c>
      <c r="F162" t="s">
        <v>136</v>
      </c>
      <c r="G162">
        <v>0</v>
      </c>
      <c r="H162">
        <v>3</v>
      </c>
      <c r="I162">
        <v>1</v>
      </c>
      <c r="J162">
        <v>14</v>
      </c>
      <c r="K162">
        <v>31</v>
      </c>
      <c r="N162">
        <v>0</v>
      </c>
      <c r="O162">
        <v>1</v>
      </c>
      <c r="P162">
        <v>1</v>
      </c>
      <c r="Q162">
        <v>7</v>
      </c>
      <c r="R162" t="s">
        <v>104</v>
      </c>
      <c r="S162">
        <v>30</v>
      </c>
      <c r="T162">
        <v>0</v>
      </c>
      <c r="U162" t="s">
        <v>33</v>
      </c>
      <c r="V162" t="s">
        <v>121</v>
      </c>
    </row>
    <row r="163" spans="1:22" x14ac:dyDescent="0.25">
      <c r="A163" t="s">
        <v>109</v>
      </c>
      <c r="B163" s="3">
        <v>45935</v>
      </c>
      <c r="C163" t="s">
        <v>30</v>
      </c>
      <c r="D163">
        <v>12</v>
      </c>
      <c r="E163" t="s">
        <v>45</v>
      </c>
      <c r="F163" t="s">
        <v>31</v>
      </c>
      <c r="G163">
        <v>0</v>
      </c>
      <c r="H163">
        <v>4</v>
      </c>
      <c r="I163">
        <v>3</v>
      </c>
      <c r="J163">
        <v>20</v>
      </c>
      <c r="K163">
        <v>49</v>
      </c>
      <c r="L163">
        <v>1.79</v>
      </c>
      <c r="M163">
        <v>3.75</v>
      </c>
      <c r="N163">
        <v>1</v>
      </c>
      <c r="O163">
        <v>4</v>
      </c>
      <c r="P163">
        <v>1</v>
      </c>
      <c r="Q163">
        <v>5</v>
      </c>
      <c r="R163" t="s">
        <v>148</v>
      </c>
      <c r="S163">
        <v>46</v>
      </c>
      <c r="T163">
        <v>0</v>
      </c>
      <c r="U163" t="s">
        <v>33</v>
      </c>
      <c r="V163" t="s">
        <v>121</v>
      </c>
    </row>
    <row r="164" spans="1:22" x14ac:dyDescent="0.25">
      <c r="A164" t="s">
        <v>109</v>
      </c>
      <c r="B164" s="3">
        <v>45938</v>
      </c>
      <c r="C164" t="s">
        <v>30</v>
      </c>
      <c r="D164">
        <v>12</v>
      </c>
      <c r="E164" t="s">
        <v>36</v>
      </c>
      <c r="F164" t="s">
        <v>39</v>
      </c>
      <c r="G164">
        <v>0</v>
      </c>
      <c r="H164">
        <v>0</v>
      </c>
      <c r="I164">
        <v>2</v>
      </c>
      <c r="J164">
        <v>25</v>
      </c>
      <c r="K164">
        <v>20</v>
      </c>
      <c r="N164">
        <v>0</v>
      </c>
      <c r="O164">
        <v>3</v>
      </c>
      <c r="P164">
        <v>0</v>
      </c>
      <c r="Q164">
        <v>3</v>
      </c>
      <c r="R164" t="s">
        <v>146</v>
      </c>
      <c r="S164">
        <v>18</v>
      </c>
      <c r="T164">
        <v>0</v>
      </c>
      <c r="U164" t="s">
        <v>35</v>
      </c>
      <c r="V164" t="s">
        <v>121</v>
      </c>
    </row>
    <row r="165" spans="1:22" x14ac:dyDescent="0.25">
      <c r="A165" t="s">
        <v>109</v>
      </c>
      <c r="B165" s="3">
        <v>45938</v>
      </c>
      <c r="C165" t="s">
        <v>30</v>
      </c>
      <c r="D165">
        <v>12</v>
      </c>
      <c r="E165" t="s">
        <v>39</v>
      </c>
      <c r="F165" t="s">
        <v>36</v>
      </c>
      <c r="G165">
        <v>1</v>
      </c>
      <c r="H165">
        <v>2</v>
      </c>
      <c r="I165">
        <v>0</v>
      </c>
      <c r="J165">
        <v>20</v>
      </c>
      <c r="K165">
        <v>25</v>
      </c>
      <c r="N165">
        <v>0</v>
      </c>
      <c r="O165">
        <v>3</v>
      </c>
      <c r="P165">
        <v>0</v>
      </c>
      <c r="Q165">
        <v>3</v>
      </c>
      <c r="R165" t="s">
        <v>105</v>
      </c>
      <c r="S165">
        <v>25</v>
      </c>
      <c r="T165">
        <v>0</v>
      </c>
      <c r="U165" t="s">
        <v>33</v>
      </c>
      <c r="V165" t="s">
        <v>121</v>
      </c>
    </row>
    <row r="166" spans="1:22" x14ac:dyDescent="0.25">
      <c r="A166" t="s">
        <v>109</v>
      </c>
      <c r="B166" s="3">
        <v>45940</v>
      </c>
      <c r="C166" t="s">
        <v>30</v>
      </c>
      <c r="D166">
        <v>13</v>
      </c>
      <c r="E166" t="s">
        <v>31</v>
      </c>
      <c r="F166" t="s">
        <v>46</v>
      </c>
      <c r="G166">
        <v>0</v>
      </c>
      <c r="H166">
        <v>6</v>
      </c>
      <c r="I166">
        <v>3</v>
      </c>
      <c r="J166">
        <v>32</v>
      </c>
      <c r="K166">
        <v>27</v>
      </c>
      <c r="L166">
        <v>3.72</v>
      </c>
      <c r="M166">
        <v>1.41</v>
      </c>
      <c r="N166">
        <v>3</v>
      </c>
      <c r="O166" s="4">
        <v>7</v>
      </c>
      <c r="P166">
        <v>3</v>
      </c>
      <c r="Q166" s="4">
        <v>7</v>
      </c>
      <c r="R166" t="s">
        <v>34</v>
      </c>
      <c r="S166" s="4">
        <v>24</v>
      </c>
      <c r="T166">
        <v>0</v>
      </c>
      <c r="U166" t="s">
        <v>33</v>
      </c>
      <c r="V166" t="s">
        <v>121</v>
      </c>
    </row>
    <row r="167" spans="1:22" x14ac:dyDescent="0.25">
      <c r="A167" t="s">
        <v>109</v>
      </c>
      <c r="B167" s="3">
        <v>45940</v>
      </c>
      <c r="C167" t="s">
        <v>30</v>
      </c>
      <c r="D167">
        <v>13</v>
      </c>
      <c r="E167" t="s">
        <v>41</v>
      </c>
      <c r="F167" t="s">
        <v>44</v>
      </c>
      <c r="G167">
        <v>0</v>
      </c>
      <c r="H167">
        <v>3</v>
      </c>
      <c r="I167">
        <v>1</v>
      </c>
      <c r="J167">
        <v>25</v>
      </c>
      <c r="K167">
        <v>31</v>
      </c>
      <c r="L167">
        <v>2.0099999999999998</v>
      </c>
      <c r="M167">
        <v>2.46</v>
      </c>
      <c r="N167">
        <v>0</v>
      </c>
      <c r="O167" s="5">
        <v>2</v>
      </c>
      <c r="P167">
        <v>0</v>
      </c>
      <c r="Q167" s="5">
        <v>3</v>
      </c>
      <c r="R167" t="s">
        <v>110</v>
      </c>
      <c r="S167" s="4">
        <v>30</v>
      </c>
      <c r="T167">
        <v>0</v>
      </c>
      <c r="U167" t="s">
        <v>33</v>
      </c>
      <c r="V167" t="s">
        <v>121</v>
      </c>
    </row>
    <row r="168" spans="1:22" x14ac:dyDescent="0.25">
      <c r="A168" t="s">
        <v>109</v>
      </c>
      <c r="B168" s="3">
        <v>45940</v>
      </c>
      <c r="C168" t="s">
        <v>30</v>
      </c>
      <c r="D168">
        <v>13</v>
      </c>
      <c r="E168" t="s">
        <v>46</v>
      </c>
      <c r="F168" t="s">
        <v>31</v>
      </c>
      <c r="G168">
        <v>1</v>
      </c>
      <c r="H168">
        <v>3</v>
      </c>
      <c r="I168">
        <v>6</v>
      </c>
      <c r="J168">
        <v>32</v>
      </c>
      <c r="K168">
        <v>27</v>
      </c>
      <c r="L168">
        <v>1.41</v>
      </c>
      <c r="M168">
        <v>3.72</v>
      </c>
      <c r="N168">
        <v>3</v>
      </c>
      <c r="O168" s="5">
        <v>7</v>
      </c>
      <c r="P168">
        <v>3</v>
      </c>
      <c r="Q168" s="5">
        <v>7</v>
      </c>
      <c r="R168" t="s">
        <v>140</v>
      </c>
      <c r="S168" s="4">
        <v>26</v>
      </c>
      <c r="T168">
        <v>0</v>
      </c>
      <c r="U168" t="s">
        <v>35</v>
      </c>
      <c r="V168" t="s">
        <v>121</v>
      </c>
    </row>
    <row r="169" spans="1:22" x14ac:dyDescent="0.25">
      <c r="A169" t="s">
        <v>109</v>
      </c>
      <c r="B169" s="3">
        <v>45940</v>
      </c>
      <c r="C169" t="s">
        <v>30</v>
      </c>
      <c r="D169">
        <v>13</v>
      </c>
      <c r="E169" t="s">
        <v>42</v>
      </c>
      <c r="F169" t="s">
        <v>38</v>
      </c>
      <c r="G169">
        <v>0</v>
      </c>
      <c r="H169">
        <v>2</v>
      </c>
      <c r="I169">
        <v>1</v>
      </c>
      <c r="J169">
        <v>28</v>
      </c>
      <c r="K169">
        <v>26</v>
      </c>
      <c r="L169">
        <v>2.17</v>
      </c>
      <c r="M169">
        <v>3.03</v>
      </c>
      <c r="N169">
        <v>1</v>
      </c>
      <c r="O169">
        <v>3</v>
      </c>
      <c r="P169">
        <v>1</v>
      </c>
      <c r="Q169">
        <v>6</v>
      </c>
      <c r="R169" t="s">
        <v>145</v>
      </c>
      <c r="S169">
        <v>25</v>
      </c>
      <c r="T169">
        <v>0</v>
      </c>
      <c r="U169" t="s">
        <v>33</v>
      </c>
      <c r="V169" t="s">
        <v>121</v>
      </c>
    </row>
    <row r="170" spans="1:22" x14ac:dyDescent="0.25">
      <c r="A170" t="s">
        <v>109</v>
      </c>
      <c r="B170" s="3">
        <v>45940</v>
      </c>
      <c r="C170" t="s">
        <v>30</v>
      </c>
      <c r="D170">
        <v>13</v>
      </c>
      <c r="E170" t="s">
        <v>136</v>
      </c>
      <c r="F170" t="s">
        <v>137</v>
      </c>
      <c r="G170">
        <v>1</v>
      </c>
      <c r="H170">
        <v>4</v>
      </c>
      <c r="I170">
        <v>2</v>
      </c>
      <c r="J170">
        <v>22</v>
      </c>
      <c r="K170">
        <v>42</v>
      </c>
      <c r="N170">
        <v>0</v>
      </c>
      <c r="O170">
        <v>4</v>
      </c>
      <c r="P170">
        <v>0</v>
      </c>
      <c r="Q170">
        <v>2</v>
      </c>
      <c r="R170" t="s">
        <v>111</v>
      </c>
      <c r="S170">
        <v>40</v>
      </c>
      <c r="T170">
        <v>0</v>
      </c>
      <c r="U170" t="s">
        <v>33</v>
      </c>
      <c r="V170" t="s">
        <v>121</v>
      </c>
    </row>
    <row r="171" spans="1:22" x14ac:dyDescent="0.25">
      <c r="A171" t="s">
        <v>109</v>
      </c>
      <c r="B171" s="3">
        <v>45940</v>
      </c>
      <c r="C171" t="s">
        <v>30</v>
      </c>
      <c r="D171">
        <v>13</v>
      </c>
      <c r="E171" t="s">
        <v>40</v>
      </c>
      <c r="F171" t="s">
        <v>43</v>
      </c>
      <c r="G171">
        <v>0</v>
      </c>
      <c r="H171">
        <v>3</v>
      </c>
      <c r="I171">
        <v>1</v>
      </c>
      <c r="J171">
        <v>24</v>
      </c>
      <c r="K171">
        <v>24</v>
      </c>
      <c r="N171">
        <v>0</v>
      </c>
      <c r="O171">
        <v>4</v>
      </c>
      <c r="P171">
        <v>0</v>
      </c>
      <c r="Q171">
        <v>4</v>
      </c>
      <c r="R171" t="s">
        <v>107</v>
      </c>
      <c r="S171">
        <v>23</v>
      </c>
      <c r="T171">
        <v>0</v>
      </c>
      <c r="U171" t="s">
        <v>33</v>
      </c>
      <c r="V171" t="s">
        <v>121</v>
      </c>
    </row>
    <row r="172" spans="1:22" x14ac:dyDescent="0.25">
      <c r="A172" t="s">
        <v>109</v>
      </c>
      <c r="B172" s="3">
        <v>45940</v>
      </c>
      <c r="C172" t="s">
        <v>30</v>
      </c>
      <c r="D172">
        <v>13</v>
      </c>
      <c r="E172" t="s">
        <v>44</v>
      </c>
      <c r="F172" t="s">
        <v>41</v>
      </c>
      <c r="G172">
        <v>1</v>
      </c>
      <c r="H172">
        <v>1</v>
      </c>
      <c r="I172">
        <v>3</v>
      </c>
      <c r="J172">
        <v>31</v>
      </c>
      <c r="K172">
        <v>25</v>
      </c>
      <c r="L172">
        <v>2.46</v>
      </c>
      <c r="M172">
        <v>2.0099999999999998</v>
      </c>
      <c r="N172">
        <v>0</v>
      </c>
      <c r="O172">
        <v>3</v>
      </c>
      <c r="P172">
        <v>0</v>
      </c>
      <c r="Q172">
        <v>2</v>
      </c>
      <c r="R172" t="s">
        <v>150</v>
      </c>
      <c r="S172">
        <v>22</v>
      </c>
      <c r="T172">
        <v>0</v>
      </c>
      <c r="U172" t="s">
        <v>35</v>
      </c>
      <c r="V172" t="s">
        <v>121</v>
      </c>
    </row>
    <row r="173" spans="1:22" x14ac:dyDescent="0.25">
      <c r="A173" t="s">
        <v>109</v>
      </c>
      <c r="B173" s="3">
        <v>45940</v>
      </c>
      <c r="C173" t="s">
        <v>30</v>
      </c>
      <c r="D173">
        <v>13</v>
      </c>
      <c r="E173" t="s">
        <v>137</v>
      </c>
      <c r="F173" t="s">
        <v>136</v>
      </c>
      <c r="G173">
        <v>0</v>
      </c>
      <c r="H173">
        <v>2</v>
      </c>
      <c r="I173">
        <v>4</v>
      </c>
      <c r="J173">
        <v>42</v>
      </c>
      <c r="K173">
        <v>22</v>
      </c>
      <c r="N173">
        <v>0</v>
      </c>
      <c r="O173">
        <v>2</v>
      </c>
      <c r="P173">
        <v>0</v>
      </c>
      <c r="Q173">
        <v>4</v>
      </c>
      <c r="R173" t="s">
        <v>100</v>
      </c>
      <c r="S173">
        <v>18</v>
      </c>
      <c r="T173">
        <v>0</v>
      </c>
      <c r="U173" t="s">
        <v>35</v>
      </c>
      <c r="V173" t="s">
        <v>121</v>
      </c>
    </row>
    <row r="174" spans="1:22" x14ac:dyDescent="0.25">
      <c r="A174" t="s">
        <v>109</v>
      </c>
      <c r="B174" s="3">
        <v>45940</v>
      </c>
      <c r="C174" t="s">
        <v>30</v>
      </c>
      <c r="D174">
        <v>13</v>
      </c>
      <c r="E174" t="s">
        <v>43</v>
      </c>
      <c r="F174" t="s">
        <v>40</v>
      </c>
      <c r="G174">
        <v>1</v>
      </c>
      <c r="H174">
        <v>1</v>
      </c>
      <c r="I174">
        <v>3</v>
      </c>
      <c r="J174">
        <v>24</v>
      </c>
      <c r="K174">
        <v>24</v>
      </c>
      <c r="N174">
        <v>0</v>
      </c>
      <c r="O174">
        <v>4</v>
      </c>
      <c r="P174">
        <v>0</v>
      </c>
      <c r="Q174">
        <v>4</v>
      </c>
      <c r="R174" t="s">
        <v>151</v>
      </c>
      <c r="S174">
        <v>21</v>
      </c>
      <c r="T174">
        <v>0</v>
      </c>
      <c r="U174" t="s">
        <v>35</v>
      </c>
      <c r="V174" t="s">
        <v>121</v>
      </c>
    </row>
    <row r="175" spans="1:22" x14ac:dyDescent="0.25">
      <c r="A175" t="s">
        <v>109</v>
      </c>
      <c r="B175" s="3">
        <v>45940</v>
      </c>
      <c r="C175" t="s">
        <v>30</v>
      </c>
      <c r="D175">
        <v>13</v>
      </c>
      <c r="E175" t="s">
        <v>36</v>
      </c>
      <c r="F175" t="s">
        <v>32</v>
      </c>
      <c r="G175">
        <v>1</v>
      </c>
      <c r="H175">
        <v>2</v>
      </c>
      <c r="I175">
        <v>3</v>
      </c>
      <c r="J175">
        <v>14</v>
      </c>
      <c r="K175">
        <v>32</v>
      </c>
      <c r="N175">
        <v>1</v>
      </c>
      <c r="O175">
        <v>4</v>
      </c>
      <c r="P175">
        <v>1</v>
      </c>
      <c r="Q175">
        <v>3</v>
      </c>
      <c r="R175" t="s">
        <v>146</v>
      </c>
      <c r="S175">
        <v>30</v>
      </c>
      <c r="T175">
        <v>1</v>
      </c>
      <c r="U175" t="s">
        <v>35</v>
      </c>
      <c r="V175" t="s">
        <v>121</v>
      </c>
    </row>
    <row r="176" spans="1:22" x14ac:dyDescent="0.25">
      <c r="A176" t="s">
        <v>109</v>
      </c>
      <c r="B176" s="3">
        <v>45940</v>
      </c>
      <c r="C176" t="s">
        <v>30</v>
      </c>
      <c r="D176">
        <v>13</v>
      </c>
      <c r="E176" t="s">
        <v>32</v>
      </c>
      <c r="F176" t="s">
        <v>36</v>
      </c>
      <c r="G176">
        <v>0</v>
      </c>
      <c r="H176">
        <v>3</v>
      </c>
      <c r="I176">
        <v>2</v>
      </c>
      <c r="J176">
        <v>32</v>
      </c>
      <c r="K176">
        <v>14</v>
      </c>
      <c r="N176">
        <v>1</v>
      </c>
      <c r="O176">
        <v>3</v>
      </c>
      <c r="P176">
        <v>1</v>
      </c>
      <c r="Q176">
        <v>4</v>
      </c>
      <c r="R176" t="s">
        <v>117</v>
      </c>
      <c r="S176">
        <v>12</v>
      </c>
      <c r="T176">
        <v>1</v>
      </c>
      <c r="U176" t="s">
        <v>33</v>
      </c>
      <c r="V176" t="s">
        <v>121</v>
      </c>
    </row>
    <row r="177" spans="1:22" x14ac:dyDescent="0.25">
      <c r="A177" t="s">
        <v>109</v>
      </c>
      <c r="B177" s="3">
        <v>45940</v>
      </c>
      <c r="C177" t="s">
        <v>30</v>
      </c>
      <c r="D177">
        <v>13</v>
      </c>
      <c r="E177" t="s">
        <v>38</v>
      </c>
      <c r="F177" t="s">
        <v>42</v>
      </c>
      <c r="G177">
        <v>1</v>
      </c>
      <c r="H177">
        <v>1</v>
      </c>
      <c r="I177">
        <v>2</v>
      </c>
      <c r="J177">
        <v>26</v>
      </c>
      <c r="K177">
        <v>28</v>
      </c>
      <c r="L177">
        <v>3.03</v>
      </c>
      <c r="M177">
        <v>2.17</v>
      </c>
      <c r="N177">
        <v>1</v>
      </c>
      <c r="O177">
        <v>6</v>
      </c>
      <c r="P177">
        <v>1</v>
      </c>
      <c r="Q177">
        <v>3</v>
      </c>
      <c r="R177" t="s">
        <v>104</v>
      </c>
      <c r="S177">
        <v>26</v>
      </c>
      <c r="T177">
        <v>0</v>
      </c>
      <c r="U177" t="s">
        <v>35</v>
      </c>
      <c r="V177" t="s">
        <v>121</v>
      </c>
    </row>
    <row r="178" spans="1:22" x14ac:dyDescent="0.25">
      <c r="A178" t="s">
        <v>109</v>
      </c>
      <c r="B178" s="3">
        <v>45942</v>
      </c>
      <c r="C178" t="s">
        <v>30</v>
      </c>
      <c r="D178">
        <v>14</v>
      </c>
      <c r="E178" t="s">
        <v>31</v>
      </c>
      <c r="F178" t="s">
        <v>32</v>
      </c>
      <c r="G178">
        <v>0</v>
      </c>
      <c r="H178">
        <v>1</v>
      </c>
      <c r="I178">
        <v>2</v>
      </c>
      <c r="J178">
        <v>18</v>
      </c>
      <c r="K178">
        <v>26</v>
      </c>
      <c r="L178">
        <v>1.88</v>
      </c>
      <c r="M178">
        <v>2.4500000000000002</v>
      </c>
      <c r="N178">
        <v>1</v>
      </c>
      <c r="O178" s="4">
        <v>5</v>
      </c>
      <c r="P178">
        <v>0</v>
      </c>
      <c r="Q178" s="5">
        <v>6</v>
      </c>
      <c r="R178" t="s">
        <v>37</v>
      </c>
      <c r="S178" s="4">
        <v>24</v>
      </c>
      <c r="T178">
        <v>1</v>
      </c>
      <c r="U178" t="s">
        <v>35</v>
      </c>
      <c r="V178" t="s">
        <v>121</v>
      </c>
    </row>
    <row r="179" spans="1:22" x14ac:dyDescent="0.25">
      <c r="A179" t="s">
        <v>109</v>
      </c>
      <c r="B179" s="3">
        <v>45942</v>
      </c>
      <c r="C179" t="s">
        <v>30</v>
      </c>
      <c r="D179">
        <v>14</v>
      </c>
      <c r="E179" t="s">
        <v>41</v>
      </c>
      <c r="F179" t="s">
        <v>38</v>
      </c>
      <c r="G179">
        <v>0</v>
      </c>
      <c r="H179">
        <v>5</v>
      </c>
      <c r="I179">
        <v>3</v>
      </c>
      <c r="J179">
        <v>26</v>
      </c>
      <c r="K179">
        <v>31</v>
      </c>
      <c r="L179">
        <v>2.38</v>
      </c>
      <c r="M179">
        <v>3.14</v>
      </c>
      <c r="N179">
        <v>1</v>
      </c>
      <c r="O179" s="5">
        <v>2</v>
      </c>
      <c r="P179">
        <v>0</v>
      </c>
      <c r="Q179" s="5">
        <v>2</v>
      </c>
      <c r="R179" t="s">
        <v>110</v>
      </c>
      <c r="S179" s="4">
        <v>28</v>
      </c>
      <c r="T179">
        <v>0</v>
      </c>
      <c r="U179" t="s">
        <v>33</v>
      </c>
      <c r="V179" t="s">
        <v>121</v>
      </c>
    </row>
    <row r="180" spans="1:22" x14ac:dyDescent="0.25">
      <c r="A180" t="s">
        <v>109</v>
      </c>
      <c r="B180" s="3">
        <v>45942</v>
      </c>
      <c r="C180" t="s">
        <v>30</v>
      </c>
      <c r="D180">
        <v>14</v>
      </c>
      <c r="E180" t="s">
        <v>46</v>
      </c>
      <c r="F180" t="s">
        <v>136</v>
      </c>
      <c r="G180">
        <v>1</v>
      </c>
      <c r="H180">
        <v>4</v>
      </c>
      <c r="I180">
        <v>2</v>
      </c>
      <c r="J180">
        <v>40</v>
      </c>
      <c r="K180">
        <v>27</v>
      </c>
      <c r="L180">
        <v>3.44</v>
      </c>
      <c r="M180">
        <v>2.0099999999999998</v>
      </c>
      <c r="N180">
        <v>0</v>
      </c>
      <c r="O180" s="5">
        <v>8</v>
      </c>
      <c r="P180">
        <v>0</v>
      </c>
      <c r="Q180" s="5">
        <v>5</v>
      </c>
      <c r="R180" t="s">
        <v>140</v>
      </c>
      <c r="S180" s="4">
        <v>25</v>
      </c>
      <c r="T180">
        <v>0</v>
      </c>
      <c r="U180" t="s">
        <v>33</v>
      </c>
      <c r="V180" t="s">
        <v>121</v>
      </c>
    </row>
    <row r="181" spans="1:22" x14ac:dyDescent="0.25">
      <c r="A181" t="s">
        <v>109</v>
      </c>
      <c r="B181" s="3">
        <v>45942</v>
      </c>
      <c r="C181" t="s">
        <v>30</v>
      </c>
      <c r="D181">
        <v>14</v>
      </c>
      <c r="E181" t="s">
        <v>42</v>
      </c>
      <c r="F181" t="s">
        <v>43</v>
      </c>
      <c r="G181">
        <v>0</v>
      </c>
      <c r="H181">
        <v>5</v>
      </c>
      <c r="I181">
        <v>2</v>
      </c>
      <c r="J181">
        <v>32</v>
      </c>
      <c r="K181">
        <v>16</v>
      </c>
      <c r="L181">
        <v>3.72</v>
      </c>
      <c r="M181">
        <v>1.1100000000000001</v>
      </c>
      <c r="N181">
        <v>2</v>
      </c>
      <c r="O181" s="5">
        <v>4</v>
      </c>
      <c r="P181">
        <v>0</v>
      </c>
      <c r="Q181" s="5">
        <v>4</v>
      </c>
      <c r="R181" t="s">
        <v>145</v>
      </c>
      <c r="S181" s="4">
        <v>14</v>
      </c>
      <c r="T181">
        <v>0</v>
      </c>
      <c r="U181" t="s">
        <v>33</v>
      </c>
      <c r="V181" t="s">
        <v>121</v>
      </c>
    </row>
    <row r="182" spans="1:22" x14ac:dyDescent="0.25">
      <c r="A182" t="s">
        <v>109</v>
      </c>
      <c r="B182" s="3">
        <v>45942</v>
      </c>
      <c r="C182" t="s">
        <v>30</v>
      </c>
      <c r="D182">
        <v>14</v>
      </c>
      <c r="E182" t="s">
        <v>136</v>
      </c>
      <c r="F182" t="s">
        <v>46</v>
      </c>
      <c r="G182">
        <v>0</v>
      </c>
      <c r="H182">
        <v>2</v>
      </c>
      <c r="I182">
        <v>4</v>
      </c>
      <c r="J182">
        <v>27</v>
      </c>
      <c r="K182">
        <v>40</v>
      </c>
      <c r="L182">
        <v>2.0099999999999998</v>
      </c>
      <c r="M182">
        <v>3.44</v>
      </c>
      <c r="N182">
        <v>0</v>
      </c>
      <c r="O182">
        <v>5</v>
      </c>
      <c r="P182">
        <v>0</v>
      </c>
      <c r="Q182">
        <v>8</v>
      </c>
      <c r="R182" t="s">
        <v>111</v>
      </c>
      <c r="S182">
        <v>36</v>
      </c>
      <c r="T182">
        <v>0</v>
      </c>
      <c r="U182" t="s">
        <v>35</v>
      </c>
      <c r="V182" t="s">
        <v>121</v>
      </c>
    </row>
    <row r="183" spans="1:22" x14ac:dyDescent="0.25">
      <c r="A183" t="s">
        <v>109</v>
      </c>
      <c r="B183" s="3">
        <v>45942</v>
      </c>
      <c r="C183" t="s">
        <v>30</v>
      </c>
      <c r="D183">
        <v>14</v>
      </c>
      <c r="E183" t="s">
        <v>40</v>
      </c>
      <c r="F183" t="s">
        <v>36</v>
      </c>
      <c r="G183">
        <v>0</v>
      </c>
      <c r="H183">
        <v>1</v>
      </c>
      <c r="I183">
        <v>2</v>
      </c>
      <c r="J183">
        <v>38</v>
      </c>
      <c r="K183">
        <v>30</v>
      </c>
      <c r="N183">
        <v>0</v>
      </c>
      <c r="O183">
        <v>2</v>
      </c>
      <c r="P183">
        <v>0</v>
      </c>
      <c r="Q183">
        <v>5</v>
      </c>
      <c r="R183" t="s">
        <v>107</v>
      </c>
      <c r="S183">
        <v>29</v>
      </c>
      <c r="T183">
        <v>1</v>
      </c>
      <c r="U183" t="s">
        <v>35</v>
      </c>
      <c r="V183" t="s">
        <v>121</v>
      </c>
    </row>
    <row r="184" spans="1:22" x14ac:dyDescent="0.25">
      <c r="A184" t="s">
        <v>109</v>
      </c>
      <c r="B184" s="3">
        <v>45942</v>
      </c>
      <c r="C184" t="s">
        <v>30</v>
      </c>
      <c r="D184">
        <v>14</v>
      </c>
      <c r="E184" t="s">
        <v>44</v>
      </c>
      <c r="F184" t="s">
        <v>45</v>
      </c>
      <c r="G184">
        <v>0</v>
      </c>
      <c r="H184">
        <v>0</v>
      </c>
      <c r="I184">
        <v>3</v>
      </c>
      <c r="J184">
        <v>26</v>
      </c>
      <c r="K184">
        <v>21</v>
      </c>
      <c r="N184">
        <v>0</v>
      </c>
      <c r="O184">
        <v>3</v>
      </c>
      <c r="P184">
        <v>1</v>
      </c>
      <c r="Q184">
        <v>3</v>
      </c>
      <c r="R184" t="s">
        <v>150</v>
      </c>
      <c r="S184">
        <v>18</v>
      </c>
      <c r="T184">
        <v>0</v>
      </c>
      <c r="U184" t="s">
        <v>35</v>
      </c>
      <c r="V184" t="s">
        <v>121</v>
      </c>
    </row>
    <row r="185" spans="1:22" x14ac:dyDescent="0.25">
      <c r="A185" t="s">
        <v>109</v>
      </c>
      <c r="B185" s="3">
        <v>45942</v>
      </c>
      <c r="C185" t="s">
        <v>30</v>
      </c>
      <c r="D185">
        <v>14</v>
      </c>
      <c r="E185" t="s">
        <v>137</v>
      </c>
      <c r="F185" t="s">
        <v>39</v>
      </c>
      <c r="G185">
        <v>0</v>
      </c>
      <c r="H185">
        <v>1</v>
      </c>
      <c r="I185">
        <v>0</v>
      </c>
      <c r="J185">
        <v>18</v>
      </c>
      <c r="K185">
        <v>32</v>
      </c>
      <c r="N185">
        <v>0</v>
      </c>
      <c r="O185">
        <v>2</v>
      </c>
      <c r="P185">
        <v>0</v>
      </c>
      <c r="Q185">
        <v>4</v>
      </c>
      <c r="R185" t="s">
        <v>100</v>
      </c>
      <c r="S185">
        <v>32</v>
      </c>
      <c r="T185">
        <v>0</v>
      </c>
      <c r="U185" t="s">
        <v>33</v>
      </c>
      <c r="V185" t="s">
        <v>121</v>
      </c>
    </row>
    <row r="186" spans="1:22" x14ac:dyDescent="0.25">
      <c r="A186" t="s">
        <v>109</v>
      </c>
      <c r="B186" s="3">
        <v>45942</v>
      </c>
      <c r="C186" t="s">
        <v>30</v>
      </c>
      <c r="D186">
        <v>14</v>
      </c>
      <c r="E186" t="s">
        <v>43</v>
      </c>
      <c r="F186" t="s">
        <v>42</v>
      </c>
      <c r="G186">
        <v>1</v>
      </c>
      <c r="H186">
        <v>2</v>
      </c>
      <c r="I186">
        <v>5</v>
      </c>
      <c r="J186">
        <v>16</v>
      </c>
      <c r="K186">
        <v>32</v>
      </c>
      <c r="L186">
        <v>1.1100000000000001</v>
      </c>
      <c r="M186">
        <v>3.72</v>
      </c>
      <c r="N186">
        <v>0</v>
      </c>
      <c r="O186">
        <v>4</v>
      </c>
      <c r="P186">
        <v>2</v>
      </c>
      <c r="Q186">
        <v>4</v>
      </c>
      <c r="R186" t="s">
        <v>149</v>
      </c>
      <c r="S186">
        <v>27</v>
      </c>
      <c r="T186">
        <v>0</v>
      </c>
      <c r="U186" t="s">
        <v>35</v>
      </c>
      <c r="V186" t="s">
        <v>121</v>
      </c>
    </row>
    <row r="187" spans="1:22" x14ac:dyDescent="0.25">
      <c r="A187" t="s">
        <v>109</v>
      </c>
      <c r="B187" s="3">
        <v>45942</v>
      </c>
      <c r="C187" t="s">
        <v>30</v>
      </c>
      <c r="D187">
        <v>14</v>
      </c>
      <c r="E187" t="s">
        <v>36</v>
      </c>
      <c r="F187" t="s">
        <v>40</v>
      </c>
      <c r="G187">
        <v>1</v>
      </c>
      <c r="H187">
        <v>2</v>
      </c>
      <c r="I187">
        <v>1</v>
      </c>
      <c r="J187">
        <v>30</v>
      </c>
      <c r="K187">
        <v>38</v>
      </c>
      <c r="N187">
        <v>0</v>
      </c>
      <c r="O187">
        <v>5</v>
      </c>
      <c r="P187">
        <v>0</v>
      </c>
      <c r="Q187">
        <v>2</v>
      </c>
      <c r="R187" t="s">
        <v>146</v>
      </c>
      <c r="S187">
        <v>37</v>
      </c>
      <c r="T187">
        <v>1</v>
      </c>
      <c r="U187" t="s">
        <v>33</v>
      </c>
      <c r="V187" t="s">
        <v>121</v>
      </c>
    </row>
    <row r="188" spans="1:22" x14ac:dyDescent="0.25">
      <c r="A188" t="s">
        <v>109</v>
      </c>
      <c r="B188" s="3">
        <v>45942</v>
      </c>
      <c r="C188" t="s">
        <v>30</v>
      </c>
      <c r="D188">
        <v>14</v>
      </c>
      <c r="E188" t="s">
        <v>32</v>
      </c>
      <c r="F188" t="s">
        <v>31</v>
      </c>
      <c r="G188">
        <v>1</v>
      </c>
      <c r="H188">
        <v>2</v>
      </c>
      <c r="I188">
        <v>1</v>
      </c>
      <c r="J188">
        <v>26</v>
      </c>
      <c r="K188">
        <v>18</v>
      </c>
      <c r="L188">
        <v>2.4500000000000002</v>
      </c>
      <c r="M188">
        <v>1.88</v>
      </c>
      <c r="N188">
        <v>0</v>
      </c>
      <c r="O188">
        <v>6</v>
      </c>
      <c r="P188">
        <v>1</v>
      </c>
      <c r="Q188">
        <v>5</v>
      </c>
      <c r="R188" t="s">
        <v>117</v>
      </c>
      <c r="S188">
        <v>17</v>
      </c>
      <c r="T188">
        <v>1</v>
      </c>
      <c r="U188" t="s">
        <v>33</v>
      </c>
      <c r="V188" t="s">
        <v>121</v>
      </c>
    </row>
    <row r="189" spans="1:22" x14ac:dyDescent="0.25">
      <c r="A189" t="s">
        <v>109</v>
      </c>
      <c r="B189" s="3">
        <v>45942</v>
      </c>
      <c r="C189" t="s">
        <v>30</v>
      </c>
      <c r="D189">
        <v>14</v>
      </c>
      <c r="E189" t="s">
        <v>38</v>
      </c>
      <c r="F189" t="s">
        <v>41</v>
      </c>
      <c r="G189">
        <v>1</v>
      </c>
      <c r="H189">
        <v>3</v>
      </c>
      <c r="I189">
        <v>5</v>
      </c>
      <c r="J189">
        <v>31</v>
      </c>
      <c r="K189">
        <v>26</v>
      </c>
      <c r="L189">
        <v>3.14</v>
      </c>
      <c r="M189">
        <v>2.38</v>
      </c>
      <c r="N189">
        <v>0</v>
      </c>
      <c r="O189">
        <v>2</v>
      </c>
      <c r="P189">
        <v>1</v>
      </c>
      <c r="Q189">
        <v>2</v>
      </c>
      <c r="R189" t="s">
        <v>118</v>
      </c>
      <c r="S189">
        <v>21</v>
      </c>
      <c r="T189">
        <v>0</v>
      </c>
      <c r="U189" t="s">
        <v>35</v>
      </c>
      <c r="V189" t="s">
        <v>121</v>
      </c>
    </row>
    <row r="190" spans="1:22" x14ac:dyDescent="0.25">
      <c r="A190" t="s">
        <v>109</v>
      </c>
      <c r="B190" s="3">
        <v>45942</v>
      </c>
      <c r="C190" t="s">
        <v>30</v>
      </c>
      <c r="D190">
        <v>14</v>
      </c>
      <c r="E190" t="s">
        <v>39</v>
      </c>
      <c r="F190" t="s">
        <v>137</v>
      </c>
      <c r="G190">
        <v>1</v>
      </c>
      <c r="H190">
        <v>0</v>
      </c>
      <c r="I190">
        <v>1</v>
      </c>
      <c r="J190">
        <v>32</v>
      </c>
      <c r="K190">
        <v>18</v>
      </c>
      <c r="N190">
        <v>0</v>
      </c>
      <c r="O190">
        <v>4</v>
      </c>
      <c r="P190">
        <v>0</v>
      </c>
      <c r="Q190">
        <v>2</v>
      </c>
      <c r="R190" t="s">
        <v>105</v>
      </c>
      <c r="S190">
        <v>17</v>
      </c>
      <c r="T190">
        <v>0</v>
      </c>
      <c r="U190" t="s">
        <v>35</v>
      </c>
      <c r="V190" t="s">
        <v>121</v>
      </c>
    </row>
    <row r="191" spans="1:22" x14ac:dyDescent="0.25">
      <c r="A191" t="s">
        <v>109</v>
      </c>
      <c r="B191" s="3">
        <v>45942</v>
      </c>
      <c r="C191" t="s">
        <v>30</v>
      </c>
      <c r="D191">
        <v>14</v>
      </c>
      <c r="E191" t="s">
        <v>45</v>
      </c>
      <c r="F191" t="s">
        <v>44</v>
      </c>
      <c r="G191">
        <v>1</v>
      </c>
      <c r="H191">
        <v>3</v>
      </c>
      <c r="I191">
        <v>0</v>
      </c>
      <c r="J191">
        <v>21</v>
      </c>
      <c r="K191">
        <v>26</v>
      </c>
      <c r="N191">
        <v>1</v>
      </c>
      <c r="O191">
        <v>3</v>
      </c>
      <c r="P191">
        <v>0</v>
      </c>
      <c r="Q191">
        <v>3</v>
      </c>
      <c r="R191" t="s">
        <v>148</v>
      </c>
      <c r="S191">
        <v>26</v>
      </c>
      <c r="T191">
        <v>0</v>
      </c>
      <c r="U191" t="s">
        <v>33</v>
      </c>
      <c r="V191" t="s">
        <v>121</v>
      </c>
    </row>
    <row r="192" spans="1:22" x14ac:dyDescent="0.25">
      <c r="A192" t="s">
        <v>109</v>
      </c>
      <c r="B192" s="3">
        <v>45945</v>
      </c>
      <c r="C192" t="s">
        <v>30</v>
      </c>
      <c r="D192">
        <v>16</v>
      </c>
      <c r="E192" t="s">
        <v>43</v>
      </c>
      <c r="F192" t="s">
        <v>45</v>
      </c>
      <c r="G192">
        <v>0</v>
      </c>
      <c r="H192">
        <v>2</v>
      </c>
      <c r="I192">
        <v>8</v>
      </c>
      <c r="J192">
        <v>38</v>
      </c>
      <c r="K192">
        <v>37</v>
      </c>
      <c r="N192">
        <v>0</v>
      </c>
      <c r="O192">
        <v>4</v>
      </c>
      <c r="P192">
        <v>2</v>
      </c>
      <c r="Q192">
        <v>7</v>
      </c>
      <c r="R192" t="s">
        <v>151</v>
      </c>
      <c r="S192">
        <v>29</v>
      </c>
      <c r="T192">
        <v>0</v>
      </c>
      <c r="U192" t="s">
        <v>35</v>
      </c>
      <c r="V192" t="s">
        <v>121</v>
      </c>
    </row>
    <row r="193" spans="1:22" x14ac:dyDescent="0.25">
      <c r="A193" t="s">
        <v>109</v>
      </c>
      <c r="B193" s="3">
        <v>45945</v>
      </c>
      <c r="C193" t="s">
        <v>30</v>
      </c>
      <c r="D193">
        <v>16</v>
      </c>
      <c r="E193" t="s">
        <v>45</v>
      </c>
      <c r="F193" t="s">
        <v>43</v>
      </c>
      <c r="G193">
        <v>1</v>
      </c>
      <c r="H193">
        <v>8</v>
      </c>
      <c r="I193">
        <v>2</v>
      </c>
      <c r="J193">
        <v>37</v>
      </c>
      <c r="K193">
        <v>38</v>
      </c>
      <c r="N193">
        <v>2</v>
      </c>
      <c r="O193">
        <v>7</v>
      </c>
      <c r="P193">
        <v>0</v>
      </c>
      <c r="Q193">
        <v>4</v>
      </c>
      <c r="R193" t="s">
        <v>148</v>
      </c>
      <c r="S193">
        <v>36</v>
      </c>
      <c r="T193">
        <v>0</v>
      </c>
      <c r="U193" t="s">
        <v>33</v>
      </c>
      <c r="V193" t="s">
        <v>121</v>
      </c>
    </row>
    <row r="194" spans="1:22" x14ac:dyDescent="0.25">
      <c r="A194" t="s">
        <v>109</v>
      </c>
      <c r="B194" s="3">
        <v>45946</v>
      </c>
      <c r="C194" t="s">
        <v>30</v>
      </c>
      <c r="D194">
        <v>15</v>
      </c>
      <c r="E194" t="s">
        <v>38</v>
      </c>
      <c r="F194" t="s">
        <v>39</v>
      </c>
      <c r="G194">
        <v>0</v>
      </c>
      <c r="H194">
        <v>3</v>
      </c>
      <c r="I194">
        <v>2</v>
      </c>
      <c r="J194">
        <v>20</v>
      </c>
      <c r="K194">
        <v>28</v>
      </c>
      <c r="N194">
        <v>0</v>
      </c>
      <c r="O194">
        <v>2</v>
      </c>
      <c r="P194">
        <v>1</v>
      </c>
      <c r="Q194">
        <v>2</v>
      </c>
      <c r="R194" t="s">
        <v>118</v>
      </c>
      <c r="S194">
        <v>26</v>
      </c>
      <c r="T194">
        <v>0</v>
      </c>
      <c r="U194" t="s">
        <v>33</v>
      </c>
      <c r="V194" t="s">
        <v>121</v>
      </c>
    </row>
    <row r="195" spans="1:22" x14ac:dyDescent="0.25">
      <c r="A195" t="s">
        <v>109</v>
      </c>
      <c r="B195" s="3">
        <v>45946</v>
      </c>
      <c r="C195" t="s">
        <v>30</v>
      </c>
      <c r="D195">
        <v>15</v>
      </c>
      <c r="E195" t="s">
        <v>39</v>
      </c>
      <c r="F195" t="s">
        <v>38</v>
      </c>
      <c r="G195">
        <v>1</v>
      </c>
      <c r="H195">
        <v>2</v>
      </c>
      <c r="I195">
        <v>3</v>
      </c>
      <c r="J195">
        <v>28</v>
      </c>
      <c r="K195">
        <v>20</v>
      </c>
      <c r="N195">
        <v>1</v>
      </c>
      <c r="O195">
        <v>2</v>
      </c>
      <c r="P195">
        <v>0</v>
      </c>
      <c r="Q195">
        <v>2</v>
      </c>
      <c r="R195" t="s">
        <v>105</v>
      </c>
      <c r="S195">
        <v>17</v>
      </c>
      <c r="T195">
        <v>0</v>
      </c>
      <c r="U195" t="s">
        <v>35</v>
      </c>
      <c r="V195" t="s">
        <v>121</v>
      </c>
    </row>
    <row r="196" spans="1:22" x14ac:dyDescent="0.25">
      <c r="A196" t="s">
        <v>109</v>
      </c>
      <c r="B196" s="3">
        <v>45947</v>
      </c>
      <c r="C196" t="s">
        <v>30</v>
      </c>
      <c r="D196">
        <v>15</v>
      </c>
      <c r="E196" t="s">
        <v>31</v>
      </c>
      <c r="F196" t="s">
        <v>137</v>
      </c>
      <c r="G196">
        <v>1</v>
      </c>
      <c r="H196">
        <v>0</v>
      </c>
      <c r="I196">
        <v>5</v>
      </c>
      <c r="J196">
        <v>31</v>
      </c>
      <c r="K196">
        <v>41</v>
      </c>
      <c r="L196">
        <v>1.9</v>
      </c>
      <c r="M196">
        <v>2.84</v>
      </c>
      <c r="N196">
        <v>0</v>
      </c>
      <c r="O196" s="5">
        <v>3</v>
      </c>
      <c r="P196">
        <v>0</v>
      </c>
      <c r="Q196" s="5">
        <v>4</v>
      </c>
      <c r="R196" t="s">
        <v>37</v>
      </c>
      <c r="S196" s="4">
        <v>36</v>
      </c>
      <c r="T196">
        <v>0</v>
      </c>
      <c r="U196" t="s">
        <v>35</v>
      </c>
      <c r="V196" t="s">
        <v>121</v>
      </c>
    </row>
    <row r="197" spans="1:22" x14ac:dyDescent="0.25">
      <c r="A197" t="s">
        <v>109</v>
      </c>
      <c r="B197" s="3">
        <v>45947</v>
      </c>
      <c r="C197" t="s">
        <v>30</v>
      </c>
      <c r="D197">
        <v>15</v>
      </c>
      <c r="E197" t="s">
        <v>42</v>
      </c>
      <c r="F197" t="s">
        <v>36</v>
      </c>
      <c r="G197">
        <v>1</v>
      </c>
      <c r="H197">
        <v>1</v>
      </c>
      <c r="I197">
        <v>4</v>
      </c>
      <c r="J197">
        <v>29</v>
      </c>
      <c r="K197">
        <v>26</v>
      </c>
      <c r="L197">
        <v>1.9</v>
      </c>
      <c r="M197">
        <v>2.33</v>
      </c>
      <c r="N197">
        <v>0</v>
      </c>
      <c r="O197">
        <v>2</v>
      </c>
      <c r="P197">
        <v>2</v>
      </c>
      <c r="Q197">
        <v>6</v>
      </c>
      <c r="R197" t="s">
        <v>144</v>
      </c>
      <c r="S197">
        <v>22</v>
      </c>
      <c r="T197">
        <v>0</v>
      </c>
      <c r="U197" t="s">
        <v>35</v>
      </c>
      <c r="V197" t="s">
        <v>121</v>
      </c>
    </row>
    <row r="198" spans="1:22" x14ac:dyDescent="0.25">
      <c r="A198" t="s">
        <v>109</v>
      </c>
      <c r="B198" s="3">
        <v>45947</v>
      </c>
      <c r="C198" t="s">
        <v>30</v>
      </c>
      <c r="D198">
        <v>15</v>
      </c>
      <c r="E198" t="s">
        <v>40</v>
      </c>
      <c r="F198" t="s">
        <v>45</v>
      </c>
      <c r="G198">
        <v>1</v>
      </c>
      <c r="H198">
        <v>3</v>
      </c>
      <c r="I198">
        <v>1</v>
      </c>
      <c r="J198">
        <v>35</v>
      </c>
      <c r="K198">
        <v>23</v>
      </c>
      <c r="N198">
        <v>1</v>
      </c>
      <c r="O198">
        <v>5</v>
      </c>
      <c r="P198">
        <v>1</v>
      </c>
      <c r="Q198">
        <v>7</v>
      </c>
      <c r="R198" t="s">
        <v>119</v>
      </c>
      <c r="S198">
        <v>22</v>
      </c>
      <c r="T198">
        <v>0</v>
      </c>
      <c r="U198" t="s">
        <v>33</v>
      </c>
      <c r="V198" t="s">
        <v>121</v>
      </c>
    </row>
    <row r="199" spans="1:22" x14ac:dyDescent="0.25">
      <c r="A199" t="s">
        <v>109</v>
      </c>
      <c r="B199" s="3">
        <v>45947</v>
      </c>
      <c r="C199" t="s">
        <v>30</v>
      </c>
      <c r="D199">
        <v>15</v>
      </c>
      <c r="E199" t="s">
        <v>44</v>
      </c>
      <c r="F199" t="s">
        <v>43</v>
      </c>
      <c r="G199">
        <v>1</v>
      </c>
      <c r="H199">
        <v>3</v>
      </c>
      <c r="I199">
        <v>0</v>
      </c>
      <c r="J199">
        <v>33</v>
      </c>
      <c r="K199">
        <v>34</v>
      </c>
      <c r="N199">
        <v>0</v>
      </c>
      <c r="O199">
        <v>4</v>
      </c>
      <c r="P199">
        <v>0</v>
      </c>
      <c r="Q199">
        <v>2</v>
      </c>
      <c r="R199" t="s">
        <v>150</v>
      </c>
      <c r="S199">
        <v>34</v>
      </c>
      <c r="T199">
        <v>0</v>
      </c>
      <c r="U199" t="s">
        <v>33</v>
      </c>
      <c r="V199" t="s">
        <v>121</v>
      </c>
    </row>
    <row r="200" spans="1:22" x14ac:dyDescent="0.25">
      <c r="A200" t="s">
        <v>109</v>
      </c>
      <c r="B200" s="3">
        <v>45947</v>
      </c>
      <c r="C200" t="s">
        <v>30</v>
      </c>
      <c r="D200">
        <v>15</v>
      </c>
      <c r="E200" t="s">
        <v>137</v>
      </c>
      <c r="F200" t="s">
        <v>31</v>
      </c>
      <c r="G200">
        <v>0</v>
      </c>
      <c r="H200">
        <v>5</v>
      </c>
      <c r="I200">
        <v>0</v>
      </c>
      <c r="J200">
        <v>41</v>
      </c>
      <c r="K200">
        <v>31</v>
      </c>
      <c r="L200">
        <v>2.84</v>
      </c>
      <c r="M200">
        <v>1.9</v>
      </c>
      <c r="N200">
        <v>0</v>
      </c>
      <c r="O200">
        <v>4</v>
      </c>
      <c r="P200">
        <v>0</v>
      </c>
      <c r="Q200">
        <v>3</v>
      </c>
      <c r="R200" t="s">
        <v>100</v>
      </c>
      <c r="S200">
        <v>31</v>
      </c>
      <c r="T200">
        <v>0</v>
      </c>
      <c r="U200" t="s">
        <v>33</v>
      </c>
      <c r="V200" t="s">
        <v>121</v>
      </c>
    </row>
    <row r="201" spans="1:22" x14ac:dyDescent="0.25">
      <c r="A201" t="s">
        <v>109</v>
      </c>
      <c r="B201" s="3">
        <v>45947</v>
      </c>
      <c r="C201" t="s">
        <v>30</v>
      </c>
      <c r="D201">
        <v>15</v>
      </c>
      <c r="E201" t="s">
        <v>43</v>
      </c>
      <c r="F201" t="s">
        <v>44</v>
      </c>
      <c r="G201">
        <v>0</v>
      </c>
      <c r="H201">
        <v>0</v>
      </c>
      <c r="I201">
        <v>3</v>
      </c>
      <c r="J201">
        <v>34</v>
      </c>
      <c r="K201">
        <v>33</v>
      </c>
      <c r="N201">
        <v>0</v>
      </c>
      <c r="O201">
        <v>2</v>
      </c>
      <c r="P201">
        <v>0</v>
      </c>
      <c r="Q201">
        <v>4</v>
      </c>
      <c r="R201" t="s">
        <v>151</v>
      </c>
      <c r="S201">
        <v>30</v>
      </c>
      <c r="T201">
        <v>0</v>
      </c>
      <c r="U201" t="s">
        <v>35</v>
      </c>
      <c r="V201" t="s">
        <v>121</v>
      </c>
    </row>
    <row r="202" spans="1:22" x14ac:dyDescent="0.25">
      <c r="A202" t="s">
        <v>109</v>
      </c>
      <c r="B202" s="3">
        <v>45947</v>
      </c>
      <c r="C202" t="s">
        <v>30</v>
      </c>
      <c r="D202">
        <v>15</v>
      </c>
      <c r="E202" t="s">
        <v>36</v>
      </c>
      <c r="F202" t="s">
        <v>42</v>
      </c>
      <c r="G202">
        <v>0</v>
      </c>
      <c r="H202">
        <v>4</v>
      </c>
      <c r="I202">
        <v>1</v>
      </c>
      <c r="J202">
        <v>26</v>
      </c>
      <c r="K202">
        <v>29</v>
      </c>
      <c r="L202">
        <v>2.33</v>
      </c>
      <c r="M202">
        <v>1.9</v>
      </c>
      <c r="N202">
        <v>2</v>
      </c>
      <c r="O202">
        <v>6</v>
      </c>
      <c r="P202">
        <v>0</v>
      </c>
      <c r="Q202">
        <v>2</v>
      </c>
      <c r="R202" t="s">
        <v>146</v>
      </c>
      <c r="S202">
        <v>28</v>
      </c>
      <c r="T202">
        <v>0</v>
      </c>
      <c r="U202" t="s">
        <v>33</v>
      </c>
      <c r="V202" t="s">
        <v>121</v>
      </c>
    </row>
    <row r="203" spans="1:22" x14ac:dyDescent="0.25">
      <c r="A203" t="s">
        <v>109</v>
      </c>
      <c r="B203" s="3">
        <v>45947</v>
      </c>
      <c r="C203" t="s">
        <v>30</v>
      </c>
      <c r="D203">
        <v>15</v>
      </c>
      <c r="E203" t="s">
        <v>45</v>
      </c>
      <c r="F203" t="s">
        <v>40</v>
      </c>
      <c r="G203">
        <v>0</v>
      </c>
      <c r="H203">
        <v>1</v>
      </c>
      <c r="I203">
        <v>3</v>
      </c>
      <c r="J203">
        <v>23</v>
      </c>
      <c r="K203">
        <v>35</v>
      </c>
      <c r="N203">
        <v>1</v>
      </c>
      <c r="O203">
        <v>7</v>
      </c>
      <c r="P203">
        <v>1</v>
      </c>
      <c r="Q203">
        <v>5</v>
      </c>
      <c r="R203" t="s">
        <v>148</v>
      </c>
      <c r="S203">
        <v>32</v>
      </c>
      <c r="T203">
        <v>0</v>
      </c>
      <c r="U203" t="s">
        <v>35</v>
      </c>
      <c r="V203" t="s">
        <v>121</v>
      </c>
    </row>
    <row r="204" spans="1:22" x14ac:dyDescent="0.25">
      <c r="A204" t="s">
        <v>109</v>
      </c>
      <c r="B204" s="3">
        <v>45949</v>
      </c>
      <c r="C204" t="s">
        <v>30</v>
      </c>
      <c r="D204">
        <v>16</v>
      </c>
      <c r="E204" t="s">
        <v>31</v>
      </c>
      <c r="F204" t="s">
        <v>36</v>
      </c>
      <c r="G204">
        <v>0</v>
      </c>
      <c r="H204">
        <v>2</v>
      </c>
      <c r="I204">
        <v>0</v>
      </c>
      <c r="J204">
        <v>27</v>
      </c>
      <c r="K204">
        <v>18</v>
      </c>
      <c r="L204">
        <v>3.3</v>
      </c>
      <c r="M204">
        <v>1.46</v>
      </c>
      <c r="N204">
        <v>1</v>
      </c>
      <c r="O204" s="4">
        <v>3</v>
      </c>
      <c r="P204">
        <v>0</v>
      </c>
      <c r="Q204" s="5">
        <v>3</v>
      </c>
      <c r="R204" t="s">
        <v>34</v>
      </c>
      <c r="S204" s="4">
        <v>18</v>
      </c>
      <c r="T204">
        <v>0</v>
      </c>
      <c r="U204" t="s">
        <v>33</v>
      </c>
      <c r="V204" t="s">
        <v>121</v>
      </c>
    </row>
    <row r="205" spans="1:22" x14ac:dyDescent="0.25">
      <c r="A205" t="s">
        <v>109</v>
      </c>
      <c r="B205" s="3">
        <v>45949</v>
      </c>
      <c r="C205" t="s">
        <v>30</v>
      </c>
      <c r="D205">
        <v>15</v>
      </c>
      <c r="E205" t="s">
        <v>41</v>
      </c>
      <c r="F205" t="s">
        <v>137</v>
      </c>
      <c r="G205">
        <v>0</v>
      </c>
      <c r="H205">
        <v>1</v>
      </c>
      <c r="I205">
        <v>0</v>
      </c>
      <c r="J205">
        <v>20</v>
      </c>
      <c r="K205">
        <v>42</v>
      </c>
      <c r="L205">
        <v>2.02</v>
      </c>
      <c r="M205">
        <v>2.89</v>
      </c>
      <c r="N205">
        <v>0</v>
      </c>
      <c r="O205" s="5">
        <v>5</v>
      </c>
      <c r="P205">
        <v>0</v>
      </c>
      <c r="Q205" s="5">
        <v>7</v>
      </c>
      <c r="R205" t="s">
        <v>110</v>
      </c>
      <c r="S205" s="4">
        <v>42</v>
      </c>
      <c r="T205">
        <v>0</v>
      </c>
      <c r="U205" t="s">
        <v>33</v>
      </c>
      <c r="V205" t="s">
        <v>121</v>
      </c>
    </row>
    <row r="206" spans="1:22" x14ac:dyDescent="0.25">
      <c r="A206" t="s">
        <v>109</v>
      </c>
      <c r="B206" s="3">
        <v>45949</v>
      </c>
      <c r="C206" t="s">
        <v>30</v>
      </c>
      <c r="D206">
        <v>16</v>
      </c>
      <c r="E206" t="s">
        <v>46</v>
      </c>
      <c r="F206" t="s">
        <v>42</v>
      </c>
      <c r="G206">
        <v>1</v>
      </c>
      <c r="H206">
        <v>4</v>
      </c>
      <c r="I206">
        <v>1</v>
      </c>
      <c r="J206">
        <v>40</v>
      </c>
      <c r="K206">
        <v>23</v>
      </c>
      <c r="L206">
        <v>3.52</v>
      </c>
      <c r="M206">
        <v>1.83</v>
      </c>
      <c r="N206">
        <v>2</v>
      </c>
      <c r="O206" s="5">
        <v>8</v>
      </c>
      <c r="P206">
        <v>0</v>
      </c>
      <c r="Q206" s="5">
        <v>4</v>
      </c>
      <c r="R206" t="s">
        <v>141</v>
      </c>
      <c r="S206" s="4">
        <v>22</v>
      </c>
      <c r="T206">
        <v>0</v>
      </c>
      <c r="U206" t="s">
        <v>33</v>
      </c>
      <c r="V206" t="s">
        <v>121</v>
      </c>
    </row>
    <row r="207" spans="1:22" x14ac:dyDescent="0.25">
      <c r="A207" t="s">
        <v>109</v>
      </c>
      <c r="B207" s="3">
        <v>45949</v>
      </c>
      <c r="C207" t="s">
        <v>30</v>
      </c>
      <c r="D207">
        <v>16</v>
      </c>
      <c r="E207" t="s">
        <v>42</v>
      </c>
      <c r="F207" t="s">
        <v>46</v>
      </c>
      <c r="G207">
        <v>0</v>
      </c>
      <c r="H207">
        <v>1</v>
      </c>
      <c r="I207">
        <v>4</v>
      </c>
      <c r="J207">
        <v>23</v>
      </c>
      <c r="K207">
        <v>40</v>
      </c>
      <c r="L207">
        <v>1.83</v>
      </c>
      <c r="M207">
        <v>3.52</v>
      </c>
      <c r="N207">
        <v>0</v>
      </c>
      <c r="O207" s="5">
        <v>4</v>
      </c>
      <c r="P207">
        <v>2</v>
      </c>
      <c r="Q207" s="5">
        <v>8</v>
      </c>
      <c r="R207" t="s">
        <v>145</v>
      </c>
      <c r="S207" s="4">
        <v>36</v>
      </c>
      <c r="T207">
        <v>0</v>
      </c>
      <c r="U207" t="s">
        <v>35</v>
      </c>
      <c r="V207" t="s">
        <v>121</v>
      </c>
    </row>
    <row r="208" spans="1:22" x14ac:dyDescent="0.25">
      <c r="A208" t="s">
        <v>109</v>
      </c>
      <c r="B208" s="3">
        <v>45949</v>
      </c>
      <c r="C208" t="s">
        <v>30</v>
      </c>
      <c r="D208">
        <v>16</v>
      </c>
      <c r="E208" t="s">
        <v>136</v>
      </c>
      <c r="F208" t="s">
        <v>39</v>
      </c>
      <c r="G208">
        <v>1</v>
      </c>
      <c r="H208">
        <v>0</v>
      </c>
      <c r="I208">
        <v>3</v>
      </c>
      <c r="J208">
        <v>20</v>
      </c>
      <c r="K208">
        <v>27</v>
      </c>
      <c r="N208">
        <v>0</v>
      </c>
      <c r="O208">
        <v>3</v>
      </c>
      <c r="P208">
        <v>0</v>
      </c>
      <c r="Q208">
        <v>3</v>
      </c>
      <c r="R208" t="s">
        <v>111</v>
      </c>
      <c r="S208">
        <v>24</v>
      </c>
      <c r="T208">
        <v>0</v>
      </c>
      <c r="U208" t="s">
        <v>35</v>
      </c>
      <c r="V208" t="s">
        <v>121</v>
      </c>
    </row>
    <row r="209" spans="1:22" x14ac:dyDescent="0.25">
      <c r="A209" t="s">
        <v>109</v>
      </c>
      <c r="B209" s="3">
        <v>45949</v>
      </c>
      <c r="C209" t="s">
        <v>30</v>
      </c>
      <c r="D209">
        <v>16</v>
      </c>
      <c r="E209" t="s">
        <v>40</v>
      </c>
      <c r="F209" t="s">
        <v>32</v>
      </c>
      <c r="G209">
        <v>0</v>
      </c>
      <c r="H209">
        <v>1</v>
      </c>
      <c r="I209">
        <v>4</v>
      </c>
      <c r="J209">
        <v>25</v>
      </c>
      <c r="K209">
        <v>36</v>
      </c>
      <c r="N209">
        <v>0</v>
      </c>
      <c r="O209">
        <v>4</v>
      </c>
      <c r="P209">
        <v>0</v>
      </c>
      <c r="Q209">
        <v>3</v>
      </c>
      <c r="R209" t="s">
        <v>107</v>
      </c>
      <c r="S209">
        <v>32</v>
      </c>
      <c r="T209">
        <v>0</v>
      </c>
      <c r="U209" t="s">
        <v>35</v>
      </c>
      <c r="V209" t="s">
        <v>121</v>
      </c>
    </row>
    <row r="210" spans="1:22" x14ac:dyDescent="0.25">
      <c r="A210" t="s">
        <v>109</v>
      </c>
      <c r="B210" s="3">
        <v>45949</v>
      </c>
      <c r="C210" t="s">
        <v>30</v>
      </c>
      <c r="D210">
        <v>16</v>
      </c>
      <c r="E210" t="s">
        <v>44</v>
      </c>
      <c r="F210" t="s">
        <v>38</v>
      </c>
      <c r="G210">
        <v>0</v>
      </c>
      <c r="H210">
        <v>3</v>
      </c>
      <c r="I210">
        <v>5</v>
      </c>
      <c r="J210">
        <v>37</v>
      </c>
      <c r="K210">
        <v>32</v>
      </c>
      <c r="N210">
        <v>2</v>
      </c>
      <c r="O210">
        <v>4</v>
      </c>
      <c r="P210">
        <v>0</v>
      </c>
      <c r="Q210">
        <v>1</v>
      </c>
      <c r="R210" t="s">
        <v>147</v>
      </c>
      <c r="S210">
        <v>27</v>
      </c>
      <c r="T210">
        <v>0</v>
      </c>
      <c r="U210" t="s">
        <v>35</v>
      </c>
      <c r="V210" t="s">
        <v>121</v>
      </c>
    </row>
    <row r="211" spans="1:22" x14ac:dyDescent="0.25">
      <c r="A211" t="s">
        <v>109</v>
      </c>
      <c r="B211" s="3">
        <v>45949</v>
      </c>
      <c r="C211" t="s">
        <v>30</v>
      </c>
      <c r="D211">
        <v>16</v>
      </c>
      <c r="E211" t="s">
        <v>137</v>
      </c>
      <c r="F211" t="s">
        <v>41</v>
      </c>
      <c r="G211">
        <v>1</v>
      </c>
      <c r="H211">
        <v>0</v>
      </c>
      <c r="I211">
        <v>1</v>
      </c>
      <c r="J211">
        <v>42</v>
      </c>
      <c r="K211">
        <v>20</v>
      </c>
      <c r="L211">
        <v>2.89</v>
      </c>
      <c r="M211">
        <v>2.02</v>
      </c>
      <c r="N211">
        <v>0</v>
      </c>
      <c r="O211">
        <v>7</v>
      </c>
      <c r="P211">
        <v>0</v>
      </c>
      <c r="Q211">
        <v>5</v>
      </c>
      <c r="R211" t="s">
        <v>100</v>
      </c>
      <c r="S211">
        <v>19</v>
      </c>
      <c r="T211">
        <v>0</v>
      </c>
      <c r="U211" t="s">
        <v>35</v>
      </c>
      <c r="V211" t="s">
        <v>121</v>
      </c>
    </row>
    <row r="212" spans="1:22" x14ac:dyDescent="0.25">
      <c r="A212" t="s">
        <v>109</v>
      </c>
      <c r="B212" s="3">
        <v>45949</v>
      </c>
      <c r="C212" t="s">
        <v>30</v>
      </c>
      <c r="D212">
        <v>16</v>
      </c>
      <c r="E212" t="s">
        <v>36</v>
      </c>
      <c r="F212" t="s">
        <v>31</v>
      </c>
      <c r="G212">
        <v>1</v>
      </c>
      <c r="H212">
        <v>0</v>
      </c>
      <c r="I212">
        <v>2</v>
      </c>
      <c r="J212">
        <v>18</v>
      </c>
      <c r="K212">
        <v>27</v>
      </c>
      <c r="L212">
        <v>1.46</v>
      </c>
      <c r="M212">
        <v>3.3</v>
      </c>
      <c r="N212">
        <v>0</v>
      </c>
      <c r="O212">
        <v>3</v>
      </c>
      <c r="P212">
        <v>1</v>
      </c>
      <c r="Q212">
        <v>3</v>
      </c>
      <c r="R212" t="s">
        <v>146</v>
      </c>
      <c r="S212">
        <v>25</v>
      </c>
      <c r="T212">
        <v>0</v>
      </c>
      <c r="U212" t="s">
        <v>35</v>
      </c>
      <c r="V212" t="s">
        <v>121</v>
      </c>
    </row>
    <row r="213" spans="1:22" x14ac:dyDescent="0.25">
      <c r="A213" t="s">
        <v>109</v>
      </c>
      <c r="B213" s="3">
        <v>45949</v>
      </c>
      <c r="C213" t="s">
        <v>30</v>
      </c>
      <c r="D213">
        <v>16</v>
      </c>
      <c r="E213" t="s">
        <v>32</v>
      </c>
      <c r="F213" t="s">
        <v>40</v>
      </c>
      <c r="G213">
        <v>1</v>
      </c>
      <c r="H213">
        <v>4</v>
      </c>
      <c r="I213">
        <v>1</v>
      </c>
      <c r="J213">
        <v>36</v>
      </c>
      <c r="K213">
        <v>25</v>
      </c>
      <c r="N213">
        <v>0</v>
      </c>
      <c r="O213">
        <v>3</v>
      </c>
      <c r="P213">
        <v>0</v>
      </c>
      <c r="Q213">
        <v>4</v>
      </c>
      <c r="R213" t="s">
        <v>117</v>
      </c>
      <c r="S213">
        <v>24</v>
      </c>
      <c r="T213">
        <v>0</v>
      </c>
      <c r="U213" t="s">
        <v>33</v>
      </c>
      <c r="V213" t="s">
        <v>121</v>
      </c>
    </row>
    <row r="214" spans="1:22" x14ac:dyDescent="0.25">
      <c r="A214" t="s">
        <v>109</v>
      </c>
      <c r="B214" s="3">
        <v>45949</v>
      </c>
      <c r="C214" t="s">
        <v>30</v>
      </c>
      <c r="D214">
        <v>16</v>
      </c>
      <c r="E214" t="s">
        <v>38</v>
      </c>
      <c r="F214" t="s">
        <v>44</v>
      </c>
      <c r="G214">
        <v>1</v>
      </c>
      <c r="H214">
        <v>5</v>
      </c>
      <c r="I214">
        <v>3</v>
      </c>
      <c r="J214">
        <v>32</v>
      </c>
      <c r="K214">
        <v>37</v>
      </c>
      <c r="N214">
        <v>0</v>
      </c>
      <c r="O214">
        <v>1</v>
      </c>
      <c r="P214">
        <v>2</v>
      </c>
      <c r="Q214">
        <v>4</v>
      </c>
      <c r="R214" t="s">
        <v>104</v>
      </c>
      <c r="S214">
        <v>24</v>
      </c>
      <c r="T214">
        <v>0</v>
      </c>
      <c r="U214" t="s">
        <v>33</v>
      </c>
      <c r="V214" t="s">
        <v>121</v>
      </c>
    </row>
    <row r="215" spans="1:22" x14ac:dyDescent="0.25">
      <c r="A215" t="s">
        <v>109</v>
      </c>
      <c r="B215" s="3">
        <v>45949</v>
      </c>
      <c r="C215" t="s">
        <v>30</v>
      </c>
      <c r="D215">
        <v>16</v>
      </c>
      <c r="E215" t="s">
        <v>39</v>
      </c>
      <c r="F215" t="s">
        <v>136</v>
      </c>
      <c r="G215">
        <v>0</v>
      </c>
      <c r="H215">
        <v>3</v>
      </c>
      <c r="I215">
        <v>0</v>
      </c>
      <c r="J215">
        <v>27</v>
      </c>
      <c r="K215">
        <v>20</v>
      </c>
      <c r="N215">
        <v>0</v>
      </c>
      <c r="O215">
        <v>3</v>
      </c>
      <c r="P215">
        <v>0</v>
      </c>
      <c r="Q215">
        <v>3</v>
      </c>
      <c r="R215" t="s">
        <v>106</v>
      </c>
      <c r="S215">
        <v>20</v>
      </c>
      <c r="T215">
        <v>0</v>
      </c>
      <c r="U215" t="s">
        <v>33</v>
      </c>
      <c r="V215" t="s">
        <v>121</v>
      </c>
    </row>
    <row r="216" spans="1:22" x14ac:dyDescent="0.25">
      <c r="A216" t="s">
        <v>109</v>
      </c>
      <c r="B216" s="3">
        <v>45951</v>
      </c>
      <c r="C216" t="s">
        <v>30</v>
      </c>
      <c r="D216">
        <v>16</v>
      </c>
      <c r="E216" t="s">
        <v>41</v>
      </c>
      <c r="F216" t="s">
        <v>46</v>
      </c>
      <c r="G216">
        <v>0</v>
      </c>
      <c r="H216">
        <v>4</v>
      </c>
      <c r="I216">
        <v>1</v>
      </c>
      <c r="J216">
        <v>36</v>
      </c>
      <c r="K216">
        <v>23</v>
      </c>
      <c r="L216">
        <v>4.38</v>
      </c>
      <c r="M216">
        <v>2.4</v>
      </c>
      <c r="N216">
        <v>2</v>
      </c>
      <c r="O216" s="5">
        <v>5</v>
      </c>
      <c r="P216">
        <v>0</v>
      </c>
      <c r="Q216" s="5">
        <v>5</v>
      </c>
      <c r="R216" t="s">
        <v>110</v>
      </c>
      <c r="S216" s="4">
        <v>22</v>
      </c>
      <c r="T216">
        <v>0</v>
      </c>
      <c r="U216" t="s">
        <v>33</v>
      </c>
      <c r="V216" t="s">
        <v>121</v>
      </c>
    </row>
    <row r="217" spans="1:22" x14ac:dyDescent="0.25">
      <c r="A217" t="s">
        <v>109</v>
      </c>
      <c r="B217" s="3">
        <v>45951</v>
      </c>
      <c r="C217" t="s">
        <v>30</v>
      </c>
      <c r="D217">
        <v>16</v>
      </c>
      <c r="E217" t="s">
        <v>46</v>
      </c>
      <c r="F217" t="s">
        <v>41</v>
      </c>
      <c r="G217">
        <v>1</v>
      </c>
      <c r="H217">
        <v>1</v>
      </c>
      <c r="I217">
        <v>4</v>
      </c>
      <c r="J217">
        <v>23</v>
      </c>
      <c r="K217">
        <v>36</v>
      </c>
      <c r="L217">
        <v>2.4</v>
      </c>
      <c r="M217">
        <v>4.38</v>
      </c>
      <c r="N217">
        <v>0</v>
      </c>
      <c r="O217" s="5">
        <v>5</v>
      </c>
      <c r="P217">
        <v>2</v>
      </c>
      <c r="Q217" s="5">
        <v>5</v>
      </c>
      <c r="R217" t="s">
        <v>141</v>
      </c>
      <c r="S217" s="4">
        <v>32</v>
      </c>
      <c r="T217">
        <v>0</v>
      </c>
      <c r="U217" t="s">
        <v>35</v>
      </c>
      <c r="V217" t="s">
        <v>121</v>
      </c>
    </row>
    <row r="218" spans="1:22" x14ac:dyDescent="0.25">
      <c r="A218" t="s">
        <v>109</v>
      </c>
      <c r="B218" s="3">
        <v>45951</v>
      </c>
      <c r="C218" t="s">
        <v>30</v>
      </c>
      <c r="D218">
        <v>15</v>
      </c>
      <c r="E218" t="s">
        <v>136</v>
      </c>
      <c r="F218" t="s">
        <v>32</v>
      </c>
      <c r="G218">
        <v>1</v>
      </c>
      <c r="H218">
        <v>0</v>
      </c>
      <c r="I218">
        <v>3</v>
      </c>
      <c r="J218">
        <v>22</v>
      </c>
      <c r="K218">
        <v>26</v>
      </c>
      <c r="N218">
        <v>0</v>
      </c>
      <c r="O218">
        <v>2</v>
      </c>
      <c r="P218">
        <v>0</v>
      </c>
      <c r="Q218">
        <v>3</v>
      </c>
      <c r="R218" t="s">
        <v>111</v>
      </c>
      <c r="S218">
        <v>23</v>
      </c>
      <c r="T218">
        <v>0</v>
      </c>
      <c r="U218" t="s">
        <v>35</v>
      </c>
      <c r="V218" t="s">
        <v>121</v>
      </c>
    </row>
    <row r="219" spans="1:22" x14ac:dyDescent="0.25">
      <c r="A219" t="s">
        <v>109</v>
      </c>
      <c r="B219" s="3">
        <v>45951</v>
      </c>
      <c r="C219" t="s">
        <v>30</v>
      </c>
      <c r="D219">
        <v>6</v>
      </c>
      <c r="E219" t="s">
        <v>43</v>
      </c>
      <c r="F219" t="s">
        <v>38</v>
      </c>
      <c r="G219">
        <v>0</v>
      </c>
      <c r="H219">
        <v>2</v>
      </c>
      <c r="I219">
        <v>3</v>
      </c>
      <c r="J219">
        <v>30</v>
      </c>
      <c r="K219">
        <v>40</v>
      </c>
      <c r="N219">
        <v>0</v>
      </c>
      <c r="O219">
        <v>2</v>
      </c>
      <c r="P219">
        <v>1</v>
      </c>
      <c r="Q219">
        <v>6</v>
      </c>
      <c r="R219" t="s">
        <v>151</v>
      </c>
      <c r="S219">
        <v>37</v>
      </c>
      <c r="T219">
        <v>0</v>
      </c>
      <c r="U219" t="s">
        <v>35</v>
      </c>
      <c r="V219" t="s">
        <v>121</v>
      </c>
    </row>
    <row r="220" spans="1:22" x14ac:dyDescent="0.25">
      <c r="A220" t="s">
        <v>109</v>
      </c>
      <c r="B220" s="3">
        <v>45951</v>
      </c>
      <c r="C220" t="s">
        <v>30</v>
      </c>
      <c r="D220">
        <v>15</v>
      </c>
      <c r="E220" t="s">
        <v>32</v>
      </c>
      <c r="F220" t="s">
        <v>136</v>
      </c>
      <c r="G220">
        <v>0</v>
      </c>
      <c r="H220">
        <v>3</v>
      </c>
      <c r="I220">
        <v>0</v>
      </c>
      <c r="J220">
        <v>26</v>
      </c>
      <c r="K220">
        <v>22</v>
      </c>
      <c r="N220">
        <v>0</v>
      </c>
      <c r="O220">
        <v>3</v>
      </c>
      <c r="P220">
        <v>0</v>
      </c>
      <c r="Q220">
        <v>2</v>
      </c>
      <c r="R220" t="s">
        <v>117</v>
      </c>
      <c r="S220">
        <v>22</v>
      </c>
      <c r="T220">
        <v>0</v>
      </c>
      <c r="U220" t="s">
        <v>33</v>
      </c>
      <c r="V220" t="s">
        <v>121</v>
      </c>
    </row>
    <row r="221" spans="1:22" x14ac:dyDescent="0.25">
      <c r="A221" t="s">
        <v>109</v>
      </c>
      <c r="B221" s="3">
        <v>45951</v>
      </c>
      <c r="C221" t="s">
        <v>30</v>
      </c>
      <c r="D221">
        <v>6</v>
      </c>
      <c r="E221" t="s">
        <v>38</v>
      </c>
      <c r="F221" t="s">
        <v>43</v>
      </c>
      <c r="G221">
        <v>1</v>
      </c>
      <c r="H221">
        <v>3</v>
      </c>
      <c r="I221">
        <v>2</v>
      </c>
      <c r="J221">
        <v>40</v>
      </c>
      <c r="K221">
        <v>30</v>
      </c>
      <c r="N221">
        <v>1</v>
      </c>
      <c r="O221">
        <v>6</v>
      </c>
      <c r="P221">
        <v>0</v>
      </c>
      <c r="Q221">
        <v>2</v>
      </c>
      <c r="R221" t="s">
        <v>104</v>
      </c>
      <c r="S221">
        <v>28</v>
      </c>
      <c r="T221">
        <v>0</v>
      </c>
      <c r="U221" t="s">
        <v>33</v>
      </c>
      <c r="V221" t="s">
        <v>121</v>
      </c>
    </row>
    <row r="222" spans="1:22" x14ac:dyDescent="0.25">
      <c r="A222" t="s">
        <v>109</v>
      </c>
      <c r="B222" s="3">
        <v>45952</v>
      </c>
      <c r="C222" t="s">
        <v>30</v>
      </c>
      <c r="D222">
        <v>17</v>
      </c>
      <c r="E222" t="s">
        <v>46</v>
      </c>
      <c r="F222" t="s">
        <v>45</v>
      </c>
      <c r="G222">
        <v>1</v>
      </c>
      <c r="H222">
        <v>5</v>
      </c>
      <c r="I222">
        <v>4</v>
      </c>
      <c r="J222">
        <v>30</v>
      </c>
      <c r="K222">
        <v>40</v>
      </c>
      <c r="L222">
        <v>2.38</v>
      </c>
      <c r="M222">
        <v>3.78</v>
      </c>
      <c r="N222">
        <v>1</v>
      </c>
      <c r="O222" s="5">
        <v>4</v>
      </c>
      <c r="P222">
        <v>1</v>
      </c>
      <c r="Q222" s="5">
        <v>4</v>
      </c>
      <c r="R222" t="s">
        <v>141</v>
      </c>
      <c r="S222" s="4">
        <v>36</v>
      </c>
      <c r="T222">
        <v>1</v>
      </c>
      <c r="U222" t="s">
        <v>33</v>
      </c>
      <c r="V222" t="s">
        <v>121</v>
      </c>
    </row>
    <row r="223" spans="1:22" x14ac:dyDescent="0.25">
      <c r="A223" t="s">
        <v>109</v>
      </c>
      <c r="B223" s="3">
        <v>45952</v>
      </c>
      <c r="C223" t="s">
        <v>30</v>
      </c>
      <c r="D223">
        <v>42</v>
      </c>
      <c r="E223" t="s">
        <v>45</v>
      </c>
      <c r="F223" t="s">
        <v>46</v>
      </c>
      <c r="G223">
        <v>0</v>
      </c>
      <c r="H223">
        <v>4</v>
      </c>
      <c r="I223">
        <v>5</v>
      </c>
      <c r="J223">
        <v>40</v>
      </c>
      <c r="K223">
        <v>30</v>
      </c>
      <c r="L223">
        <v>3.78</v>
      </c>
      <c r="M223">
        <v>2.38</v>
      </c>
      <c r="N223">
        <v>1</v>
      </c>
      <c r="O223">
        <v>4</v>
      </c>
      <c r="P223">
        <v>1</v>
      </c>
      <c r="Q223">
        <v>4</v>
      </c>
      <c r="R223" t="s">
        <v>148</v>
      </c>
      <c r="S223">
        <v>31</v>
      </c>
      <c r="T223">
        <v>1</v>
      </c>
      <c r="U223" t="s">
        <v>35</v>
      </c>
      <c r="V223" t="s">
        <v>121</v>
      </c>
    </row>
    <row r="224" spans="1:22" x14ac:dyDescent="0.25">
      <c r="A224" t="s">
        <v>109</v>
      </c>
      <c r="B224" s="3">
        <v>45953</v>
      </c>
      <c r="C224" t="s">
        <v>30</v>
      </c>
      <c r="D224">
        <v>17</v>
      </c>
      <c r="E224" t="s">
        <v>31</v>
      </c>
      <c r="F224" t="s">
        <v>136</v>
      </c>
      <c r="G224">
        <v>1</v>
      </c>
      <c r="H224">
        <v>5</v>
      </c>
      <c r="I224">
        <v>2</v>
      </c>
      <c r="J224">
        <v>25</v>
      </c>
      <c r="K224">
        <v>25</v>
      </c>
      <c r="L224">
        <v>3.13</v>
      </c>
      <c r="M224">
        <v>2.87</v>
      </c>
      <c r="N224">
        <v>1</v>
      </c>
      <c r="O224" s="4">
        <v>4</v>
      </c>
      <c r="P224">
        <v>1</v>
      </c>
      <c r="Q224" s="4">
        <v>5</v>
      </c>
      <c r="R224" t="s">
        <v>34</v>
      </c>
      <c r="S224" s="4">
        <v>23</v>
      </c>
      <c r="T224">
        <v>0</v>
      </c>
      <c r="U224" t="s">
        <v>33</v>
      </c>
      <c r="V224" t="s">
        <v>121</v>
      </c>
    </row>
    <row r="225" spans="1:22" x14ac:dyDescent="0.25">
      <c r="A225" t="s">
        <v>109</v>
      </c>
      <c r="B225" s="3">
        <v>45953</v>
      </c>
      <c r="C225" t="s">
        <v>30</v>
      </c>
      <c r="D225">
        <v>42</v>
      </c>
      <c r="E225" t="s">
        <v>136</v>
      </c>
      <c r="F225" t="s">
        <v>31</v>
      </c>
      <c r="G225">
        <v>0</v>
      </c>
      <c r="H225">
        <v>2</v>
      </c>
      <c r="I225">
        <v>5</v>
      </c>
      <c r="J225">
        <v>25</v>
      </c>
      <c r="K225">
        <v>25</v>
      </c>
      <c r="L225">
        <v>2.87</v>
      </c>
      <c r="M225">
        <v>3.13</v>
      </c>
      <c r="N225">
        <v>1</v>
      </c>
      <c r="O225" s="4">
        <v>5</v>
      </c>
      <c r="P225">
        <v>1</v>
      </c>
      <c r="Q225" s="5">
        <v>4</v>
      </c>
      <c r="R225" t="s">
        <v>111</v>
      </c>
      <c r="S225" s="4">
        <v>20</v>
      </c>
      <c r="T225">
        <v>0</v>
      </c>
      <c r="U225" t="s">
        <v>35</v>
      </c>
      <c r="V225" t="s">
        <v>121</v>
      </c>
    </row>
    <row r="226" spans="1:22" x14ac:dyDescent="0.25">
      <c r="A226" t="s">
        <v>109</v>
      </c>
      <c r="B226" s="3">
        <v>45954</v>
      </c>
      <c r="C226" t="s">
        <v>30</v>
      </c>
      <c r="D226">
        <v>17</v>
      </c>
      <c r="E226" t="s">
        <v>41</v>
      </c>
      <c r="F226" t="s">
        <v>36</v>
      </c>
      <c r="G226">
        <v>1</v>
      </c>
      <c r="H226">
        <v>2</v>
      </c>
      <c r="I226">
        <v>1</v>
      </c>
      <c r="J226">
        <v>43</v>
      </c>
      <c r="K226">
        <v>22</v>
      </c>
      <c r="L226">
        <v>3.8</v>
      </c>
      <c r="M226">
        <v>1.49</v>
      </c>
      <c r="N226">
        <v>1</v>
      </c>
      <c r="O226" s="5">
        <v>5</v>
      </c>
      <c r="P226">
        <v>0</v>
      </c>
      <c r="Q226" s="5">
        <v>1</v>
      </c>
      <c r="R226" t="s">
        <v>110</v>
      </c>
      <c r="S226" s="4">
        <v>21</v>
      </c>
      <c r="T226">
        <v>0</v>
      </c>
      <c r="U226" t="s">
        <v>33</v>
      </c>
      <c r="V226" t="s">
        <v>121</v>
      </c>
    </row>
    <row r="227" spans="1:22" x14ac:dyDescent="0.25">
      <c r="A227" t="s">
        <v>109</v>
      </c>
      <c r="B227" s="3">
        <v>45954</v>
      </c>
      <c r="C227" t="s">
        <v>30</v>
      </c>
      <c r="D227">
        <v>18</v>
      </c>
      <c r="E227" t="s">
        <v>46</v>
      </c>
      <c r="F227" t="s">
        <v>44</v>
      </c>
      <c r="G227">
        <v>0</v>
      </c>
      <c r="H227">
        <v>3</v>
      </c>
      <c r="I227">
        <v>4</v>
      </c>
      <c r="J227">
        <v>29</v>
      </c>
      <c r="K227">
        <v>34</v>
      </c>
      <c r="L227">
        <v>3.27</v>
      </c>
      <c r="M227">
        <v>3.98</v>
      </c>
      <c r="N227">
        <v>0</v>
      </c>
      <c r="O227" s="5">
        <v>5</v>
      </c>
      <c r="P227">
        <v>0</v>
      </c>
      <c r="Q227" s="5">
        <v>5</v>
      </c>
      <c r="R227" t="s">
        <v>140</v>
      </c>
      <c r="S227" s="4">
        <v>31</v>
      </c>
      <c r="T227">
        <v>1</v>
      </c>
      <c r="U227" t="s">
        <v>35</v>
      </c>
      <c r="V227" t="s">
        <v>121</v>
      </c>
    </row>
    <row r="228" spans="1:22" x14ac:dyDescent="0.25">
      <c r="A228" t="s">
        <v>109</v>
      </c>
      <c r="B228" s="3">
        <v>45954</v>
      </c>
      <c r="C228" t="s">
        <v>30</v>
      </c>
      <c r="D228">
        <v>16</v>
      </c>
      <c r="E228" t="s">
        <v>44</v>
      </c>
      <c r="F228" t="s">
        <v>46</v>
      </c>
      <c r="G228">
        <v>1</v>
      </c>
      <c r="H228">
        <v>4</v>
      </c>
      <c r="I228">
        <v>3</v>
      </c>
      <c r="J228">
        <v>34</v>
      </c>
      <c r="K228">
        <v>29</v>
      </c>
      <c r="L228">
        <v>3.98</v>
      </c>
      <c r="M228">
        <v>3.27</v>
      </c>
      <c r="N228">
        <v>0</v>
      </c>
      <c r="O228">
        <v>5</v>
      </c>
      <c r="P228">
        <v>0</v>
      </c>
      <c r="Q228">
        <v>5</v>
      </c>
      <c r="R228" t="s">
        <v>150</v>
      </c>
      <c r="S228">
        <v>26</v>
      </c>
      <c r="T228">
        <v>1</v>
      </c>
      <c r="U228" t="s">
        <v>33</v>
      </c>
      <c r="V228" t="s">
        <v>121</v>
      </c>
    </row>
    <row r="229" spans="1:22" x14ac:dyDescent="0.25">
      <c r="A229" t="s">
        <v>109</v>
      </c>
      <c r="B229" s="3">
        <v>45954</v>
      </c>
      <c r="C229" t="s">
        <v>30</v>
      </c>
      <c r="D229">
        <v>17</v>
      </c>
      <c r="E229" t="s">
        <v>42</v>
      </c>
      <c r="F229" t="s">
        <v>45</v>
      </c>
      <c r="G229">
        <v>1</v>
      </c>
      <c r="H229">
        <v>4</v>
      </c>
      <c r="I229">
        <v>1</v>
      </c>
      <c r="J229">
        <v>31</v>
      </c>
      <c r="K229">
        <v>28</v>
      </c>
      <c r="L229">
        <v>3.2</v>
      </c>
      <c r="M229">
        <v>2.31</v>
      </c>
      <c r="N229">
        <v>2</v>
      </c>
      <c r="O229">
        <v>5</v>
      </c>
      <c r="P229">
        <v>0</v>
      </c>
      <c r="Q229">
        <v>3</v>
      </c>
      <c r="R229" t="s">
        <v>144</v>
      </c>
      <c r="S229">
        <v>27</v>
      </c>
      <c r="T229">
        <v>0</v>
      </c>
      <c r="U229" t="s">
        <v>33</v>
      </c>
      <c r="V229" t="s">
        <v>121</v>
      </c>
    </row>
    <row r="230" spans="1:22" x14ac:dyDescent="0.25">
      <c r="A230" t="s">
        <v>109</v>
      </c>
      <c r="B230" s="3">
        <v>45954</v>
      </c>
      <c r="C230" t="s">
        <v>30</v>
      </c>
      <c r="D230">
        <v>17</v>
      </c>
      <c r="E230" t="s">
        <v>40</v>
      </c>
      <c r="F230" t="s">
        <v>38</v>
      </c>
      <c r="G230">
        <v>1</v>
      </c>
      <c r="H230">
        <v>3</v>
      </c>
      <c r="I230">
        <v>2</v>
      </c>
      <c r="J230">
        <v>29</v>
      </c>
      <c r="K230">
        <v>20</v>
      </c>
      <c r="N230">
        <v>1</v>
      </c>
      <c r="O230">
        <v>5</v>
      </c>
      <c r="P230">
        <v>1</v>
      </c>
      <c r="Q230">
        <v>6</v>
      </c>
      <c r="R230" t="s">
        <v>119</v>
      </c>
      <c r="S230">
        <v>18</v>
      </c>
      <c r="T230">
        <v>0</v>
      </c>
      <c r="U230" t="s">
        <v>33</v>
      </c>
      <c r="V230" t="s">
        <v>121</v>
      </c>
    </row>
    <row r="231" spans="1:22" x14ac:dyDescent="0.25">
      <c r="A231" t="s">
        <v>109</v>
      </c>
      <c r="B231" s="3">
        <v>45954</v>
      </c>
      <c r="C231" t="s">
        <v>30</v>
      </c>
      <c r="D231">
        <v>17</v>
      </c>
      <c r="E231" t="s">
        <v>137</v>
      </c>
      <c r="F231" t="s">
        <v>43</v>
      </c>
      <c r="G231">
        <v>0</v>
      </c>
      <c r="H231">
        <v>3</v>
      </c>
      <c r="I231">
        <v>4</v>
      </c>
      <c r="J231">
        <v>26</v>
      </c>
      <c r="K231">
        <v>30</v>
      </c>
      <c r="N231">
        <v>0</v>
      </c>
      <c r="O231">
        <v>5</v>
      </c>
      <c r="P231">
        <v>3</v>
      </c>
      <c r="Q231">
        <v>7</v>
      </c>
      <c r="R231" t="s">
        <v>100</v>
      </c>
      <c r="S231">
        <v>26</v>
      </c>
      <c r="T231">
        <v>1</v>
      </c>
      <c r="U231" t="s">
        <v>35</v>
      </c>
      <c r="V231" t="s">
        <v>121</v>
      </c>
    </row>
    <row r="232" spans="1:22" x14ac:dyDescent="0.25">
      <c r="A232" t="s">
        <v>109</v>
      </c>
      <c r="B232" s="3">
        <v>45954</v>
      </c>
      <c r="C232" t="s">
        <v>30</v>
      </c>
      <c r="D232">
        <v>17</v>
      </c>
      <c r="E232" t="s">
        <v>43</v>
      </c>
      <c r="F232" t="s">
        <v>137</v>
      </c>
      <c r="G232">
        <v>1</v>
      </c>
      <c r="H232">
        <v>4</v>
      </c>
      <c r="I232">
        <v>3</v>
      </c>
      <c r="J232">
        <v>30</v>
      </c>
      <c r="K232">
        <v>26</v>
      </c>
      <c r="N232">
        <v>3</v>
      </c>
      <c r="O232">
        <v>7</v>
      </c>
      <c r="P232">
        <v>0</v>
      </c>
      <c r="Q232">
        <v>5</v>
      </c>
      <c r="R232" t="s">
        <v>149</v>
      </c>
      <c r="S232">
        <v>23</v>
      </c>
      <c r="T232">
        <v>1</v>
      </c>
      <c r="U232" t="s">
        <v>33</v>
      </c>
      <c r="V232" t="s">
        <v>121</v>
      </c>
    </row>
    <row r="233" spans="1:22" x14ac:dyDescent="0.25">
      <c r="A233" t="s">
        <v>109</v>
      </c>
      <c r="B233" s="3">
        <v>45954</v>
      </c>
      <c r="C233" t="s">
        <v>30</v>
      </c>
      <c r="D233">
        <v>17</v>
      </c>
      <c r="E233" t="s">
        <v>36</v>
      </c>
      <c r="F233" t="s">
        <v>41</v>
      </c>
      <c r="G233">
        <v>0</v>
      </c>
      <c r="H233">
        <v>1</v>
      </c>
      <c r="I233">
        <v>2</v>
      </c>
      <c r="J233">
        <v>22</v>
      </c>
      <c r="K233">
        <v>43</v>
      </c>
      <c r="L233">
        <v>1.49</v>
      </c>
      <c r="M233">
        <v>3.8</v>
      </c>
      <c r="N233">
        <v>0</v>
      </c>
      <c r="O233" s="5">
        <v>1</v>
      </c>
      <c r="P233">
        <v>1</v>
      </c>
      <c r="Q233" s="5">
        <v>5</v>
      </c>
      <c r="R233" t="s">
        <v>157</v>
      </c>
      <c r="S233" s="4">
        <v>41</v>
      </c>
      <c r="T233">
        <v>0</v>
      </c>
      <c r="U233" t="s">
        <v>35</v>
      </c>
      <c r="V233" t="s">
        <v>121</v>
      </c>
    </row>
    <row r="234" spans="1:22" x14ac:dyDescent="0.25">
      <c r="A234" t="s">
        <v>109</v>
      </c>
      <c r="B234" s="3">
        <v>45954</v>
      </c>
      <c r="C234" t="s">
        <v>30</v>
      </c>
      <c r="D234">
        <v>17</v>
      </c>
      <c r="E234" t="s">
        <v>32</v>
      </c>
      <c r="F234" t="s">
        <v>39</v>
      </c>
      <c r="G234">
        <v>0</v>
      </c>
      <c r="H234">
        <v>3</v>
      </c>
      <c r="I234">
        <v>2</v>
      </c>
      <c r="J234">
        <v>20</v>
      </c>
      <c r="K234">
        <v>34</v>
      </c>
      <c r="N234">
        <v>1</v>
      </c>
      <c r="O234">
        <v>4</v>
      </c>
      <c r="P234">
        <v>0</v>
      </c>
      <c r="Q234">
        <v>4</v>
      </c>
      <c r="R234" t="s">
        <v>117</v>
      </c>
      <c r="S234">
        <v>32</v>
      </c>
      <c r="T234">
        <v>0</v>
      </c>
      <c r="U234" t="s">
        <v>33</v>
      </c>
      <c r="V234" t="s">
        <v>121</v>
      </c>
    </row>
    <row r="235" spans="1:22" x14ac:dyDescent="0.25">
      <c r="A235" t="s">
        <v>109</v>
      </c>
      <c r="B235" s="3">
        <v>45954</v>
      </c>
      <c r="C235" t="s">
        <v>30</v>
      </c>
      <c r="D235">
        <v>17</v>
      </c>
      <c r="E235" t="s">
        <v>38</v>
      </c>
      <c r="F235" t="s">
        <v>40</v>
      </c>
      <c r="G235">
        <v>0</v>
      </c>
      <c r="H235">
        <v>2</v>
      </c>
      <c r="I235">
        <v>3</v>
      </c>
      <c r="J235">
        <v>20</v>
      </c>
      <c r="K235">
        <v>29</v>
      </c>
      <c r="N235">
        <v>1</v>
      </c>
      <c r="O235">
        <v>6</v>
      </c>
      <c r="P235">
        <v>1</v>
      </c>
      <c r="Q235">
        <v>5</v>
      </c>
      <c r="R235" t="s">
        <v>104</v>
      </c>
      <c r="S235">
        <v>26</v>
      </c>
      <c r="T235">
        <v>0</v>
      </c>
      <c r="U235" t="s">
        <v>35</v>
      </c>
      <c r="V235" t="s">
        <v>121</v>
      </c>
    </row>
    <row r="236" spans="1:22" x14ac:dyDescent="0.25">
      <c r="A236" t="s">
        <v>109</v>
      </c>
      <c r="B236" s="3">
        <v>45954</v>
      </c>
      <c r="C236" t="s">
        <v>30</v>
      </c>
      <c r="D236">
        <v>17</v>
      </c>
      <c r="E236" t="s">
        <v>39</v>
      </c>
      <c r="F236" t="s">
        <v>32</v>
      </c>
      <c r="G236">
        <v>1</v>
      </c>
      <c r="H236">
        <v>2</v>
      </c>
      <c r="I236">
        <v>3</v>
      </c>
      <c r="J236">
        <v>34</v>
      </c>
      <c r="K236">
        <v>20</v>
      </c>
      <c r="N236">
        <v>0</v>
      </c>
      <c r="O236">
        <v>4</v>
      </c>
      <c r="P236">
        <v>1</v>
      </c>
      <c r="Q236">
        <v>4</v>
      </c>
      <c r="R236" t="s">
        <v>105</v>
      </c>
      <c r="S236">
        <v>17</v>
      </c>
      <c r="T236">
        <v>0</v>
      </c>
      <c r="U236" t="s">
        <v>35</v>
      </c>
      <c r="V236" t="s">
        <v>121</v>
      </c>
    </row>
    <row r="237" spans="1:22" x14ac:dyDescent="0.25">
      <c r="A237" t="s">
        <v>109</v>
      </c>
      <c r="B237" s="3">
        <v>45954</v>
      </c>
      <c r="C237" t="s">
        <v>30</v>
      </c>
      <c r="D237">
        <v>17</v>
      </c>
      <c r="E237" t="s">
        <v>45</v>
      </c>
      <c r="F237" t="s">
        <v>42</v>
      </c>
      <c r="G237">
        <v>0</v>
      </c>
      <c r="H237">
        <v>1</v>
      </c>
      <c r="I237">
        <v>4</v>
      </c>
      <c r="J237">
        <v>28</v>
      </c>
      <c r="K237">
        <v>31</v>
      </c>
      <c r="L237">
        <v>2.31</v>
      </c>
      <c r="M237">
        <v>3.2</v>
      </c>
      <c r="N237">
        <v>0</v>
      </c>
      <c r="O237">
        <v>3</v>
      </c>
      <c r="P237">
        <v>2</v>
      </c>
      <c r="Q237">
        <v>5</v>
      </c>
      <c r="R237" t="s">
        <v>148</v>
      </c>
      <c r="S237">
        <v>27</v>
      </c>
      <c r="T237">
        <v>0</v>
      </c>
      <c r="U237" t="s">
        <v>35</v>
      </c>
      <c r="V237" t="s">
        <v>121</v>
      </c>
    </row>
    <row r="238" spans="1:22" x14ac:dyDescent="0.25">
      <c r="A238" t="s">
        <v>109</v>
      </c>
      <c r="B238" s="3">
        <v>45956</v>
      </c>
      <c r="C238" t="s">
        <v>30</v>
      </c>
      <c r="D238">
        <v>18</v>
      </c>
      <c r="E238" t="s">
        <v>31</v>
      </c>
      <c r="F238" t="s">
        <v>38</v>
      </c>
      <c r="G238">
        <v>0</v>
      </c>
      <c r="H238">
        <v>1</v>
      </c>
      <c r="I238">
        <v>2</v>
      </c>
      <c r="J238">
        <v>44</v>
      </c>
      <c r="K238">
        <v>17</v>
      </c>
      <c r="L238">
        <v>3.5</v>
      </c>
      <c r="M238">
        <v>1.59</v>
      </c>
      <c r="N238">
        <v>0</v>
      </c>
      <c r="O238" s="5">
        <v>7</v>
      </c>
      <c r="P238">
        <v>2</v>
      </c>
      <c r="Q238" s="4">
        <v>9</v>
      </c>
      <c r="R238" t="s">
        <v>34</v>
      </c>
      <c r="S238" s="4">
        <v>15</v>
      </c>
      <c r="T238">
        <v>1</v>
      </c>
      <c r="U238" t="s">
        <v>35</v>
      </c>
      <c r="V238" t="s">
        <v>121</v>
      </c>
    </row>
    <row r="239" spans="1:22" x14ac:dyDescent="0.25">
      <c r="A239" t="s">
        <v>109</v>
      </c>
      <c r="B239" s="3">
        <v>45956</v>
      </c>
      <c r="C239" t="s">
        <v>30</v>
      </c>
      <c r="D239">
        <v>18</v>
      </c>
      <c r="E239" t="s">
        <v>41</v>
      </c>
      <c r="F239" t="s">
        <v>39</v>
      </c>
      <c r="G239">
        <v>0</v>
      </c>
      <c r="H239">
        <v>2</v>
      </c>
      <c r="I239">
        <v>1</v>
      </c>
      <c r="J239">
        <v>20</v>
      </c>
      <c r="K239">
        <v>26</v>
      </c>
      <c r="L239">
        <v>2.06</v>
      </c>
      <c r="M239">
        <v>3.65</v>
      </c>
      <c r="N239">
        <v>1</v>
      </c>
      <c r="O239" s="5">
        <v>2</v>
      </c>
      <c r="P239">
        <v>0</v>
      </c>
      <c r="Q239" s="5">
        <v>8</v>
      </c>
      <c r="R239" t="s">
        <v>110</v>
      </c>
      <c r="S239" s="4">
        <v>25</v>
      </c>
      <c r="T239">
        <v>1</v>
      </c>
      <c r="U239" t="s">
        <v>33</v>
      </c>
      <c r="V239" t="s">
        <v>121</v>
      </c>
    </row>
    <row r="240" spans="1:22" x14ac:dyDescent="0.25">
      <c r="A240" t="s">
        <v>109</v>
      </c>
      <c r="B240" s="3">
        <v>45956</v>
      </c>
      <c r="C240" t="s">
        <v>30</v>
      </c>
      <c r="D240">
        <v>18</v>
      </c>
      <c r="E240" t="s">
        <v>46</v>
      </c>
      <c r="F240" t="s">
        <v>43</v>
      </c>
      <c r="G240">
        <v>1</v>
      </c>
      <c r="H240">
        <v>2</v>
      </c>
      <c r="I240">
        <v>1</v>
      </c>
      <c r="J240">
        <v>26</v>
      </c>
      <c r="K240">
        <v>33</v>
      </c>
      <c r="L240">
        <v>2.64</v>
      </c>
      <c r="M240">
        <v>2.92</v>
      </c>
      <c r="N240">
        <v>1</v>
      </c>
      <c r="O240" s="5">
        <v>5</v>
      </c>
      <c r="P240">
        <v>0</v>
      </c>
      <c r="Q240" s="5">
        <v>6</v>
      </c>
      <c r="R240" t="s">
        <v>141</v>
      </c>
      <c r="S240" s="4">
        <v>32</v>
      </c>
      <c r="T240">
        <v>0</v>
      </c>
      <c r="U240" t="s">
        <v>33</v>
      </c>
      <c r="V240" t="s">
        <v>121</v>
      </c>
    </row>
    <row r="241" spans="1:22" x14ac:dyDescent="0.25">
      <c r="A241" t="s">
        <v>109</v>
      </c>
      <c r="B241" s="3">
        <v>45956</v>
      </c>
      <c r="C241" t="s">
        <v>30</v>
      </c>
      <c r="D241">
        <v>18</v>
      </c>
      <c r="E241" t="s">
        <v>42</v>
      </c>
      <c r="F241" t="s">
        <v>137</v>
      </c>
      <c r="G241">
        <v>0</v>
      </c>
      <c r="H241">
        <v>3</v>
      </c>
      <c r="I241">
        <v>4</v>
      </c>
      <c r="J241">
        <v>23</v>
      </c>
      <c r="K241">
        <v>37</v>
      </c>
      <c r="L241">
        <v>1.37</v>
      </c>
      <c r="M241">
        <v>3.14</v>
      </c>
      <c r="N241">
        <v>0</v>
      </c>
      <c r="O241">
        <v>2</v>
      </c>
      <c r="P241">
        <v>2</v>
      </c>
      <c r="Q241">
        <v>2</v>
      </c>
      <c r="R241" t="s">
        <v>144</v>
      </c>
      <c r="S241">
        <v>33</v>
      </c>
      <c r="T241">
        <v>0</v>
      </c>
      <c r="U241" t="s">
        <v>35</v>
      </c>
      <c r="V241" t="s">
        <v>121</v>
      </c>
    </row>
    <row r="242" spans="1:22" x14ac:dyDescent="0.25">
      <c r="A242" t="s">
        <v>109</v>
      </c>
      <c r="B242" s="3">
        <v>45956</v>
      </c>
      <c r="C242" t="s">
        <v>30</v>
      </c>
      <c r="D242">
        <v>18</v>
      </c>
      <c r="E242" t="s">
        <v>136</v>
      </c>
      <c r="F242" t="s">
        <v>40</v>
      </c>
      <c r="G242">
        <v>1</v>
      </c>
      <c r="H242">
        <v>4</v>
      </c>
      <c r="I242">
        <v>3</v>
      </c>
      <c r="J242">
        <v>39</v>
      </c>
      <c r="K242">
        <v>21</v>
      </c>
      <c r="N242">
        <v>0</v>
      </c>
      <c r="O242">
        <v>5</v>
      </c>
      <c r="P242">
        <v>1</v>
      </c>
      <c r="Q242">
        <v>4</v>
      </c>
      <c r="R242" t="s">
        <v>112</v>
      </c>
      <c r="S242">
        <v>18</v>
      </c>
      <c r="T242">
        <v>1</v>
      </c>
      <c r="U242" t="s">
        <v>33</v>
      </c>
      <c r="V242" t="s">
        <v>121</v>
      </c>
    </row>
    <row r="243" spans="1:22" x14ac:dyDescent="0.25">
      <c r="A243" t="s">
        <v>109</v>
      </c>
      <c r="B243" s="3">
        <v>45956</v>
      </c>
      <c r="C243" t="s">
        <v>30</v>
      </c>
      <c r="D243">
        <v>18</v>
      </c>
      <c r="E243" t="s">
        <v>40</v>
      </c>
      <c r="F243" t="s">
        <v>136</v>
      </c>
      <c r="G243">
        <v>0</v>
      </c>
      <c r="H243">
        <v>3</v>
      </c>
      <c r="I243">
        <v>4</v>
      </c>
      <c r="J243">
        <v>21</v>
      </c>
      <c r="K243">
        <v>39</v>
      </c>
      <c r="N243">
        <v>1</v>
      </c>
      <c r="O243">
        <v>4</v>
      </c>
      <c r="P243">
        <v>0</v>
      </c>
      <c r="Q243">
        <v>5</v>
      </c>
      <c r="R243" t="s">
        <v>119</v>
      </c>
      <c r="S243">
        <v>35</v>
      </c>
      <c r="T243">
        <v>1</v>
      </c>
      <c r="U243" t="s">
        <v>35</v>
      </c>
      <c r="V243" t="s">
        <v>121</v>
      </c>
    </row>
    <row r="244" spans="1:22" x14ac:dyDescent="0.25">
      <c r="A244" t="s">
        <v>109</v>
      </c>
      <c r="B244" s="3">
        <v>45956</v>
      </c>
      <c r="C244" t="s">
        <v>30</v>
      </c>
      <c r="D244">
        <v>18</v>
      </c>
      <c r="E244" t="s">
        <v>44</v>
      </c>
      <c r="F244" t="s">
        <v>32</v>
      </c>
      <c r="G244">
        <v>0</v>
      </c>
      <c r="H244">
        <v>5</v>
      </c>
      <c r="I244">
        <v>4</v>
      </c>
      <c r="J244">
        <v>26</v>
      </c>
      <c r="K244">
        <v>30</v>
      </c>
      <c r="N244">
        <v>1</v>
      </c>
      <c r="O244">
        <v>2</v>
      </c>
      <c r="P244">
        <v>2</v>
      </c>
      <c r="Q244">
        <v>4</v>
      </c>
      <c r="R244" t="s">
        <v>150</v>
      </c>
      <c r="S244">
        <v>26</v>
      </c>
      <c r="T244">
        <v>0</v>
      </c>
      <c r="U244" t="s">
        <v>33</v>
      </c>
      <c r="V244" t="s">
        <v>121</v>
      </c>
    </row>
    <row r="245" spans="1:22" x14ac:dyDescent="0.25">
      <c r="A245" t="s">
        <v>109</v>
      </c>
      <c r="B245" s="3">
        <v>45956</v>
      </c>
      <c r="C245" t="s">
        <v>30</v>
      </c>
      <c r="D245">
        <v>18</v>
      </c>
      <c r="E245" t="s">
        <v>137</v>
      </c>
      <c r="F245" t="s">
        <v>42</v>
      </c>
      <c r="G245">
        <v>1</v>
      </c>
      <c r="H245">
        <v>4</v>
      </c>
      <c r="I245">
        <v>3</v>
      </c>
      <c r="J245">
        <v>37</v>
      </c>
      <c r="K245">
        <v>23</v>
      </c>
      <c r="L245">
        <v>3.14</v>
      </c>
      <c r="M245">
        <v>1.37</v>
      </c>
      <c r="N245">
        <v>2</v>
      </c>
      <c r="O245">
        <v>2</v>
      </c>
      <c r="P245">
        <v>0</v>
      </c>
      <c r="Q245">
        <v>2</v>
      </c>
      <c r="R245" t="s">
        <v>100</v>
      </c>
      <c r="S245">
        <v>20</v>
      </c>
      <c r="T245">
        <v>0</v>
      </c>
      <c r="U245" t="s">
        <v>33</v>
      </c>
      <c r="V245" t="s">
        <v>121</v>
      </c>
    </row>
    <row r="246" spans="1:22" x14ac:dyDescent="0.25">
      <c r="A246" t="s">
        <v>109</v>
      </c>
      <c r="B246" s="3">
        <v>45956</v>
      </c>
      <c r="C246" t="s">
        <v>30</v>
      </c>
      <c r="D246">
        <v>18</v>
      </c>
      <c r="E246" t="s">
        <v>43</v>
      </c>
      <c r="F246" t="s">
        <v>46</v>
      </c>
      <c r="G246">
        <v>0</v>
      </c>
      <c r="H246">
        <v>1</v>
      </c>
      <c r="I246">
        <v>2</v>
      </c>
      <c r="J246">
        <v>33</v>
      </c>
      <c r="K246">
        <v>26</v>
      </c>
      <c r="L246">
        <v>2.92</v>
      </c>
      <c r="M246">
        <v>2.64</v>
      </c>
      <c r="N246">
        <v>0</v>
      </c>
      <c r="O246">
        <v>6</v>
      </c>
      <c r="P246">
        <v>1</v>
      </c>
      <c r="Q246">
        <v>5</v>
      </c>
      <c r="R246" t="s">
        <v>149</v>
      </c>
      <c r="S246">
        <v>24</v>
      </c>
      <c r="T246">
        <v>0</v>
      </c>
      <c r="U246" t="s">
        <v>35</v>
      </c>
      <c r="V246" t="s">
        <v>121</v>
      </c>
    </row>
    <row r="247" spans="1:22" x14ac:dyDescent="0.25">
      <c r="A247" t="s">
        <v>109</v>
      </c>
      <c r="B247" s="3">
        <v>45956</v>
      </c>
      <c r="C247" t="s">
        <v>30</v>
      </c>
      <c r="D247">
        <v>18</v>
      </c>
      <c r="E247" t="s">
        <v>36</v>
      </c>
      <c r="F247" t="s">
        <v>45</v>
      </c>
      <c r="G247">
        <v>1</v>
      </c>
      <c r="H247">
        <v>1</v>
      </c>
      <c r="I247">
        <v>2</v>
      </c>
      <c r="J247">
        <v>31</v>
      </c>
      <c r="K247">
        <v>21</v>
      </c>
      <c r="N247">
        <v>1</v>
      </c>
      <c r="O247">
        <v>4</v>
      </c>
      <c r="P247">
        <v>1</v>
      </c>
      <c r="Q247">
        <v>3</v>
      </c>
      <c r="R247" t="s">
        <v>146</v>
      </c>
      <c r="S247">
        <v>19</v>
      </c>
      <c r="T247">
        <v>0</v>
      </c>
      <c r="U247" t="s">
        <v>35</v>
      </c>
      <c r="V247" t="s">
        <v>121</v>
      </c>
    </row>
    <row r="248" spans="1:22" x14ac:dyDescent="0.25">
      <c r="A248" t="s">
        <v>109</v>
      </c>
      <c r="B248" s="3">
        <v>45956</v>
      </c>
      <c r="C248" t="s">
        <v>30</v>
      </c>
      <c r="D248">
        <v>18</v>
      </c>
      <c r="E248" t="s">
        <v>32</v>
      </c>
      <c r="F248" t="s">
        <v>44</v>
      </c>
      <c r="G248">
        <v>1</v>
      </c>
      <c r="H248">
        <v>4</v>
      </c>
      <c r="I248">
        <v>5</v>
      </c>
      <c r="J248">
        <v>30</v>
      </c>
      <c r="K248">
        <v>26</v>
      </c>
      <c r="N248">
        <v>2</v>
      </c>
      <c r="O248">
        <v>4</v>
      </c>
      <c r="P248">
        <v>1</v>
      </c>
      <c r="Q248">
        <v>2</v>
      </c>
      <c r="R248" t="s">
        <v>101</v>
      </c>
      <c r="S248">
        <v>21</v>
      </c>
      <c r="T248">
        <v>0</v>
      </c>
      <c r="U248" t="s">
        <v>35</v>
      </c>
      <c r="V248" t="s">
        <v>121</v>
      </c>
    </row>
    <row r="249" spans="1:22" x14ac:dyDescent="0.25">
      <c r="A249" t="s">
        <v>109</v>
      </c>
      <c r="B249" s="3">
        <v>45956</v>
      </c>
      <c r="C249" t="s">
        <v>30</v>
      </c>
      <c r="D249">
        <v>18</v>
      </c>
      <c r="E249" t="s">
        <v>38</v>
      </c>
      <c r="F249" t="s">
        <v>31</v>
      </c>
      <c r="G249">
        <v>1</v>
      </c>
      <c r="H249">
        <v>2</v>
      </c>
      <c r="I249">
        <v>1</v>
      </c>
      <c r="J249">
        <v>17</v>
      </c>
      <c r="K249">
        <v>44</v>
      </c>
      <c r="L249">
        <v>1.59</v>
      </c>
      <c r="M249">
        <v>3.5</v>
      </c>
      <c r="N249">
        <v>2</v>
      </c>
      <c r="O249">
        <v>9</v>
      </c>
      <c r="P249">
        <v>0</v>
      </c>
      <c r="Q249">
        <v>7</v>
      </c>
      <c r="R249" t="s">
        <v>118</v>
      </c>
      <c r="S249">
        <v>43</v>
      </c>
      <c r="T249">
        <v>1</v>
      </c>
      <c r="U249" t="s">
        <v>33</v>
      </c>
      <c r="V249" t="s">
        <v>121</v>
      </c>
    </row>
    <row r="250" spans="1:22" x14ac:dyDescent="0.25">
      <c r="A250" t="s">
        <v>109</v>
      </c>
      <c r="B250" s="3">
        <v>45956</v>
      </c>
      <c r="C250" t="s">
        <v>30</v>
      </c>
      <c r="D250">
        <v>18</v>
      </c>
      <c r="E250" t="s">
        <v>39</v>
      </c>
      <c r="F250" t="s">
        <v>41</v>
      </c>
      <c r="G250">
        <v>1</v>
      </c>
      <c r="H250">
        <v>1</v>
      </c>
      <c r="I250">
        <v>2</v>
      </c>
      <c r="J250">
        <v>26</v>
      </c>
      <c r="K250">
        <v>20</v>
      </c>
      <c r="L250">
        <v>3.65</v>
      </c>
      <c r="M250">
        <v>2.06</v>
      </c>
      <c r="N250">
        <v>0</v>
      </c>
      <c r="O250">
        <v>8</v>
      </c>
      <c r="P250">
        <v>1</v>
      </c>
      <c r="Q250">
        <v>2</v>
      </c>
      <c r="R250" t="s">
        <v>105</v>
      </c>
      <c r="S250">
        <v>19</v>
      </c>
      <c r="T250">
        <v>1</v>
      </c>
      <c r="U250" t="s">
        <v>35</v>
      </c>
      <c r="V250" t="s">
        <v>121</v>
      </c>
    </row>
    <row r="251" spans="1:22" x14ac:dyDescent="0.25">
      <c r="A251" t="s">
        <v>109</v>
      </c>
      <c r="B251" s="3">
        <v>45956</v>
      </c>
      <c r="C251" t="s">
        <v>30</v>
      </c>
      <c r="D251">
        <v>18</v>
      </c>
      <c r="E251" t="s">
        <v>45</v>
      </c>
      <c r="F251" t="s">
        <v>36</v>
      </c>
      <c r="G251">
        <v>0</v>
      </c>
      <c r="H251">
        <v>2</v>
      </c>
      <c r="I251">
        <v>1</v>
      </c>
      <c r="J251">
        <v>21</v>
      </c>
      <c r="K251">
        <v>31</v>
      </c>
      <c r="N251">
        <v>1</v>
      </c>
      <c r="O251">
        <v>3</v>
      </c>
      <c r="P251">
        <v>1</v>
      </c>
      <c r="Q251">
        <v>4</v>
      </c>
      <c r="R251" t="s">
        <v>148</v>
      </c>
      <c r="S251">
        <v>30</v>
      </c>
      <c r="T251">
        <v>0</v>
      </c>
      <c r="U251" t="s">
        <v>33</v>
      </c>
      <c r="V251" t="s">
        <v>121</v>
      </c>
    </row>
    <row r="252" spans="1:22" x14ac:dyDescent="0.25">
      <c r="A252" t="s">
        <v>109</v>
      </c>
      <c r="B252" s="3">
        <v>45958</v>
      </c>
      <c r="C252" t="s">
        <v>30</v>
      </c>
      <c r="D252">
        <v>19</v>
      </c>
      <c r="E252" t="s">
        <v>31</v>
      </c>
      <c r="F252" t="s">
        <v>39</v>
      </c>
      <c r="G252">
        <v>1</v>
      </c>
      <c r="H252">
        <v>1</v>
      </c>
      <c r="I252">
        <v>3</v>
      </c>
      <c r="J252">
        <v>23</v>
      </c>
      <c r="K252">
        <v>19</v>
      </c>
      <c r="L252">
        <v>2.54</v>
      </c>
      <c r="M252">
        <v>2.37</v>
      </c>
      <c r="N252">
        <v>0</v>
      </c>
      <c r="O252" s="5">
        <v>6</v>
      </c>
      <c r="P252">
        <v>0</v>
      </c>
      <c r="Q252" s="5">
        <v>5</v>
      </c>
      <c r="R252" t="s">
        <v>34</v>
      </c>
      <c r="S252" s="4">
        <v>16</v>
      </c>
      <c r="T252">
        <v>0</v>
      </c>
      <c r="U252" t="s">
        <v>35</v>
      </c>
      <c r="V252" t="s">
        <v>121</v>
      </c>
    </row>
    <row r="253" spans="1:22" x14ac:dyDescent="0.25">
      <c r="A253" t="s">
        <v>109</v>
      </c>
      <c r="B253" s="3">
        <v>45958</v>
      </c>
      <c r="C253" t="s">
        <v>30</v>
      </c>
      <c r="D253">
        <v>19</v>
      </c>
      <c r="E253" t="s">
        <v>41</v>
      </c>
      <c r="F253" t="s">
        <v>136</v>
      </c>
      <c r="G253">
        <v>1</v>
      </c>
      <c r="H253">
        <v>6</v>
      </c>
      <c r="I253">
        <v>3</v>
      </c>
      <c r="J253">
        <v>23</v>
      </c>
      <c r="K253">
        <v>25</v>
      </c>
      <c r="L253">
        <v>3.02</v>
      </c>
      <c r="M253">
        <v>2.04</v>
      </c>
      <c r="N253">
        <v>2</v>
      </c>
      <c r="O253" s="5">
        <v>6</v>
      </c>
      <c r="P253">
        <v>1</v>
      </c>
      <c r="Q253" s="5">
        <v>2</v>
      </c>
      <c r="R253" t="s">
        <v>110</v>
      </c>
      <c r="S253" s="4">
        <v>22</v>
      </c>
      <c r="T253">
        <v>0</v>
      </c>
      <c r="U253" t="s">
        <v>33</v>
      </c>
      <c r="V253" t="s">
        <v>121</v>
      </c>
    </row>
    <row r="254" spans="1:22" x14ac:dyDescent="0.25">
      <c r="A254" t="s">
        <v>109</v>
      </c>
      <c r="B254" s="3">
        <v>45958</v>
      </c>
      <c r="C254" t="s">
        <v>30</v>
      </c>
      <c r="D254">
        <v>19</v>
      </c>
      <c r="E254" t="s">
        <v>42</v>
      </c>
      <c r="F254" t="s">
        <v>32</v>
      </c>
      <c r="G254">
        <v>1</v>
      </c>
      <c r="H254">
        <v>1</v>
      </c>
      <c r="I254">
        <v>2</v>
      </c>
      <c r="J254">
        <v>18</v>
      </c>
      <c r="K254">
        <v>22</v>
      </c>
      <c r="L254">
        <v>1.26</v>
      </c>
      <c r="M254">
        <v>2.77</v>
      </c>
      <c r="N254">
        <v>0</v>
      </c>
      <c r="O254">
        <v>4</v>
      </c>
      <c r="P254">
        <v>1</v>
      </c>
      <c r="Q254">
        <v>2</v>
      </c>
      <c r="R254" t="s">
        <v>145</v>
      </c>
      <c r="S254">
        <v>20</v>
      </c>
      <c r="T254">
        <v>0</v>
      </c>
      <c r="U254" t="s">
        <v>35</v>
      </c>
      <c r="V254" t="s">
        <v>121</v>
      </c>
    </row>
    <row r="255" spans="1:22" x14ac:dyDescent="0.25">
      <c r="A255" t="s">
        <v>109</v>
      </c>
      <c r="B255" s="3">
        <v>45958</v>
      </c>
      <c r="C255" t="s">
        <v>30</v>
      </c>
      <c r="D255">
        <v>19</v>
      </c>
      <c r="E255" t="s">
        <v>136</v>
      </c>
      <c r="F255" t="s">
        <v>41</v>
      </c>
      <c r="G255">
        <v>0</v>
      </c>
      <c r="H255">
        <v>3</v>
      </c>
      <c r="I255">
        <v>6</v>
      </c>
      <c r="J255">
        <v>25</v>
      </c>
      <c r="K255">
        <v>23</v>
      </c>
      <c r="L255">
        <v>2.04</v>
      </c>
      <c r="M255">
        <v>3.02</v>
      </c>
      <c r="N255">
        <v>1</v>
      </c>
      <c r="O255">
        <v>2</v>
      </c>
      <c r="P255">
        <v>2</v>
      </c>
      <c r="Q255">
        <v>6</v>
      </c>
      <c r="R255" t="s">
        <v>112</v>
      </c>
      <c r="S255">
        <v>17</v>
      </c>
      <c r="T255">
        <v>0</v>
      </c>
      <c r="U255" t="s">
        <v>35</v>
      </c>
      <c r="V255" t="s">
        <v>121</v>
      </c>
    </row>
    <row r="256" spans="1:22" x14ac:dyDescent="0.25">
      <c r="A256" t="s">
        <v>109</v>
      </c>
      <c r="B256" s="3">
        <v>45958</v>
      </c>
      <c r="C256" t="s">
        <v>30</v>
      </c>
      <c r="D256">
        <v>19</v>
      </c>
      <c r="E256" t="s">
        <v>40</v>
      </c>
      <c r="F256" t="s">
        <v>137</v>
      </c>
      <c r="G256">
        <v>1</v>
      </c>
      <c r="H256">
        <v>4</v>
      </c>
      <c r="I256">
        <v>3</v>
      </c>
      <c r="J256">
        <v>21</v>
      </c>
      <c r="K256">
        <v>43</v>
      </c>
      <c r="N256">
        <v>1</v>
      </c>
      <c r="O256">
        <v>5</v>
      </c>
      <c r="P256">
        <v>0</v>
      </c>
      <c r="Q256">
        <v>4</v>
      </c>
      <c r="R256" t="s">
        <v>107</v>
      </c>
      <c r="S256">
        <v>40</v>
      </c>
      <c r="T256">
        <v>1</v>
      </c>
      <c r="U256" t="s">
        <v>33</v>
      </c>
      <c r="V256" t="s">
        <v>121</v>
      </c>
    </row>
    <row r="257" spans="1:22" x14ac:dyDescent="0.25">
      <c r="A257" t="s">
        <v>109</v>
      </c>
      <c r="B257" s="3">
        <v>45958</v>
      </c>
      <c r="C257" t="s">
        <v>30</v>
      </c>
      <c r="D257">
        <v>19</v>
      </c>
      <c r="E257" t="s">
        <v>44</v>
      </c>
      <c r="F257" t="s">
        <v>36</v>
      </c>
      <c r="G257">
        <v>1</v>
      </c>
      <c r="H257">
        <v>4</v>
      </c>
      <c r="I257">
        <v>5</v>
      </c>
      <c r="J257">
        <v>36</v>
      </c>
      <c r="K257">
        <v>25</v>
      </c>
      <c r="N257">
        <v>2</v>
      </c>
      <c r="O257">
        <v>6</v>
      </c>
      <c r="P257">
        <v>1</v>
      </c>
      <c r="Q257">
        <v>5</v>
      </c>
      <c r="R257" t="s">
        <v>150</v>
      </c>
      <c r="S257">
        <v>20</v>
      </c>
      <c r="T257">
        <v>1</v>
      </c>
      <c r="U257" t="s">
        <v>35</v>
      </c>
      <c r="V257" t="s">
        <v>121</v>
      </c>
    </row>
    <row r="258" spans="1:22" x14ac:dyDescent="0.25">
      <c r="A258" t="s">
        <v>109</v>
      </c>
      <c r="B258" s="3">
        <v>45958</v>
      </c>
      <c r="C258" t="s">
        <v>30</v>
      </c>
      <c r="D258">
        <v>19</v>
      </c>
      <c r="E258" t="s">
        <v>137</v>
      </c>
      <c r="F258" t="s">
        <v>40</v>
      </c>
      <c r="G258">
        <v>0</v>
      </c>
      <c r="H258">
        <v>3</v>
      </c>
      <c r="I258">
        <v>4</v>
      </c>
      <c r="J258">
        <v>43</v>
      </c>
      <c r="K258">
        <v>21</v>
      </c>
      <c r="N258">
        <v>0</v>
      </c>
      <c r="O258">
        <v>4</v>
      </c>
      <c r="P258">
        <v>1</v>
      </c>
      <c r="Q258">
        <v>5</v>
      </c>
      <c r="R258" t="s">
        <v>100</v>
      </c>
      <c r="S258">
        <v>18</v>
      </c>
      <c r="T258">
        <v>1</v>
      </c>
      <c r="U258" t="s">
        <v>35</v>
      </c>
      <c r="V258" t="s">
        <v>121</v>
      </c>
    </row>
    <row r="259" spans="1:22" x14ac:dyDescent="0.25">
      <c r="A259" t="s">
        <v>109</v>
      </c>
      <c r="B259" s="3">
        <v>45958</v>
      </c>
      <c r="C259" t="s">
        <v>30</v>
      </c>
      <c r="D259">
        <v>19</v>
      </c>
      <c r="E259" t="s">
        <v>43</v>
      </c>
      <c r="F259" t="s">
        <v>38</v>
      </c>
      <c r="G259">
        <v>1</v>
      </c>
      <c r="H259">
        <v>1</v>
      </c>
      <c r="I259">
        <v>0</v>
      </c>
      <c r="J259">
        <v>32</v>
      </c>
      <c r="K259">
        <v>26</v>
      </c>
      <c r="N259">
        <v>1</v>
      </c>
      <c r="O259">
        <v>5</v>
      </c>
      <c r="P259">
        <v>0</v>
      </c>
      <c r="Q259">
        <v>1</v>
      </c>
      <c r="R259" t="s">
        <v>151</v>
      </c>
      <c r="S259">
        <v>26</v>
      </c>
      <c r="T259">
        <v>0</v>
      </c>
      <c r="U259" t="s">
        <v>33</v>
      </c>
      <c r="V259" t="s">
        <v>121</v>
      </c>
    </row>
    <row r="260" spans="1:22" x14ac:dyDescent="0.25">
      <c r="A260" t="s">
        <v>109</v>
      </c>
      <c r="B260" s="3">
        <v>45958</v>
      </c>
      <c r="C260" t="s">
        <v>30</v>
      </c>
      <c r="D260">
        <v>19</v>
      </c>
      <c r="E260" t="s">
        <v>36</v>
      </c>
      <c r="F260" t="s">
        <v>44</v>
      </c>
      <c r="G260">
        <v>0</v>
      </c>
      <c r="H260">
        <v>5</v>
      </c>
      <c r="I260">
        <v>4</v>
      </c>
      <c r="J260">
        <v>25</v>
      </c>
      <c r="K260">
        <v>36</v>
      </c>
      <c r="N260">
        <v>1</v>
      </c>
      <c r="O260">
        <v>5</v>
      </c>
      <c r="P260">
        <v>2</v>
      </c>
      <c r="Q260">
        <v>6</v>
      </c>
      <c r="R260" t="s">
        <v>146</v>
      </c>
      <c r="S260">
        <v>32</v>
      </c>
      <c r="T260">
        <v>1</v>
      </c>
      <c r="U260" t="s">
        <v>33</v>
      </c>
      <c r="V260" t="s">
        <v>121</v>
      </c>
    </row>
    <row r="261" spans="1:22" x14ac:dyDescent="0.25">
      <c r="A261" t="s">
        <v>109</v>
      </c>
      <c r="B261" s="3">
        <v>45958</v>
      </c>
      <c r="C261" t="s">
        <v>30</v>
      </c>
      <c r="D261">
        <v>19</v>
      </c>
      <c r="E261" t="s">
        <v>32</v>
      </c>
      <c r="F261" t="s">
        <v>42</v>
      </c>
      <c r="G261">
        <v>0</v>
      </c>
      <c r="H261">
        <v>2</v>
      </c>
      <c r="I261">
        <v>1</v>
      </c>
      <c r="J261">
        <v>18</v>
      </c>
      <c r="K261">
        <v>22</v>
      </c>
      <c r="L261">
        <v>2.77</v>
      </c>
      <c r="M261">
        <v>1.26</v>
      </c>
      <c r="N261">
        <v>1</v>
      </c>
      <c r="O261">
        <v>2</v>
      </c>
      <c r="P261">
        <v>0</v>
      </c>
      <c r="Q261">
        <v>4</v>
      </c>
      <c r="R261" t="s">
        <v>117</v>
      </c>
      <c r="S261">
        <v>17</v>
      </c>
      <c r="T261">
        <v>0</v>
      </c>
      <c r="U261" t="s">
        <v>33</v>
      </c>
      <c r="V261" t="s">
        <v>121</v>
      </c>
    </row>
    <row r="262" spans="1:22" x14ac:dyDescent="0.25">
      <c r="A262" t="s">
        <v>109</v>
      </c>
      <c r="B262" s="3">
        <v>45958</v>
      </c>
      <c r="C262" t="s">
        <v>30</v>
      </c>
      <c r="D262">
        <v>19</v>
      </c>
      <c r="E262" t="s">
        <v>38</v>
      </c>
      <c r="F262" t="s">
        <v>43</v>
      </c>
      <c r="G262">
        <v>0</v>
      </c>
      <c r="H262">
        <v>0</v>
      </c>
      <c r="I262">
        <v>1</v>
      </c>
      <c r="J262">
        <v>26</v>
      </c>
      <c r="K262">
        <v>32</v>
      </c>
      <c r="N262">
        <v>0</v>
      </c>
      <c r="O262">
        <v>1</v>
      </c>
      <c r="P262">
        <v>1</v>
      </c>
      <c r="Q262">
        <v>5</v>
      </c>
      <c r="R262" t="s">
        <v>118</v>
      </c>
      <c r="S262">
        <v>31</v>
      </c>
      <c r="T262">
        <v>0</v>
      </c>
      <c r="U262" t="s">
        <v>35</v>
      </c>
      <c r="V262" t="s">
        <v>121</v>
      </c>
    </row>
    <row r="263" spans="1:22" x14ac:dyDescent="0.25">
      <c r="A263" t="s">
        <v>109</v>
      </c>
      <c r="B263" s="3">
        <v>45958</v>
      </c>
      <c r="C263" t="s">
        <v>30</v>
      </c>
      <c r="D263">
        <v>19</v>
      </c>
      <c r="E263" t="s">
        <v>39</v>
      </c>
      <c r="F263" t="s">
        <v>31</v>
      </c>
      <c r="G263">
        <v>0</v>
      </c>
      <c r="H263">
        <v>3</v>
      </c>
      <c r="I263">
        <v>1</v>
      </c>
      <c r="J263">
        <v>19</v>
      </c>
      <c r="K263">
        <v>23</v>
      </c>
      <c r="L263">
        <v>2.37</v>
      </c>
      <c r="M263">
        <v>2.54</v>
      </c>
      <c r="N263">
        <v>0</v>
      </c>
      <c r="O263">
        <v>5</v>
      </c>
      <c r="P263">
        <v>0</v>
      </c>
      <c r="Q263">
        <v>6</v>
      </c>
      <c r="R263" t="s">
        <v>105</v>
      </c>
      <c r="S263">
        <v>22</v>
      </c>
      <c r="T263">
        <v>0</v>
      </c>
      <c r="U263" t="s">
        <v>33</v>
      </c>
      <c r="V263" t="s">
        <v>121</v>
      </c>
    </row>
    <row r="264" spans="1:22" x14ac:dyDescent="0.25">
      <c r="A264" t="s">
        <v>109</v>
      </c>
      <c r="B264" s="3">
        <v>45959</v>
      </c>
      <c r="C264" t="s">
        <v>30</v>
      </c>
      <c r="D264">
        <v>20</v>
      </c>
      <c r="E264" t="s">
        <v>46</v>
      </c>
      <c r="F264" t="s">
        <v>45</v>
      </c>
      <c r="G264">
        <v>0</v>
      </c>
      <c r="H264">
        <v>4</v>
      </c>
      <c r="I264">
        <v>1</v>
      </c>
      <c r="J264">
        <v>35</v>
      </c>
      <c r="K264">
        <v>22</v>
      </c>
      <c r="L264">
        <v>2.86</v>
      </c>
      <c r="M264">
        <v>1.55</v>
      </c>
      <c r="N264">
        <v>1</v>
      </c>
      <c r="O264" s="5">
        <v>2</v>
      </c>
      <c r="P264">
        <v>0</v>
      </c>
      <c r="Q264" s="5">
        <v>3</v>
      </c>
      <c r="R264" t="s">
        <v>141</v>
      </c>
      <c r="S264" s="4">
        <v>21</v>
      </c>
      <c r="T264">
        <v>0</v>
      </c>
      <c r="U264" t="s">
        <v>33</v>
      </c>
      <c r="V264" t="s">
        <v>121</v>
      </c>
    </row>
    <row r="265" spans="1:22" x14ac:dyDescent="0.25">
      <c r="A265" t="s">
        <v>109</v>
      </c>
      <c r="B265" s="3">
        <v>45959</v>
      </c>
      <c r="C265" t="s">
        <v>30</v>
      </c>
      <c r="D265">
        <v>20</v>
      </c>
      <c r="E265" t="s">
        <v>45</v>
      </c>
      <c r="F265" t="s">
        <v>46</v>
      </c>
      <c r="G265">
        <v>1</v>
      </c>
      <c r="H265">
        <v>1</v>
      </c>
      <c r="I265">
        <v>4</v>
      </c>
      <c r="J265">
        <v>22</v>
      </c>
      <c r="K265">
        <v>35</v>
      </c>
      <c r="L265">
        <v>1.55</v>
      </c>
      <c r="M265">
        <v>2.86</v>
      </c>
      <c r="N265">
        <v>0</v>
      </c>
      <c r="O265">
        <v>3</v>
      </c>
      <c r="P265">
        <v>1</v>
      </c>
      <c r="Q265">
        <v>2</v>
      </c>
      <c r="R265" t="s">
        <v>148</v>
      </c>
      <c r="S265">
        <v>31</v>
      </c>
      <c r="T265">
        <v>0</v>
      </c>
      <c r="U265" t="s">
        <v>35</v>
      </c>
      <c r="V265" t="s">
        <v>121</v>
      </c>
    </row>
    <row r="266" spans="1:22" x14ac:dyDescent="0.25">
      <c r="A266" t="s">
        <v>109</v>
      </c>
      <c r="B266" s="3">
        <v>45961</v>
      </c>
      <c r="C266" t="s">
        <v>30</v>
      </c>
      <c r="D266">
        <v>20</v>
      </c>
      <c r="E266" t="s">
        <v>136</v>
      </c>
      <c r="F266" t="s">
        <v>44</v>
      </c>
      <c r="G266">
        <v>1</v>
      </c>
      <c r="H266">
        <v>3</v>
      </c>
      <c r="I266">
        <v>2</v>
      </c>
      <c r="J266">
        <v>27</v>
      </c>
      <c r="K266">
        <v>23</v>
      </c>
      <c r="N266">
        <v>0</v>
      </c>
      <c r="O266">
        <v>2</v>
      </c>
      <c r="P266">
        <v>1</v>
      </c>
      <c r="Q266">
        <v>3</v>
      </c>
      <c r="R266" t="s">
        <v>112</v>
      </c>
      <c r="S266">
        <v>24</v>
      </c>
      <c r="T266">
        <v>0</v>
      </c>
      <c r="U266" t="s">
        <v>33</v>
      </c>
      <c r="V266" t="s">
        <v>121</v>
      </c>
    </row>
    <row r="267" spans="1:22" x14ac:dyDescent="0.25">
      <c r="A267" t="s">
        <v>109</v>
      </c>
      <c r="B267" s="3">
        <v>45961</v>
      </c>
      <c r="C267" t="s">
        <v>30</v>
      </c>
      <c r="D267">
        <v>20</v>
      </c>
      <c r="E267" t="s">
        <v>137</v>
      </c>
      <c r="F267" t="s">
        <v>45</v>
      </c>
      <c r="G267">
        <v>1</v>
      </c>
      <c r="H267">
        <v>2</v>
      </c>
      <c r="I267">
        <v>3</v>
      </c>
      <c r="J267">
        <v>41</v>
      </c>
      <c r="K267">
        <v>22</v>
      </c>
      <c r="N267">
        <v>2</v>
      </c>
      <c r="O267">
        <v>6</v>
      </c>
      <c r="P267">
        <v>0</v>
      </c>
      <c r="Q267">
        <v>6</v>
      </c>
      <c r="R267" t="s">
        <v>100</v>
      </c>
      <c r="S267">
        <v>19</v>
      </c>
      <c r="T267">
        <v>0</v>
      </c>
      <c r="U267" t="s">
        <v>35</v>
      </c>
      <c r="V267" t="s">
        <v>121</v>
      </c>
    </row>
    <row r="268" spans="1:22" x14ac:dyDescent="0.25">
      <c r="A268" t="s">
        <v>109</v>
      </c>
      <c r="B268" s="3">
        <v>45961</v>
      </c>
      <c r="C268" t="s">
        <v>30</v>
      </c>
      <c r="D268">
        <v>20</v>
      </c>
      <c r="E268" t="s">
        <v>36</v>
      </c>
      <c r="F268" t="s">
        <v>43</v>
      </c>
      <c r="G268">
        <v>1</v>
      </c>
      <c r="H268">
        <v>3</v>
      </c>
      <c r="I268">
        <v>2</v>
      </c>
      <c r="J268">
        <v>29</v>
      </c>
      <c r="K268">
        <v>32</v>
      </c>
      <c r="N268">
        <v>0</v>
      </c>
      <c r="O268">
        <v>4</v>
      </c>
      <c r="P268">
        <v>0</v>
      </c>
      <c r="Q268">
        <v>3</v>
      </c>
      <c r="R268" t="s">
        <v>146</v>
      </c>
      <c r="S268">
        <v>30</v>
      </c>
      <c r="T268">
        <v>0</v>
      </c>
      <c r="U268" t="s">
        <v>33</v>
      </c>
      <c r="V268" t="s">
        <v>121</v>
      </c>
    </row>
    <row r="269" spans="1:22" x14ac:dyDescent="0.25">
      <c r="A269" t="s">
        <v>109</v>
      </c>
      <c r="B269" s="3">
        <v>45961</v>
      </c>
      <c r="C269" t="s">
        <v>30</v>
      </c>
      <c r="D269">
        <v>20</v>
      </c>
      <c r="E269" t="s">
        <v>32</v>
      </c>
      <c r="F269" t="s">
        <v>41</v>
      </c>
      <c r="G269">
        <v>1</v>
      </c>
      <c r="H269">
        <v>4</v>
      </c>
      <c r="I269">
        <v>1</v>
      </c>
      <c r="J269">
        <v>30</v>
      </c>
      <c r="K269">
        <v>17</v>
      </c>
      <c r="L269">
        <v>3.19</v>
      </c>
      <c r="M269">
        <v>1.31</v>
      </c>
      <c r="N269">
        <v>0</v>
      </c>
      <c r="O269">
        <v>3</v>
      </c>
      <c r="P269">
        <v>1</v>
      </c>
      <c r="Q269">
        <v>3</v>
      </c>
      <c r="R269" t="s">
        <v>117</v>
      </c>
      <c r="S269">
        <v>16</v>
      </c>
      <c r="T269">
        <v>0</v>
      </c>
      <c r="U269" t="s">
        <v>33</v>
      </c>
      <c r="V269" t="s">
        <v>121</v>
      </c>
    </row>
    <row r="270" spans="1:22" x14ac:dyDescent="0.25">
      <c r="A270" t="s">
        <v>109</v>
      </c>
      <c r="B270" s="3">
        <v>45961</v>
      </c>
      <c r="C270" t="s">
        <v>30</v>
      </c>
      <c r="D270">
        <v>20</v>
      </c>
      <c r="E270" t="s">
        <v>38</v>
      </c>
      <c r="F270" t="s">
        <v>46</v>
      </c>
      <c r="G270">
        <v>1</v>
      </c>
      <c r="H270">
        <v>1</v>
      </c>
      <c r="I270">
        <v>4</v>
      </c>
      <c r="J270">
        <v>16</v>
      </c>
      <c r="K270">
        <v>43</v>
      </c>
      <c r="L270">
        <v>1.84</v>
      </c>
      <c r="M270">
        <v>2.86</v>
      </c>
      <c r="N270">
        <v>0</v>
      </c>
      <c r="O270">
        <v>2</v>
      </c>
      <c r="P270">
        <v>1</v>
      </c>
      <c r="Q270">
        <v>3</v>
      </c>
      <c r="R270" t="s">
        <v>104</v>
      </c>
      <c r="S270">
        <v>39</v>
      </c>
      <c r="T270">
        <v>0</v>
      </c>
      <c r="U270" t="s">
        <v>35</v>
      </c>
      <c r="V270" t="s">
        <v>121</v>
      </c>
    </row>
    <row r="271" spans="1:22" x14ac:dyDescent="0.25">
      <c r="A271" t="s">
        <v>109</v>
      </c>
      <c r="B271" s="3">
        <v>45961</v>
      </c>
      <c r="C271" t="s">
        <v>30</v>
      </c>
      <c r="D271">
        <v>20</v>
      </c>
      <c r="E271" t="s">
        <v>31</v>
      </c>
      <c r="F271" t="s">
        <v>40</v>
      </c>
      <c r="G271">
        <v>1</v>
      </c>
      <c r="H271">
        <v>8</v>
      </c>
      <c r="I271">
        <v>3</v>
      </c>
      <c r="J271">
        <v>44</v>
      </c>
      <c r="K271">
        <v>28</v>
      </c>
      <c r="L271">
        <v>4.95</v>
      </c>
      <c r="M271">
        <v>2.42</v>
      </c>
      <c r="N271">
        <v>4</v>
      </c>
      <c r="O271" s="4">
        <v>8</v>
      </c>
      <c r="P271">
        <v>2</v>
      </c>
      <c r="Q271" s="4">
        <v>7</v>
      </c>
      <c r="R271" t="s">
        <v>34</v>
      </c>
      <c r="S271" s="4">
        <v>25</v>
      </c>
      <c r="T271">
        <v>0</v>
      </c>
      <c r="U271" t="s">
        <v>33</v>
      </c>
      <c r="V271" t="s">
        <v>121</v>
      </c>
    </row>
    <row r="272" spans="1:22" x14ac:dyDescent="0.25">
      <c r="A272" t="s">
        <v>109</v>
      </c>
      <c r="B272" s="3">
        <v>45961</v>
      </c>
      <c r="C272" t="s">
        <v>30</v>
      </c>
      <c r="D272">
        <v>20</v>
      </c>
      <c r="E272" t="s">
        <v>39</v>
      </c>
      <c r="F272" t="s">
        <v>42</v>
      </c>
      <c r="G272">
        <v>1</v>
      </c>
      <c r="H272">
        <v>4</v>
      </c>
      <c r="I272">
        <v>3</v>
      </c>
      <c r="J272">
        <v>34</v>
      </c>
      <c r="K272">
        <v>19</v>
      </c>
      <c r="L272">
        <v>4.6399999999999997</v>
      </c>
      <c r="M272">
        <v>3.05</v>
      </c>
      <c r="N272">
        <v>1</v>
      </c>
      <c r="O272">
        <v>3</v>
      </c>
      <c r="P272">
        <v>2</v>
      </c>
      <c r="Q272">
        <v>4</v>
      </c>
      <c r="R272" t="s">
        <v>105</v>
      </c>
      <c r="S272">
        <v>16</v>
      </c>
      <c r="T272">
        <v>1</v>
      </c>
      <c r="U272" t="s">
        <v>33</v>
      </c>
      <c r="V272" t="s">
        <v>121</v>
      </c>
    </row>
    <row r="273" spans="1:22" x14ac:dyDescent="0.25">
      <c r="A273" t="s">
        <v>109</v>
      </c>
      <c r="B273" s="3">
        <v>45961</v>
      </c>
      <c r="C273" t="s">
        <v>30</v>
      </c>
      <c r="D273">
        <v>20</v>
      </c>
      <c r="E273" t="s">
        <v>40</v>
      </c>
      <c r="F273" t="s">
        <v>31</v>
      </c>
      <c r="G273">
        <v>0</v>
      </c>
      <c r="H273">
        <v>3</v>
      </c>
      <c r="I273">
        <v>8</v>
      </c>
      <c r="J273">
        <v>28</v>
      </c>
      <c r="K273">
        <v>44</v>
      </c>
      <c r="L273">
        <v>2.42</v>
      </c>
      <c r="M273">
        <v>4.95</v>
      </c>
      <c r="N273">
        <v>2</v>
      </c>
      <c r="O273">
        <v>7</v>
      </c>
      <c r="P273">
        <v>4</v>
      </c>
      <c r="Q273">
        <v>8</v>
      </c>
      <c r="R273" t="s">
        <v>119</v>
      </c>
      <c r="S273">
        <v>36</v>
      </c>
      <c r="T273">
        <v>0</v>
      </c>
      <c r="U273" t="s">
        <v>35</v>
      </c>
      <c r="V273" t="s">
        <v>121</v>
      </c>
    </row>
    <row r="274" spans="1:22" x14ac:dyDescent="0.25">
      <c r="A274" t="s">
        <v>109</v>
      </c>
      <c r="B274" s="3">
        <v>45961</v>
      </c>
      <c r="C274" t="s">
        <v>30</v>
      </c>
      <c r="D274">
        <v>20</v>
      </c>
      <c r="E274" t="s">
        <v>42</v>
      </c>
      <c r="F274" t="s">
        <v>39</v>
      </c>
      <c r="G274">
        <v>0</v>
      </c>
      <c r="H274">
        <v>3</v>
      </c>
      <c r="I274">
        <v>4</v>
      </c>
      <c r="J274">
        <v>34</v>
      </c>
      <c r="K274">
        <v>19</v>
      </c>
      <c r="L274">
        <v>3.05</v>
      </c>
      <c r="M274">
        <v>4.6399999999999997</v>
      </c>
      <c r="N274">
        <v>2</v>
      </c>
      <c r="O274">
        <v>4</v>
      </c>
      <c r="P274">
        <v>1</v>
      </c>
      <c r="Q274">
        <v>3</v>
      </c>
      <c r="R274" t="s">
        <v>144</v>
      </c>
      <c r="S274">
        <v>31</v>
      </c>
      <c r="T274">
        <v>1</v>
      </c>
      <c r="U274" t="s">
        <v>35</v>
      </c>
      <c r="V274" t="s">
        <v>121</v>
      </c>
    </row>
    <row r="275" spans="1:22" x14ac:dyDescent="0.25">
      <c r="A275" t="s">
        <v>109</v>
      </c>
      <c r="B275" s="3">
        <v>45961</v>
      </c>
      <c r="C275" t="s">
        <v>30</v>
      </c>
      <c r="D275">
        <v>20</v>
      </c>
      <c r="E275" t="s">
        <v>44</v>
      </c>
      <c r="F275" t="s">
        <v>136</v>
      </c>
      <c r="G275">
        <v>0</v>
      </c>
      <c r="H275">
        <v>2</v>
      </c>
      <c r="I275">
        <v>3</v>
      </c>
      <c r="J275">
        <v>23</v>
      </c>
      <c r="K275">
        <v>27</v>
      </c>
      <c r="N275">
        <v>1</v>
      </c>
      <c r="O275">
        <v>3</v>
      </c>
      <c r="P275">
        <v>0</v>
      </c>
      <c r="Q275">
        <v>2</v>
      </c>
      <c r="R275" t="s">
        <v>150</v>
      </c>
      <c r="S275">
        <v>21</v>
      </c>
      <c r="T275">
        <v>0</v>
      </c>
      <c r="U275" t="s">
        <v>35</v>
      </c>
      <c r="V275" t="s">
        <v>121</v>
      </c>
    </row>
    <row r="276" spans="1:22" x14ac:dyDescent="0.25">
      <c r="A276" t="s">
        <v>109</v>
      </c>
      <c r="B276" s="3">
        <v>45961</v>
      </c>
      <c r="C276" t="s">
        <v>30</v>
      </c>
      <c r="D276">
        <v>20</v>
      </c>
      <c r="E276" t="s">
        <v>43</v>
      </c>
      <c r="F276" t="s">
        <v>36</v>
      </c>
      <c r="G276">
        <v>0</v>
      </c>
      <c r="H276">
        <v>2</v>
      </c>
      <c r="I276">
        <v>3</v>
      </c>
      <c r="J276">
        <v>32</v>
      </c>
      <c r="K276">
        <v>29</v>
      </c>
      <c r="N276">
        <v>0</v>
      </c>
      <c r="O276">
        <v>3</v>
      </c>
      <c r="P276">
        <v>0</v>
      </c>
      <c r="Q276">
        <v>4</v>
      </c>
      <c r="R276" t="s">
        <v>151</v>
      </c>
      <c r="S276">
        <v>26</v>
      </c>
      <c r="T276">
        <v>0</v>
      </c>
      <c r="U276" t="s">
        <v>35</v>
      </c>
      <c r="V276" t="s">
        <v>121</v>
      </c>
    </row>
    <row r="277" spans="1:22" x14ac:dyDescent="0.25">
      <c r="A277" t="s">
        <v>109</v>
      </c>
      <c r="B277" s="3">
        <v>45961</v>
      </c>
      <c r="C277" t="s">
        <v>30</v>
      </c>
      <c r="D277">
        <v>20</v>
      </c>
      <c r="E277" t="s">
        <v>46</v>
      </c>
      <c r="F277" t="s">
        <v>38</v>
      </c>
      <c r="G277">
        <v>0</v>
      </c>
      <c r="H277">
        <v>4</v>
      </c>
      <c r="I277">
        <v>1</v>
      </c>
      <c r="J277">
        <v>43</v>
      </c>
      <c r="K277">
        <v>16</v>
      </c>
      <c r="L277">
        <v>2.89</v>
      </c>
      <c r="M277">
        <v>1.84</v>
      </c>
      <c r="N277">
        <v>1</v>
      </c>
      <c r="O277" s="5">
        <v>3</v>
      </c>
      <c r="P277">
        <v>0</v>
      </c>
      <c r="Q277" s="5">
        <v>2</v>
      </c>
      <c r="R277" t="s">
        <v>140</v>
      </c>
      <c r="S277" s="4">
        <v>15</v>
      </c>
      <c r="T277">
        <v>0</v>
      </c>
      <c r="U277" t="s">
        <v>33</v>
      </c>
      <c r="V277" t="s">
        <v>121</v>
      </c>
    </row>
    <row r="278" spans="1:22" x14ac:dyDescent="0.25">
      <c r="A278" t="s">
        <v>109</v>
      </c>
      <c r="B278" s="3">
        <v>45961</v>
      </c>
      <c r="C278" t="s">
        <v>30</v>
      </c>
      <c r="D278">
        <v>20</v>
      </c>
      <c r="E278" t="s">
        <v>41</v>
      </c>
      <c r="F278" t="s">
        <v>32</v>
      </c>
      <c r="G278">
        <v>0</v>
      </c>
      <c r="H278">
        <v>1</v>
      </c>
      <c r="I278">
        <v>4</v>
      </c>
      <c r="J278">
        <v>17</v>
      </c>
      <c r="K278">
        <v>30</v>
      </c>
      <c r="L278">
        <v>1.31</v>
      </c>
      <c r="M278">
        <v>3.19</v>
      </c>
      <c r="N278">
        <v>1</v>
      </c>
      <c r="O278" s="5">
        <v>3</v>
      </c>
      <c r="P278">
        <v>0</v>
      </c>
      <c r="Q278" s="5">
        <v>3</v>
      </c>
      <c r="R278" t="s">
        <v>110</v>
      </c>
      <c r="S278" s="4">
        <v>26</v>
      </c>
      <c r="T278">
        <v>0</v>
      </c>
      <c r="U278" t="s">
        <v>35</v>
      </c>
      <c r="V278" t="s">
        <v>121</v>
      </c>
    </row>
    <row r="279" spans="1:22" x14ac:dyDescent="0.25">
      <c r="A279" t="s">
        <v>109</v>
      </c>
      <c r="B279" s="3">
        <v>45961</v>
      </c>
      <c r="C279" t="s">
        <v>30</v>
      </c>
      <c r="D279">
        <v>20</v>
      </c>
      <c r="E279" t="s">
        <v>45</v>
      </c>
      <c r="F279" t="s">
        <v>137</v>
      </c>
      <c r="G279">
        <v>0</v>
      </c>
      <c r="H279">
        <v>3</v>
      </c>
      <c r="I279">
        <v>2</v>
      </c>
      <c r="J279">
        <v>22</v>
      </c>
      <c r="K279">
        <v>41</v>
      </c>
      <c r="N279">
        <v>0</v>
      </c>
      <c r="O279">
        <v>6</v>
      </c>
      <c r="P279">
        <v>2</v>
      </c>
      <c r="Q279">
        <v>6</v>
      </c>
      <c r="R279" t="s">
        <v>148</v>
      </c>
      <c r="S279">
        <v>39</v>
      </c>
      <c r="T279">
        <v>0</v>
      </c>
      <c r="U279" t="s">
        <v>33</v>
      </c>
      <c r="V279" t="s">
        <v>121</v>
      </c>
    </row>
    <row r="280" spans="1:22" x14ac:dyDescent="0.25">
      <c r="A280" t="s">
        <v>109</v>
      </c>
      <c r="B280" s="3">
        <v>45963</v>
      </c>
      <c r="C280" t="s">
        <v>30</v>
      </c>
      <c r="D280">
        <v>21</v>
      </c>
      <c r="E280" t="s">
        <v>41</v>
      </c>
      <c r="F280" t="s">
        <v>31</v>
      </c>
      <c r="G280">
        <v>1</v>
      </c>
      <c r="H280">
        <v>2</v>
      </c>
      <c r="I280">
        <v>4</v>
      </c>
      <c r="J280">
        <v>25</v>
      </c>
      <c r="K280">
        <v>21</v>
      </c>
      <c r="L280">
        <v>1.79</v>
      </c>
      <c r="M280">
        <v>2.14</v>
      </c>
      <c r="N280">
        <v>2</v>
      </c>
      <c r="O280" s="5">
        <v>7</v>
      </c>
      <c r="P280">
        <v>0</v>
      </c>
      <c r="Q280" s="5">
        <v>2</v>
      </c>
      <c r="R280" t="s">
        <v>108</v>
      </c>
      <c r="S280" s="4">
        <v>17</v>
      </c>
      <c r="T280">
        <v>0</v>
      </c>
      <c r="U280" t="s">
        <v>35</v>
      </c>
      <c r="V280" t="s">
        <v>121</v>
      </c>
    </row>
    <row r="281" spans="1:22" x14ac:dyDescent="0.25">
      <c r="A281" t="s">
        <v>109</v>
      </c>
      <c r="B281" s="3">
        <v>45963</v>
      </c>
      <c r="C281" t="s">
        <v>30</v>
      </c>
      <c r="D281">
        <v>21</v>
      </c>
      <c r="E281" t="s">
        <v>46</v>
      </c>
      <c r="F281" t="s">
        <v>36</v>
      </c>
      <c r="G281">
        <v>1</v>
      </c>
      <c r="H281">
        <v>2</v>
      </c>
      <c r="I281">
        <v>0</v>
      </c>
      <c r="J281">
        <v>35</v>
      </c>
      <c r="K281">
        <v>24</v>
      </c>
      <c r="L281">
        <v>4.16</v>
      </c>
      <c r="M281">
        <v>1.59</v>
      </c>
      <c r="N281">
        <v>0</v>
      </c>
      <c r="O281" s="5">
        <v>2</v>
      </c>
      <c r="P281">
        <v>0</v>
      </c>
      <c r="Q281" s="5">
        <v>1</v>
      </c>
      <c r="R281" t="s">
        <v>141</v>
      </c>
      <c r="S281" s="4">
        <v>24</v>
      </c>
      <c r="T281">
        <v>0</v>
      </c>
      <c r="U281" t="s">
        <v>33</v>
      </c>
      <c r="V281" t="s">
        <v>121</v>
      </c>
    </row>
    <row r="282" spans="1:22" x14ac:dyDescent="0.25">
      <c r="A282" t="s">
        <v>109</v>
      </c>
      <c r="B282" s="3">
        <v>45963</v>
      </c>
      <c r="C282" t="s">
        <v>30</v>
      </c>
      <c r="D282">
        <v>21</v>
      </c>
      <c r="E282" t="s">
        <v>42</v>
      </c>
      <c r="F282" t="s">
        <v>136</v>
      </c>
      <c r="G282">
        <v>1</v>
      </c>
      <c r="H282">
        <v>4</v>
      </c>
      <c r="I282">
        <v>3</v>
      </c>
      <c r="J282">
        <v>47</v>
      </c>
      <c r="K282">
        <v>26</v>
      </c>
      <c r="L282">
        <v>4.21</v>
      </c>
      <c r="M282">
        <v>1.97</v>
      </c>
      <c r="N282">
        <v>0</v>
      </c>
      <c r="O282">
        <v>6</v>
      </c>
      <c r="P282">
        <v>1</v>
      </c>
      <c r="Q282">
        <v>2</v>
      </c>
      <c r="R282" t="s">
        <v>144</v>
      </c>
      <c r="S282">
        <v>23</v>
      </c>
      <c r="T282">
        <v>1</v>
      </c>
      <c r="U282" t="s">
        <v>33</v>
      </c>
      <c r="V282" t="s">
        <v>121</v>
      </c>
    </row>
    <row r="283" spans="1:22" x14ac:dyDescent="0.25">
      <c r="A283" t="s">
        <v>109</v>
      </c>
      <c r="B283" s="3">
        <v>45963</v>
      </c>
      <c r="C283" t="s">
        <v>30</v>
      </c>
      <c r="D283">
        <v>21</v>
      </c>
      <c r="E283" t="s">
        <v>40</v>
      </c>
      <c r="F283" t="s">
        <v>39</v>
      </c>
      <c r="G283">
        <v>1</v>
      </c>
      <c r="H283">
        <v>1</v>
      </c>
      <c r="I283">
        <v>2</v>
      </c>
      <c r="J283">
        <v>35</v>
      </c>
      <c r="K283">
        <v>25</v>
      </c>
      <c r="N283">
        <v>0</v>
      </c>
      <c r="O283">
        <v>5</v>
      </c>
      <c r="P283">
        <v>0</v>
      </c>
      <c r="Q283">
        <v>2</v>
      </c>
      <c r="R283" t="s">
        <v>119</v>
      </c>
      <c r="S283">
        <v>23</v>
      </c>
      <c r="T283">
        <v>0</v>
      </c>
      <c r="U283" t="s">
        <v>35</v>
      </c>
      <c r="V283" t="s">
        <v>121</v>
      </c>
    </row>
    <row r="284" spans="1:22" x14ac:dyDescent="0.25">
      <c r="A284" t="s">
        <v>109</v>
      </c>
      <c r="B284" s="3">
        <v>45963</v>
      </c>
      <c r="C284" t="s">
        <v>30</v>
      </c>
      <c r="D284">
        <v>21</v>
      </c>
      <c r="E284" t="s">
        <v>43</v>
      </c>
      <c r="F284" t="s">
        <v>32</v>
      </c>
      <c r="G284">
        <v>1</v>
      </c>
      <c r="H284">
        <v>1</v>
      </c>
      <c r="I284">
        <v>3</v>
      </c>
      <c r="J284">
        <v>22</v>
      </c>
      <c r="K284">
        <v>33</v>
      </c>
      <c r="N284">
        <v>0</v>
      </c>
      <c r="O284">
        <v>6</v>
      </c>
      <c r="P284">
        <v>1</v>
      </c>
      <c r="Q284">
        <v>8</v>
      </c>
      <c r="R284" t="s">
        <v>149</v>
      </c>
      <c r="S284">
        <v>30</v>
      </c>
      <c r="T284">
        <v>0</v>
      </c>
      <c r="U284" t="s">
        <v>35</v>
      </c>
      <c r="V284" t="s">
        <v>121</v>
      </c>
    </row>
    <row r="285" spans="1:22" x14ac:dyDescent="0.25">
      <c r="A285" t="s">
        <v>109</v>
      </c>
      <c r="B285" s="3">
        <v>45963</v>
      </c>
      <c r="C285" t="s">
        <v>30</v>
      </c>
      <c r="D285">
        <v>21</v>
      </c>
      <c r="E285" t="s">
        <v>45</v>
      </c>
      <c r="F285" t="s">
        <v>38</v>
      </c>
      <c r="G285">
        <v>1</v>
      </c>
      <c r="H285">
        <v>2</v>
      </c>
      <c r="I285">
        <v>3</v>
      </c>
      <c r="J285">
        <v>29</v>
      </c>
      <c r="K285">
        <v>28</v>
      </c>
      <c r="N285">
        <v>0</v>
      </c>
      <c r="O285">
        <v>6</v>
      </c>
      <c r="P285">
        <v>2</v>
      </c>
      <c r="Q285">
        <v>7</v>
      </c>
      <c r="R285" t="s">
        <v>148</v>
      </c>
      <c r="S285">
        <v>25</v>
      </c>
      <c r="T285">
        <v>0</v>
      </c>
      <c r="U285" t="s">
        <v>35</v>
      </c>
      <c r="V285" t="s">
        <v>121</v>
      </c>
    </row>
    <row r="286" spans="1:22" x14ac:dyDescent="0.25">
      <c r="A286" t="s">
        <v>109</v>
      </c>
      <c r="B286" s="3">
        <v>45963</v>
      </c>
      <c r="C286" t="s">
        <v>30</v>
      </c>
      <c r="D286">
        <v>21</v>
      </c>
      <c r="E286" t="s">
        <v>31</v>
      </c>
      <c r="F286" t="s">
        <v>41</v>
      </c>
      <c r="G286">
        <v>0</v>
      </c>
      <c r="H286">
        <v>4</v>
      </c>
      <c r="I286">
        <v>2</v>
      </c>
      <c r="J286">
        <v>21</v>
      </c>
      <c r="K286">
        <v>25</v>
      </c>
      <c r="L286">
        <v>2.14</v>
      </c>
      <c r="M286">
        <v>1.79</v>
      </c>
      <c r="N286">
        <v>0</v>
      </c>
      <c r="O286" s="5">
        <v>2</v>
      </c>
      <c r="P286">
        <v>2</v>
      </c>
      <c r="Q286" s="5">
        <v>7</v>
      </c>
      <c r="R286" t="s">
        <v>34</v>
      </c>
      <c r="S286" s="4">
        <v>23</v>
      </c>
      <c r="T286">
        <v>0</v>
      </c>
      <c r="U286" t="s">
        <v>33</v>
      </c>
      <c r="V286" t="s">
        <v>121</v>
      </c>
    </row>
    <row r="287" spans="1:22" x14ac:dyDescent="0.25">
      <c r="A287" t="s">
        <v>109</v>
      </c>
      <c r="B287" s="3">
        <v>45963</v>
      </c>
      <c r="C287" t="s">
        <v>30</v>
      </c>
      <c r="D287">
        <v>21</v>
      </c>
      <c r="E287" t="s">
        <v>136</v>
      </c>
      <c r="F287" t="s">
        <v>42</v>
      </c>
      <c r="G287">
        <v>0</v>
      </c>
      <c r="H287">
        <v>3</v>
      </c>
      <c r="I287">
        <v>4</v>
      </c>
      <c r="J287">
        <v>26</v>
      </c>
      <c r="K287">
        <v>47</v>
      </c>
      <c r="L287">
        <v>1.97</v>
      </c>
      <c r="M287">
        <v>4.21</v>
      </c>
      <c r="N287">
        <v>1</v>
      </c>
      <c r="O287">
        <v>2</v>
      </c>
      <c r="P287">
        <v>0</v>
      </c>
      <c r="Q287">
        <v>6</v>
      </c>
      <c r="R287" t="s">
        <v>102</v>
      </c>
      <c r="S287">
        <v>43</v>
      </c>
      <c r="T287">
        <v>1</v>
      </c>
      <c r="U287" t="s">
        <v>35</v>
      </c>
      <c r="V287" t="s">
        <v>121</v>
      </c>
    </row>
    <row r="288" spans="1:22" x14ac:dyDescent="0.25">
      <c r="A288" t="s">
        <v>109</v>
      </c>
      <c r="B288" s="3">
        <v>45963</v>
      </c>
      <c r="C288" t="s">
        <v>30</v>
      </c>
      <c r="D288">
        <v>21</v>
      </c>
      <c r="E288" t="s">
        <v>36</v>
      </c>
      <c r="F288" t="s">
        <v>46</v>
      </c>
      <c r="G288">
        <v>0</v>
      </c>
      <c r="H288">
        <v>0</v>
      </c>
      <c r="I288">
        <v>2</v>
      </c>
      <c r="J288">
        <v>24</v>
      </c>
      <c r="K288">
        <v>35</v>
      </c>
      <c r="L288">
        <v>1.59</v>
      </c>
      <c r="M288">
        <v>4.16</v>
      </c>
      <c r="N288">
        <v>0</v>
      </c>
      <c r="O288">
        <v>1</v>
      </c>
      <c r="P288">
        <v>0</v>
      </c>
      <c r="Q288">
        <v>2</v>
      </c>
      <c r="R288" t="s">
        <v>157</v>
      </c>
      <c r="S288">
        <v>33</v>
      </c>
      <c r="T288">
        <v>0</v>
      </c>
      <c r="U288" t="s">
        <v>35</v>
      </c>
      <c r="V288" t="s">
        <v>121</v>
      </c>
    </row>
    <row r="289" spans="1:22" x14ac:dyDescent="0.25">
      <c r="A289" t="s">
        <v>109</v>
      </c>
      <c r="B289" s="3">
        <v>45963</v>
      </c>
      <c r="C289" t="s">
        <v>30</v>
      </c>
      <c r="D289">
        <v>21</v>
      </c>
      <c r="E289" t="s">
        <v>32</v>
      </c>
      <c r="F289" t="s">
        <v>43</v>
      </c>
      <c r="G289">
        <v>0</v>
      </c>
      <c r="H289">
        <v>3</v>
      </c>
      <c r="I289">
        <v>1</v>
      </c>
      <c r="J289">
        <v>33</v>
      </c>
      <c r="K289">
        <v>22</v>
      </c>
      <c r="N289">
        <v>1</v>
      </c>
      <c r="O289">
        <v>8</v>
      </c>
      <c r="P289">
        <v>0</v>
      </c>
      <c r="Q289">
        <v>6</v>
      </c>
      <c r="R289" t="s">
        <v>117</v>
      </c>
      <c r="S289">
        <v>21</v>
      </c>
      <c r="T289">
        <v>0</v>
      </c>
      <c r="U289" t="s">
        <v>33</v>
      </c>
      <c r="V289" t="s">
        <v>121</v>
      </c>
    </row>
    <row r="290" spans="1:22" x14ac:dyDescent="0.25">
      <c r="A290" t="s">
        <v>109</v>
      </c>
      <c r="B290" s="3">
        <v>45963</v>
      </c>
      <c r="C290" t="s">
        <v>30</v>
      </c>
      <c r="D290">
        <v>21</v>
      </c>
      <c r="E290" t="s">
        <v>38</v>
      </c>
      <c r="F290" t="s">
        <v>45</v>
      </c>
      <c r="G290">
        <v>0</v>
      </c>
      <c r="H290">
        <v>3</v>
      </c>
      <c r="I290">
        <v>2</v>
      </c>
      <c r="J290">
        <v>28</v>
      </c>
      <c r="K290">
        <v>29</v>
      </c>
      <c r="N290">
        <v>2</v>
      </c>
      <c r="O290">
        <v>7</v>
      </c>
      <c r="P290">
        <v>0</v>
      </c>
      <c r="Q290">
        <v>6</v>
      </c>
      <c r="R290" t="s">
        <v>104</v>
      </c>
      <c r="S290">
        <v>27</v>
      </c>
      <c r="T290">
        <v>0</v>
      </c>
      <c r="U290" t="s">
        <v>33</v>
      </c>
      <c r="V290" t="s">
        <v>121</v>
      </c>
    </row>
    <row r="291" spans="1:22" x14ac:dyDescent="0.25">
      <c r="A291" t="s">
        <v>109</v>
      </c>
      <c r="B291" s="3">
        <v>45963</v>
      </c>
      <c r="C291" t="s">
        <v>30</v>
      </c>
      <c r="D291">
        <v>21</v>
      </c>
      <c r="E291" t="s">
        <v>39</v>
      </c>
      <c r="F291" t="s">
        <v>40</v>
      </c>
      <c r="G291">
        <v>0</v>
      </c>
      <c r="H291">
        <v>2</v>
      </c>
      <c r="I291">
        <v>1</v>
      </c>
      <c r="J291">
        <v>25</v>
      </c>
      <c r="K291">
        <v>35</v>
      </c>
      <c r="N291">
        <v>0</v>
      </c>
      <c r="O291">
        <v>2</v>
      </c>
      <c r="P291">
        <v>0</v>
      </c>
      <c r="Q291">
        <v>5</v>
      </c>
      <c r="R291" t="s">
        <v>105</v>
      </c>
      <c r="S291">
        <v>34</v>
      </c>
      <c r="T291">
        <v>0</v>
      </c>
      <c r="U291" t="s">
        <v>33</v>
      </c>
      <c r="V291" t="s">
        <v>121</v>
      </c>
    </row>
    <row r="292" spans="1:22" x14ac:dyDescent="0.25">
      <c r="A292" t="s">
        <v>109</v>
      </c>
      <c r="B292" s="3">
        <v>45970</v>
      </c>
      <c r="C292" t="s">
        <v>30</v>
      </c>
      <c r="D292">
        <v>35</v>
      </c>
      <c r="E292" t="s">
        <v>46</v>
      </c>
      <c r="F292" t="s">
        <v>137</v>
      </c>
      <c r="G292">
        <v>1</v>
      </c>
      <c r="H292">
        <v>4</v>
      </c>
      <c r="I292">
        <v>3</v>
      </c>
      <c r="J292">
        <v>21</v>
      </c>
      <c r="K292">
        <v>30</v>
      </c>
      <c r="L292">
        <v>0.96</v>
      </c>
      <c r="M292">
        <v>2.95</v>
      </c>
      <c r="N292">
        <v>1</v>
      </c>
      <c r="O292" s="5">
        <v>3</v>
      </c>
      <c r="P292">
        <v>0</v>
      </c>
      <c r="Q292" s="5">
        <v>4</v>
      </c>
      <c r="R292" t="s">
        <v>141</v>
      </c>
      <c r="S292" s="4">
        <v>27</v>
      </c>
      <c r="T292">
        <v>1</v>
      </c>
      <c r="U292" t="s">
        <v>33</v>
      </c>
      <c r="V292" t="s">
        <v>121</v>
      </c>
    </row>
    <row r="293" spans="1:22" x14ac:dyDescent="0.25">
      <c r="A293" t="s">
        <v>109</v>
      </c>
      <c r="B293" s="3">
        <v>45970</v>
      </c>
      <c r="C293" t="s">
        <v>30</v>
      </c>
      <c r="D293">
        <v>35</v>
      </c>
      <c r="E293" t="s">
        <v>137</v>
      </c>
      <c r="F293" t="s">
        <v>46</v>
      </c>
      <c r="G293">
        <v>0</v>
      </c>
      <c r="H293">
        <v>3</v>
      </c>
      <c r="I293">
        <v>4</v>
      </c>
      <c r="J293">
        <v>30</v>
      </c>
      <c r="K293">
        <v>21</v>
      </c>
      <c r="L293">
        <v>2.95</v>
      </c>
      <c r="M293">
        <v>0.96</v>
      </c>
      <c r="N293">
        <v>0</v>
      </c>
      <c r="O293">
        <v>4</v>
      </c>
      <c r="P293">
        <v>1</v>
      </c>
      <c r="Q293">
        <v>3</v>
      </c>
      <c r="R293" t="s">
        <v>115</v>
      </c>
      <c r="S293">
        <v>15</v>
      </c>
      <c r="T293">
        <v>1</v>
      </c>
      <c r="U293" t="s">
        <v>35</v>
      </c>
      <c r="V293" t="s">
        <v>121</v>
      </c>
    </row>
    <row r="294" spans="1:22" x14ac:dyDescent="0.25">
      <c r="A294" t="s">
        <v>109</v>
      </c>
      <c r="B294" s="3">
        <v>45973</v>
      </c>
      <c r="C294" t="s">
        <v>30</v>
      </c>
      <c r="D294">
        <v>23</v>
      </c>
      <c r="E294" t="s">
        <v>136</v>
      </c>
      <c r="F294" t="s">
        <v>45</v>
      </c>
      <c r="G294">
        <v>0</v>
      </c>
      <c r="H294">
        <v>2</v>
      </c>
      <c r="I294">
        <v>4</v>
      </c>
      <c r="J294">
        <v>27</v>
      </c>
      <c r="K294">
        <v>26</v>
      </c>
      <c r="N294">
        <v>0</v>
      </c>
      <c r="O294">
        <v>2</v>
      </c>
      <c r="P294">
        <v>0</v>
      </c>
      <c r="Q294">
        <v>3</v>
      </c>
      <c r="R294" t="s">
        <v>102</v>
      </c>
      <c r="S294">
        <v>22</v>
      </c>
      <c r="T294">
        <v>0</v>
      </c>
      <c r="U294" t="s">
        <v>35</v>
      </c>
      <c r="V294" t="s">
        <v>121</v>
      </c>
    </row>
    <row r="295" spans="1:22" x14ac:dyDescent="0.25">
      <c r="A295" t="s">
        <v>109</v>
      </c>
      <c r="B295" s="3">
        <v>45973</v>
      </c>
      <c r="C295" t="s">
        <v>30</v>
      </c>
      <c r="D295">
        <v>24</v>
      </c>
      <c r="E295" t="s">
        <v>137</v>
      </c>
      <c r="F295" t="s">
        <v>38</v>
      </c>
      <c r="G295">
        <v>1</v>
      </c>
      <c r="H295">
        <v>4</v>
      </c>
      <c r="I295">
        <v>2</v>
      </c>
      <c r="J295">
        <v>50</v>
      </c>
      <c r="K295">
        <v>22</v>
      </c>
      <c r="N295">
        <v>1</v>
      </c>
      <c r="O295">
        <v>7</v>
      </c>
      <c r="P295">
        <v>0</v>
      </c>
      <c r="Q295">
        <v>4</v>
      </c>
      <c r="R295" t="s">
        <v>100</v>
      </c>
      <c r="S295">
        <v>20</v>
      </c>
      <c r="T295">
        <v>0</v>
      </c>
      <c r="U295" t="s">
        <v>33</v>
      </c>
      <c r="V295" t="s">
        <v>121</v>
      </c>
    </row>
    <row r="296" spans="1:22" x14ac:dyDescent="0.25">
      <c r="A296" t="s">
        <v>109</v>
      </c>
      <c r="B296" s="3">
        <v>45973</v>
      </c>
      <c r="C296" t="s">
        <v>30</v>
      </c>
      <c r="D296">
        <v>24</v>
      </c>
      <c r="E296" t="s">
        <v>38</v>
      </c>
      <c r="F296" t="s">
        <v>137</v>
      </c>
      <c r="G296">
        <v>0</v>
      </c>
      <c r="H296">
        <v>2</v>
      </c>
      <c r="I296">
        <v>4</v>
      </c>
      <c r="J296">
        <v>22</v>
      </c>
      <c r="K296">
        <v>50</v>
      </c>
      <c r="N296">
        <v>0</v>
      </c>
      <c r="O296">
        <v>4</v>
      </c>
      <c r="P296">
        <v>1</v>
      </c>
      <c r="Q296">
        <v>7</v>
      </c>
      <c r="R296" t="s">
        <v>104</v>
      </c>
      <c r="S296">
        <v>46</v>
      </c>
      <c r="T296">
        <v>0</v>
      </c>
      <c r="U296" t="s">
        <v>35</v>
      </c>
      <c r="V296" t="s">
        <v>121</v>
      </c>
    </row>
    <row r="297" spans="1:22" x14ac:dyDescent="0.25">
      <c r="A297" t="s">
        <v>109</v>
      </c>
      <c r="B297" s="3">
        <v>45973</v>
      </c>
      <c r="C297" t="s">
        <v>30</v>
      </c>
      <c r="D297">
        <v>23</v>
      </c>
      <c r="E297" t="s">
        <v>45</v>
      </c>
      <c r="F297" t="s">
        <v>136</v>
      </c>
      <c r="G297">
        <v>1</v>
      </c>
      <c r="H297">
        <v>4</v>
      </c>
      <c r="I297">
        <v>2</v>
      </c>
      <c r="J297">
        <v>26</v>
      </c>
      <c r="K297">
        <v>27</v>
      </c>
      <c r="N297">
        <v>0</v>
      </c>
      <c r="O297">
        <v>3</v>
      </c>
      <c r="P297">
        <v>0</v>
      </c>
      <c r="Q297">
        <v>2</v>
      </c>
      <c r="R297" t="s">
        <v>148</v>
      </c>
      <c r="S297">
        <v>25</v>
      </c>
      <c r="T297">
        <v>0</v>
      </c>
      <c r="U297" t="s">
        <v>33</v>
      </c>
      <c r="V297" t="s">
        <v>121</v>
      </c>
    </row>
    <row r="298" spans="1:22" x14ac:dyDescent="0.25">
      <c r="A298" t="s">
        <v>109</v>
      </c>
      <c r="B298" s="3">
        <v>45975</v>
      </c>
      <c r="C298" t="s">
        <v>30</v>
      </c>
      <c r="D298">
        <v>22</v>
      </c>
      <c r="E298" t="s">
        <v>41</v>
      </c>
      <c r="F298" t="s">
        <v>40</v>
      </c>
      <c r="G298">
        <v>0</v>
      </c>
      <c r="H298">
        <v>3</v>
      </c>
      <c r="I298">
        <v>5</v>
      </c>
      <c r="J298">
        <v>21</v>
      </c>
      <c r="K298">
        <v>36</v>
      </c>
      <c r="L298">
        <v>1.81</v>
      </c>
      <c r="M298">
        <v>4.3600000000000003</v>
      </c>
      <c r="N298">
        <v>0</v>
      </c>
      <c r="O298" s="5">
        <v>2</v>
      </c>
      <c r="P298">
        <v>2</v>
      </c>
      <c r="Q298" s="5">
        <v>5</v>
      </c>
      <c r="R298" t="s">
        <v>110</v>
      </c>
      <c r="S298" s="4">
        <v>31</v>
      </c>
      <c r="T298">
        <v>0</v>
      </c>
      <c r="U298" t="s">
        <v>35</v>
      </c>
      <c r="V298" t="s">
        <v>121</v>
      </c>
    </row>
    <row r="299" spans="1:22" x14ac:dyDescent="0.25">
      <c r="A299" t="s">
        <v>109</v>
      </c>
      <c r="B299" s="3">
        <v>45975</v>
      </c>
      <c r="C299" t="s">
        <v>30</v>
      </c>
      <c r="D299">
        <v>22</v>
      </c>
      <c r="E299" t="s">
        <v>46</v>
      </c>
      <c r="F299" t="s">
        <v>137</v>
      </c>
      <c r="G299">
        <v>0</v>
      </c>
      <c r="H299">
        <v>0</v>
      </c>
      <c r="I299">
        <v>3</v>
      </c>
      <c r="J299">
        <v>17</v>
      </c>
      <c r="K299">
        <v>31</v>
      </c>
      <c r="L299">
        <v>1.41</v>
      </c>
      <c r="M299">
        <v>3.03</v>
      </c>
      <c r="N299">
        <v>0</v>
      </c>
      <c r="O299" s="5">
        <v>4</v>
      </c>
      <c r="P299">
        <v>2</v>
      </c>
      <c r="Q299" s="5">
        <v>6</v>
      </c>
      <c r="R299" t="s">
        <v>141</v>
      </c>
      <c r="S299" s="4">
        <v>28</v>
      </c>
      <c r="T299">
        <v>0</v>
      </c>
      <c r="U299" t="s">
        <v>35</v>
      </c>
      <c r="V299" t="s">
        <v>121</v>
      </c>
    </row>
    <row r="300" spans="1:22" x14ac:dyDescent="0.25">
      <c r="A300" t="s">
        <v>109</v>
      </c>
      <c r="B300" s="3">
        <v>45975</v>
      </c>
      <c r="C300" t="s">
        <v>30</v>
      </c>
      <c r="D300">
        <v>22</v>
      </c>
      <c r="E300" t="s">
        <v>136</v>
      </c>
      <c r="F300" t="s">
        <v>43</v>
      </c>
      <c r="G300">
        <v>1</v>
      </c>
      <c r="H300">
        <v>2</v>
      </c>
      <c r="I300">
        <v>3</v>
      </c>
      <c r="J300">
        <v>37</v>
      </c>
      <c r="K300">
        <v>28</v>
      </c>
      <c r="N300">
        <v>0</v>
      </c>
      <c r="O300">
        <v>5</v>
      </c>
      <c r="P300">
        <v>0</v>
      </c>
      <c r="Q300">
        <v>4</v>
      </c>
      <c r="R300" t="s">
        <v>112</v>
      </c>
      <c r="S300">
        <v>25</v>
      </c>
      <c r="T300">
        <v>1</v>
      </c>
      <c r="U300" t="s">
        <v>35</v>
      </c>
      <c r="V300" t="s">
        <v>121</v>
      </c>
    </row>
    <row r="301" spans="1:22" x14ac:dyDescent="0.25">
      <c r="A301" t="s">
        <v>109</v>
      </c>
      <c r="B301" s="3">
        <v>45975</v>
      </c>
      <c r="C301" t="s">
        <v>30</v>
      </c>
      <c r="D301">
        <v>22</v>
      </c>
      <c r="E301" t="s">
        <v>40</v>
      </c>
      <c r="F301" t="s">
        <v>41</v>
      </c>
      <c r="G301">
        <v>1</v>
      </c>
      <c r="H301">
        <v>5</v>
      </c>
      <c r="I301">
        <v>3</v>
      </c>
      <c r="J301">
        <v>36</v>
      </c>
      <c r="K301">
        <v>21</v>
      </c>
      <c r="L301">
        <v>4.3600000000000003</v>
      </c>
      <c r="M301">
        <v>1.81</v>
      </c>
      <c r="N301">
        <v>2</v>
      </c>
      <c r="O301">
        <v>5</v>
      </c>
      <c r="P301">
        <v>0</v>
      </c>
      <c r="Q301">
        <v>2</v>
      </c>
      <c r="R301" t="s">
        <v>107</v>
      </c>
      <c r="S301">
        <v>18</v>
      </c>
      <c r="T301">
        <v>0</v>
      </c>
      <c r="U301" t="s">
        <v>33</v>
      </c>
      <c r="V301" t="s">
        <v>121</v>
      </c>
    </row>
    <row r="302" spans="1:22" x14ac:dyDescent="0.25">
      <c r="A302" t="s">
        <v>109</v>
      </c>
      <c r="B302" s="3">
        <v>45975</v>
      </c>
      <c r="C302" t="s">
        <v>30</v>
      </c>
      <c r="D302">
        <v>22</v>
      </c>
      <c r="E302" t="s">
        <v>44</v>
      </c>
      <c r="F302" t="s">
        <v>39</v>
      </c>
      <c r="G302">
        <v>1</v>
      </c>
      <c r="H302">
        <v>4</v>
      </c>
      <c r="I302">
        <v>2</v>
      </c>
      <c r="J302">
        <v>19</v>
      </c>
      <c r="K302">
        <v>39</v>
      </c>
      <c r="N302">
        <v>1</v>
      </c>
      <c r="O302">
        <v>6</v>
      </c>
      <c r="P302">
        <v>1</v>
      </c>
      <c r="Q302">
        <v>5</v>
      </c>
      <c r="R302" t="s">
        <v>150</v>
      </c>
      <c r="S302">
        <v>37</v>
      </c>
      <c r="T302">
        <v>0</v>
      </c>
      <c r="U302" t="s">
        <v>33</v>
      </c>
      <c r="V302" t="s">
        <v>121</v>
      </c>
    </row>
    <row r="303" spans="1:22" x14ac:dyDescent="0.25">
      <c r="A303" t="s">
        <v>109</v>
      </c>
      <c r="B303" s="3">
        <v>45975</v>
      </c>
      <c r="C303" t="s">
        <v>30</v>
      </c>
      <c r="D303">
        <v>22</v>
      </c>
      <c r="E303" t="s">
        <v>137</v>
      </c>
      <c r="F303" t="s">
        <v>46</v>
      </c>
      <c r="G303">
        <v>1</v>
      </c>
      <c r="H303">
        <v>3</v>
      </c>
      <c r="I303">
        <v>0</v>
      </c>
      <c r="J303">
        <v>31</v>
      </c>
      <c r="K303">
        <v>17</v>
      </c>
      <c r="L303">
        <v>3.03</v>
      </c>
      <c r="M303">
        <v>1.41</v>
      </c>
      <c r="N303">
        <v>2</v>
      </c>
      <c r="O303">
        <v>6</v>
      </c>
      <c r="P303">
        <v>0</v>
      </c>
      <c r="Q303">
        <v>4</v>
      </c>
      <c r="R303" t="s">
        <v>100</v>
      </c>
      <c r="S303">
        <v>17</v>
      </c>
      <c r="T303">
        <v>0</v>
      </c>
      <c r="U303" t="s">
        <v>33</v>
      </c>
      <c r="V303" t="s">
        <v>121</v>
      </c>
    </row>
    <row r="304" spans="1:22" x14ac:dyDescent="0.25">
      <c r="A304" t="s">
        <v>109</v>
      </c>
      <c r="B304" s="3">
        <v>45975</v>
      </c>
      <c r="C304" t="s">
        <v>30</v>
      </c>
      <c r="D304">
        <v>22</v>
      </c>
      <c r="E304" t="s">
        <v>43</v>
      </c>
      <c r="F304" t="s">
        <v>136</v>
      </c>
      <c r="G304">
        <v>0</v>
      </c>
      <c r="H304">
        <v>3</v>
      </c>
      <c r="I304">
        <v>2</v>
      </c>
      <c r="J304">
        <v>28</v>
      </c>
      <c r="K304">
        <v>37</v>
      </c>
      <c r="N304">
        <v>0</v>
      </c>
      <c r="O304">
        <v>4</v>
      </c>
      <c r="P304">
        <v>0</v>
      </c>
      <c r="Q304">
        <v>5</v>
      </c>
      <c r="R304" t="s">
        <v>149</v>
      </c>
      <c r="S304">
        <v>35</v>
      </c>
      <c r="T304">
        <v>1</v>
      </c>
      <c r="U304" t="s">
        <v>33</v>
      </c>
      <c r="V304" t="s">
        <v>121</v>
      </c>
    </row>
    <row r="305" spans="1:22" x14ac:dyDescent="0.25">
      <c r="A305" t="s">
        <v>109</v>
      </c>
      <c r="B305" s="3">
        <v>45975</v>
      </c>
      <c r="C305" t="s">
        <v>30</v>
      </c>
      <c r="D305">
        <v>22</v>
      </c>
      <c r="E305" t="s">
        <v>36</v>
      </c>
      <c r="F305" t="s">
        <v>38</v>
      </c>
      <c r="G305">
        <v>1</v>
      </c>
      <c r="H305">
        <v>4</v>
      </c>
      <c r="I305">
        <v>1</v>
      </c>
      <c r="J305">
        <v>32</v>
      </c>
      <c r="K305">
        <v>20</v>
      </c>
      <c r="N305">
        <v>1</v>
      </c>
      <c r="O305">
        <v>3</v>
      </c>
      <c r="P305">
        <v>1</v>
      </c>
      <c r="Q305">
        <v>4</v>
      </c>
      <c r="R305" t="s">
        <v>146</v>
      </c>
      <c r="S305">
        <v>18</v>
      </c>
      <c r="T305">
        <v>0</v>
      </c>
      <c r="U305" t="s">
        <v>33</v>
      </c>
      <c r="V305" t="s">
        <v>121</v>
      </c>
    </row>
    <row r="306" spans="1:22" x14ac:dyDescent="0.25">
      <c r="A306" t="s">
        <v>109</v>
      </c>
      <c r="B306" s="3">
        <v>45975</v>
      </c>
      <c r="C306" t="s">
        <v>30</v>
      </c>
      <c r="D306">
        <v>22</v>
      </c>
      <c r="E306" t="s">
        <v>32</v>
      </c>
      <c r="F306" t="s">
        <v>45</v>
      </c>
      <c r="G306">
        <v>1</v>
      </c>
      <c r="H306">
        <v>3</v>
      </c>
      <c r="I306">
        <v>0</v>
      </c>
      <c r="J306">
        <v>36</v>
      </c>
      <c r="K306">
        <v>13</v>
      </c>
      <c r="N306">
        <v>0</v>
      </c>
      <c r="O306">
        <v>5</v>
      </c>
      <c r="P306">
        <v>0</v>
      </c>
      <c r="Q306">
        <v>5</v>
      </c>
      <c r="R306" t="s">
        <v>117</v>
      </c>
      <c r="S306">
        <v>13</v>
      </c>
      <c r="T306">
        <v>0</v>
      </c>
      <c r="U306" t="s">
        <v>33</v>
      </c>
      <c r="V306" t="s">
        <v>121</v>
      </c>
    </row>
    <row r="307" spans="1:22" x14ac:dyDescent="0.25">
      <c r="A307" t="s">
        <v>109</v>
      </c>
      <c r="B307" s="3">
        <v>45975</v>
      </c>
      <c r="C307" t="s">
        <v>30</v>
      </c>
      <c r="D307">
        <v>22</v>
      </c>
      <c r="E307" t="s">
        <v>38</v>
      </c>
      <c r="F307" t="s">
        <v>36</v>
      </c>
      <c r="G307">
        <v>0</v>
      </c>
      <c r="H307">
        <v>1</v>
      </c>
      <c r="I307">
        <v>4</v>
      </c>
      <c r="J307">
        <v>20</v>
      </c>
      <c r="K307">
        <v>32</v>
      </c>
      <c r="N307">
        <v>1</v>
      </c>
      <c r="O307">
        <v>4</v>
      </c>
      <c r="P307">
        <v>1</v>
      </c>
      <c r="Q307">
        <v>3</v>
      </c>
      <c r="R307" t="s">
        <v>104</v>
      </c>
      <c r="S307">
        <v>27</v>
      </c>
      <c r="T307">
        <v>0</v>
      </c>
      <c r="U307" t="s">
        <v>35</v>
      </c>
      <c r="V307" t="s">
        <v>121</v>
      </c>
    </row>
    <row r="308" spans="1:22" x14ac:dyDescent="0.25">
      <c r="A308" t="s">
        <v>109</v>
      </c>
      <c r="B308" s="3">
        <v>45975</v>
      </c>
      <c r="C308" t="s">
        <v>30</v>
      </c>
      <c r="D308">
        <v>22</v>
      </c>
      <c r="E308" t="s">
        <v>39</v>
      </c>
      <c r="F308" t="s">
        <v>44</v>
      </c>
      <c r="G308">
        <v>0</v>
      </c>
      <c r="H308">
        <v>2</v>
      </c>
      <c r="I308">
        <v>4</v>
      </c>
      <c r="J308">
        <v>39</v>
      </c>
      <c r="K308">
        <v>19</v>
      </c>
      <c r="N308">
        <v>1</v>
      </c>
      <c r="O308">
        <v>5</v>
      </c>
      <c r="P308">
        <v>1</v>
      </c>
      <c r="Q308">
        <v>6</v>
      </c>
      <c r="R308" t="s">
        <v>105</v>
      </c>
      <c r="S308">
        <v>15</v>
      </c>
      <c r="T308">
        <v>0</v>
      </c>
      <c r="U308" t="s">
        <v>35</v>
      </c>
      <c r="V308" t="s">
        <v>121</v>
      </c>
    </row>
    <row r="309" spans="1:22" x14ac:dyDescent="0.25">
      <c r="A309" t="s">
        <v>109</v>
      </c>
      <c r="B309" s="3">
        <v>45975</v>
      </c>
      <c r="C309" t="s">
        <v>30</v>
      </c>
      <c r="D309">
        <v>22</v>
      </c>
      <c r="E309" t="s">
        <v>45</v>
      </c>
      <c r="F309" t="s">
        <v>32</v>
      </c>
      <c r="G309">
        <v>0</v>
      </c>
      <c r="H309">
        <v>0</v>
      </c>
      <c r="I309">
        <v>3</v>
      </c>
      <c r="J309">
        <v>13</v>
      </c>
      <c r="K309">
        <v>36</v>
      </c>
      <c r="N309">
        <v>0</v>
      </c>
      <c r="O309">
        <v>5</v>
      </c>
      <c r="P309">
        <v>0</v>
      </c>
      <c r="Q309">
        <v>5</v>
      </c>
      <c r="R309" t="s">
        <v>148</v>
      </c>
      <c r="S309">
        <v>33</v>
      </c>
      <c r="T309">
        <v>0</v>
      </c>
      <c r="U309" t="s">
        <v>35</v>
      </c>
      <c r="V309" t="s">
        <v>121</v>
      </c>
    </row>
    <row r="310" spans="1:22" x14ac:dyDescent="0.25">
      <c r="A310" t="s">
        <v>109</v>
      </c>
      <c r="B310" s="3">
        <v>45977</v>
      </c>
      <c r="C310" t="s">
        <v>30</v>
      </c>
      <c r="D310">
        <v>23</v>
      </c>
      <c r="E310" t="s">
        <v>31</v>
      </c>
      <c r="F310" t="s">
        <v>43</v>
      </c>
      <c r="G310">
        <v>0</v>
      </c>
      <c r="H310">
        <v>4</v>
      </c>
      <c r="I310">
        <v>1</v>
      </c>
      <c r="J310">
        <v>42</v>
      </c>
      <c r="K310">
        <v>27</v>
      </c>
      <c r="L310">
        <v>4.0999999999999996</v>
      </c>
      <c r="M310">
        <v>1.93</v>
      </c>
      <c r="N310">
        <v>1</v>
      </c>
      <c r="O310" s="4">
        <v>4</v>
      </c>
      <c r="P310">
        <v>0</v>
      </c>
      <c r="Q310" s="5">
        <v>6</v>
      </c>
      <c r="R310" t="s">
        <v>34</v>
      </c>
      <c r="S310" s="4">
        <v>26</v>
      </c>
      <c r="T310">
        <v>0</v>
      </c>
      <c r="U310" t="s">
        <v>33</v>
      </c>
      <c r="V310" t="s">
        <v>121</v>
      </c>
    </row>
    <row r="311" spans="1:22" x14ac:dyDescent="0.25">
      <c r="A311" t="s">
        <v>109</v>
      </c>
      <c r="B311" s="3">
        <v>45977</v>
      </c>
      <c r="C311" t="s">
        <v>30</v>
      </c>
      <c r="D311">
        <v>23</v>
      </c>
      <c r="E311" t="s">
        <v>41</v>
      </c>
      <c r="F311" t="s">
        <v>42</v>
      </c>
      <c r="G311">
        <v>0</v>
      </c>
      <c r="H311">
        <v>3</v>
      </c>
      <c r="I311">
        <v>4</v>
      </c>
      <c r="J311">
        <v>32</v>
      </c>
      <c r="K311">
        <v>41</v>
      </c>
      <c r="L311">
        <v>2.29</v>
      </c>
      <c r="M311">
        <v>2.65</v>
      </c>
      <c r="N311">
        <v>0</v>
      </c>
      <c r="O311" s="5">
        <v>2</v>
      </c>
      <c r="P311">
        <v>0</v>
      </c>
      <c r="Q311" s="5">
        <v>5</v>
      </c>
      <c r="R311" t="s">
        <v>108</v>
      </c>
      <c r="S311" s="4">
        <v>37</v>
      </c>
      <c r="T311">
        <v>0</v>
      </c>
      <c r="U311" t="s">
        <v>35</v>
      </c>
      <c r="V311" t="s">
        <v>121</v>
      </c>
    </row>
    <row r="312" spans="1:22" x14ac:dyDescent="0.25">
      <c r="A312" t="s">
        <v>109</v>
      </c>
      <c r="B312" s="3">
        <v>45977</v>
      </c>
      <c r="C312" t="s">
        <v>30</v>
      </c>
      <c r="D312">
        <v>23</v>
      </c>
      <c r="E312" t="s">
        <v>46</v>
      </c>
      <c r="F312" t="s">
        <v>39</v>
      </c>
      <c r="G312">
        <v>0</v>
      </c>
      <c r="H312">
        <v>6</v>
      </c>
      <c r="I312">
        <v>5</v>
      </c>
      <c r="J312">
        <v>27</v>
      </c>
      <c r="K312">
        <v>31</v>
      </c>
      <c r="L312">
        <v>2.59</v>
      </c>
      <c r="M312">
        <v>3.52</v>
      </c>
      <c r="N312">
        <v>2</v>
      </c>
      <c r="O312" s="5">
        <v>3</v>
      </c>
      <c r="P312">
        <v>3</v>
      </c>
      <c r="Q312" s="5">
        <v>5</v>
      </c>
      <c r="R312" t="s">
        <v>140</v>
      </c>
      <c r="S312" s="4">
        <v>26</v>
      </c>
      <c r="T312">
        <v>0</v>
      </c>
      <c r="U312" t="s">
        <v>33</v>
      </c>
      <c r="V312" t="s">
        <v>121</v>
      </c>
    </row>
    <row r="313" spans="1:22" x14ac:dyDescent="0.25">
      <c r="A313" t="s">
        <v>109</v>
      </c>
      <c r="B313" s="3">
        <v>45977</v>
      </c>
      <c r="C313" t="s">
        <v>30</v>
      </c>
      <c r="D313">
        <v>23</v>
      </c>
      <c r="E313" t="s">
        <v>42</v>
      </c>
      <c r="F313" t="s">
        <v>41</v>
      </c>
      <c r="G313">
        <v>1</v>
      </c>
      <c r="H313">
        <v>4</v>
      </c>
      <c r="I313">
        <v>3</v>
      </c>
      <c r="J313">
        <v>41</v>
      </c>
      <c r="K313">
        <v>32</v>
      </c>
      <c r="L313">
        <v>2.65</v>
      </c>
      <c r="M313">
        <v>2.29</v>
      </c>
      <c r="N313">
        <v>0</v>
      </c>
      <c r="O313" s="5">
        <v>5</v>
      </c>
      <c r="P313">
        <v>0</v>
      </c>
      <c r="Q313" s="5">
        <v>2</v>
      </c>
      <c r="R313" t="s">
        <v>144</v>
      </c>
      <c r="S313" s="4">
        <v>27</v>
      </c>
      <c r="T313">
        <v>0</v>
      </c>
      <c r="U313" t="s">
        <v>33</v>
      </c>
      <c r="V313" t="s">
        <v>121</v>
      </c>
    </row>
    <row r="314" spans="1:22" x14ac:dyDescent="0.25">
      <c r="A314" t="s">
        <v>109</v>
      </c>
      <c r="B314" s="3">
        <v>45977</v>
      </c>
      <c r="C314" t="s">
        <v>30</v>
      </c>
      <c r="D314">
        <v>23</v>
      </c>
      <c r="E314" t="s">
        <v>40</v>
      </c>
      <c r="F314" t="s">
        <v>44</v>
      </c>
      <c r="G314">
        <v>0</v>
      </c>
      <c r="H314">
        <v>5</v>
      </c>
      <c r="I314">
        <v>1</v>
      </c>
      <c r="J314">
        <v>14</v>
      </c>
      <c r="K314">
        <v>33</v>
      </c>
      <c r="N314">
        <v>0</v>
      </c>
      <c r="O314">
        <v>6</v>
      </c>
      <c r="P314">
        <v>1</v>
      </c>
      <c r="Q314">
        <v>4</v>
      </c>
      <c r="R314" t="s">
        <v>119</v>
      </c>
      <c r="S314">
        <v>32</v>
      </c>
      <c r="T314">
        <v>0</v>
      </c>
      <c r="U314" t="s">
        <v>33</v>
      </c>
      <c r="V314" t="s">
        <v>121</v>
      </c>
    </row>
    <row r="315" spans="1:22" x14ac:dyDescent="0.25">
      <c r="A315" t="s">
        <v>109</v>
      </c>
      <c r="B315" s="3">
        <v>45977</v>
      </c>
      <c r="C315" t="s">
        <v>30</v>
      </c>
      <c r="D315">
        <v>23</v>
      </c>
      <c r="E315" t="s">
        <v>44</v>
      </c>
      <c r="F315" t="s">
        <v>40</v>
      </c>
      <c r="G315">
        <v>1</v>
      </c>
      <c r="H315">
        <v>1</v>
      </c>
      <c r="I315">
        <v>5</v>
      </c>
      <c r="J315">
        <v>33</v>
      </c>
      <c r="K315">
        <v>14</v>
      </c>
      <c r="N315">
        <v>1</v>
      </c>
      <c r="O315">
        <v>4</v>
      </c>
      <c r="P315">
        <v>0</v>
      </c>
      <c r="Q315">
        <v>6</v>
      </c>
      <c r="R315" t="s">
        <v>150</v>
      </c>
      <c r="S315">
        <v>9</v>
      </c>
      <c r="T315">
        <v>0</v>
      </c>
      <c r="U315" t="s">
        <v>35</v>
      </c>
      <c r="V315" t="s">
        <v>121</v>
      </c>
    </row>
    <row r="316" spans="1:22" x14ac:dyDescent="0.25">
      <c r="A316" t="s">
        <v>109</v>
      </c>
      <c r="B316" s="3">
        <v>45977</v>
      </c>
      <c r="C316" t="s">
        <v>30</v>
      </c>
      <c r="D316">
        <v>23</v>
      </c>
      <c r="E316" t="s">
        <v>137</v>
      </c>
      <c r="F316" t="s">
        <v>36</v>
      </c>
      <c r="G316">
        <v>0</v>
      </c>
      <c r="H316">
        <v>0</v>
      </c>
      <c r="I316">
        <v>2</v>
      </c>
      <c r="J316">
        <v>26</v>
      </c>
      <c r="K316">
        <v>26</v>
      </c>
      <c r="N316">
        <v>0</v>
      </c>
      <c r="O316">
        <v>5</v>
      </c>
      <c r="P316">
        <v>1</v>
      </c>
      <c r="Q316">
        <v>6</v>
      </c>
      <c r="R316" t="s">
        <v>100</v>
      </c>
      <c r="S316">
        <v>23</v>
      </c>
      <c r="T316">
        <v>0</v>
      </c>
      <c r="U316" t="s">
        <v>35</v>
      </c>
      <c r="V316" t="s">
        <v>121</v>
      </c>
    </row>
    <row r="317" spans="1:22" x14ac:dyDescent="0.25">
      <c r="A317" t="s">
        <v>109</v>
      </c>
      <c r="B317" s="3">
        <v>45977</v>
      </c>
      <c r="C317" t="s">
        <v>30</v>
      </c>
      <c r="D317">
        <v>23</v>
      </c>
      <c r="E317" t="s">
        <v>43</v>
      </c>
      <c r="F317" t="s">
        <v>31</v>
      </c>
      <c r="G317">
        <v>1</v>
      </c>
      <c r="H317">
        <v>1</v>
      </c>
      <c r="I317">
        <v>4</v>
      </c>
      <c r="J317">
        <v>27</v>
      </c>
      <c r="K317">
        <v>42</v>
      </c>
      <c r="L317">
        <v>1.93</v>
      </c>
      <c r="M317">
        <v>4.0999999999999996</v>
      </c>
      <c r="N317">
        <v>0</v>
      </c>
      <c r="O317">
        <v>6</v>
      </c>
      <c r="P317">
        <v>1</v>
      </c>
      <c r="Q317">
        <v>4</v>
      </c>
      <c r="R317" t="s">
        <v>151</v>
      </c>
      <c r="S317">
        <v>38</v>
      </c>
      <c r="T317">
        <v>0</v>
      </c>
      <c r="U317" t="s">
        <v>35</v>
      </c>
      <c r="V317" t="s">
        <v>121</v>
      </c>
    </row>
    <row r="318" spans="1:22" x14ac:dyDescent="0.25">
      <c r="A318" t="s">
        <v>109</v>
      </c>
      <c r="B318" s="3">
        <v>45977</v>
      </c>
      <c r="C318" t="s">
        <v>30</v>
      </c>
      <c r="D318">
        <v>23</v>
      </c>
      <c r="E318" t="s">
        <v>36</v>
      </c>
      <c r="F318" t="s">
        <v>137</v>
      </c>
      <c r="G318">
        <v>1</v>
      </c>
      <c r="H318">
        <v>2</v>
      </c>
      <c r="I318">
        <v>0</v>
      </c>
      <c r="J318">
        <v>26</v>
      </c>
      <c r="K318">
        <v>26</v>
      </c>
      <c r="N318">
        <v>1</v>
      </c>
      <c r="O318">
        <v>6</v>
      </c>
      <c r="P318">
        <v>0</v>
      </c>
      <c r="Q318">
        <v>5</v>
      </c>
      <c r="R318" t="s">
        <v>146</v>
      </c>
      <c r="S318">
        <v>27</v>
      </c>
      <c r="T318">
        <v>0</v>
      </c>
      <c r="U318" t="s">
        <v>33</v>
      </c>
      <c r="V318" t="s">
        <v>121</v>
      </c>
    </row>
    <row r="319" spans="1:22" x14ac:dyDescent="0.25">
      <c r="A319" t="s">
        <v>109</v>
      </c>
      <c r="B319" s="3">
        <v>45977</v>
      </c>
      <c r="C319" t="s">
        <v>30</v>
      </c>
      <c r="D319">
        <v>23</v>
      </c>
      <c r="E319" t="s">
        <v>39</v>
      </c>
      <c r="F319" t="s">
        <v>46</v>
      </c>
      <c r="G319">
        <v>1</v>
      </c>
      <c r="H319">
        <v>5</v>
      </c>
      <c r="I319">
        <v>6</v>
      </c>
      <c r="J319">
        <v>31</v>
      </c>
      <c r="K319">
        <v>27</v>
      </c>
      <c r="L319">
        <v>3.52</v>
      </c>
      <c r="M319">
        <v>2.59</v>
      </c>
      <c r="N319">
        <v>3</v>
      </c>
      <c r="O319">
        <v>5</v>
      </c>
      <c r="P319">
        <v>2</v>
      </c>
      <c r="Q319">
        <v>3</v>
      </c>
      <c r="R319" t="s">
        <v>106</v>
      </c>
      <c r="S319">
        <v>21</v>
      </c>
      <c r="T319">
        <v>0</v>
      </c>
      <c r="U319" t="s">
        <v>35</v>
      </c>
      <c r="V319" t="s">
        <v>121</v>
      </c>
    </row>
    <row r="320" spans="1:22" x14ac:dyDescent="0.25">
      <c r="A320" t="s">
        <v>109</v>
      </c>
      <c r="B320" s="3">
        <v>45978</v>
      </c>
      <c r="C320" t="s">
        <v>30</v>
      </c>
      <c r="D320">
        <v>23</v>
      </c>
      <c r="E320" t="s">
        <v>32</v>
      </c>
      <c r="F320" t="s">
        <v>38</v>
      </c>
      <c r="G320">
        <v>0</v>
      </c>
      <c r="H320">
        <v>7</v>
      </c>
      <c r="I320">
        <v>1</v>
      </c>
      <c r="J320">
        <v>37</v>
      </c>
      <c r="K320">
        <v>33</v>
      </c>
      <c r="N320">
        <v>2</v>
      </c>
      <c r="O320">
        <v>4</v>
      </c>
      <c r="P320">
        <v>1</v>
      </c>
      <c r="Q320">
        <v>7</v>
      </c>
      <c r="R320" t="s">
        <v>117</v>
      </c>
      <c r="S320">
        <v>32</v>
      </c>
      <c r="T320">
        <v>0</v>
      </c>
      <c r="U320" t="s">
        <v>33</v>
      </c>
      <c r="V320" t="s">
        <v>121</v>
      </c>
    </row>
    <row r="321" spans="1:22" x14ac:dyDescent="0.25">
      <c r="A321" t="s">
        <v>109</v>
      </c>
      <c r="B321" s="3">
        <v>45978</v>
      </c>
      <c r="C321" t="s">
        <v>30</v>
      </c>
      <c r="D321">
        <v>23</v>
      </c>
      <c r="E321" t="s">
        <v>38</v>
      </c>
      <c r="F321" t="s">
        <v>32</v>
      </c>
      <c r="G321">
        <v>1</v>
      </c>
      <c r="H321">
        <v>1</v>
      </c>
      <c r="I321">
        <v>7</v>
      </c>
      <c r="J321">
        <v>33</v>
      </c>
      <c r="K321">
        <v>37</v>
      </c>
      <c r="N321">
        <v>1</v>
      </c>
      <c r="O321">
        <v>7</v>
      </c>
      <c r="P321">
        <v>2</v>
      </c>
      <c r="Q321">
        <v>4</v>
      </c>
      <c r="R321" t="s">
        <v>118</v>
      </c>
      <c r="S321">
        <v>30</v>
      </c>
      <c r="T321">
        <v>0</v>
      </c>
      <c r="U321" t="s">
        <v>35</v>
      </c>
      <c r="V321" t="s">
        <v>121</v>
      </c>
    </row>
    <row r="322" spans="1:22" x14ac:dyDescent="0.25">
      <c r="A322" t="s">
        <v>109</v>
      </c>
      <c r="B322" s="3">
        <v>45981</v>
      </c>
      <c r="C322" t="s">
        <v>30</v>
      </c>
      <c r="D322">
        <v>24</v>
      </c>
      <c r="E322" t="s">
        <v>31</v>
      </c>
      <c r="F322" t="s">
        <v>44</v>
      </c>
      <c r="G322">
        <v>1</v>
      </c>
      <c r="H322">
        <v>4</v>
      </c>
      <c r="I322">
        <v>1</v>
      </c>
      <c r="J322">
        <v>26</v>
      </c>
      <c r="K322">
        <v>22</v>
      </c>
      <c r="L322">
        <v>3.43</v>
      </c>
      <c r="M322">
        <v>2.38</v>
      </c>
      <c r="N322">
        <v>1</v>
      </c>
      <c r="O322" s="4">
        <v>4</v>
      </c>
      <c r="P322">
        <v>0</v>
      </c>
      <c r="Q322" s="5">
        <v>6</v>
      </c>
      <c r="R322" t="s">
        <v>47</v>
      </c>
      <c r="S322" s="4">
        <v>21</v>
      </c>
      <c r="T322">
        <v>0</v>
      </c>
      <c r="U322" t="s">
        <v>33</v>
      </c>
      <c r="V322" t="s">
        <v>121</v>
      </c>
    </row>
    <row r="323" spans="1:22" x14ac:dyDescent="0.25">
      <c r="A323" t="s">
        <v>109</v>
      </c>
      <c r="B323" s="3">
        <v>45981</v>
      </c>
      <c r="C323" t="s">
        <v>30</v>
      </c>
      <c r="D323">
        <v>24</v>
      </c>
      <c r="E323" t="s">
        <v>41</v>
      </c>
      <c r="F323" t="s">
        <v>45</v>
      </c>
      <c r="G323">
        <v>0</v>
      </c>
      <c r="H323">
        <v>2</v>
      </c>
      <c r="I323">
        <v>3</v>
      </c>
      <c r="J323">
        <v>35</v>
      </c>
      <c r="K323">
        <v>25</v>
      </c>
      <c r="L323">
        <v>2.4300000000000002</v>
      </c>
      <c r="M323">
        <v>2.2200000000000002</v>
      </c>
      <c r="N323">
        <v>1</v>
      </c>
      <c r="O323" s="5">
        <v>2</v>
      </c>
      <c r="P323">
        <v>1</v>
      </c>
      <c r="Q323" s="5">
        <v>2</v>
      </c>
      <c r="R323" t="s">
        <v>110</v>
      </c>
      <c r="S323" s="4">
        <v>22</v>
      </c>
      <c r="T323">
        <v>0</v>
      </c>
      <c r="U323" t="s">
        <v>35</v>
      </c>
      <c r="V323" t="s">
        <v>121</v>
      </c>
    </row>
    <row r="324" spans="1:22" x14ac:dyDescent="0.25">
      <c r="A324" t="s">
        <v>109</v>
      </c>
      <c r="B324" s="3">
        <v>45981</v>
      </c>
      <c r="C324" t="s">
        <v>30</v>
      </c>
      <c r="D324">
        <v>24</v>
      </c>
      <c r="E324" t="s">
        <v>44</v>
      </c>
      <c r="F324" t="s">
        <v>31</v>
      </c>
      <c r="G324">
        <v>0</v>
      </c>
      <c r="H324">
        <v>1</v>
      </c>
      <c r="I324">
        <v>4</v>
      </c>
      <c r="J324">
        <v>22</v>
      </c>
      <c r="K324">
        <v>26</v>
      </c>
      <c r="L324">
        <v>2.38</v>
      </c>
      <c r="M324">
        <v>3.43</v>
      </c>
      <c r="N324">
        <v>0</v>
      </c>
      <c r="O324">
        <v>6</v>
      </c>
      <c r="P324">
        <v>1</v>
      </c>
      <c r="Q324">
        <v>4</v>
      </c>
      <c r="R324" t="s">
        <v>147</v>
      </c>
      <c r="S324">
        <v>22</v>
      </c>
      <c r="T324">
        <v>0</v>
      </c>
      <c r="U324" t="s">
        <v>35</v>
      </c>
      <c r="V324" t="s">
        <v>121</v>
      </c>
    </row>
    <row r="325" spans="1:22" x14ac:dyDescent="0.25">
      <c r="A325" t="s">
        <v>109</v>
      </c>
      <c r="B325" s="3">
        <v>45981</v>
      </c>
      <c r="C325" t="s">
        <v>30</v>
      </c>
      <c r="D325">
        <v>24</v>
      </c>
      <c r="E325" t="s">
        <v>43</v>
      </c>
      <c r="F325" t="s">
        <v>39</v>
      </c>
      <c r="G325">
        <v>0</v>
      </c>
      <c r="H325">
        <v>2</v>
      </c>
      <c r="I325">
        <v>7</v>
      </c>
      <c r="J325">
        <v>15</v>
      </c>
      <c r="K325">
        <v>32</v>
      </c>
      <c r="N325">
        <v>0</v>
      </c>
      <c r="O325">
        <v>1</v>
      </c>
      <c r="P325">
        <v>2</v>
      </c>
      <c r="Q325">
        <v>4</v>
      </c>
      <c r="R325" t="s">
        <v>151</v>
      </c>
      <c r="S325">
        <v>25</v>
      </c>
      <c r="T325">
        <v>0</v>
      </c>
      <c r="U325" t="s">
        <v>35</v>
      </c>
      <c r="V325" t="s">
        <v>121</v>
      </c>
    </row>
    <row r="326" spans="1:22" x14ac:dyDescent="0.25">
      <c r="A326" t="s">
        <v>109</v>
      </c>
      <c r="B326" s="3">
        <v>45981</v>
      </c>
      <c r="C326" t="s">
        <v>30</v>
      </c>
      <c r="D326">
        <v>24</v>
      </c>
      <c r="E326" t="s">
        <v>39</v>
      </c>
      <c r="F326" t="s">
        <v>43</v>
      </c>
      <c r="G326">
        <v>1</v>
      </c>
      <c r="H326">
        <v>7</v>
      </c>
      <c r="I326">
        <v>2</v>
      </c>
      <c r="J326">
        <v>32</v>
      </c>
      <c r="K326">
        <v>15</v>
      </c>
      <c r="N326">
        <v>2</v>
      </c>
      <c r="O326">
        <v>4</v>
      </c>
      <c r="P326">
        <v>0</v>
      </c>
      <c r="Q326">
        <v>1</v>
      </c>
      <c r="R326" t="s">
        <v>105</v>
      </c>
      <c r="S326">
        <v>13</v>
      </c>
      <c r="T326">
        <v>0</v>
      </c>
      <c r="U326" t="s">
        <v>33</v>
      </c>
      <c r="V326" t="s">
        <v>121</v>
      </c>
    </row>
    <row r="327" spans="1:22" x14ac:dyDescent="0.25">
      <c r="A327" t="s">
        <v>109</v>
      </c>
      <c r="B327" s="3">
        <v>45981</v>
      </c>
      <c r="C327" t="s">
        <v>30</v>
      </c>
      <c r="D327">
        <v>24</v>
      </c>
      <c r="E327" t="s">
        <v>45</v>
      </c>
      <c r="F327" t="s">
        <v>41</v>
      </c>
      <c r="G327">
        <v>1</v>
      </c>
      <c r="H327">
        <v>3</v>
      </c>
      <c r="I327">
        <v>2</v>
      </c>
      <c r="J327">
        <v>25</v>
      </c>
      <c r="K327">
        <v>35</v>
      </c>
      <c r="L327">
        <v>2.2200000000000002</v>
      </c>
      <c r="M327">
        <v>2.4300000000000002</v>
      </c>
      <c r="N327">
        <v>1</v>
      </c>
      <c r="O327">
        <v>2</v>
      </c>
      <c r="P327">
        <v>1</v>
      </c>
      <c r="Q327">
        <v>2</v>
      </c>
      <c r="R327" t="s">
        <v>148</v>
      </c>
      <c r="S327">
        <v>33</v>
      </c>
      <c r="T327">
        <v>0</v>
      </c>
      <c r="U327" t="s">
        <v>33</v>
      </c>
      <c r="V327" t="s">
        <v>121</v>
      </c>
    </row>
    <row r="328" spans="1:22" x14ac:dyDescent="0.25">
      <c r="A328" t="s">
        <v>109</v>
      </c>
      <c r="B328" s="3">
        <v>45982</v>
      </c>
      <c r="C328" t="s">
        <v>30</v>
      </c>
      <c r="D328">
        <v>26</v>
      </c>
      <c r="E328" t="s">
        <v>46</v>
      </c>
      <c r="F328" t="s">
        <v>32</v>
      </c>
      <c r="G328">
        <v>0</v>
      </c>
      <c r="H328">
        <v>4</v>
      </c>
      <c r="I328">
        <v>1</v>
      </c>
      <c r="J328">
        <v>25</v>
      </c>
      <c r="K328">
        <v>31</v>
      </c>
      <c r="L328">
        <v>2.91</v>
      </c>
      <c r="M328">
        <v>3.15</v>
      </c>
      <c r="N328">
        <v>0</v>
      </c>
      <c r="O328" s="5">
        <v>4</v>
      </c>
      <c r="P328">
        <v>0</v>
      </c>
      <c r="Q328" s="5">
        <v>7</v>
      </c>
      <c r="R328" t="s">
        <v>141</v>
      </c>
      <c r="S328" s="4">
        <v>30</v>
      </c>
      <c r="T328">
        <v>0</v>
      </c>
      <c r="U328" t="s">
        <v>33</v>
      </c>
      <c r="V328" t="s">
        <v>121</v>
      </c>
    </row>
    <row r="329" spans="1:22" x14ac:dyDescent="0.25">
      <c r="A329" t="s">
        <v>109</v>
      </c>
      <c r="B329" s="3">
        <v>45982</v>
      </c>
      <c r="C329" t="s">
        <v>30</v>
      </c>
      <c r="D329">
        <v>24</v>
      </c>
      <c r="E329" t="s">
        <v>42</v>
      </c>
      <c r="F329" t="s">
        <v>40</v>
      </c>
      <c r="G329">
        <v>0</v>
      </c>
      <c r="H329">
        <v>4</v>
      </c>
      <c r="I329">
        <v>1</v>
      </c>
      <c r="J329">
        <v>42</v>
      </c>
      <c r="K329">
        <v>22</v>
      </c>
      <c r="L329">
        <v>3.15</v>
      </c>
      <c r="M329">
        <v>2.23</v>
      </c>
      <c r="N329">
        <v>1</v>
      </c>
      <c r="O329">
        <v>2</v>
      </c>
      <c r="P329">
        <v>1</v>
      </c>
      <c r="Q329">
        <v>3</v>
      </c>
      <c r="R329" t="s">
        <v>144</v>
      </c>
      <c r="S329">
        <v>21</v>
      </c>
      <c r="T329">
        <v>0</v>
      </c>
      <c r="U329" t="s">
        <v>33</v>
      </c>
      <c r="V329" t="s">
        <v>121</v>
      </c>
    </row>
    <row r="330" spans="1:22" x14ac:dyDescent="0.25">
      <c r="A330" t="s">
        <v>109</v>
      </c>
      <c r="B330" s="3">
        <v>45982</v>
      </c>
      <c r="C330" t="s">
        <v>30</v>
      </c>
      <c r="D330">
        <v>24</v>
      </c>
      <c r="E330" t="s">
        <v>136</v>
      </c>
      <c r="F330" t="s">
        <v>36</v>
      </c>
      <c r="G330">
        <v>1</v>
      </c>
      <c r="H330">
        <v>4</v>
      </c>
      <c r="I330">
        <v>3</v>
      </c>
      <c r="J330">
        <v>32</v>
      </c>
      <c r="K330">
        <v>30</v>
      </c>
      <c r="N330">
        <v>1</v>
      </c>
      <c r="O330">
        <v>3</v>
      </c>
      <c r="P330">
        <v>1</v>
      </c>
      <c r="Q330">
        <v>3</v>
      </c>
      <c r="R330" t="s">
        <v>112</v>
      </c>
      <c r="S330">
        <v>27</v>
      </c>
      <c r="T330">
        <v>1</v>
      </c>
      <c r="U330" t="s">
        <v>33</v>
      </c>
      <c r="V330" t="s">
        <v>121</v>
      </c>
    </row>
    <row r="331" spans="1:22" x14ac:dyDescent="0.25">
      <c r="A331" t="s">
        <v>109</v>
      </c>
      <c r="B331" s="3">
        <v>45982</v>
      </c>
      <c r="C331" t="s">
        <v>30</v>
      </c>
      <c r="D331">
        <v>24</v>
      </c>
      <c r="E331" t="s">
        <v>40</v>
      </c>
      <c r="F331" t="s">
        <v>42</v>
      </c>
      <c r="G331">
        <v>1</v>
      </c>
      <c r="H331">
        <v>1</v>
      </c>
      <c r="I331">
        <v>4</v>
      </c>
      <c r="J331">
        <v>22</v>
      </c>
      <c r="K331">
        <v>42</v>
      </c>
      <c r="L331">
        <v>2.23</v>
      </c>
      <c r="M331">
        <v>3.15</v>
      </c>
      <c r="N331">
        <v>1</v>
      </c>
      <c r="O331">
        <v>3</v>
      </c>
      <c r="P331">
        <v>1</v>
      </c>
      <c r="Q331">
        <v>2</v>
      </c>
      <c r="R331" t="s">
        <v>107</v>
      </c>
      <c r="S331">
        <v>38</v>
      </c>
      <c r="T331">
        <v>0</v>
      </c>
      <c r="U331" t="s">
        <v>35</v>
      </c>
      <c r="V331" t="s">
        <v>121</v>
      </c>
    </row>
    <row r="332" spans="1:22" x14ac:dyDescent="0.25">
      <c r="A332" t="s">
        <v>109</v>
      </c>
      <c r="B332" s="3">
        <v>45982</v>
      </c>
      <c r="C332" t="s">
        <v>30</v>
      </c>
      <c r="D332">
        <v>24</v>
      </c>
      <c r="E332" t="s">
        <v>36</v>
      </c>
      <c r="F332" t="s">
        <v>136</v>
      </c>
      <c r="G332">
        <v>0</v>
      </c>
      <c r="H332">
        <v>3</v>
      </c>
      <c r="I332">
        <v>4</v>
      </c>
      <c r="J332">
        <v>30</v>
      </c>
      <c r="K332">
        <v>32</v>
      </c>
      <c r="N332">
        <v>1</v>
      </c>
      <c r="O332">
        <v>3</v>
      </c>
      <c r="P332">
        <v>1</v>
      </c>
      <c r="Q332">
        <v>3</v>
      </c>
      <c r="R332" t="s">
        <v>146</v>
      </c>
      <c r="S332">
        <v>29</v>
      </c>
      <c r="T332">
        <v>1</v>
      </c>
      <c r="U332" t="s">
        <v>35</v>
      </c>
      <c r="V332" t="s">
        <v>121</v>
      </c>
    </row>
    <row r="333" spans="1:22" x14ac:dyDescent="0.25">
      <c r="A333" t="s">
        <v>109</v>
      </c>
      <c r="B333" s="3">
        <v>45982</v>
      </c>
      <c r="C333" t="s">
        <v>30</v>
      </c>
      <c r="D333">
        <v>26</v>
      </c>
      <c r="E333" t="s">
        <v>32</v>
      </c>
      <c r="F333" t="s">
        <v>46</v>
      </c>
      <c r="G333">
        <v>1</v>
      </c>
      <c r="H333">
        <v>1</v>
      </c>
      <c r="I333">
        <v>4</v>
      </c>
      <c r="J333">
        <v>31</v>
      </c>
      <c r="K333">
        <v>25</v>
      </c>
      <c r="L333">
        <v>3.15</v>
      </c>
      <c r="M333">
        <v>2.91</v>
      </c>
      <c r="N333">
        <v>0</v>
      </c>
      <c r="O333">
        <v>7</v>
      </c>
      <c r="P333">
        <v>0</v>
      </c>
      <c r="Q333">
        <v>4</v>
      </c>
      <c r="R333" t="s">
        <v>117</v>
      </c>
      <c r="S333">
        <v>21</v>
      </c>
      <c r="T333">
        <v>0</v>
      </c>
      <c r="U333" t="s">
        <v>35</v>
      </c>
      <c r="V333" t="s">
        <v>121</v>
      </c>
    </row>
    <row r="334" spans="1:22" x14ac:dyDescent="0.25">
      <c r="A334" t="s">
        <v>109</v>
      </c>
      <c r="B334" s="3">
        <v>45984</v>
      </c>
      <c r="C334" t="s">
        <v>30</v>
      </c>
      <c r="D334">
        <v>25</v>
      </c>
      <c r="E334" t="s">
        <v>31</v>
      </c>
      <c r="F334" t="s">
        <v>45</v>
      </c>
      <c r="G334">
        <v>0</v>
      </c>
      <c r="H334">
        <v>2</v>
      </c>
      <c r="I334">
        <v>3</v>
      </c>
      <c r="J334">
        <v>36</v>
      </c>
      <c r="K334">
        <v>14</v>
      </c>
      <c r="L334">
        <v>3.17</v>
      </c>
      <c r="M334">
        <v>2.15</v>
      </c>
      <c r="N334">
        <v>1</v>
      </c>
      <c r="O334" s="5">
        <v>6</v>
      </c>
      <c r="P334">
        <v>1</v>
      </c>
      <c r="Q334" s="5">
        <v>6</v>
      </c>
      <c r="R334" t="s">
        <v>47</v>
      </c>
      <c r="S334" s="4">
        <v>11</v>
      </c>
      <c r="T334">
        <v>0</v>
      </c>
      <c r="U334" t="s">
        <v>35</v>
      </c>
      <c r="V334" t="s">
        <v>121</v>
      </c>
    </row>
    <row r="335" spans="1:22" x14ac:dyDescent="0.25">
      <c r="A335" t="s">
        <v>109</v>
      </c>
      <c r="B335" s="3">
        <v>45984</v>
      </c>
      <c r="C335" t="s">
        <v>30</v>
      </c>
      <c r="D335">
        <v>25</v>
      </c>
      <c r="E335" t="s">
        <v>41</v>
      </c>
      <c r="F335" t="s">
        <v>43</v>
      </c>
      <c r="G335">
        <v>0</v>
      </c>
      <c r="H335">
        <v>2</v>
      </c>
      <c r="I335">
        <v>5</v>
      </c>
      <c r="J335">
        <v>46</v>
      </c>
      <c r="K335">
        <v>24</v>
      </c>
      <c r="L335">
        <v>3.62</v>
      </c>
      <c r="M335">
        <v>1.66</v>
      </c>
      <c r="N335">
        <v>2</v>
      </c>
      <c r="O335" s="5">
        <v>9</v>
      </c>
      <c r="P335">
        <v>1</v>
      </c>
      <c r="Q335" s="5">
        <v>8</v>
      </c>
      <c r="R335" t="s">
        <v>110</v>
      </c>
      <c r="S335" s="4">
        <v>19</v>
      </c>
      <c r="T335">
        <v>0</v>
      </c>
      <c r="U335" t="s">
        <v>35</v>
      </c>
      <c r="V335" t="s">
        <v>121</v>
      </c>
    </row>
    <row r="336" spans="1:22" x14ac:dyDescent="0.25">
      <c r="A336" t="s">
        <v>109</v>
      </c>
      <c r="B336" s="3">
        <v>45984</v>
      </c>
      <c r="C336" t="s">
        <v>30</v>
      </c>
      <c r="D336">
        <v>25</v>
      </c>
      <c r="E336" t="s">
        <v>46</v>
      </c>
      <c r="F336" t="s">
        <v>40</v>
      </c>
      <c r="G336">
        <v>0</v>
      </c>
      <c r="H336">
        <v>7</v>
      </c>
      <c r="I336">
        <v>3</v>
      </c>
      <c r="J336">
        <v>27</v>
      </c>
      <c r="K336">
        <v>22</v>
      </c>
      <c r="L336">
        <v>2.39</v>
      </c>
      <c r="M336">
        <v>2.61</v>
      </c>
      <c r="N336">
        <v>2</v>
      </c>
      <c r="O336" s="5">
        <v>3</v>
      </c>
      <c r="P336">
        <v>1</v>
      </c>
      <c r="Q336" s="5">
        <v>7</v>
      </c>
      <c r="R336" t="s">
        <v>141</v>
      </c>
      <c r="S336" s="4">
        <v>19</v>
      </c>
      <c r="T336">
        <v>0</v>
      </c>
      <c r="U336" t="s">
        <v>33</v>
      </c>
      <c r="V336" t="s">
        <v>121</v>
      </c>
    </row>
    <row r="337" spans="1:22" x14ac:dyDescent="0.25">
      <c r="A337" t="s">
        <v>109</v>
      </c>
      <c r="B337" s="3">
        <v>45984</v>
      </c>
      <c r="C337" t="s">
        <v>30</v>
      </c>
      <c r="D337">
        <v>25</v>
      </c>
      <c r="E337" t="s">
        <v>42</v>
      </c>
      <c r="F337" t="s">
        <v>44</v>
      </c>
      <c r="G337">
        <v>0</v>
      </c>
      <c r="H337">
        <v>2</v>
      </c>
      <c r="I337">
        <v>3</v>
      </c>
      <c r="J337">
        <v>16</v>
      </c>
      <c r="K337">
        <v>38</v>
      </c>
      <c r="L337">
        <v>1.45</v>
      </c>
      <c r="M337">
        <v>2.4300000000000002</v>
      </c>
      <c r="N337">
        <v>1</v>
      </c>
      <c r="O337">
        <v>3</v>
      </c>
      <c r="P337">
        <v>2</v>
      </c>
      <c r="Q337">
        <v>5</v>
      </c>
      <c r="R337" t="s">
        <v>144</v>
      </c>
      <c r="S337">
        <v>35</v>
      </c>
      <c r="T337">
        <v>0</v>
      </c>
      <c r="U337" t="s">
        <v>35</v>
      </c>
      <c r="V337" t="s">
        <v>121</v>
      </c>
    </row>
    <row r="338" spans="1:22" x14ac:dyDescent="0.25">
      <c r="A338" t="s">
        <v>109</v>
      </c>
      <c r="B338" s="3">
        <v>45984</v>
      </c>
      <c r="C338" t="s">
        <v>30</v>
      </c>
      <c r="D338">
        <v>25</v>
      </c>
      <c r="E338" t="s">
        <v>136</v>
      </c>
      <c r="F338" t="s">
        <v>38</v>
      </c>
      <c r="G338">
        <v>0</v>
      </c>
      <c r="H338">
        <v>2</v>
      </c>
      <c r="I338">
        <v>1</v>
      </c>
      <c r="J338">
        <v>33</v>
      </c>
      <c r="K338">
        <v>25</v>
      </c>
      <c r="N338">
        <v>2</v>
      </c>
      <c r="O338">
        <v>3</v>
      </c>
      <c r="P338">
        <v>1</v>
      </c>
      <c r="Q338">
        <v>4</v>
      </c>
      <c r="R338" t="s">
        <v>102</v>
      </c>
      <c r="S338">
        <v>31</v>
      </c>
      <c r="T338">
        <v>1</v>
      </c>
      <c r="U338" t="s">
        <v>33</v>
      </c>
      <c r="V338" t="s">
        <v>121</v>
      </c>
    </row>
    <row r="339" spans="1:22" x14ac:dyDescent="0.25">
      <c r="A339" t="s">
        <v>109</v>
      </c>
      <c r="B339" s="3">
        <v>45984</v>
      </c>
      <c r="C339" t="s">
        <v>30</v>
      </c>
      <c r="D339">
        <v>25</v>
      </c>
      <c r="E339" t="s">
        <v>40</v>
      </c>
      <c r="F339" t="s">
        <v>46</v>
      </c>
      <c r="G339">
        <v>1</v>
      </c>
      <c r="H339">
        <v>3</v>
      </c>
      <c r="I339">
        <v>7</v>
      </c>
      <c r="J339">
        <v>22</v>
      </c>
      <c r="K339">
        <v>27</v>
      </c>
      <c r="L339">
        <v>2.61</v>
      </c>
      <c r="M339">
        <v>2.39</v>
      </c>
      <c r="N339">
        <v>1</v>
      </c>
      <c r="O339">
        <v>7</v>
      </c>
      <c r="P339">
        <v>2</v>
      </c>
      <c r="Q339">
        <v>3</v>
      </c>
      <c r="R339" t="s">
        <v>119</v>
      </c>
      <c r="S339">
        <v>20</v>
      </c>
      <c r="T339">
        <v>0</v>
      </c>
      <c r="U339" t="s">
        <v>35</v>
      </c>
      <c r="V339" t="s">
        <v>121</v>
      </c>
    </row>
    <row r="340" spans="1:22" x14ac:dyDescent="0.25">
      <c r="A340" t="s">
        <v>109</v>
      </c>
      <c r="B340" s="3">
        <v>45984</v>
      </c>
      <c r="C340" t="s">
        <v>30</v>
      </c>
      <c r="D340">
        <v>25</v>
      </c>
      <c r="E340" t="s">
        <v>44</v>
      </c>
      <c r="F340" t="s">
        <v>42</v>
      </c>
      <c r="G340">
        <v>1</v>
      </c>
      <c r="H340">
        <v>3</v>
      </c>
      <c r="I340">
        <v>2</v>
      </c>
      <c r="J340">
        <v>38</v>
      </c>
      <c r="K340">
        <v>16</v>
      </c>
      <c r="L340">
        <v>2.4300000000000002</v>
      </c>
      <c r="M340">
        <v>1.45</v>
      </c>
      <c r="N340">
        <v>2</v>
      </c>
      <c r="O340">
        <v>5</v>
      </c>
      <c r="P340">
        <v>1</v>
      </c>
      <c r="Q340">
        <v>3</v>
      </c>
      <c r="R340" t="s">
        <v>150</v>
      </c>
      <c r="S340">
        <v>14</v>
      </c>
      <c r="T340">
        <v>0</v>
      </c>
      <c r="U340" t="s">
        <v>33</v>
      </c>
      <c r="V340" t="s">
        <v>121</v>
      </c>
    </row>
    <row r="341" spans="1:22" x14ac:dyDescent="0.25">
      <c r="A341" t="s">
        <v>109</v>
      </c>
      <c r="B341" s="3">
        <v>45984</v>
      </c>
      <c r="C341" t="s">
        <v>30</v>
      </c>
      <c r="D341">
        <v>25</v>
      </c>
      <c r="E341" t="s">
        <v>137</v>
      </c>
      <c r="F341" t="s">
        <v>32</v>
      </c>
      <c r="G341">
        <v>1</v>
      </c>
      <c r="H341">
        <v>3</v>
      </c>
      <c r="I341">
        <v>2</v>
      </c>
      <c r="J341">
        <v>35</v>
      </c>
      <c r="K341">
        <v>27</v>
      </c>
      <c r="N341">
        <v>2</v>
      </c>
      <c r="O341">
        <v>5</v>
      </c>
      <c r="P341">
        <v>1</v>
      </c>
      <c r="Q341">
        <v>1</v>
      </c>
      <c r="R341" t="s">
        <v>100</v>
      </c>
      <c r="S341">
        <v>25</v>
      </c>
      <c r="T341">
        <v>0</v>
      </c>
      <c r="U341" t="s">
        <v>33</v>
      </c>
      <c r="V341" t="s">
        <v>121</v>
      </c>
    </row>
    <row r="342" spans="1:22" x14ac:dyDescent="0.25">
      <c r="A342" t="s">
        <v>109</v>
      </c>
      <c r="B342" s="3">
        <v>45984</v>
      </c>
      <c r="C342" t="s">
        <v>30</v>
      </c>
      <c r="D342">
        <v>25</v>
      </c>
      <c r="E342" t="s">
        <v>43</v>
      </c>
      <c r="F342" t="s">
        <v>41</v>
      </c>
      <c r="G342">
        <v>1</v>
      </c>
      <c r="H342">
        <v>5</v>
      </c>
      <c r="I342">
        <v>2</v>
      </c>
      <c r="J342">
        <v>24</v>
      </c>
      <c r="K342">
        <v>46</v>
      </c>
      <c r="L342">
        <v>1.66</v>
      </c>
      <c r="M342">
        <v>3.62</v>
      </c>
      <c r="N342">
        <v>1</v>
      </c>
      <c r="O342">
        <v>8</v>
      </c>
      <c r="P342">
        <v>2</v>
      </c>
      <c r="Q342">
        <v>9</v>
      </c>
      <c r="R342" t="s">
        <v>149</v>
      </c>
      <c r="S342">
        <v>44</v>
      </c>
      <c r="T342">
        <v>0</v>
      </c>
      <c r="U342" t="s">
        <v>33</v>
      </c>
      <c r="V342" t="s">
        <v>121</v>
      </c>
    </row>
    <row r="343" spans="1:22" x14ac:dyDescent="0.25">
      <c r="A343" t="s">
        <v>109</v>
      </c>
      <c r="B343" s="3">
        <v>45984</v>
      </c>
      <c r="C343" t="s">
        <v>30</v>
      </c>
      <c r="D343">
        <v>25</v>
      </c>
      <c r="E343" t="s">
        <v>36</v>
      </c>
      <c r="F343" t="s">
        <v>39</v>
      </c>
      <c r="G343">
        <v>1</v>
      </c>
      <c r="H343">
        <v>2</v>
      </c>
      <c r="I343">
        <v>1</v>
      </c>
      <c r="J343">
        <v>19</v>
      </c>
      <c r="K343">
        <v>25</v>
      </c>
      <c r="N343">
        <v>1</v>
      </c>
      <c r="O343">
        <v>3</v>
      </c>
      <c r="P343">
        <v>0</v>
      </c>
      <c r="Q343">
        <v>2</v>
      </c>
      <c r="R343" t="s">
        <v>157</v>
      </c>
      <c r="S343">
        <v>24</v>
      </c>
      <c r="T343">
        <v>0</v>
      </c>
      <c r="U343" t="s">
        <v>33</v>
      </c>
      <c r="V343" t="s">
        <v>121</v>
      </c>
    </row>
    <row r="344" spans="1:22" x14ac:dyDescent="0.25">
      <c r="A344" t="s">
        <v>109</v>
      </c>
      <c r="B344" s="3">
        <v>45984</v>
      </c>
      <c r="C344" t="s">
        <v>30</v>
      </c>
      <c r="D344">
        <v>25</v>
      </c>
      <c r="E344" t="s">
        <v>32</v>
      </c>
      <c r="F344" t="s">
        <v>137</v>
      </c>
      <c r="G344">
        <v>0</v>
      </c>
      <c r="H344">
        <v>2</v>
      </c>
      <c r="I344">
        <v>3</v>
      </c>
      <c r="J344">
        <v>27</v>
      </c>
      <c r="K344">
        <v>35</v>
      </c>
      <c r="N344">
        <v>1</v>
      </c>
      <c r="O344">
        <v>1</v>
      </c>
      <c r="P344">
        <v>2</v>
      </c>
      <c r="Q344">
        <v>5</v>
      </c>
      <c r="R344" t="s">
        <v>117</v>
      </c>
      <c r="S344">
        <v>32</v>
      </c>
      <c r="T344">
        <v>0</v>
      </c>
      <c r="U344" t="s">
        <v>35</v>
      </c>
      <c r="V344" t="s">
        <v>121</v>
      </c>
    </row>
    <row r="345" spans="1:22" x14ac:dyDescent="0.25">
      <c r="A345" t="s">
        <v>109</v>
      </c>
      <c r="B345" s="3">
        <v>45984</v>
      </c>
      <c r="C345" t="s">
        <v>30</v>
      </c>
      <c r="D345">
        <v>25</v>
      </c>
      <c r="E345" t="s">
        <v>38</v>
      </c>
      <c r="F345" t="s">
        <v>136</v>
      </c>
      <c r="G345">
        <v>1</v>
      </c>
      <c r="H345">
        <v>1</v>
      </c>
      <c r="I345">
        <v>2</v>
      </c>
      <c r="J345">
        <v>25</v>
      </c>
      <c r="K345">
        <v>33</v>
      </c>
      <c r="N345">
        <v>1</v>
      </c>
      <c r="O345">
        <v>4</v>
      </c>
      <c r="P345">
        <v>2</v>
      </c>
      <c r="Q345">
        <v>3</v>
      </c>
      <c r="R345" t="s">
        <v>104</v>
      </c>
      <c r="S345">
        <v>31</v>
      </c>
      <c r="T345">
        <v>1</v>
      </c>
      <c r="U345" t="s">
        <v>35</v>
      </c>
      <c r="V345" t="s">
        <v>121</v>
      </c>
    </row>
    <row r="346" spans="1:22" x14ac:dyDescent="0.25">
      <c r="A346" t="s">
        <v>109</v>
      </c>
      <c r="B346" s="3">
        <v>45984</v>
      </c>
      <c r="C346" t="s">
        <v>30</v>
      </c>
      <c r="D346">
        <v>25</v>
      </c>
      <c r="E346" t="s">
        <v>39</v>
      </c>
      <c r="F346" t="s">
        <v>36</v>
      </c>
      <c r="G346">
        <v>0</v>
      </c>
      <c r="H346">
        <v>1</v>
      </c>
      <c r="I346">
        <v>2</v>
      </c>
      <c r="J346">
        <v>25</v>
      </c>
      <c r="K346">
        <v>19</v>
      </c>
      <c r="N346">
        <v>0</v>
      </c>
      <c r="O346">
        <v>2</v>
      </c>
      <c r="P346">
        <v>1</v>
      </c>
      <c r="Q346">
        <v>3</v>
      </c>
      <c r="R346" t="s">
        <v>106</v>
      </c>
      <c r="S346">
        <v>17</v>
      </c>
      <c r="T346">
        <v>0</v>
      </c>
      <c r="U346" t="s">
        <v>35</v>
      </c>
      <c r="V346" t="s">
        <v>121</v>
      </c>
    </row>
    <row r="347" spans="1:22" x14ac:dyDescent="0.25">
      <c r="A347" t="s">
        <v>109</v>
      </c>
      <c r="B347" s="3">
        <v>45984</v>
      </c>
      <c r="C347" t="s">
        <v>30</v>
      </c>
      <c r="D347">
        <v>25</v>
      </c>
      <c r="E347" t="s">
        <v>45</v>
      </c>
      <c r="F347" t="s">
        <v>31</v>
      </c>
      <c r="G347">
        <v>1</v>
      </c>
      <c r="H347">
        <v>3</v>
      </c>
      <c r="I347">
        <v>2</v>
      </c>
      <c r="J347">
        <v>14</v>
      </c>
      <c r="K347">
        <v>36</v>
      </c>
      <c r="L347">
        <v>2.15</v>
      </c>
      <c r="M347">
        <v>3.17</v>
      </c>
      <c r="N347">
        <v>1</v>
      </c>
      <c r="O347">
        <v>6</v>
      </c>
      <c r="P347">
        <v>1</v>
      </c>
      <c r="Q347">
        <v>6</v>
      </c>
      <c r="R347" t="s">
        <v>148</v>
      </c>
      <c r="S347">
        <v>34</v>
      </c>
      <c r="T347">
        <v>0</v>
      </c>
      <c r="U347" t="s">
        <v>33</v>
      </c>
      <c r="V347" t="s">
        <v>121</v>
      </c>
    </row>
    <row r="348" spans="1:22" x14ac:dyDescent="0.25">
      <c r="A348" t="s">
        <v>109</v>
      </c>
      <c r="B348" s="3">
        <v>45986</v>
      </c>
      <c r="C348" t="s">
        <v>30</v>
      </c>
      <c r="D348">
        <v>26</v>
      </c>
      <c r="E348" t="s">
        <v>31</v>
      </c>
      <c r="F348" t="s">
        <v>46</v>
      </c>
      <c r="G348">
        <v>1</v>
      </c>
      <c r="H348">
        <v>1</v>
      </c>
      <c r="I348">
        <v>2</v>
      </c>
      <c r="J348">
        <v>37</v>
      </c>
      <c r="K348">
        <v>19</v>
      </c>
      <c r="L348">
        <v>3.27</v>
      </c>
      <c r="M348">
        <v>1.73</v>
      </c>
      <c r="N348">
        <v>0</v>
      </c>
      <c r="O348" s="5">
        <v>5</v>
      </c>
      <c r="P348">
        <v>0</v>
      </c>
      <c r="Q348" s="5">
        <v>5</v>
      </c>
      <c r="R348" t="s">
        <v>34</v>
      </c>
      <c r="S348" s="4">
        <v>17</v>
      </c>
      <c r="T348">
        <v>1</v>
      </c>
      <c r="U348" t="s">
        <v>35</v>
      </c>
      <c r="V348" t="s">
        <v>121</v>
      </c>
    </row>
    <row r="349" spans="1:22" x14ac:dyDescent="0.25">
      <c r="A349" t="s">
        <v>109</v>
      </c>
      <c r="B349" s="3">
        <v>45986</v>
      </c>
      <c r="C349" t="s">
        <v>30</v>
      </c>
      <c r="D349">
        <v>26</v>
      </c>
      <c r="E349" t="s">
        <v>41</v>
      </c>
      <c r="F349" t="s">
        <v>44</v>
      </c>
      <c r="G349">
        <v>0</v>
      </c>
      <c r="H349">
        <v>1</v>
      </c>
      <c r="I349">
        <v>2</v>
      </c>
      <c r="J349">
        <v>26</v>
      </c>
      <c r="K349">
        <v>24</v>
      </c>
      <c r="L349">
        <v>2.02</v>
      </c>
      <c r="M349">
        <v>2.29</v>
      </c>
      <c r="N349">
        <v>0</v>
      </c>
      <c r="O349" s="5">
        <v>5</v>
      </c>
      <c r="P349">
        <v>0</v>
      </c>
      <c r="Q349" s="5">
        <v>4</v>
      </c>
      <c r="R349" t="s">
        <v>110</v>
      </c>
      <c r="S349" s="4">
        <v>22</v>
      </c>
      <c r="T349">
        <v>0</v>
      </c>
      <c r="U349" t="s">
        <v>35</v>
      </c>
      <c r="V349" t="s">
        <v>121</v>
      </c>
    </row>
    <row r="350" spans="1:22" x14ac:dyDescent="0.25">
      <c r="A350" t="s">
        <v>109</v>
      </c>
      <c r="B350" s="3">
        <v>45986</v>
      </c>
      <c r="C350" t="s">
        <v>30</v>
      </c>
      <c r="D350">
        <v>28</v>
      </c>
      <c r="E350" t="s">
        <v>46</v>
      </c>
      <c r="F350" t="s">
        <v>31</v>
      </c>
      <c r="G350">
        <v>0</v>
      </c>
      <c r="H350">
        <v>2</v>
      </c>
      <c r="I350">
        <v>1</v>
      </c>
      <c r="J350">
        <v>37</v>
      </c>
      <c r="K350">
        <v>19</v>
      </c>
      <c r="L350">
        <v>1.73</v>
      </c>
      <c r="M350">
        <v>3.27</v>
      </c>
      <c r="N350">
        <v>0</v>
      </c>
      <c r="O350" s="5">
        <v>5</v>
      </c>
      <c r="P350">
        <v>0</v>
      </c>
      <c r="Q350" s="5">
        <v>5</v>
      </c>
      <c r="R350" t="s">
        <v>140</v>
      </c>
      <c r="S350" s="4">
        <v>36</v>
      </c>
      <c r="T350">
        <v>1</v>
      </c>
      <c r="U350" t="s">
        <v>33</v>
      </c>
      <c r="V350" t="s">
        <v>121</v>
      </c>
    </row>
    <row r="351" spans="1:22" x14ac:dyDescent="0.25">
      <c r="A351" t="s">
        <v>109</v>
      </c>
      <c r="B351" s="3">
        <v>45986</v>
      </c>
      <c r="C351" t="s">
        <v>30</v>
      </c>
      <c r="D351">
        <v>26</v>
      </c>
      <c r="E351" t="s">
        <v>42</v>
      </c>
      <c r="F351" t="s">
        <v>38</v>
      </c>
      <c r="G351">
        <v>1</v>
      </c>
      <c r="H351">
        <v>1</v>
      </c>
      <c r="I351">
        <v>2</v>
      </c>
      <c r="J351">
        <v>34</v>
      </c>
      <c r="K351">
        <v>13</v>
      </c>
      <c r="L351">
        <v>3.9</v>
      </c>
      <c r="M351">
        <v>0.62</v>
      </c>
      <c r="N351">
        <v>0</v>
      </c>
      <c r="O351">
        <v>7</v>
      </c>
      <c r="P351">
        <v>1</v>
      </c>
      <c r="Q351">
        <v>4</v>
      </c>
      <c r="R351" t="s">
        <v>145</v>
      </c>
      <c r="S351">
        <v>11</v>
      </c>
      <c r="T351">
        <v>0</v>
      </c>
      <c r="U351" t="s">
        <v>35</v>
      </c>
      <c r="V351" t="s">
        <v>121</v>
      </c>
    </row>
    <row r="352" spans="1:22" x14ac:dyDescent="0.25">
      <c r="A352" t="s">
        <v>109</v>
      </c>
      <c r="B352" s="3">
        <v>45986</v>
      </c>
      <c r="C352" t="s">
        <v>30</v>
      </c>
      <c r="D352">
        <v>26</v>
      </c>
      <c r="E352" t="s">
        <v>136</v>
      </c>
      <c r="F352" t="s">
        <v>137</v>
      </c>
      <c r="G352">
        <v>0</v>
      </c>
      <c r="H352">
        <v>2</v>
      </c>
      <c r="I352">
        <v>5</v>
      </c>
      <c r="J352">
        <v>30</v>
      </c>
      <c r="K352">
        <v>34</v>
      </c>
      <c r="N352">
        <v>0</v>
      </c>
      <c r="O352">
        <v>2</v>
      </c>
      <c r="P352">
        <v>2</v>
      </c>
      <c r="Q352">
        <v>3</v>
      </c>
      <c r="R352" t="s">
        <v>102</v>
      </c>
      <c r="S352">
        <v>29</v>
      </c>
      <c r="T352">
        <v>0</v>
      </c>
      <c r="U352" t="s">
        <v>35</v>
      </c>
      <c r="V352" t="s">
        <v>121</v>
      </c>
    </row>
    <row r="353" spans="1:22" x14ac:dyDescent="0.25">
      <c r="A353" t="s">
        <v>109</v>
      </c>
      <c r="B353" s="3">
        <v>45986</v>
      </c>
      <c r="C353" t="s">
        <v>30</v>
      </c>
      <c r="D353">
        <v>26</v>
      </c>
      <c r="E353" t="s">
        <v>40</v>
      </c>
      <c r="F353" t="s">
        <v>43</v>
      </c>
      <c r="G353">
        <v>1</v>
      </c>
      <c r="H353">
        <v>2</v>
      </c>
      <c r="I353">
        <v>1</v>
      </c>
      <c r="J353">
        <v>32</v>
      </c>
      <c r="K353">
        <v>38</v>
      </c>
      <c r="N353">
        <v>0</v>
      </c>
      <c r="O353">
        <v>3</v>
      </c>
      <c r="P353">
        <v>0</v>
      </c>
      <c r="Q353">
        <v>2</v>
      </c>
      <c r="R353" t="s">
        <v>107</v>
      </c>
      <c r="S353">
        <v>37</v>
      </c>
      <c r="T353">
        <v>1</v>
      </c>
      <c r="U353" t="s">
        <v>33</v>
      </c>
      <c r="V353" t="s">
        <v>121</v>
      </c>
    </row>
    <row r="354" spans="1:22" x14ac:dyDescent="0.25">
      <c r="A354" t="s">
        <v>109</v>
      </c>
      <c r="B354" s="3">
        <v>45986</v>
      </c>
      <c r="C354" t="s">
        <v>30</v>
      </c>
      <c r="D354">
        <v>26</v>
      </c>
      <c r="E354" t="s">
        <v>44</v>
      </c>
      <c r="F354" t="s">
        <v>41</v>
      </c>
      <c r="G354">
        <v>1</v>
      </c>
      <c r="H354">
        <v>2</v>
      </c>
      <c r="I354">
        <v>1</v>
      </c>
      <c r="J354">
        <v>24</v>
      </c>
      <c r="K354">
        <v>26</v>
      </c>
      <c r="L354">
        <v>2.29</v>
      </c>
      <c r="M354">
        <v>2.02</v>
      </c>
      <c r="N354">
        <v>0</v>
      </c>
      <c r="O354">
        <v>4</v>
      </c>
      <c r="P354">
        <v>0</v>
      </c>
      <c r="Q354">
        <v>5</v>
      </c>
      <c r="R354" t="s">
        <v>150</v>
      </c>
      <c r="S354">
        <v>25</v>
      </c>
      <c r="T354">
        <v>0</v>
      </c>
      <c r="U354" t="s">
        <v>33</v>
      </c>
      <c r="V354" t="s">
        <v>121</v>
      </c>
    </row>
    <row r="355" spans="1:22" x14ac:dyDescent="0.25">
      <c r="A355" t="s">
        <v>109</v>
      </c>
      <c r="B355" s="3">
        <v>45986</v>
      </c>
      <c r="C355" t="s">
        <v>30</v>
      </c>
      <c r="D355">
        <v>26</v>
      </c>
      <c r="E355" t="s">
        <v>137</v>
      </c>
      <c r="F355" t="s">
        <v>136</v>
      </c>
      <c r="G355">
        <v>1</v>
      </c>
      <c r="H355">
        <v>5</v>
      </c>
      <c r="I355">
        <v>2</v>
      </c>
      <c r="J355">
        <v>34</v>
      </c>
      <c r="K355">
        <v>30</v>
      </c>
      <c r="N355">
        <v>2</v>
      </c>
      <c r="O355">
        <v>3</v>
      </c>
      <c r="P355">
        <v>0</v>
      </c>
      <c r="Q355">
        <v>2</v>
      </c>
      <c r="R355" t="s">
        <v>100</v>
      </c>
      <c r="S355">
        <v>28</v>
      </c>
      <c r="T355">
        <v>0</v>
      </c>
      <c r="U355" t="s">
        <v>33</v>
      </c>
      <c r="V355" t="s">
        <v>121</v>
      </c>
    </row>
    <row r="356" spans="1:22" x14ac:dyDescent="0.25">
      <c r="A356" t="s">
        <v>109</v>
      </c>
      <c r="B356" s="3">
        <v>45986</v>
      </c>
      <c r="C356" t="s">
        <v>30</v>
      </c>
      <c r="D356">
        <v>26</v>
      </c>
      <c r="E356" t="s">
        <v>43</v>
      </c>
      <c r="F356" t="s">
        <v>40</v>
      </c>
      <c r="G356">
        <v>0</v>
      </c>
      <c r="H356">
        <v>1</v>
      </c>
      <c r="I356">
        <v>2</v>
      </c>
      <c r="J356">
        <v>38</v>
      </c>
      <c r="K356">
        <v>32</v>
      </c>
      <c r="N356">
        <v>0</v>
      </c>
      <c r="O356">
        <v>2</v>
      </c>
      <c r="P356">
        <v>0</v>
      </c>
      <c r="Q356">
        <v>3</v>
      </c>
      <c r="R356" t="s">
        <v>149</v>
      </c>
      <c r="S356">
        <v>32</v>
      </c>
      <c r="T356">
        <v>1</v>
      </c>
      <c r="U356" t="s">
        <v>35</v>
      </c>
      <c r="V356" t="s">
        <v>121</v>
      </c>
    </row>
    <row r="357" spans="1:22" x14ac:dyDescent="0.25">
      <c r="A357" t="s">
        <v>109</v>
      </c>
      <c r="B357" s="3">
        <v>45986</v>
      </c>
      <c r="C357" t="s">
        <v>30</v>
      </c>
      <c r="D357">
        <v>26</v>
      </c>
      <c r="E357" t="s">
        <v>36</v>
      </c>
      <c r="F357" t="s">
        <v>32</v>
      </c>
      <c r="G357">
        <v>0</v>
      </c>
      <c r="H357">
        <v>1</v>
      </c>
      <c r="I357">
        <v>0</v>
      </c>
      <c r="J357">
        <v>13</v>
      </c>
      <c r="K357">
        <v>23</v>
      </c>
      <c r="N357">
        <v>0</v>
      </c>
      <c r="O357">
        <v>6</v>
      </c>
      <c r="P357">
        <v>0</v>
      </c>
      <c r="Q357">
        <v>5</v>
      </c>
      <c r="R357" t="s">
        <v>146</v>
      </c>
      <c r="S357">
        <v>23</v>
      </c>
      <c r="T357">
        <v>1</v>
      </c>
      <c r="U357" t="s">
        <v>33</v>
      </c>
      <c r="V357" t="s">
        <v>121</v>
      </c>
    </row>
    <row r="358" spans="1:22" x14ac:dyDescent="0.25">
      <c r="A358" t="s">
        <v>109</v>
      </c>
      <c r="B358" s="3">
        <v>45986</v>
      </c>
      <c r="C358" t="s">
        <v>30</v>
      </c>
      <c r="D358">
        <v>26</v>
      </c>
      <c r="E358" t="s">
        <v>32</v>
      </c>
      <c r="F358" t="s">
        <v>36</v>
      </c>
      <c r="G358">
        <v>1</v>
      </c>
      <c r="H358">
        <v>0</v>
      </c>
      <c r="I358">
        <v>1</v>
      </c>
      <c r="J358">
        <v>23</v>
      </c>
      <c r="K358">
        <v>13</v>
      </c>
      <c r="N358">
        <v>0</v>
      </c>
      <c r="O358">
        <v>5</v>
      </c>
      <c r="P358">
        <v>0</v>
      </c>
      <c r="Q358">
        <v>6</v>
      </c>
      <c r="R358" t="s">
        <v>117</v>
      </c>
      <c r="S358">
        <v>13</v>
      </c>
      <c r="T358">
        <v>1</v>
      </c>
      <c r="U358" t="s">
        <v>35</v>
      </c>
      <c r="V358" t="s">
        <v>121</v>
      </c>
    </row>
    <row r="359" spans="1:22" x14ac:dyDescent="0.25">
      <c r="A359" t="s">
        <v>109</v>
      </c>
      <c r="B359" s="3">
        <v>45986</v>
      </c>
      <c r="C359" t="s">
        <v>30</v>
      </c>
      <c r="D359">
        <v>26</v>
      </c>
      <c r="E359" t="s">
        <v>38</v>
      </c>
      <c r="F359" t="s">
        <v>42</v>
      </c>
      <c r="G359">
        <v>0</v>
      </c>
      <c r="H359">
        <v>2</v>
      </c>
      <c r="I359">
        <v>1</v>
      </c>
      <c r="J359">
        <v>13</v>
      </c>
      <c r="K359">
        <v>34</v>
      </c>
      <c r="L359">
        <v>0.62</v>
      </c>
      <c r="M359">
        <v>3.9</v>
      </c>
      <c r="N359">
        <v>1</v>
      </c>
      <c r="O359">
        <v>4</v>
      </c>
      <c r="P359">
        <v>0</v>
      </c>
      <c r="Q359">
        <v>7</v>
      </c>
      <c r="R359" t="s">
        <v>104</v>
      </c>
      <c r="S359">
        <v>33</v>
      </c>
      <c r="T359">
        <v>0</v>
      </c>
      <c r="U359" t="s">
        <v>33</v>
      </c>
      <c r="V359" t="s">
        <v>121</v>
      </c>
    </row>
    <row r="360" spans="1:22" x14ac:dyDescent="0.25">
      <c r="A360" t="s">
        <v>109</v>
      </c>
      <c r="B360" s="3">
        <v>45987</v>
      </c>
      <c r="C360" t="s">
        <v>30</v>
      </c>
      <c r="D360">
        <v>26</v>
      </c>
      <c r="E360" t="s">
        <v>39</v>
      </c>
      <c r="F360" t="s">
        <v>45</v>
      </c>
      <c r="G360">
        <v>1</v>
      </c>
      <c r="H360">
        <v>7</v>
      </c>
      <c r="I360">
        <v>0</v>
      </c>
      <c r="J360">
        <v>32</v>
      </c>
      <c r="K360">
        <v>26</v>
      </c>
      <c r="N360">
        <v>0</v>
      </c>
      <c r="O360">
        <v>0</v>
      </c>
      <c r="P360">
        <v>0</v>
      </c>
      <c r="Q360">
        <v>2</v>
      </c>
      <c r="R360" t="s">
        <v>106</v>
      </c>
      <c r="S360">
        <v>25</v>
      </c>
      <c r="T360">
        <v>0</v>
      </c>
      <c r="U360" t="s">
        <v>33</v>
      </c>
      <c r="V360" t="s">
        <v>121</v>
      </c>
    </row>
    <row r="361" spans="1:22" x14ac:dyDescent="0.25">
      <c r="A361" t="s">
        <v>109</v>
      </c>
      <c r="B361" s="3">
        <v>45987</v>
      </c>
      <c r="C361" t="s">
        <v>30</v>
      </c>
      <c r="D361">
        <v>26</v>
      </c>
      <c r="E361" t="s">
        <v>45</v>
      </c>
      <c r="F361" t="s">
        <v>39</v>
      </c>
      <c r="G361">
        <v>0</v>
      </c>
      <c r="H361">
        <v>0</v>
      </c>
      <c r="I361">
        <v>7</v>
      </c>
      <c r="J361">
        <v>26</v>
      </c>
      <c r="K361">
        <v>32</v>
      </c>
      <c r="N361">
        <v>0</v>
      </c>
      <c r="O361">
        <v>2</v>
      </c>
      <c r="P361">
        <v>0</v>
      </c>
      <c r="Q361">
        <v>0</v>
      </c>
      <c r="R361" t="s">
        <v>148</v>
      </c>
      <c r="S361">
        <v>29</v>
      </c>
      <c r="T361">
        <v>0</v>
      </c>
      <c r="U361" t="s">
        <v>35</v>
      </c>
      <c r="V361" t="s">
        <v>121</v>
      </c>
    </row>
    <row r="362" spans="1:22" x14ac:dyDescent="0.25">
      <c r="A362" t="s">
        <v>109</v>
      </c>
      <c r="B362" s="3">
        <v>45989</v>
      </c>
      <c r="C362" t="s">
        <v>30</v>
      </c>
      <c r="D362">
        <v>27</v>
      </c>
      <c r="E362" t="s">
        <v>31</v>
      </c>
      <c r="F362" t="s">
        <v>32</v>
      </c>
      <c r="G362">
        <v>1</v>
      </c>
      <c r="H362">
        <v>3</v>
      </c>
      <c r="I362">
        <v>1</v>
      </c>
      <c r="J362">
        <v>33</v>
      </c>
      <c r="K362">
        <v>21</v>
      </c>
      <c r="L362">
        <v>4.1900000000000004</v>
      </c>
      <c r="M362">
        <v>1.83</v>
      </c>
      <c r="N362">
        <v>1</v>
      </c>
      <c r="O362" s="5">
        <v>4</v>
      </c>
      <c r="P362">
        <v>0</v>
      </c>
      <c r="Q362" s="5">
        <v>2</v>
      </c>
      <c r="R362" t="s">
        <v>34</v>
      </c>
      <c r="S362" s="4">
        <v>20</v>
      </c>
      <c r="T362">
        <v>0</v>
      </c>
      <c r="U362" t="s">
        <v>33</v>
      </c>
      <c r="V362" t="s">
        <v>121</v>
      </c>
    </row>
    <row r="363" spans="1:22" x14ac:dyDescent="0.25">
      <c r="A363" t="s">
        <v>109</v>
      </c>
      <c r="B363" s="3">
        <v>45989</v>
      </c>
      <c r="C363" t="s">
        <v>30</v>
      </c>
      <c r="D363">
        <v>27</v>
      </c>
      <c r="E363" t="s">
        <v>41</v>
      </c>
      <c r="F363" t="s">
        <v>38</v>
      </c>
      <c r="G363">
        <v>1</v>
      </c>
      <c r="H363">
        <v>5</v>
      </c>
      <c r="I363">
        <v>2</v>
      </c>
      <c r="J363">
        <v>33</v>
      </c>
      <c r="K363">
        <v>34</v>
      </c>
      <c r="L363">
        <v>3.57</v>
      </c>
      <c r="M363">
        <v>2.7</v>
      </c>
      <c r="N363">
        <v>1</v>
      </c>
      <c r="O363" s="5">
        <v>3</v>
      </c>
      <c r="P363">
        <v>1</v>
      </c>
      <c r="Q363" s="5">
        <v>4</v>
      </c>
      <c r="R363" t="s">
        <v>108</v>
      </c>
      <c r="S363" s="4">
        <v>32</v>
      </c>
      <c r="T363">
        <v>0</v>
      </c>
      <c r="U363" t="s">
        <v>33</v>
      </c>
      <c r="V363" t="s">
        <v>121</v>
      </c>
    </row>
    <row r="364" spans="1:22" x14ac:dyDescent="0.25">
      <c r="A364" t="s">
        <v>109</v>
      </c>
      <c r="B364" s="3">
        <v>45989</v>
      </c>
      <c r="C364" t="s">
        <v>30</v>
      </c>
      <c r="D364">
        <v>27</v>
      </c>
      <c r="E364" t="s">
        <v>46</v>
      </c>
      <c r="F364" t="s">
        <v>136</v>
      </c>
      <c r="G364">
        <v>0</v>
      </c>
      <c r="H364">
        <v>1</v>
      </c>
      <c r="I364">
        <v>3</v>
      </c>
      <c r="J364">
        <v>34</v>
      </c>
      <c r="K364">
        <v>28</v>
      </c>
      <c r="L364">
        <v>2.64</v>
      </c>
      <c r="M364">
        <v>2.77</v>
      </c>
      <c r="N364">
        <v>1</v>
      </c>
      <c r="O364" s="5">
        <v>4</v>
      </c>
      <c r="P364">
        <v>0</v>
      </c>
      <c r="Q364" s="5">
        <v>4</v>
      </c>
      <c r="R364" t="s">
        <v>140</v>
      </c>
      <c r="S364" s="4">
        <v>25</v>
      </c>
      <c r="T364">
        <v>0</v>
      </c>
      <c r="U364" t="s">
        <v>35</v>
      </c>
      <c r="V364" t="s">
        <v>121</v>
      </c>
    </row>
    <row r="365" spans="1:22" x14ac:dyDescent="0.25">
      <c r="A365" t="s">
        <v>109</v>
      </c>
      <c r="B365" s="3">
        <v>45989</v>
      </c>
      <c r="C365" t="s">
        <v>30</v>
      </c>
      <c r="D365">
        <v>27</v>
      </c>
      <c r="E365" t="s">
        <v>42</v>
      </c>
      <c r="F365" t="s">
        <v>43</v>
      </c>
      <c r="G365">
        <v>0</v>
      </c>
      <c r="H365">
        <v>2</v>
      </c>
      <c r="I365">
        <v>6</v>
      </c>
      <c r="J365">
        <v>31</v>
      </c>
      <c r="K365">
        <v>28</v>
      </c>
      <c r="L365">
        <v>2.4</v>
      </c>
      <c r="M365">
        <v>3.95</v>
      </c>
      <c r="N365">
        <v>0</v>
      </c>
      <c r="O365">
        <v>2</v>
      </c>
      <c r="P365">
        <v>1</v>
      </c>
      <c r="Q365">
        <v>5</v>
      </c>
      <c r="R365" t="s">
        <v>144</v>
      </c>
      <c r="S365">
        <v>22</v>
      </c>
      <c r="T365">
        <v>0</v>
      </c>
      <c r="U365" t="s">
        <v>35</v>
      </c>
      <c r="V365" t="s">
        <v>121</v>
      </c>
    </row>
    <row r="366" spans="1:22" x14ac:dyDescent="0.25">
      <c r="A366" t="s">
        <v>109</v>
      </c>
      <c r="B366" s="3">
        <v>45989</v>
      </c>
      <c r="C366" t="s">
        <v>30</v>
      </c>
      <c r="D366">
        <v>27</v>
      </c>
      <c r="E366" t="s">
        <v>136</v>
      </c>
      <c r="F366" t="s">
        <v>46</v>
      </c>
      <c r="G366">
        <v>1</v>
      </c>
      <c r="H366">
        <v>3</v>
      </c>
      <c r="I366">
        <v>1</v>
      </c>
      <c r="J366">
        <v>28</v>
      </c>
      <c r="K366">
        <v>34</v>
      </c>
      <c r="L366">
        <v>2.77</v>
      </c>
      <c r="M366">
        <v>2.64</v>
      </c>
      <c r="N366">
        <v>0</v>
      </c>
      <c r="O366" s="5">
        <v>4</v>
      </c>
      <c r="P366">
        <v>1</v>
      </c>
      <c r="Q366" s="5">
        <v>4</v>
      </c>
      <c r="R366" t="s">
        <v>102</v>
      </c>
      <c r="S366" s="4">
        <v>33</v>
      </c>
      <c r="T366">
        <v>0</v>
      </c>
      <c r="U366" t="s">
        <v>33</v>
      </c>
      <c r="V366" t="s">
        <v>121</v>
      </c>
    </row>
    <row r="367" spans="1:22" x14ac:dyDescent="0.25">
      <c r="A367" t="s">
        <v>109</v>
      </c>
      <c r="B367" s="3">
        <v>45989</v>
      </c>
      <c r="C367" t="s">
        <v>30</v>
      </c>
      <c r="D367">
        <v>27</v>
      </c>
      <c r="E367" t="s">
        <v>40</v>
      </c>
      <c r="F367" t="s">
        <v>36</v>
      </c>
      <c r="G367">
        <v>1</v>
      </c>
      <c r="H367">
        <v>5</v>
      </c>
      <c r="I367">
        <v>0</v>
      </c>
      <c r="J367">
        <v>22</v>
      </c>
      <c r="K367">
        <v>38</v>
      </c>
      <c r="N367">
        <v>1</v>
      </c>
      <c r="O367">
        <v>2</v>
      </c>
      <c r="P367">
        <v>0</v>
      </c>
      <c r="Q367">
        <v>4</v>
      </c>
      <c r="R367" t="s">
        <v>107</v>
      </c>
      <c r="S367">
        <v>38</v>
      </c>
      <c r="T367">
        <v>0</v>
      </c>
      <c r="U367" t="s">
        <v>33</v>
      </c>
      <c r="V367" t="s">
        <v>121</v>
      </c>
    </row>
    <row r="368" spans="1:22" x14ac:dyDescent="0.25">
      <c r="A368" t="s">
        <v>109</v>
      </c>
      <c r="B368" s="3">
        <v>45989</v>
      </c>
      <c r="C368" t="s">
        <v>30</v>
      </c>
      <c r="D368">
        <v>27</v>
      </c>
      <c r="E368" t="s">
        <v>44</v>
      </c>
      <c r="F368" t="s">
        <v>45</v>
      </c>
      <c r="G368">
        <v>1</v>
      </c>
      <c r="H368">
        <v>4</v>
      </c>
      <c r="I368">
        <v>1</v>
      </c>
      <c r="J368">
        <v>29</v>
      </c>
      <c r="K368">
        <v>27</v>
      </c>
      <c r="N368">
        <v>1</v>
      </c>
      <c r="O368">
        <v>5</v>
      </c>
      <c r="P368">
        <v>0</v>
      </c>
      <c r="Q368">
        <v>4</v>
      </c>
      <c r="R368" t="s">
        <v>150</v>
      </c>
      <c r="S368">
        <v>25</v>
      </c>
      <c r="T368">
        <v>0</v>
      </c>
      <c r="U368" t="s">
        <v>33</v>
      </c>
      <c r="V368" t="s">
        <v>121</v>
      </c>
    </row>
    <row r="369" spans="1:22" x14ac:dyDescent="0.25">
      <c r="A369" t="s">
        <v>109</v>
      </c>
      <c r="B369" s="3">
        <v>45989</v>
      </c>
      <c r="C369" t="s">
        <v>30</v>
      </c>
      <c r="D369">
        <v>27</v>
      </c>
      <c r="E369" t="s">
        <v>137</v>
      </c>
      <c r="F369" t="s">
        <v>39</v>
      </c>
      <c r="G369">
        <v>0</v>
      </c>
      <c r="H369">
        <v>1</v>
      </c>
      <c r="I369">
        <v>2</v>
      </c>
      <c r="J369">
        <v>19</v>
      </c>
      <c r="K369">
        <v>24</v>
      </c>
      <c r="N369">
        <v>0</v>
      </c>
      <c r="O369">
        <v>6</v>
      </c>
      <c r="P369">
        <v>0</v>
      </c>
      <c r="Q369">
        <v>6</v>
      </c>
      <c r="R369" t="s">
        <v>115</v>
      </c>
      <c r="S369">
        <v>22</v>
      </c>
      <c r="T369">
        <v>1</v>
      </c>
      <c r="U369" t="s">
        <v>35</v>
      </c>
      <c r="V369" t="s">
        <v>121</v>
      </c>
    </row>
    <row r="370" spans="1:22" x14ac:dyDescent="0.25">
      <c r="A370" t="s">
        <v>109</v>
      </c>
      <c r="B370" s="3">
        <v>45989</v>
      </c>
      <c r="C370" t="s">
        <v>30</v>
      </c>
      <c r="D370">
        <v>27</v>
      </c>
      <c r="E370" t="s">
        <v>43</v>
      </c>
      <c r="F370" t="s">
        <v>42</v>
      </c>
      <c r="G370">
        <v>1</v>
      </c>
      <c r="H370">
        <v>6</v>
      </c>
      <c r="I370">
        <v>2</v>
      </c>
      <c r="J370">
        <v>28</v>
      </c>
      <c r="K370">
        <v>31</v>
      </c>
      <c r="L370">
        <v>3.95</v>
      </c>
      <c r="M370">
        <v>2.4</v>
      </c>
      <c r="N370">
        <v>1</v>
      </c>
      <c r="O370">
        <v>5</v>
      </c>
      <c r="P370">
        <v>0</v>
      </c>
      <c r="Q370">
        <v>2</v>
      </c>
      <c r="R370" t="s">
        <v>149</v>
      </c>
      <c r="S370">
        <v>29</v>
      </c>
      <c r="T370">
        <v>0</v>
      </c>
      <c r="U370" t="s">
        <v>33</v>
      </c>
      <c r="V370" t="s">
        <v>121</v>
      </c>
    </row>
    <row r="371" spans="1:22" x14ac:dyDescent="0.25">
      <c r="A371" t="s">
        <v>109</v>
      </c>
      <c r="B371" s="3">
        <v>45989</v>
      </c>
      <c r="C371" t="s">
        <v>30</v>
      </c>
      <c r="D371">
        <v>27</v>
      </c>
      <c r="E371" t="s">
        <v>36</v>
      </c>
      <c r="F371" t="s">
        <v>40</v>
      </c>
      <c r="G371">
        <v>0</v>
      </c>
      <c r="H371">
        <v>0</v>
      </c>
      <c r="I371">
        <v>5</v>
      </c>
      <c r="J371">
        <v>38</v>
      </c>
      <c r="K371">
        <v>22</v>
      </c>
      <c r="N371">
        <v>0</v>
      </c>
      <c r="O371">
        <v>4</v>
      </c>
      <c r="P371">
        <v>1</v>
      </c>
      <c r="Q371">
        <v>2</v>
      </c>
      <c r="R371" t="s">
        <v>146</v>
      </c>
      <c r="S371">
        <v>17</v>
      </c>
      <c r="T371">
        <v>0</v>
      </c>
      <c r="U371" t="s">
        <v>35</v>
      </c>
      <c r="V371" t="s">
        <v>121</v>
      </c>
    </row>
    <row r="372" spans="1:22" x14ac:dyDescent="0.25">
      <c r="A372" t="s">
        <v>109</v>
      </c>
      <c r="B372" s="3">
        <v>45989</v>
      </c>
      <c r="C372" t="s">
        <v>30</v>
      </c>
      <c r="D372">
        <v>27</v>
      </c>
      <c r="E372" t="s">
        <v>32</v>
      </c>
      <c r="F372" t="s">
        <v>31</v>
      </c>
      <c r="G372">
        <v>0</v>
      </c>
      <c r="H372">
        <v>1</v>
      </c>
      <c r="I372">
        <v>3</v>
      </c>
      <c r="J372">
        <v>21</v>
      </c>
      <c r="K372">
        <v>33</v>
      </c>
      <c r="L372">
        <v>1.83</v>
      </c>
      <c r="M372">
        <v>4.1900000000000004</v>
      </c>
      <c r="N372">
        <v>0</v>
      </c>
      <c r="O372">
        <v>2</v>
      </c>
      <c r="P372">
        <v>1</v>
      </c>
      <c r="Q372">
        <v>4</v>
      </c>
      <c r="R372" t="s">
        <v>117</v>
      </c>
      <c r="S372">
        <v>30</v>
      </c>
      <c r="T372">
        <v>0</v>
      </c>
      <c r="U372" t="s">
        <v>35</v>
      </c>
      <c r="V372" t="s">
        <v>121</v>
      </c>
    </row>
    <row r="373" spans="1:22" x14ac:dyDescent="0.25">
      <c r="A373" t="s">
        <v>109</v>
      </c>
      <c r="B373" s="3">
        <v>45989</v>
      </c>
      <c r="C373" t="s">
        <v>30</v>
      </c>
      <c r="D373">
        <v>27</v>
      </c>
      <c r="E373" t="s">
        <v>38</v>
      </c>
      <c r="F373" t="s">
        <v>41</v>
      </c>
      <c r="G373">
        <v>0</v>
      </c>
      <c r="H373">
        <v>2</v>
      </c>
      <c r="I373">
        <v>5</v>
      </c>
      <c r="J373">
        <v>34</v>
      </c>
      <c r="K373">
        <v>33</v>
      </c>
      <c r="L373">
        <v>2.7</v>
      </c>
      <c r="M373">
        <v>3.57</v>
      </c>
      <c r="N373">
        <v>1</v>
      </c>
      <c r="O373">
        <v>4</v>
      </c>
      <c r="P373">
        <v>1</v>
      </c>
      <c r="Q373">
        <v>3</v>
      </c>
      <c r="R373" t="s">
        <v>104</v>
      </c>
      <c r="S373">
        <v>28</v>
      </c>
      <c r="T373">
        <v>0</v>
      </c>
      <c r="U373" t="s">
        <v>35</v>
      </c>
      <c r="V373" t="s">
        <v>121</v>
      </c>
    </row>
    <row r="374" spans="1:22" x14ac:dyDescent="0.25">
      <c r="A374" t="s">
        <v>109</v>
      </c>
      <c r="B374" s="3">
        <v>45989</v>
      </c>
      <c r="C374" t="s">
        <v>30</v>
      </c>
      <c r="D374">
        <v>27</v>
      </c>
      <c r="E374" t="s">
        <v>39</v>
      </c>
      <c r="F374" t="s">
        <v>137</v>
      </c>
      <c r="G374">
        <v>1</v>
      </c>
      <c r="H374">
        <v>2</v>
      </c>
      <c r="I374">
        <v>1</v>
      </c>
      <c r="J374">
        <v>24</v>
      </c>
      <c r="K374">
        <v>19</v>
      </c>
      <c r="N374">
        <v>0</v>
      </c>
      <c r="O374">
        <v>6</v>
      </c>
      <c r="P374">
        <v>0</v>
      </c>
      <c r="Q374">
        <v>6</v>
      </c>
      <c r="R374" t="s">
        <v>105</v>
      </c>
      <c r="S374">
        <v>18</v>
      </c>
      <c r="T374">
        <v>1</v>
      </c>
      <c r="U374" t="s">
        <v>33</v>
      </c>
      <c r="V374" t="s">
        <v>121</v>
      </c>
    </row>
    <row r="375" spans="1:22" x14ac:dyDescent="0.25">
      <c r="A375" t="s">
        <v>109</v>
      </c>
      <c r="B375" s="3">
        <v>45989</v>
      </c>
      <c r="C375" t="s">
        <v>30</v>
      </c>
      <c r="D375">
        <v>27</v>
      </c>
      <c r="E375" t="s">
        <v>45</v>
      </c>
      <c r="F375" t="s">
        <v>44</v>
      </c>
      <c r="G375">
        <v>0</v>
      </c>
      <c r="H375">
        <v>1</v>
      </c>
      <c r="I375">
        <v>4</v>
      </c>
      <c r="J375">
        <v>27</v>
      </c>
      <c r="K375">
        <v>29</v>
      </c>
      <c r="N375">
        <v>0</v>
      </c>
      <c r="O375">
        <v>4</v>
      </c>
      <c r="P375">
        <v>1</v>
      </c>
      <c r="Q375">
        <v>5</v>
      </c>
      <c r="R375" t="s">
        <v>148</v>
      </c>
      <c r="S375">
        <v>25</v>
      </c>
      <c r="T375">
        <v>0</v>
      </c>
      <c r="U375" t="s">
        <v>35</v>
      </c>
      <c r="V375" t="s">
        <v>121</v>
      </c>
    </row>
    <row r="376" spans="1:22" x14ac:dyDescent="0.25">
      <c r="A376" t="s">
        <v>109</v>
      </c>
      <c r="B376" s="3">
        <v>45991</v>
      </c>
      <c r="C376" t="s">
        <v>30</v>
      </c>
      <c r="D376">
        <v>28</v>
      </c>
      <c r="E376" t="s">
        <v>31</v>
      </c>
      <c r="F376" t="s">
        <v>137</v>
      </c>
      <c r="G376">
        <v>0</v>
      </c>
      <c r="H376">
        <v>2</v>
      </c>
      <c r="I376">
        <v>4</v>
      </c>
      <c r="J376">
        <v>40</v>
      </c>
      <c r="K376">
        <v>20</v>
      </c>
      <c r="L376">
        <v>3.8</v>
      </c>
      <c r="M376">
        <v>2.41</v>
      </c>
      <c r="N376">
        <v>0</v>
      </c>
      <c r="O376" s="5">
        <v>5</v>
      </c>
      <c r="P376">
        <v>0</v>
      </c>
      <c r="Q376" s="5">
        <v>3</v>
      </c>
      <c r="R376" t="s">
        <v>47</v>
      </c>
      <c r="S376" s="4">
        <v>16</v>
      </c>
      <c r="T376">
        <v>0</v>
      </c>
      <c r="U376" t="s">
        <v>35</v>
      </c>
      <c r="V376" t="s">
        <v>121</v>
      </c>
    </row>
    <row r="377" spans="1:22" x14ac:dyDescent="0.25">
      <c r="A377" t="s">
        <v>109</v>
      </c>
      <c r="B377" s="3">
        <v>45991</v>
      </c>
      <c r="C377" t="s">
        <v>30</v>
      </c>
      <c r="D377">
        <v>28</v>
      </c>
      <c r="E377" t="s">
        <v>41</v>
      </c>
      <c r="F377" t="s">
        <v>46</v>
      </c>
      <c r="G377">
        <v>1</v>
      </c>
      <c r="H377">
        <v>1</v>
      </c>
      <c r="I377">
        <v>2</v>
      </c>
      <c r="J377">
        <v>35</v>
      </c>
      <c r="K377">
        <v>28</v>
      </c>
      <c r="L377">
        <v>3.12</v>
      </c>
      <c r="M377">
        <v>2.7</v>
      </c>
      <c r="N377">
        <v>1</v>
      </c>
      <c r="O377" s="5">
        <v>6</v>
      </c>
      <c r="P377">
        <v>2</v>
      </c>
      <c r="Q377" s="5">
        <v>4</v>
      </c>
      <c r="R377" t="s">
        <v>108</v>
      </c>
      <c r="S377" s="4">
        <v>26</v>
      </c>
      <c r="T377">
        <v>0</v>
      </c>
      <c r="U377" t="s">
        <v>35</v>
      </c>
      <c r="V377" t="s">
        <v>121</v>
      </c>
    </row>
    <row r="378" spans="1:22" x14ac:dyDescent="0.25">
      <c r="A378" t="s">
        <v>109</v>
      </c>
      <c r="B378" s="3">
        <v>45991</v>
      </c>
      <c r="C378" t="s">
        <v>30</v>
      </c>
      <c r="D378">
        <v>28</v>
      </c>
      <c r="E378" t="s">
        <v>46</v>
      </c>
      <c r="F378" t="s">
        <v>41</v>
      </c>
      <c r="G378">
        <v>0</v>
      </c>
      <c r="H378">
        <v>2</v>
      </c>
      <c r="I378">
        <v>1</v>
      </c>
      <c r="J378">
        <v>28</v>
      </c>
      <c r="K378">
        <v>35</v>
      </c>
      <c r="L378">
        <v>2.7</v>
      </c>
      <c r="M378">
        <v>3.12</v>
      </c>
      <c r="N378">
        <v>2</v>
      </c>
      <c r="O378" s="5">
        <v>4</v>
      </c>
      <c r="P378">
        <v>1</v>
      </c>
      <c r="Q378" s="5">
        <v>6</v>
      </c>
      <c r="R378" t="s">
        <v>141</v>
      </c>
      <c r="S378" s="4">
        <v>34</v>
      </c>
      <c r="T378">
        <v>0</v>
      </c>
      <c r="U378" t="s">
        <v>33</v>
      </c>
      <c r="V378" t="s">
        <v>121</v>
      </c>
    </row>
    <row r="379" spans="1:22" x14ac:dyDescent="0.25">
      <c r="A379" t="s">
        <v>109</v>
      </c>
      <c r="B379" s="3">
        <v>45991</v>
      </c>
      <c r="C379" t="s">
        <v>30</v>
      </c>
      <c r="D379">
        <v>28</v>
      </c>
      <c r="E379" t="s">
        <v>42</v>
      </c>
      <c r="F379" t="s">
        <v>36</v>
      </c>
      <c r="G379">
        <v>0</v>
      </c>
      <c r="H379">
        <v>4</v>
      </c>
      <c r="I379">
        <v>3</v>
      </c>
      <c r="J379">
        <v>44</v>
      </c>
      <c r="K379">
        <v>35</v>
      </c>
      <c r="L379">
        <v>3.7</v>
      </c>
      <c r="M379">
        <v>2.2999999999999998</v>
      </c>
      <c r="N379">
        <v>0</v>
      </c>
      <c r="O379">
        <v>3</v>
      </c>
      <c r="P379">
        <v>0</v>
      </c>
      <c r="Q379">
        <v>3</v>
      </c>
      <c r="R379" t="s">
        <v>159</v>
      </c>
      <c r="S379">
        <v>32</v>
      </c>
      <c r="T379">
        <v>0</v>
      </c>
      <c r="U379" t="s">
        <v>33</v>
      </c>
      <c r="V379" t="s">
        <v>121</v>
      </c>
    </row>
    <row r="380" spans="1:22" x14ac:dyDescent="0.25">
      <c r="A380" t="s">
        <v>109</v>
      </c>
      <c r="B380" s="3">
        <v>45991</v>
      </c>
      <c r="C380" t="s">
        <v>30</v>
      </c>
      <c r="D380">
        <v>28</v>
      </c>
      <c r="E380" t="s">
        <v>136</v>
      </c>
      <c r="F380" t="s">
        <v>32</v>
      </c>
      <c r="G380">
        <v>0</v>
      </c>
      <c r="H380">
        <v>2</v>
      </c>
      <c r="I380">
        <v>4</v>
      </c>
      <c r="J380">
        <v>17</v>
      </c>
      <c r="K380">
        <v>30</v>
      </c>
      <c r="N380">
        <v>0</v>
      </c>
      <c r="O380">
        <v>2</v>
      </c>
      <c r="P380">
        <v>0</v>
      </c>
      <c r="Q380">
        <v>2</v>
      </c>
      <c r="R380" t="s">
        <v>102</v>
      </c>
      <c r="S380">
        <v>26</v>
      </c>
      <c r="T380">
        <v>0</v>
      </c>
      <c r="U380" t="s">
        <v>35</v>
      </c>
      <c r="V380" t="s">
        <v>121</v>
      </c>
    </row>
    <row r="381" spans="1:22" x14ac:dyDescent="0.25">
      <c r="A381" t="s">
        <v>109</v>
      </c>
      <c r="B381" s="3">
        <v>45991</v>
      </c>
      <c r="C381" t="s">
        <v>30</v>
      </c>
      <c r="D381">
        <v>28</v>
      </c>
      <c r="E381" t="s">
        <v>40</v>
      </c>
      <c r="F381" t="s">
        <v>45</v>
      </c>
      <c r="G381">
        <v>0</v>
      </c>
      <c r="H381">
        <v>3</v>
      </c>
      <c r="I381">
        <v>0</v>
      </c>
      <c r="J381">
        <v>22</v>
      </c>
      <c r="K381">
        <v>39</v>
      </c>
      <c r="N381">
        <v>2</v>
      </c>
      <c r="O381">
        <v>4</v>
      </c>
      <c r="P381">
        <v>0</v>
      </c>
      <c r="Q381">
        <v>7</v>
      </c>
      <c r="R381" t="s">
        <v>107</v>
      </c>
      <c r="S381">
        <v>39</v>
      </c>
      <c r="T381">
        <v>0</v>
      </c>
      <c r="U381" t="s">
        <v>33</v>
      </c>
      <c r="V381" t="s">
        <v>121</v>
      </c>
    </row>
    <row r="382" spans="1:22" x14ac:dyDescent="0.25">
      <c r="A382" t="s">
        <v>109</v>
      </c>
      <c r="B382" s="3">
        <v>45991</v>
      </c>
      <c r="C382" t="s">
        <v>30</v>
      </c>
      <c r="D382">
        <v>28</v>
      </c>
      <c r="E382" t="s">
        <v>44</v>
      </c>
      <c r="F382" t="s">
        <v>43</v>
      </c>
      <c r="G382">
        <v>0</v>
      </c>
      <c r="H382">
        <v>2</v>
      </c>
      <c r="I382">
        <v>1</v>
      </c>
      <c r="J382">
        <v>27</v>
      </c>
      <c r="K382">
        <v>25</v>
      </c>
      <c r="N382">
        <v>1</v>
      </c>
      <c r="O382">
        <v>4</v>
      </c>
      <c r="P382">
        <v>0</v>
      </c>
      <c r="Q382">
        <v>3</v>
      </c>
      <c r="R382" t="s">
        <v>150</v>
      </c>
      <c r="S382">
        <v>24</v>
      </c>
      <c r="T382">
        <v>0</v>
      </c>
      <c r="U382" t="s">
        <v>33</v>
      </c>
      <c r="V382" t="s">
        <v>121</v>
      </c>
    </row>
    <row r="383" spans="1:22" x14ac:dyDescent="0.25">
      <c r="A383" t="s">
        <v>109</v>
      </c>
      <c r="B383" s="3">
        <v>45991</v>
      </c>
      <c r="C383" t="s">
        <v>30</v>
      </c>
      <c r="D383">
        <v>28</v>
      </c>
      <c r="E383" t="s">
        <v>137</v>
      </c>
      <c r="F383" t="s">
        <v>31</v>
      </c>
      <c r="G383">
        <v>1</v>
      </c>
      <c r="H383">
        <v>4</v>
      </c>
      <c r="I383">
        <v>2</v>
      </c>
      <c r="J383">
        <v>20</v>
      </c>
      <c r="K383">
        <v>40</v>
      </c>
      <c r="L383">
        <v>2.41</v>
      </c>
      <c r="M383">
        <v>3.8</v>
      </c>
      <c r="N383">
        <v>0</v>
      </c>
      <c r="O383">
        <v>3</v>
      </c>
      <c r="P383">
        <v>0</v>
      </c>
      <c r="Q383">
        <v>5</v>
      </c>
      <c r="R383" t="s">
        <v>100</v>
      </c>
      <c r="S383">
        <v>38</v>
      </c>
      <c r="T383">
        <v>0</v>
      </c>
      <c r="U383" t="s">
        <v>33</v>
      </c>
      <c r="V383" t="s">
        <v>121</v>
      </c>
    </row>
    <row r="384" spans="1:22" x14ac:dyDescent="0.25">
      <c r="A384" t="s">
        <v>109</v>
      </c>
      <c r="B384" s="3">
        <v>45991</v>
      </c>
      <c r="C384" t="s">
        <v>30</v>
      </c>
      <c r="D384">
        <v>28</v>
      </c>
      <c r="E384" t="s">
        <v>43</v>
      </c>
      <c r="F384" t="s">
        <v>44</v>
      </c>
      <c r="G384">
        <v>1</v>
      </c>
      <c r="H384">
        <v>1</v>
      </c>
      <c r="I384">
        <v>2</v>
      </c>
      <c r="J384">
        <v>25</v>
      </c>
      <c r="K384">
        <v>27</v>
      </c>
      <c r="N384">
        <v>0</v>
      </c>
      <c r="O384">
        <v>3</v>
      </c>
      <c r="P384">
        <v>1</v>
      </c>
      <c r="Q384">
        <v>4</v>
      </c>
      <c r="R384" t="s">
        <v>149</v>
      </c>
      <c r="S384">
        <v>25</v>
      </c>
      <c r="T384">
        <v>0</v>
      </c>
      <c r="U384" t="s">
        <v>35</v>
      </c>
      <c r="V384" t="s">
        <v>121</v>
      </c>
    </row>
    <row r="385" spans="1:22" x14ac:dyDescent="0.25">
      <c r="A385" t="s">
        <v>109</v>
      </c>
      <c r="B385" s="3">
        <v>45991</v>
      </c>
      <c r="C385" t="s">
        <v>30</v>
      </c>
      <c r="D385">
        <v>28</v>
      </c>
      <c r="E385" t="s">
        <v>36</v>
      </c>
      <c r="F385" t="s">
        <v>42</v>
      </c>
      <c r="G385">
        <v>1</v>
      </c>
      <c r="H385">
        <v>3</v>
      </c>
      <c r="I385">
        <v>4</v>
      </c>
      <c r="J385">
        <v>35</v>
      </c>
      <c r="K385">
        <v>44</v>
      </c>
      <c r="L385">
        <v>2.2999999999999998</v>
      </c>
      <c r="M385">
        <v>3.7</v>
      </c>
      <c r="N385">
        <v>0</v>
      </c>
      <c r="O385">
        <v>3</v>
      </c>
      <c r="P385">
        <v>0</v>
      </c>
      <c r="Q385">
        <v>3</v>
      </c>
      <c r="R385" t="s">
        <v>157</v>
      </c>
      <c r="S385">
        <v>40</v>
      </c>
      <c r="T385">
        <v>0</v>
      </c>
      <c r="U385" t="s">
        <v>35</v>
      </c>
      <c r="V385" t="s">
        <v>121</v>
      </c>
    </row>
    <row r="386" spans="1:22" x14ac:dyDescent="0.25">
      <c r="A386" t="s">
        <v>109</v>
      </c>
      <c r="B386" s="3">
        <v>45991</v>
      </c>
      <c r="C386" t="s">
        <v>30</v>
      </c>
      <c r="D386">
        <v>28</v>
      </c>
      <c r="E386" t="s">
        <v>32</v>
      </c>
      <c r="F386" t="s">
        <v>136</v>
      </c>
      <c r="G386">
        <v>1</v>
      </c>
      <c r="H386">
        <v>4</v>
      </c>
      <c r="I386">
        <v>2</v>
      </c>
      <c r="J386">
        <v>30</v>
      </c>
      <c r="K386">
        <v>17</v>
      </c>
      <c r="N386">
        <v>0</v>
      </c>
      <c r="O386">
        <v>2</v>
      </c>
      <c r="P386">
        <v>0</v>
      </c>
      <c r="Q386">
        <v>2</v>
      </c>
      <c r="R386" t="s">
        <v>101</v>
      </c>
      <c r="S386">
        <v>15</v>
      </c>
      <c r="T386">
        <v>0</v>
      </c>
      <c r="U386" t="s">
        <v>33</v>
      </c>
      <c r="V386" t="s">
        <v>121</v>
      </c>
    </row>
    <row r="387" spans="1:22" x14ac:dyDescent="0.25">
      <c r="A387" t="s">
        <v>109</v>
      </c>
      <c r="B387" s="3">
        <v>45991</v>
      </c>
      <c r="C387" t="s">
        <v>30</v>
      </c>
      <c r="D387">
        <v>28</v>
      </c>
      <c r="E387" t="s">
        <v>38</v>
      </c>
      <c r="F387" t="s">
        <v>39</v>
      </c>
      <c r="G387">
        <v>1</v>
      </c>
      <c r="H387">
        <v>1</v>
      </c>
      <c r="I387">
        <v>0</v>
      </c>
      <c r="J387">
        <v>25</v>
      </c>
      <c r="K387">
        <v>23</v>
      </c>
      <c r="N387">
        <v>0</v>
      </c>
      <c r="O387">
        <v>5</v>
      </c>
      <c r="P387">
        <v>0</v>
      </c>
      <c r="Q387">
        <v>2</v>
      </c>
      <c r="R387" t="s">
        <v>104</v>
      </c>
      <c r="S387">
        <v>22</v>
      </c>
      <c r="T387">
        <v>0</v>
      </c>
      <c r="U387" t="s">
        <v>33</v>
      </c>
      <c r="V387" t="s">
        <v>121</v>
      </c>
    </row>
    <row r="388" spans="1:22" x14ac:dyDescent="0.25">
      <c r="A388" t="s">
        <v>109</v>
      </c>
      <c r="B388" s="3">
        <v>45991</v>
      </c>
      <c r="C388" t="s">
        <v>30</v>
      </c>
      <c r="D388">
        <v>28</v>
      </c>
      <c r="E388" t="s">
        <v>39</v>
      </c>
      <c r="F388" t="s">
        <v>38</v>
      </c>
      <c r="G388">
        <v>0</v>
      </c>
      <c r="H388">
        <v>0</v>
      </c>
      <c r="I388">
        <v>1</v>
      </c>
      <c r="J388">
        <v>23</v>
      </c>
      <c r="K388">
        <v>25</v>
      </c>
      <c r="N388">
        <v>0</v>
      </c>
      <c r="O388">
        <v>2</v>
      </c>
      <c r="P388">
        <v>0</v>
      </c>
      <c r="Q388">
        <v>5</v>
      </c>
      <c r="R388" t="s">
        <v>105</v>
      </c>
      <c r="S388">
        <v>24</v>
      </c>
      <c r="T388">
        <v>0</v>
      </c>
      <c r="U388" t="s">
        <v>35</v>
      </c>
      <c r="V388" t="s">
        <v>121</v>
      </c>
    </row>
    <row r="389" spans="1:22" x14ac:dyDescent="0.25">
      <c r="A389" t="s">
        <v>109</v>
      </c>
      <c r="B389" s="3">
        <v>45991</v>
      </c>
      <c r="C389" t="s">
        <v>30</v>
      </c>
      <c r="D389">
        <v>28</v>
      </c>
      <c r="E389" t="s">
        <v>45</v>
      </c>
      <c r="F389" t="s">
        <v>40</v>
      </c>
      <c r="G389">
        <v>1</v>
      </c>
      <c r="H389">
        <v>0</v>
      </c>
      <c r="I389">
        <v>3</v>
      </c>
      <c r="J389">
        <v>39</v>
      </c>
      <c r="K389">
        <v>22</v>
      </c>
      <c r="N389">
        <v>0</v>
      </c>
      <c r="O389">
        <v>7</v>
      </c>
      <c r="P389">
        <v>2</v>
      </c>
      <c r="Q389">
        <v>4</v>
      </c>
      <c r="R389" t="s">
        <v>148</v>
      </c>
      <c r="S389">
        <v>19</v>
      </c>
      <c r="T389">
        <v>0</v>
      </c>
      <c r="U389" t="s">
        <v>35</v>
      </c>
      <c r="V389" t="s">
        <v>121</v>
      </c>
    </row>
    <row r="390" spans="1:22" x14ac:dyDescent="0.25">
      <c r="A390" t="s">
        <v>109</v>
      </c>
      <c r="B390" s="3">
        <v>45994</v>
      </c>
      <c r="C390" t="s">
        <v>30</v>
      </c>
      <c r="D390">
        <v>7</v>
      </c>
      <c r="E390" t="s">
        <v>41</v>
      </c>
      <c r="F390" t="s">
        <v>32</v>
      </c>
      <c r="G390">
        <v>1</v>
      </c>
      <c r="H390">
        <v>6</v>
      </c>
      <c r="I390">
        <v>1</v>
      </c>
      <c r="J390">
        <v>37</v>
      </c>
      <c r="K390">
        <v>23</v>
      </c>
      <c r="L390">
        <v>2.2599999999999998</v>
      </c>
      <c r="M390">
        <v>1.67</v>
      </c>
      <c r="N390">
        <v>1</v>
      </c>
      <c r="O390" s="5">
        <v>4</v>
      </c>
      <c r="P390">
        <v>0</v>
      </c>
      <c r="Q390" s="5">
        <v>2</v>
      </c>
      <c r="R390" t="s">
        <v>108</v>
      </c>
      <c r="S390" s="4">
        <v>22</v>
      </c>
      <c r="T390">
        <v>0</v>
      </c>
      <c r="U390" t="s">
        <v>33</v>
      </c>
      <c r="V390" t="s">
        <v>121</v>
      </c>
    </row>
    <row r="391" spans="1:22" x14ac:dyDescent="0.25">
      <c r="A391" t="s">
        <v>109</v>
      </c>
      <c r="B391" s="3">
        <v>45994</v>
      </c>
      <c r="C391" t="s">
        <v>30</v>
      </c>
      <c r="D391">
        <v>48</v>
      </c>
      <c r="E391" t="s">
        <v>32</v>
      </c>
      <c r="F391" t="s">
        <v>41</v>
      </c>
      <c r="G391">
        <v>0</v>
      </c>
      <c r="H391">
        <v>1</v>
      </c>
      <c r="I391">
        <v>6</v>
      </c>
      <c r="J391">
        <v>23</v>
      </c>
      <c r="K391">
        <v>37</v>
      </c>
      <c r="L391">
        <v>1.67</v>
      </c>
      <c r="M391">
        <v>2.2599999999999998</v>
      </c>
      <c r="N391">
        <v>0</v>
      </c>
      <c r="O391">
        <v>2</v>
      </c>
      <c r="P391">
        <v>1</v>
      </c>
      <c r="Q391">
        <v>4</v>
      </c>
      <c r="R391" t="s">
        <v>101</v>
      </c>
      <c r="S391">
        <v>31</v>
      </c>
      <c r="T391">
        <v>0</v>
      </c>
      <c r="U391" t="s">
        <v>35</v>
      </c>
      <c r="V391" t="s">
        <v>121</v>
      </c>
    </row>
    <row r="392" spans="1:22" x14ac:dyDescent="0.25">
      <c r="A392" t="s">
        <v>109</v>
      </c>
      <c r="B392" s="3">
        <v>45994</v>
      </c>
      <c r="C392" t="s">
        <v>30</v>
      </c>
      <c r="D392">
        <v>47</v>
      </c>
      <c r="E392" t="s">
        <v>38</v>
      </c>
      <c r="F392" t="s">
        <v>45</v>
      </c>
      <c r="G392">
        <v>0</v>
      </c>
      <c r="H392">
        <v>5</v>
      </c>
      <c r="I392">
        <v>1</v>
      </c>
      <c r="J392">
        <v>23</v>
      </c>
      <c r="K392">
        <v>41</v>
      </c>
      <c r="N392">
        <v>1</v>
      </c>
      <c r="O392">
        <v>4</v>
      </c>
      <c r="P392">
        <v>0</v>
      </c>
      <c r="Q392">
        <v>5</v>
      </c>
      <c r="R392" t="s">
        <v>104</v>
      </c>
      <c r="S392">
        <v>40</v>
      </c>
      <c r="T392">
        <v>0</v>
      </c>
      <c r="U392" t="s">
        <v>33</v>
      </c>
      <c r="V392" t="s">
        <v>121</v>
      </c>
    </row>
    <row r="393" spans="1:22" x14ac:dyDescent="0.25">
      <c r="A393" t="s">
        <v>109</v>
      </c>
      <c r="B393" s="3">
        <v>45994</v>
      </c>
      <c r="C393" t="s">
        <v>30</v>
      </c>
      <c r="D393">
        <v>47</v>
      </c>
      <c r="E393" t="s">
        <v>45</v>
      </c>
      <c r="F393" t="s">
        <v>38</v>
      </c>
      <c r="G393">
        <v>1</v>
      </c>
      <c r="H393">
        <v>1</v>
      </c>
      <c r="I393">
        <v>5</v>
      </c>
      <c r="J393">
        <v>41</v>
      </c>
      <c r="K393">
        <v>23</v>
      </c>
      <c r="N393">
        <v>0</v>
      </c>
      <c r="O393">
        <v>5</v>
      </c>
      <c r="P393">
        <v>1</v>
      </c>
      <c r="Q393">
        <v>4</v>
      </c>
      <c r="R393" t="s">
        <v>152</v>
      </c>
      <c r="S393">
        <v>18</v>
      </c>
      <c r="T393">
        <v>0</v>
      </c>
      <c r="U393" t="s">
        <v>35</v>
      </c>
      <c r="V393" t="s">
        <v>121</v>
      </c>
    </row>
    <row r="394" spans="1:22" x14ac:dyDescent="0.25">
      <c r="A394" t="s">
        <v>109</v>
      </c>
      <c r="B394" s="3">
        <v>45996</v>
      </c>
      <c r="C394" t="s">
        <v>30</v>
      </c>
      <c r="D394">
        <v>29</v>
      </c>
      <c r="E394" t="s">
        <v>31</v>
      </c>
      <c r="F394" t="s">
        <v>36</v>
      </c>
      <c r="G394">
        <v>1</v>
      </c>
      <c r="H394">
        <v>5</v>
      </c>
      <c r="I394">
        <v>2</v>
      </c>
      <c r="J394">
        <v>33</v>
      </c>
      <c r="K394">
        <v>17</v>
      </c>
      <c r="L394">
        <v>2.68</v>
      </c>
      <c r="M394">
        <v>1.77</v>
      </c>
      <c r="N394">
        <v>2</v>
      </c>
      <c r="O394" s="4">
        <v>3</v>
      </c>
      <c r="P394">
        <v>1</v>
      </c>
      <c r="Q394" s="4">
        <v>2</v>
      </c>
      <c r="R394" t="s">
        <v>34</v>
      </c>
      <c r="S394" s="4">
        <v>15</v>
      </c>
      <c r="T394">
        <v>0</v>
      </c>
      <c r="U394" t="s">
        <v>33</v>
      </c>
      <c r="V394" t="s">
        <v>121</v>
      </c>
    </row>
    <row r="395" spans="1:22" x14ac:dyDescent="0.25">
      <c r="A395" t="s">
        <v>109</v>
      </c>
      <c r="B395" s="3">
        <v>45996</v>
      </c>
      <c r="C395" t="s">
        <v>30</v>
      </c>
      <c r="D395">
        <v>29</v>
      </c>
      <c r="E395" t="s">
        <v>41</v>
      </c>
      <c r="F395" t="s">
        <v>137</v>
      </c>
      <c r="G395">
        <v>1</v>
      </c>
      <c r="H395">
        <v>3</v>
      </c>
      <c r="I395">
        <v>5</v>
      </c>
      <c r="J395">
        <v>38</v>
      </c>
      <c r="K395">
        <v>34</v>
      </c>
      <c r="L395">
        <v>3.97</v>
      </c>
      <c r="M395">
        <v>2.84</v>
      </c>
      <c r="N395">
        <v>0</v>
      </c>
      <c r="O395" s="5">
        <v>1</v>
      </c>
      <c r="P395">
        <v>1</v>
      </c>
      <c r="Q395" s="5">
        <v>2</v>
      </c>
      <c r="R395" t="s">
        <v>108</v>
      </c>
      <c r="S395" s="4">
        <v>29</v>
      </c>
      <c r="T395">
        <v>0</v>
      </c>
      <c r="U395" t="s">
        <v>35</v>
      </c>
      <c r="V395" t="s">
        <v>121</v>
      </c>
    </row>
    <row r="396" spans="1:22" x14ac:dyDescent="0.25">
      <c r="A396" t="s">
        <v>109</v>
      </c>
      <c r="B396" s="3">
        <v>45996</v>
      </c>
      <c r="C396" t="s">
        <v>30</v>
      </c>
      <c r="D396">
        <v>29</v>
      </c>
      <c r="E396" t="s">
        <v>46</v>
      </c>
      <c r="F396" t="s">
        <v>42</v>
      </c>
      <c r="G396">
        <v>0</v>
      </c>
      <c r="H396">
        <v>1</v>
      </c>
      <c r="I396">
        <v>3</v>
      </c>
      <c r="J396">
        <v>27</v>
      </c>
      <c r="K396">
        <v>29</v>
      </c>
      <c r="L396">
        <v>2.2799999999999998</v>
      </c>
      <c r="M396">
        <v>3.79</v>
      </c>
      <c r="N396">
        <v>0</v>
      </c>
      <c r="O396" s="5">
        <v>0</v>
      </c>
      <c r="P396">
        <v>0</v>
      </c>
      <c r="Q396" s="5">
        <v>5</v>
      </c>
      <c r="R396" t="s">
        <v>141</v>
      </c>
      <c r="S396" s="4">
        <v>26</v>
      </c>
      <c r="T396">
        <v>0</v>
      </c>
      <c r="U396" t="s">
        <v>35</v>
      </c>
      <c r="V396" t="s">
        <v>121</v>
      </c>
    </row>
    <row r="397" spans="1:22" x14ac:dyDescent="0.25">
      <c r="A397" t="s">
        <v>109</v>
      </c>
      <c r="B397" s="3">
        <v>45996</v>
      </c>
      <c r="C397" t="s">
        <v>30</v>
      </c>
      <c r="D397">
        <v>29</v>
      </c>
      <c r="E397" t="s">
        <v>42</v>
      </c>
      <c r="F397" t="s">
        <v>46</v>
      </c>
      <c r="G397">
        <v>1</v>
      </c>
      <c r="H397">
        <v>3</v>
      </c>
      <c r="I397">
        <v>1</v>
      </c>
      <c r="J397">
        <v>29</v>
      </c>
      <c r="K397">
        <v>27</v>
      </c>
      <c r="L397">
        <v>3.79</v>
      </c>
      <c r="M397">
        <v>2.2799999999999998</v>
      </c>
      <c r="N397">
        <v>0</v>
      </c>
      <c r="O397" s="5">
        <v>5</v>
      </c>
      <c r="P397">
        <v>0</v>
      </c>
      <c r="Q397" s="5">
        <v>0</v>
      </c>
      <c r="R397" t="s">
        <v>144</v>
      </c>
      <c r="S397" s="4">
        <v>26</v>
      </c>
      <c r="T397">
        <v>0</v>
      </c>
      <c r="U397" t="s">
        <v>33</v>
      </c>
      <c r="V397" t="s">
        <v>121</v>
      </c>
    </row>
    <row r="398" spans="1:22" x14ac:dyDescent="0.25">
      <c r="A398" t="s">
        <v>109</v>
      </c>
      <c r="B398" s="3">
        <v>45996</v>
      </c>
      <c r="C398" t="s">
        <v>30</v>
      </c>
      <c r="D398">
        <v>29</v>
      </c>
      <c r="E398" t="s">
        <v>136</v>
      </c>
      <c r="F398" t="s">
        <v>39</v>
      </c>
      <c r="G398">
        <v>0</v>
      </c>
      <c r="H398">
        <v>3</v>
      </c>
      <c r="I398">
        <v>2</v>
      </c>
      <c r="J398">
        <v>35</v>
      </c>
      <c r="K398">
        <v>22</v>
      </c>
      <c r="N398">
        <v>0</v>
      </c>
      <c r="O398">
        <v>3</v>
      </c>
      <c r="P398">
        <v>1</v>
      </c>
      <c r="Q398">
        <v>6</v>
      </c>
      <c r="R398" t="s">
        <v>102</v>
      </c>
      <c r="S398">
        <v>32</v>
      </c>
      <c r="T398">
        <v>1</v>
      </c>
      <c r="U398" t="s">
        <v>33</v>
      </c>
      <c r="V398" t="s">
        <v>121</v>
      </c>
    </row>
    <row r="399" spans="1:22" x14ac:dyDescent="0.25">
      <c r="A399" t="s">
        <v>109</v>
      </c>
      <c r="B399" s="3">
        <v>45996</v>
      </c>
      <c r="C399" t="s">
        <v>30</v>
      </c>
      <c r="D399">
        <v>29</v>
      </c>
      <c r="E399" t="s">
        <v>40</v>
      </c>
      <c r="F399" t="s">
        <v>32</v>
      </c>
      <c r="G399">
        <v>1</v>
      </c>
      <c r="H399">
        <v>2</v>
      </c>
      <c r="I399">
        <v>3</v>
      </c>
      <c r="J399">
        <v>33</v>
      </c>
      <c r="K399">
        <v>22</v>
      </c>
      <c r="N399">
        <v>0</v>
      </c>
      <c r="O399">
        <v>6</v>
      </c>
      <c r="P399">
        <v>1</v>
      </c>
      <c r="Q399">
        <v>4</v>
      </c>
      <c r="R399" t="s">
        <v>107</v>
      </c>
      <c r="S399">
        <v>19</v>
      </c>
      <c r="T399">
        <v>1</v>
      </c>
      <c r="U399" t="s">
        <v>35</v>
      </c>
      <c r="V399" t="s">
        <v>121</v>
      </c>
    </row>
    <row r="400" spans="1:22" x14ac:dyDescent="0.25">
      <c r="A400" t="s">
        <v>109</v>
      </c>
      <c r="B400" s="3">
        <v>45996</v>
      </c>
      <c r="C400" t="s">
        <v>30</v>
      </c>
      <c r="D400">
        <v>29</v>
      </c>
      <c r="E400" t="s">
        <v>44</v>
      </c>
      <c r="F400" t="s">
        <v>38</v>
      </c>
      <c r="G400">
        <v>1</v>
      </c>
      <c r="H400">
        <v>4</v>
      </c>
      <c r="I400">
        <v>2</v>
      </c>
      <c r="J400">
        <v>26</v>
      </c>
      <c r="K400">
        <v>19</v>
      </c>
      <c r="N400">
        <v>0</v>
      </c>
      <c r="O400">
        <v>3</v>
      </c>
      <c r="P400">
        <v>1</v>
      </c>
      <c r="Q400">
        <v>4</v>
      </c>
      <c r="R400" t="s">
        <v>150</v>
      </c>
      <c r="S400">
        <v>17</v>
      </c>
      <c r="T400">
        <v>0</v>
      </c>
      <c r="U400" t="s">
        <v>33</v>
      </c>
      <c r="V400" t="s">
        <v>121</v>
      </c>
    </row>
    <row r="401" spans="1:22" x14ac:dyDescent="0.25">
      <c r="A401" t="s">
        <v>109</v>
      </c>
      <c r="B401" s="3">
        <v>45996</v>
      </c>
      <c r="C401" t="s">
        <v>30</v>
      </c>
      <c r="D401">
        <v>29</v>
      </c>
      <c r="E401" t="s">
        <v>137</v>
      </c>
      <c r="F401" t="s">
        <v>41</v>
      </c>
      <c r="G401">
        <v>0</v>
      </c>
      <c r="H401">
        <v>5</v>
      </c>
      <c r="I401">
        <v>3</v>
      </c>
      <c r="J401">
        <v>34</v>
      </c>
      <c r="K401">
        <v>38</v>
      </c>
      <c r="L401">
        <v>2.84</v>
      </c>
      <c r="M401">
        <v>3.97</v>
      </c>
      <c r="N401">
        <v>1</v>
      </c>
      <c r="O401">
        <v>2</v>
      </c>
      <c r="P401">
        <v>0</v>
      </c>
      <c r="Q401">
        <v>1</v>
      </c>
      <c r="R401" t="s">
        <v>100</v>
      </c>
      <c r="S401">
        <v>35</v>
      </c>
      <c r="T401">
        <v>0</v>
      </c>
      <c r="U401" t="s">
        <v>33</v>
      </c>
      <c r="V401" t="s">
        <v>121</v>
      </c>
    </row>
    <row r="402" spans="1:22" x14ac:dyDescent="0.25">
      <c r="A402" t="s">
        <v>109</v>
      </c>
      <c r="B402" s="3">
        <v>45996</v>
      </c>
      <c r="C402" t="s">
        <v>30</v>
      </c>
      <c r="D402">
        <v>29</v>
      </c>
      <c r="E402" t="s">
        <v>43</v>
      </c>
      <c r="F402" t="s">
        <v>45</v>
      </c>
      <c r="G402">
        <v>1</v>
      </c>
      <c r="H402">
        <v>2</v>
      </c>
      <c r="I402">
        <v>5</v>
      </c>
      <c r="J402">
        <v>23</v>
      </c>
      <c r="K402">
        <v>27</v>
      </c>
      <c r="N402">
        <v>0</v>
      </c>
      <c r="O402">
        <v>2</v>
      </c>
      <c r="P402">
        <v>1</v>
      </c>
      <c r="Q402">
        <v>3</v>
      </c>
      <c r="R402" t="s">
        <v>151</v>
      </c>
      <c r="S402">
        <v>22</v>
      </c>
      <c r="T402">
        <v>0</v>
      </c>
      <c r="U402" t="s">
        <v>35</v>
      </c>
      <c r="V402" t="s">
        <v>121</v>
      </c>
    </row>
    <row r="403" spans="1:22" x14ac:dyDescent="0.25">
      <c r="A403" t="s">
        <v>109</v>
      </c>
      <c r="B403" s="3">
        <v>45996</v>
      </c>
      <c r="C403" t="s">
        <v>30</v>
      </c>
      <c r="D403">
        <v>29</v>
      </c>
      <c r="E403" t="s">
        <v>36</v>
      </c>
      <c r="F403" t="s">
        <v>31</v>
      </c>
      <c r="G403">
        <v>0</v>
      </c>
      <c r="H403">
        <v>2</v>
      </c>
      <c r="I403">
        <v>5</v>
      </c>
      <c r="J403">
        <v>17</v>
      </c>
      <c r="K403">
        <v>33</v>
      </c>
      <c r="L403">
        <v>1.77</v>
      </c>
      <c r="M403">
        <v>2.68</v>
      </c>
      <c r="N403">
        <v>1</v>
      </c>
      <c r="O403">
        <v>2</v>
      </c>
      <c r="P403">
        <v>2</v>
      </c>
      <c r="Q403">
        <v>3</v>
      </c>
      <c r="R403" t="s">
        <v>146</v>
      </c>
      <c r="S403">
        <v>28</v>
      </c>
      <c r="T403">
        <v>0</v>
      </c>
      <c r="U403" t="s">
        <v>35</v>
      </c>
      <c r="V403" t="s">
        <v>121</v>
      </c>
    </row>
    <row r="404" spans="1:22" x14ac:dyDescent="0.25">
      <c r="A404" t="s">
        <v>109</v>
      </c>
      <c r="B404" s="3">
        <v>45996</v>
      </c>
      <c r="C404" t="s">
        <v>30</v>
      </c>
      <c r="D404">
        <v>29</v>
      </c>
      <c r="E404" t="s">
        <v>32</v>
      </c>
      <c r="F404" t="s">
        <v>40</v>
      </c>
      <c r="G404">
        <v>0</v>
      </c>
      <c r="H404">
        <v>3</v>
      </c>
      <c r="I404">
        <v>2</v>
      </c>
      <c r="J404">
        <v>22</v>
      </c>
      <c r="K404">
        <v>33</v>
      </c>
      <c r="N404">
        <v>1</v>
      </c>
      <c r="O404">
        <v>4</v>
      </c>
      <c r="P404">
        <v>0</v>
      </c>
      <c r="Q404">
        <v>6</v>
      </c>
      <c r="R404" t="s">
        <v>158</v>
      </c>
      <c r="S404">
        <v>31</v>
      </c>
      <c r="T404">
        <v>1</v>
      </c>
      <c r="U404" t="s">
        <v>33</v>
      </c>
      <c r="V404" t="s">
        <v>121</v>
      </c>
    </row>
    <row r="405" spans="1:22" x14ac:dyDescent="0.25">
      <c r="A405" t="s">
        <v>109</v>
      </c>
      <c r="B405" s="3">
        <v>45996</v>
      </c>
      <c r="C405" t="s">
        <v>30</v>
      </c>
      <c r="D405">
        <v>29</v>
      </c>
      <c r="E405" t="s">
        <v>38</v>
      </c>
      <c r="F405" t="s">
        <v>44</v>
      </c>
      <c r="G405">
        <v>0</v>
      </c>
      <c r="H405">
        <v>2</v>
      </c>
      <c r="I405">
        <v>4</v>
      </c>
      <c r="J405">
        <v>19</v>
      </c>
      <c r="K405">
        <v>26</v>
      </c>
      <c r="N405">
        <v>1</v>
      </c>
      <c r="O405">
        <v>4</v>
      </c>
      <c r="P405">
        <v>0</v>
      </c>
      <c r="Q405">
        <v>3</v>
      </c>
      <c r="R405" t="s">
        <v>118</v>
      </c>
      <c r="S405">
        <v>22</v>
      </c>
      <c r="T405">
        <v>0</v>
      </c>
      <c r="U405" t="s">
        <v>35</v>
      </c>
      <c r="V405" t="s">
        <v>121</v>
      </c>
    </row>
    <row r="406" spans="1:22" x14ac:dyDescent="0.25">
      <c r="A406" t="s">
        <v>109</v>
      </c>
      <c r="B406" s="3">
        <v>45996</v>
      </c>
      <c r="C406" t="s">
        <v>30</v>
      </c>
      <c r="D406">
        <v>29</v>
      </c>
      <c r="E406" t="s">
        <v>39</v>
      </c>
      <c r="F406" t="s">
        <v>136</v>
      </c>
      <c r="G406">
        <v>1</v>
      </c>
      <c r="H406">
        <v>2</v>
      </c>
      <c r="I406">
        <v>3</v>
      </c>
      <c r="J406">
        <v>22</v>
      </c>
      <c r="K406">
        <v>35</v>
      </c>
      <c r="N406">
        <v>1</v>
      </c>
      <c r="O406">
        <v>6</v>
      </c>
      <c r="P406">
        <v>0</v>
      </c>
      <c r="Q406">
        <v>3</v>
      </c>
      <c r="R406" t="s">
        <v>105</v>
      </c>
      <c r="S406">
        <v>20</v>
      </c>
      <c r="T406">
        <v>1</v>
      </c>
      <c r="U406" t="s">
        <v>35</v>
      </c>
      <c r="V406" t="s">
        <v>121</v>
      </c>
    </row>
    <row r="407" spans="1:22" x14ac:dyDescent="0.25">
      <c r="A407" t="s">
        <v>109</v>
      </c>
      <c r="B407" s="3">
        <v>45996</v>
      </c>
      <c r="C407" t="s">
        <v>30</v>
      </c>
      <c r="D407">
        <v>29</v>
      </c>
      <c r="E407" t="s">
        <v>45</v>
      </c>
      <c r="F407" t="s">
        <v>43</v>
      </c>
      <c r="G407">
        <v>0</v>
      </c>
      <c r="H407">
        <v>5</v>
      </c>
      <c r="I407">
        <v>2</v>
      </c>
      <c r="J407">
        <v>27</v>
      </c>
      <c r="K407">
        <v>23</v>
      </c>
      <c r="N407">
        <v>1</v>
      </c>
      <c r="O407">
        <v>3</v>
      </c>
      <c r="P407">
        <v>0</v>
      </c>
      <c r="Q407">
        <v>2</v>
      </c>
      <c r="R407" t="s">
        <v>148</v>
      </c>
      <c r="S407">
        <v>21</v>
      </c>
      <c r="T407">
        <v>0</v>
      </c>
      <c r="U407" t="s">
        <v>33</v>
      </c>
      <c r="V407" t="s">
        <v>121</v>
      </c>
    </row>
    <row r="408" spans="1:22" x14ac:dyDescent="0.25">
      <c r="A408" t="s">
        <v>109</v>
      </c>
      <c r="B408" s="3">
        <v>45998</v>
      </c>
      <c r="C408" t="s">
        <v>30</v>
      </c>
      <c r="D408">
        <v>30</v>
      </c>
      <c r="E408" t="s">
        <v>31</v>
      </c>
      <c r="F408" t="s">
        <v>136</v>
      </c>
      <c r="G408">
        <v>0</v>
      </c>
      <c r="H408">
        <v>6</v>
      </c>
      <c r="I408">
        <v>3</v>
      </c>
      <c r="J408">
        <v>28</v>
      </c>
      <c r="K408">
        <v>29</v>
      </c>
      <c r="L408">
        <v>2.86</v>
      </c>
      <c r="M408">
        <v>2.82</v>
      </c>
      <c r="N408">
        <v>0</v>
      </c>
      <c r="O408" s="5">
        <v>2</v>
      </c>
      <c r="P408">
        <v>0</v>
      </c>
      <c r="Q408" s="5">
        <v>6</v>
      </c>
      <c r="R408" t="s">
        <v>34</v>
      </c>
      <c r="S408" s="4">
        <v>26</v>
      </c>
      <c r="T408">
        <v>0</v>
      </c>
      <c r="U408" t="s">
        <v>33</v>
      </c>
      <c r="V408" t="s">
        <v>121</v>
      </c>
    </row>
    <row r="409" spans="1:22" x14ac:dyDescent="0.25">
      <c r="A409" t="s">
        <v>109</v>
      </c>
      <c r="B409" s="3">
        <v>45998</v>
      </c>
      <c r="C409" t="s">
        <v>30</v>
      </c>
      <c r="D409">
        <v>30</v>
      </c>
      <c r="E409" t="s">
        <v>41</v>
      </c>
      <c r="F409" t="s">
        <v>36</v>
      </c>
      <c r="G409">
        <v>1</v>
      </c>
      <c r="H409">
        <v>5</v>
      </c>
      <c r="I409">
        <v>2</v>
      </c>
      <c r="J409">
        <v>24</v>
      </c>
      <c r="K409">
        <v>31</v>
      </c>
      <c r="L409">
        <v>3.12</v>
      </c>
      <c r="M409">
        <v>2.85</v>
      </c>
      <c r="N409">
        <v>0</v>
      </c>
      <c r="O409" s="5">
        <v>2</v>
      </c>
      <c r="P409">
        <v>0</v>
      </c>
      <c r="Q409" s="5">
        <v>0</v>
      </c>
      <c r="R409" t="s">
        <v>110</v>
      </c>
      <c r="S409" s="4">
        <v>29</v>
      </c>
      <c r="T409">
        <v>0</v>
      </c>
      <c r="U409" t="s">
        <v>33</v>
      </c>
      <c r="V409" t="s">
        <v>121</v>
      </c>
    </row>
    <row r="410" spans="1:22" x14ac:dyDescent="0.25">
      <c r="A410" t="s">
        <v>109</v>
      </c>
      <c r="B410" s="3">
        <v>45998</v>
      </c>
      <c r="C410" t="s">
        <v>30</v>
      </c>
      <c r="D410">
        <v>30</v>
      </c>
      <c r="E410" t="s">
        <v>42</v>
      </c>
      <c r="F410" t="s">
        <v>45</v>
      </c>
      <c r="G410">
        <v>0</v>
      </c>
      <c r="H410">
        <v>3</v>
      </c>
      <c r="I410">
        <v>4</v>
      </c>
      <c r="J410">
        <v>28</v>
      </c>
      <c r="K410">
        <v>28</v>
      </c>
      <c r="L410">
        <v>2.84</v>
      </c>
      <c r="M410">
        <v>2.09</v>
      </c>
      <c r="N410">
        <v>0</v>
      </c>
      <c r="O410">
        <v>3</v>
      </c>
      <c r="P410">
        <v>1</v>
      </c>
      <c r="Q410">
        <v>4</v>
      </c>
      <c r="R410" t="s">
        <v>144</v>
      </c>
      <c r="S410">
        <v>21</v>
      </c>
      <c r="T410">
        <v>0</v>
      </c>
      <c r="U410" t="s">
        <v>35</v>
      </c>
      <c r="V410" t="s">
        <v>121</v>
      </c>
    </row>
    <row r="411" spans="1:22" x14ac:dyDescent="0.25">
      <c r="A411" t="s">
        <v>109</v>
      </c>
      <c r="B411" s="3">
        <v>45998</v>
      </c>
      <c r="C411" t="s">
        <v>30</v>
      </c>
      <c r="D411">
        <v>30</v>
      </c>
      <c r="E411" t="s">
        <v>136</v>
      </c>
      <c r="F411" t="s">
        <v>31</v>
      </c>
      <c r="G411">
        <v>1</v>
      </c>
      <c r="H411">
        <v>3</v>
      </c>
      <c r="I411">
        <v>6</v>
      </c>
      <c r="J411">
        <v>29</v>
      </c>
      <c r="K411">
        <v>28</v>
      </c>
      <c r="L411">
        <v>2.82</v>
      </c>
      <c r="M411">
        <v>2.86</v>
      </c>
      <c r="N411">
        <v>0</v>
      </c>
      <c r="O411" s="4">
        <v>6</v>
      </c>
      <c r="P411">
        <v>0</v>
      </c>
      <c r="Q411" s="5">
        <v>2</v>
      </c>
      <c r="R411" t="s">
        <v>102</v>
      </c>
      <c r="S411" s="4">
        <v>22</v>
      </c>
      <c r="T411">
        <v>0</v>
      </c>
      <c r="U411" t="s">
        <v>35</v>
      </c>
      <c r="V411" t="s">
        <v>121</v>
      </c>
    </row>
    <row r="412" spans="1:22" x14ac:dyDescent="0.25">
      <c r="A412" t="s">
        <v>109</v>
      </c>
      <c r="B412" s="3">
        <v>45998</v>
      </c>
      <c r="C412" t="s">
        <v>30</v>
      </c>
      <c r="D412">
        <v>30</v>
      </c>
      <c r="E412" t="s">
        <v>40</v>
      </c>
      <c r="F412" t="s">
        <v>38</v>
      </c>
      <c r="G412">
        <v>0</v>
      </c>
      <c r="H412">
        <v>1</v>
      </c>
      <c r="I412">
        <v>4</v>
      </c>
      <c r="J412">
        <v>28</v>
      </c>
      <c r="K412">
        <v>25</v>
      </c>
      <c r="N412">
        <v>0</v>
      </c>
      <c r="O412">
        <v>4</v>
      </c>
      <c r="P412">
        <v>0</v>
      </c>
      <c r="Q412">
        <v>5</v>
      </c>
      <c r="R412" t="s">
        <v>119</v>
      </c>
      <c r="S412">
        <v>21</v>
      </c>
      <c r="T412">
        <v>0</v>
      </c>
      <c r="U412" t="s">
        <v>35</v>
      </c>
      <c r="V412" t="s">
        <v>121</v>
      </c>
    </row>
    <row r="413" spans="1:22" x14ac:dyDescent="0.25">
      <c r="A413" t="s">
        <v>109</v>
      </c>
      <c r="B413" s="3">
        <v>45998</v>
      </c>
      <c r="C413" t="s">
        <v>30</v>
      </c>
      <c r="D413">
        <v>32</v>
      </c>
      <c r="E413" t="s">
        <v>46</v>
      </c>
      <c r="F413" t="s">
        <v>44</v>
      </c>
      <c r="G413">
        <v>1</v>
      </c>
      <c r="H413">
        <v>6</v>
      </c>
      <c r="I413">
        <v>1</v>
      </c>
      <c r="J413">
        <v>30</v>
      </c>
      <c r="K413">
        <v>16</v>
      </c>
      <c r="L413">
        <v>1.61</v>
      </c>
      <c r="M413">
        <v>1.33</v>
      </c>
      <c r="N413">
        <v>1</v>
      </c>
      <c r="O413" s="5">
        <v>7</v>
      </c>
      <c r="P413">
        <v>1</v>
      </c>
      <c r="Q413" s="5">
        <v>7</v>
      </c>
      <c r="R413" t="s">
        <v>140</v>
      </c>
      <c r="S413" s="4">
        <v>15</v>
      </c>
      <c r="T413">
        <v>0</v>
      </c>
      <c r="U413" t="s">
        <v>33</v>
      </c>
      <c r="V413" t="s">
        <v>121</v>
      </c>
    </row>
    <row r="414" spans="1:22" x14ac:dyDescent="0.25">
      <c r="A414" t="s">
        <v>109</v>
      </c>
      <c r="B414" s="3">
        <v>45998</v>
      </c>
      <c r="C414" t="s">
        <v>30</v>
      </c>
      <c r="D414">
        <v>32</v>
      </c>
      <c r="E414" t="s">
        <v>44</v>
      </c>
      <c r="F414" t="s">
        <v>46</v>
      </c>
      <c r="G414">
        <v>0</v>
      </c>
      <c r="H414">
        <v>1</v>
      </c>
      <c r="I414">
        <v>6</v>
      </c>
      <c r="J414">
        <v>16</v>
      </c>
      <c r="K414">
        <v>30</v>
      </c>
      <c r="L414">
        <v>1.33</v>
      </c>
      <c r="M414">
        <v>1.61</v>
      </c>
      <c r="N414">
        <v>1</v>
      </c>
      <c r="O414">
        <v>7</v>
      </c>
      <c r="P414">
        <v>1</v>
      </c>
      <c r="Q414">
        <v>7</v>
      </c>
      <c r="R414" t="s">
        <v>150</v>
      </c>
      <c r="S414">
        <v>24</v>
      </c>
      <c r="T414">
        <v>0</v>
      </c>
      <c r="U414" t="s">
        <v>35</v>
      </c>
      <c r="V414" t="s">
        <v>121</v>
      </c>
    </row>
    <row r="415" spans="1:22" x14ac:dyDescent="0.25">
      <c r="A415" t="s">
        <v>109</v>
      </c>
      <c r="B415" s="3">
        <v>45998</v>
      </c>
      <c r="C415" t="s">
        <v>30</v>
      </c>
      <c r="D415">
        <v>30</v>
      </c>
      <c r="E415" t="s">
        <v>137</v>
      </c>
      <c r="F415" t="s">
        <v>43</v>
      </c>
      <c r="G415">
        <v>0</v>
      </c>
      <c r="H415">
        <v>2</v>
      </c>
      <c r="I415">
        <v>3</v>
      </c>
      <c r="J415">
        <v>31</v>
      </c>
      <c r="K415">
        <v>29</v>
      </c>
      <c r="N415">
        <v>0</v>
      </c>
      <c r="O415">
        <v>4</v>
      </c>
      <c r="P415">
        <v>1</v>
      </c>
      <c r="Q415">
        <v>4</v>
      </c>
      <c r="R415" t="s">
        <v>100</v>
      </c>
      <c r="S415">
        <v>20</v>
      </c>
      <c r="T415">
        <v>0</v>
      </c>
      <c r="U415" t="s">
        <v>35</v>
      </c>
      <c r="V415" t="s">
        <v>121</v>
      </c>
    </row>
    <row r="416" spans="1:22" x14ac:dyDescent="0.25">
      <c r="A416" t="s">
        <v>109</v>
      </c>
      <c r="B416" s="3">
        <v>45998</v>
      </c>
      <c r="C416" t="s">
        <v>30</v>
      </c>
      <c r="D416">
        <v>30</v>
      </c>
      <c r="E416" t="s">
        <v>43</v>
      </c>
      <c r="F416" t="s">
        <v>137</v>
      </c>
      <c r="G416">
        <v>1</v>
      </c>
      <c r="H416">
        <v>3</v>
      </c>
      <c r="I416">
        <v>2</v>
      </c>
      <c r="J416">
        <v>29</v>
      </c>
      <c r="K416">
        <v>31</v>
      </c>
      <c r="N416">
        <v>1</v>
      </c>
      <c r="O416">
        <v>4</v>
      </c>
      <c r="P416">
        <v>0</v>
      </c>
      <c r="Q416">
        <v>4</v>
      </c>
      <c r="R416" t="s">
        <v>151</v>
      </c>
      <c r="S416">
        <v>30</v>
      </c>
      <c r="T416">
        <v>0</v>
      </c>
      <c r="U416" t="s">
        <v>33</v>
      </c>
      <c r="V416" t="s">
        <v>121</v>
      </c>
    </row>
    <row r="417" spans="1:22" x14ac:dyDescent="0.25">
      <c r="A417" t="s">
        <v>109</v>
      </c>
      <c r="B417" s="3">
        <v>45998</v>
      </c>
      <c r="C417" t="s">
        <v>30</v>
      </c>
      <c r="D417">
        <v>30</v>
      </c>
      <c r="E417" t="s">
        <v>36</v>
      </c>
      <c r="F417" t="s">
        <v>41</v>
      </c>
      <c r="G417">
        <v>0</v>
      </c>
      <c r="H417">
        <v>2</v>
      </c>
      <c r="I417">
        <v>5</v>
      </c>
      <c r="J417">
        <v>31</v>
      </c>
      <c r="K417">
        <v>24</v>
      </c>
      <c r="L417">
        <v>2.85</v>
      </c>
      <c r="M417">
        <v>3.12</v>
      </c>
      <c r="N417">
        <v>0</v>
      </c>
      <c r="O417" s="5">
        <v>0</v>
      </c>
      <c r="P417">
        <v>0</v>
      </c>
      <c r="Q417" s="5">
        <v>2</v>
      </c>
      <c r="R417" t="s">
        <v>146</v>
      </c>
      <c r="S417" s="5">
        <v>20</v>
      </c>
      <c r="T417">
        <v>0</v>
      </c>
      <c r="U417" t="s">
        <v>35</v>
      </c>
      <c r="V417" t="s">
        <v>121</v>
      </c>
    </row>
    <row r="418" spans="1:22" x14ac:dyDescent="0.25">
      <c r="A418" t="s">
        <v>109</v>
      </c>
      <c r="B418" s="3">
        <v>45998</v>
      </c>
      <c r="C418" t="s">
        <v>30</v>
      </c>
      <c r="D418">
        <v>30</v>
      </c>
      <c r="E418" t="s">
        <v>32</v>
      </c>
      <c r="F418" t="s">
        <v>39</v>
      </c>
      <c r="G418">
        <v>1</v>
      </c>
      <c r="H418">
        <v>5</v>
      </c>
      <c r="I418">
        <v>4</v>
      </c>
      <c r="J418">
        <v>32</v>
      </c>
      <c r="K418">
        <v>29</v>
      </c>
      <c r="N418">
        <v>2</v>
      </c>
      <c r="O418">
        <v>5</v>
      </c>
      <c r="P418">
        <v>1</v>
      </c>
      <c r="Q418">
        <v>8</v>
      </c>
      <c r="R418" t="s">
        <v>158</v>
      </c>
      <c r="S418">
        <v>25</v>
      </c>
      <c r="T418">
        <v>0</v>
      </c>
      <c r="U418" t="s">
        <v>33</v>
      </c>
      <c r="V418" t="s">
        <v>121</v>
      </c>
    </row>
    <row r="419" spans="1:22" x14ac:dyDescent="0.25">
      <c r="A419" t="s">
        <v>109</v>
      </c>
      <c r="B419" s="3">
        <v>45998</v>
      </c>
      <c r="C419" t="s">
        <v>30</v>
      </c>
      <c r="D419">
        <v>30</v>
      </c>
      <c r="E419" t="s">
        <v>38</v>
      </c>
      <c r="F419" t="s">
        <v>40</v>
      </c>
      <c r="G419">
        <v>1</v>
      </c>
      <c r="H419">
        <v>4</v>
      </c>
      <c r="I419">
        <v>1</v>
      </c>
      <c r="J419">
        <v>25</v>
      </c>
      <c r="K419">
        <v>28</v>
      </c>
      <c r="N419">
        <v>0</v>
      </c>
      <c r="O419">
        <v>5</v>
      </c>
      <c r="P419">
        <v>0</v>
      </c>
      <c r="Q419">
        <v>4</v>
      </c>
      <c r="R419" t="s">
        <v>104</v>
      </c>
      <c r="S419">
        <v>29</v>
      </c>
      <c r="T419">
        <v>0</v>
      </c>
      <c r="U419" t="s">
        <v>33</v>
      </c>
      <c r="V419" t="s">
        <v>121</v>
      </c>
    </row>
    <row r="420" spans="1:22" x14ac:dyDescent="0.25">
      <c r="A420" t="s">
        <v>109</v>
      </c>
      <c r="B420" s="3">
        <v>45998</v>
      </c>
      <c r="C420" t="s">
        <v>30</v>
      </c>
      <c r="D420">
        <v>30</v>
      </c>
      <c r="E420" t="s">
        <v>39</v>
      </c>
      <c r="F420" t="s">
        <v>32</v>
      </c>
      <c r="G420">
        <v>0</v>
      </c>
      <c r="H420">
        <v>4</v>
      </c>
      <c r="I420">
        <v>5</v>
      </c>
      <c r="J420">
        <v>29</v>
      </c>
      <c r="K420">
        <v>32</v>
      </c>
      <c r="N420">
        <v>1</v>
      </c>
      <c r="O420">
        <v>8</v>
      </c>
      <c r="P420">
        <v>2</v>
      </c>
      <c r="Q420">
        <v>5</v>
      </c>
      <c r="R420" t="s">
        <v>106</v>
      </c>
      <c r="S420">
        <v>26</v>
      </c>
      <c r="T420">
        <v>0</v>
      </c>
      <c r="U420" t="s">
        <v>35</v>
      </c>
      <c r="V420" t="s">
        <v>121</v>
      </c>
    </row>
    <row r="421" spans="1:22" x14ac:dyDescent="0.25">
      <c r="A421" t="s">
        <v>109</v>
      </c>
      <c r="B421" s="3">
        <v>45998</v>
      </c>
      <c r="C421" t="s">
        <v>30</v>
      </c>
      <c r="D421">
        <v>30</v>
      </c>
      <c r="E421" t="s">
        <v>45</v>
      </c>
      <c r="F421" t="s">
        <v>42</v>
      </c>
      <c r="G421">
        <v>1</v>
      </c>
      <c r="H421">
        <v>4</v>
      </c>
      <c r="I421">
        <v>3</v>
      </c>
      <c r="J421">
        <v>28</v>
      </c>
      <c r="K421">
        <v>28</v>
      </c>
      <c r="L421">
        <v>2.09</v>
      </c>
      <c r="M421">
        <v>2.84</v>
      </c>
      <c r="N421">
        <v>1</v>
      </c>
      <c r="O421">
        <v>4</v>
      </c>
      <c r="P421">
        <v>0</v>
      </c>
      <c r="Q421">
        <v>3</v>
      </c>
      <c r="R421" t="s">
        <v>148</v>
      </c>
      <c r="S421">
        <v>23</v>
      </c>
      <c r="T421">
        <v>0</v>
      </c>
      <c r="U421" t="s">
        <v>33</v>
      </c>
      <c r="V421" t="s">
        <v>121</v>
      </c>
    </row>
    <row r="422" spans="1:22" x14ac:dyDescent="0.25">
      <c r="A422" t="s">
        <v>109</v>
      </c>
      <c r="B422" s="3">
        <v>46008</v>
      </c>
      <c r="C422" t="s">
        <v>30</v>
      </c>
      <c r="D422">
        <v>31</v>
      </c>
      <c r="E422" t="s">
        <v>31</v>
      </c>
      <c r="F422" t="s">
        <v>38</v>
      </c>
      <c r="G422">
        <v>1</v>
      </c>
      <c r="H422">
        <v>4</v>
      </c>
      <c r="I422">
        <v>5</v>
      </c>
      <c r="J422">
        <v>37</v>
      </c>
      <c r="K422">
        <v>29</v>
      </c>
      <c r="L422">
        <v>4.9800000000000004</v>
      </c>
      <c r="M422">
        <v>2.83</v>
      </c>
      <c r="N422">
        <v>1</v>
      </c>
      <c r="O422" s="4">
        <v>4</v>
      </c>
      <c r="P422">
        <v>1</v>
      </c>
      <c r="Q422" s="4">
        <v>4</v>
      </c>
      <c r="R422" t="s">
        <v>47</v>
      </c>
      <c r="S422" s="4">
        <v>24</v>
      </c>
      <c r="T422">
        <v>1</v>
      </c>
      <c r="U422" t="s">
        <v>35</v>
      </c>
      <c r="V422" t="s">
        <v>121</v>
      </c>
    </row>
    <row r="423" spans="1:22" x14ac:dyDescent="0.25">
      <c r="A423" t="s">
        <v>109</v>
      </c>
      <c r="B423" s="3">
        <v>46008</v>
      </c>
      <c r="C423" t="s">
        <v>30</v>
      </c>
      <c r="D423">
        <v>33</v>
      </c>
      <c r="E423" t="s">
        <v>41</v>
      </c>
      <c r="F423" t="s">
        <v>32</v>
      </c>
      <c r="G423">
        <v>1</v>
      </c>
      <c r="H423">
        <v>2</v>
      </c>
      <c r="I423">
        <v>5</v>
      </c>
      <c r="J423">
        <v>28</v>
      </c>
      <c r="K423">
        <v>30</v>
      </c>
      <c r="L423">
        <v>2.0299999999999998</v>
      </c>
      <c r="M423">
        <v>3.92</v>
      </c>
      <c r="N423">
        <v>0</v>
      </c>
      <c r="O423" s="5">
        <v>4</v>
      </c>
      <c r="P423">
        <v>1</v>
      </c>
      <c r="Q423" s="5">
        <v>6</v>
      </c>
      <c r="R423" t="s">
        <v>108</v>
      </c>
      <c r="S423" s="4">
        <v>25</v>
      </c>
      <c r="T423">
        <v>0</v>
      </c>
      <c r="U423" t="s">
        <v>35</v>
      </c>
      <c r="V423" t="s">
        <v>121</v>
      </c>
    </row>
    <row r="424" spans="1:22" x14ac:dyDescent="0.25">
      <c r="A424" t="s">
        <v>109</v>
      </c>
      <c r="B424" s="3">
        <v>46008</v>
      </c>
      <c r="C424" t="s">
        <v>30</v>
      </c>
      <c r="D424">
        <v>33</v>
      </c>
      <c r="E424" t="s">
        <v>32</v>
      </c>
      <c r="F424" t="s">
        <v>41</v>
      </c>
      <c r="G424">
        <v>0</v>
      </c>
      <c r="H424">
        <v>5</v>
      </c>
      <c r="I424">
        <v>2</v>
      </c>
      <c r="J424">
        <v>30</v>
      </c>
      <c r="K424">
        <v>28</v>
      </c>
      <c r="L424">
        <v>3.92</v>
      </c>
      <c r="M424">
        <v>2.0299999999999998</v>
      </c>
      <c r="N424">
        <v>1</v>
      </c>
      <c r="O424">
        <v>6</v>
      </c>
      <c r="P424">
        <v>0</v>
      </c>
      <c r="Q424">
        <v>4</v>
      </c>
      <c r="R424" t="s">
        <v>117</v>
      </c>
      <c r="S424">
        <v>26</v>
      </c>
      <c r="T424">
        <v>0</v>
      </c>
      <c r="U424" t="s">
        <v>33</v>
      </c>
      <c r="V424" t="s">
        <v>121</v>
      </c>
    </row>
    <row r="425" spans="1:22" x14ac:dyDescent="0.25">
      <c r="A425" t="s">
        <v>109</v>
      </c>
      <c r="B425" s="3">
        <v>46008</v>
      </c>
      <c r="C425" t="s">
        <v>30</v>
      </c>
      <c r="D425">
        <v>31</v>
      </c>
      <c r="E425" t="s">
        <v>38</v>
      </c>
      <c r="F425" t="s">
        <v>31</v>
      </c>
      <c r="G425">
        <v>0</v>
      </c>
      <c r="H425">
        <v>5</v>
      </c>
      <c r="I425">
        <v>4</v>
      </c>
      <c r="J425">
        <v>29</v>
      </c>
      <c r="K425">
        <v>37</v>
      </c>
      <c r="L425">
        <v>2.83</v>
      </c>
      <c r="M425">
        <v>4.9800000000000004</v>
      </c>
      <c r="N425">
        <v>1</v>
      </c>
      <c r="O425">
        <v>4</v>
      </c>
      <c r="P425">
        <v>1</v>
      </c>
      <c r="Q425">
        <v>4</v>
      </c>
      <c r="R425" t="s">
        <v>104</v>
      </c>
      <c r="S425">
        <v>33</v>
      </c>
      <c r="T425">
        <v>1</v>
      </c>
      <c r="U425" t="s">
        <v>33</v>
      </c>
      <c r="V425" t="s">
        <v>121</v>
      </c>
    </row>
    <row r="426" spans="1:22" x14ac:dyDescent="0.25">
      <c r="A426" t="s">
        <v>109</v>
      </c>
      <c r="B426" s="3">
        <v>46008</v>
      </c>
      <c r="C426" t="s">
        <v>30</v>
      </c>
      <c r="D426">
        <v>13</v>
      </c>
      <c r="E426" t="s">
        <v>39</v>
      </c>
      <c r="F426" t="s">
        <v>45</v>
      </c>
      <c r="G426">
        <v>0</v>
      </c>
      <c r="H426">
        <v>3</v>
      </c>
      <c r="I426">
        <v>1</v>
      </c>
      <c r="J426">
        <v>32</v>
      </c>
      <c r="K426">
        <v>26</v>
      </c>
      <c r="N426">
        <v>0</v>
      </c>
      <c r="O426">
        <v>0</v>
      </c>
      <c r="P426">
        <v>0</v>
      </c>
      <c r="Q426">
        <v>2</v>
      </c>
      <c r="R426" t="s">
        <v>106</v>
      </c>
      <c r="S426">
        <v>25</v>
      </c>
      <c r="T426">
        <v>0</v>
      </c>
      <c r="U426" t="s">
        <v>33</v>
      </c>
      <c r="V426" t="s">
        <v>121</v>
      </c>
    </row>
    <row r="427" spans="1:22" x14ac:dyDescent="0.25">
      <c r="A427" t="s">
        <v>109</v>
      </c>
      <c r="B427" s="3">
        <v>46008</v>
      </c>
      <c r="C427" t="s">
        <v>30</v>
      </c>
      <c r="D427">
        <v>13</v>
      </c>
      <c r="E427" t="s">
        <v>45</v>
      </c>
      <c r="F427" t="s">
        <v>39</v>
      </c>
      <c r="G427">
        <v>1</v>
      </c>
      <c r="H427">
        <v>1</v>
      </c>
      <c r="I427">
        <v>3</v>
      </c>
      <c r="J427">
        <v>26</v>
      </c>
      <c r="K427">
        <v>32</v>
      </c>
      <c r="N427">
        <v>0</v>
      </c>
      <c r="O427">
        <v>2</v>
      </c>
      <c r="P427">
        <v>0</v>
      </c>
      <c r="Q427">
        <v>0</v>
      </c>
      <c r="R427" t="s">
        <v>148</v>
      </c>
      <c r="S427">
        <v>30</v>
      </c>
      <c r="T427">
        <v>0</v>
      </c>
      <c r="U427" t="s">
        <v>35</v>
      </c>
      <c r="V427" t="s">
        <v>121</v>
      </c>
    </row>
    <row r="428" spans="1:22" x14ac:dyDescent="0.25">
      <c r="A428" t="s">
        <v>109</v>
      </c>
      <c r="B428" s="3">
        <v>46010</v>
      </c>
      <c r="C428" t="s">
        <v>30</v>
      </c>
      <c r="D428">
        <v>31</v>
      </c>
      <c r="E428" t="s">
        <v>41</v>
      </c>
      <c r="F428" t="s">
        <v>39</v>
      </c>
      <c r="G428">
        <v>1</v>
      </c>
      <c r="H428">
        <v>2</v>
      </c>
      <c r="I428">
        <v>1</v>
      </c>
      <c r="J428">
        <v>32</v>
      </c>
      <c r="K428">
        <v>26</v>
      </c>
      <c r="L428">
        <v>3.63</v>
      </c>
      <c r="M428">
        <v>2.88</v>
      </c>
      <c r="N428">
        <v>0</v>
      </c>
      <c r="O428" s="5">
        <v>6</v>
      </c>
      <c r="P428">
        <v>0</v>
      </c>
      <c r="Q428" s="5">
        <v>6</v>
      </c>
      <c r="R428" t="s">
        <v>110</v>
      </c>
      <c r="S428" s="4">
        <v>25</v>
      </c>
      <c r="T428">
        <v>1</v>
      </c>
      <c r="U428" t="s">
        <v>33</v>
      </c>
      <c r="V428" t="s">
        <v>121</v>
      </c>
    </row>
    <row r="429" spans="1:22" x14ac:dyDescent="0.25">
      <c r="A429" t="s">
        <v>109</v>
      </c>
      <c r="B429" s="3">
        <v>46010</v>
      </c>
      <c r="C429" t="s">
        <v>30</v>
      </c>
      <c r="D429">
        <v>31</v>
      </c>
      <c r="E429" t="s">
        <v>46</v>
      </c>
      <c r="F429" t="s">
        <v>43</v>
      </c>
      <c r="G429">
        <v>0</v>
      </c>
      <c r="H429">
        <v>2</v>
      </c>
      <c r="I429">
        <v>3</v>
      </c>
      <c r="J429">
        <v>26</v>
      </c>
      <c r="K429">
        <v>26</v>
      </c>
      <c r="L429">
        <v>2.4300000000000002</v>
      </c>
      <c r="M429">
        <v>4.47</v>
      </c>
      <c r="N429">
        <v>1</v>
      </c>
      <c r="O429" s="5">
        <v>4</v>
      </c>
      <c r="P429">
        <v>0</v>
      </c>
      <c r="Q429" s="5">
        <v>6</v>
      </c>
      <c r="R429" t="s">
        <v>141</v>
      </c>
      <c r="S429" s="4">
        <v>23</v>
      </c>
      <c r="T429">
        <v>0</v>
      </c>
      <c r="U429" t="s">
        <v>35</v>
      </c>
      <c r="V429" t="s">
        <v>121</v>
      </c>
    </row>
    <row r="430" spans="1:22" x14ac:dyDescent="0.25">
      <c r="A430" t="s">
        <v>109</v>
      </c>
      <c r="B430" s="3">
        <v>46010</v>
      </c>
      <c r="C430" t="s">
        <v>30</v>
      </c>
      <c r="D430">
        <v>31</v>
      </c>
      <c r="E430" t="s">
        <v>42</v>
      </c>
      <c r="F430" t="s">
        <v>137</v>
      </c>
      <c r="G430">
        <v>1</v>
      </c>
      <c r="H430">
        <v>3</v>
      </c>
      <c r="I430">
        <v>1</v>
      </c>
      <c r="J430">
        <v>35</v>
      </c>
      <c r="K430">
        <v>34</v>
      </c>
      <c r="L430">
        <v>4.17</v>
      </c>
      <c r="M430">
        <v>2.56</v>
      </c>
      <c r="N430">
        <v>0</v>
      </c>
      <c r="O430">
        <v>2</v>
      </c>
      <c r="P430">
        <v>0</v>
      </c>
      <c r="Q430">
        <v>4</v>
      </c>
      <c r="R430" t="s">
        <v>144</v>
      </c>
      <c r="S430">
        <v>32</v>
      </c>
      <c r="T430">
        <v>0</v>
      </c>
      <c r="U430" t="s">
        <v>33</v>
      </c>
      <c r="V430" t="s">
        <v>121</v>
      </c>
    </row>
    <row r="431" spans="1:22" x14ac:dyDescent="0.25">
      <c r="A431" t="s">
        <v>109</v>
      </c>
      <c r="B431" s="3">
        <v>46010</v>
      </c>
      <c r="C431" t="s">
        <v>30</v>
      </c>
      <c r="D431">
        <v>31</v>
      </c>
      <c r="E431" t="s">
        <v>136</v>
      </c>
      <c r="F431" t="s">
        <v>40</v>
      </c>
      <c r="G431">
        <v>0</v>
      </c>
      <c r="H431">
        <v>3</v>
      </c>
      <c r="I431">
        <v>2</v>
      </c>
      <c r="J431">
        <v>37</v>
      </c>
      <c r="K431">
        <v>20</v>
      </c>
      <c r="N431">
        <v>0</v>
      </c>
      <c r="O431">
        <v>6</v>
      </c>
      <c r="P431">
        <v>0</v>
      </c>
      <c r="Q431">
        <v>3</v>
      </c>
      <c r="R431" t="s">
        <v>103</v>
      </c>
      <c r="S431">
        <v>18</v>
      </c>
      <c r="T431">
        <v>0</v>
      </c>
      <c r="U431" t="s">
        <v>33</v>
      </c>
      <c r="V431" t="s">
        <v>121</v>
      </c>
    </row>
    <row r="432" spans="1:22" x14ac:dyDescent="0.25">
      <c r="A432" t="s">
        <v>109</v>
      </c>
      <c r="B432" s="3">
        <v>46010</v>
      </c>
      <c r="C432" t="s">
        <v>30</v>
      </c>
      <c r="D432">
        <v>31</v>
      </c>
      <c r="E432" t="s">
        <v>40</v>
      </c>
      <c r="F432" t="s">
        <v>136</v>
      </c>
      <c r="G432">
        <v>1</v>
      </c>
      <c r="H432">
        <v>2</v>
      </c>
      <c r="I432">
        <v>3</v>
      </c>
      <c r="J432">
        <v>20</v>
      </c>
      <c r="K432">
        <v>37</v>
      </c>
      <c r="N432">
        <v>0</v>
      </c>
      <c r="O432">
        <v>3</v>
      </c>
      <c r="P432">
        <v>0</v>
      </c>
      <c r="Q432">
        <v>6</v>
      </c>
      <c r="R432" t="s">
        <v>107</v>
      </c>
      <c r="S432">
        <v>34</v>
      </c>
      <c r="T432">
        <v>0</v>
      </c>
      <c r="U432" t="s">
        <v>35</v>
      </c>
      <c r="V432" t="s">
        <v>121</v>
      </c>
    </row>
    <row r="433" spans="1:22" x14ac:dyDescent="0.25">
      <c r="A433" t="s">
        <v>109</v>
      </c>
      <c r="B433" s="3">
        <v>46010</v>
      </c>
      <c r="C433" t="s">
        <v>30</v>
      </c>
      <c r="D433">
        <v>31</v>
      </c>
      <c r="E433" t="s">
        <v>44</v>
      </c>
      <c r="F433" t="s">
        <v>32</v>
      </c>
      <c r="G433">
        <v>1</v>
      </c>
      <c r="H433">
        <v>4</v>
      </c>
      <c r="I433">
        <v>1</v>
      </c>
      <c r="J433">
        <v>32</v>
      </c>
      <c r="K433">
        <v>24</v>
      </c>
      <c r="N433">
        <v>1</v>
      </c>
      <c r="O433">
        <v>2</v>
      </c>
      <c r="P433">
        <v>0</v>
      </c>
      <c r="Q433">
        <v>2</v>
      </c>
      <c r="R433" t="s">
        <v>150</v>
      </c>
      <c r="S433">
        <v>22</v>
      </c>
      <c r="T433">
        <v>0</v>
      </c>
      <c r="U433" t="s">
        <v>33</v>
      </c>
      <c r="V433" t="s">
        <v>121</v>
      </c>
    </row>
    <row r="434" spans="1:22" x14ac:dyDescent="0.25">
      <c r="A434" t="s">
        <v>109</v>
      </c>
      <c r="B434" s="3">
        <v>46010</v>
      </c>
      <c r="C434" t="s">
        <v>30</v>
      </c>
      <c r="D434">
        <v>31</v>
      </c>
      <c r="E434" t="s">
        <v>137</v>
      </c>
      <c r="F434" t="s">
        <v>42</v>
      </c>
      <c r="G434">
        <v>0</v>
      </c>
      <c r="H434">
        <v>1</v>
      </c>
      <c r="I434">
        <v>3</v>
      </c>
      <c r="J434">
        <v>34</v>
      </c>
      <c r="K434">
        <v>35</v>
      </c>
      <c r="L434">
        <v>2.56</v>
      </c>
      <c r="M434">
        <v>4.17</v>
      </c>
      <c r="N434">
        <v>0</v>
      </c>
      <c r="O434">
        <v>4</v>
      </c>
      <c r="P434">
        <v>0</v>
      </c>
      <c r="Q434">
        <v>2</v>
      </c>
      <c r="R434" t="s">
        <v>100</v>
      </c>
      <c r="S434">
        <v>32</v>
      </c>
      <c r="T434">
        <v>0</v>
      </c>
      <c r="U434" t="s">
        <v>35</v>
      </c>
      <c r="V434" t="s">
        <v>121</v>
      </c>
    </row>
    <row r="435" spans="1:22" x14ac:dyDescent="0.25">
      <c r="A435" t="s">
        <v>109</v>
      </c>
      <c r="B435" s="3">
        <v>46010</v>
      </c>
      <c r="C435" t="s">
        <v>30</v>
      </c>
      <c r="D435">
        <v>31</v>
      </c>
      <c r="E435" t="s">
        <v>43</v>
      </c>
      <c r="F435" t="s">
        <v>46</v>
      </c>
      <c r="G435">
        <v>1</v>
      </c>
      <c r="H435">
        <v>3</v>
      </c>
      <c r="I435">
        <v>2</v>
      </c>
      <c r="J435">
        <v>26</v>
      </c>
      <c r="K435">
        <v>26</v>
      </c>
      <c r="L435">
        <v>4.47</v>
      </c>
      <c r="M435">
        <v>2.4300000000000002</v>
      </c>
      <c r="N435">
        <v>0</v>
      </c>
      <c r="O435">
        <v>6</v>
      </c>
      <c r="P435">
        <v>1</v>
      </c>
      <c r="Q435">
        <v>4</v>
      </c>
      <c r="R435" t="s">
        <v>151</v>
      </c>
      <c r="S435">
        <v>22</v>
      </c>
      <c r="T435">
        <v>0</v>
      </c>
      <c r="U435" t="s">
        <v>33</v>
      </c>
      <c r="V435" t="s">
        <v>121</v>
      </c>
    </row>
    <row r="436" spans="1:22" x14ac:dyDescent="0.25">
      <c r="A436" t="s">
        <v>109</v>
      </c>
      <c r="B436" s="3">
        <v>46010</v>
      </c>
      <c r="C436" t="s">
        <v>30</v>
      </c>
      <c r="D436">
        <v>31</v>
      </c>
      <c r="E436" t="s">
        <v>36</v>
      </c>
      <c r="F436" t="s">
        <v>45</v>
      </c>
      <c r="G436">
        <v>0</v>
      </c>
      <c r="H436">
        <v>2</v>
      </c>
      <c r="I436">
        <v>1</v>
      </c>
      <c r="J436">
        <v>24</v>
      </c>
      <c r="K436">
        <v>16</v>
      </c>
      <c r="N436">
        <v>1</v>
      </c>
      <c r="O436">
        <v>2</v>
      </c>
      <c r="P436">
        <v>0</v>
      </c>
      <c r="Q436">
        <v>3</v>
      </c>
      <c r="R436" t="s">
        <v>146</v>
      </c>
      <c r="S436">
        <v>15</v>
      </c>
      <c r="T436">
        <v>0</v>
      </c>
      <c r="U436" t="s">
        <v>33</v>
      </c>
      <c r="V436" t="s">
        <v>121</v>
      </c>
    </row>
    <row r="437" spans="1:22" x14ac:dyDescent="0.25">
      <c r="A437" t="s">
        <v>109</v>
      </c>
      <c r="B437" s="3">
        <v>46010</v>
      </c>
      <c r="C437" t="s">
        <v>30</v>
      </c>
      <c r="D437">
        <v>31</v>
      </c>
      <c r="E437" t="s">
        <v>32</v>
      </c>
      <c r="F437" t="s">
        <v>44</v>
      </c>
      <c r="G437">
        <v>0</v>
      </c>
      <c r="H437">
        <v>1</v>
      </c>
      <c r="I437">
        <v>4</v>
      </c>
      <c r="J437">
        <v>24</v>
      </c>
      <c r="K437">
        <v>32</v>
      </c>
      <c r="N437">
        <v>0</v>
      </c>
      <c r="O437">
        <v>2</v>
      </c>
      <c r="P437">
        <v>1</v>
      </c>
      <c r="Q437">
        <v>2</v>
      </c>
      <c r="R437" t="s">
        <v>117</v>
      </c>
      <c r="S437">
        <v>28</v>
      </c>
      <c r="T437">
        <v>0</v>
      </c>
      <c r="U437" t="s">
        <v>35</v>
      </c>
      <c r="V437" t="s">
        <v>121</v>
      </c>
    </row>
    <row r="438" spans="1:22" x14ac:dyDescent="0.25">
      <c r="A438" t="s">
        <v>109</v>
      </c>
      <c r="B438" s="3">
        <v>46010</v>
      </c>
      <c r="C438" t="s">
        <v>30</v>
      </c>
      <c r="D438">
        <v>31</v>
      </c>
      <c r="E438" t="s">
        <v>39</v>
      </c>
      <c r="F438" t="s">
        <v>41</v>
      </c>
      <c r="G438">
        <v>0</v>
      </c>
      <c r="H438">
        <v>1</v>
      </c>
      <c r="I438">
        <v>2</v>
      </c>
      <c r="J438">
        <v>26</v>
      </c>
      <c r="K438">
        <v>32</v>
      </c>
      <c r="L438">
        <v>2.88</v>
      </c>
      <c r="M438">
        <v>3.63</v>
      </c>
      <c r="N438">
        <v>0</v>
      </c>
      <c r="O438">
        <v>6</v>
      </c>
      <c r="P438">
        <v>0</v>
      </c>
      <c r="Q438">
        <v>6</v>
      </c>
      <c r="R438" t="s">
        <v>106</v>
      </c>
      <c r="S438">
        <v>28</v>
      </c>
      <c r="T438">
        <v>1</v>
      </c>
      <c r="U438" t="s">
        <v>35</v>
      </c>
      <c r="V438" t="s">
        <v>121</v>
      </c>
    </row>
    <row r="439" spans="1:22" x14ac:dyDescent="0.25">
      <c r="A439" t="s">
        <v>109</v>
      </c>
      <c r="B439" s="3">
        <v>46010</v>
      </c>
      <c r="C439" t="s">
        <v>30</v>
      </c>
      <c r="D439">
        <v>31</v>
      </c>
      <c r="E439" t="s">
        <v>45</v>
      </c>
      <c r="F439" t="s">
        <v>36</v>
      </c>
      <c r="G439">
        <v>1</v>
      </c>
      <c r="H439">
        <v>1</v>
      </c>
      <c r="I439">
        <v>2</v>
      </c>
      <c r="J439">
        <v>16</v>
      </c>
      <c r="K439">
        <v>24</v>
      </c>
      <c r="N439">
        <v>0</v>
      </c>
      <c r="O439">
        <v>3</v>
      </c>
      <c r="P439">
        <v>1</v>
      </c>
      <c r="Q439">
        <v>2</v>
      </c>
      <c r="R439" t="s">
        <v>148</v>
      </c>
      <c r="S439">
        <v>22</v>
      </c>
      <c r="T439">
        <v>0</v>
      </c>
      <c r="U439" t="s">
        <v>35</v>
      </c>
      <c r="V439" t="s">
        <v>121</v>
      </c>
    </row>
    <row r="440" spans="1:22" x14ac:dyDescent="0.25">
      <c r="A440" t="s">
        <v>109</v>
      </c>
      <c r="B440" s="3">
        <v>46012</v>
      </c>
      <c r="C440" t="s">
        <v>30</v>
      </c>
      <c r="D440">
        <v>32</v>
      </c>
      <c r="E440" t="s">
        <v>31</v>
      </c>
      <c r="F440" t="s">
        <v>39</v>
      </c>
      <c r="G440">
        <v>0</v>
      </c>
      <c r="H440">
        <v>2</v>
      </c>
      <c r="I440">
        <v>1</v>
      </c>
      <c r="J440">
        <v>31</v>
      </c>
      <c r="K440">
        <v>22</v>
      </c>
      <c r="L440">
        <v>2.1800000000000002</v>
      </c>
      <c r="M440">
        <v>2.13</v>
      </c>
      <c r="N440">
        <v>1</v>
      </c>
      <c r="O440" s="4">
        <v>3</v>
      </c>
      <c r="P440">
        <v>0</v>
      </c>
      <c r="Q440" s="5">
        <v>6</v>
      </c>
      <c r="R440" t="s">
        <v>34</v>
      </c>
      <c r="S440" s="4">
        <v>21</v>
      </c>
      <c r="T440">
        <v>0</v>
      </c>
      <c r="U440" t="s">
        <v>33</v>
      </c>
      <c r="V440" t="s">
        <v>121</v>
      </c>
    </row>
    <row r="441" spans="1:22" x14ac:dyDescent="0.25">
      <c r="A441" t="s">
        <v>109</v>
      </c>
      <c r="B441" s="3">
        <v>46012</v>
      </c>
      <c r="C441" t="s">
        <v>30</v>
      </c>
      <c r="D441">
        <v>32</v>
      </c>
      <c r="E441" t="s">
        <v>41</v>
      </c>
      <c r="F441" t="s">
        <v>136</v>
      </c>
      <c r="G441">
        <v>0</v>
      </c>
      <c r="H441">
        <v>0</v>
      </c>
      <c r="I441">
        <v>1</v>
      </c>
      <c r="J441">
        <v>25</v>
      </c>
      <c r="K441">
        <v>18</v>
      </c>
      <c r="L441">
        <v>3.12</v>
      </c>
      <c r="M441">
        <v>1.79</v>
      </c>
      <c r="N441">
        <v>0</v>
      </c>
      <c r="O441" s="5">
        <v>5</v>
      </c>
      <c r="P441">
        <v>0</v>
      </c>
      <c r="Q441" s="5">
        <v>2</v>
      </c>
      <c r="R441" t="s">
        <v>110</v>
      </c>
      <c r="S441" s="4">
        <v>17</v>
      </c>
      <c r="T441">
        <v>0</v>
      </c>
      <c r="U441" t="s">
        <v>35</v>
      </c>
      <c r="V441" t="s">
        <v>121</v>
      </c>
    </row>
    <row r="442" spans="1:22" x14ac:dyDescent="0.25">
      <c r="A442" t="s">
        <v>109</v>
      </c>
      <c r="B442" s="3">
        <v>46012</v>
      </c>
      <c r="C442" t="s">
        <v>30</v>
      </c>
      <c r="D442">
        <v>34</v>
      </c>
      <c r="E442" t="s">
        <v>46</v>
      </c>
      <c r="F442" t="s">
        <v>45</v>
      </c>
      <c r="G442">
        <v>1</v>
      </c>
      <c r="H442">
        <v>3</v>
      </c>
      <c r="I442">
        <v>6</v>
      </c>
      <c r="J442">
        <v>43</v>
      </c>
      <c r="K442">
        <v>21</v>
      </c>
      <c r="L442">
        <v>2.4900000000000002</v>
      </c>
      <c r="M442">
        <v>2.35</v>
      </c>
      <c r="N442">
        <v>2</v>
      </c>
      <c r="O442" s="5">
        <v>6</v>
      </c>
      <c r="P442">
        <v>3</v>
      </c>
      <c r="Q442" s="5">
        <v>3</v>
      </c>
      <c r="R442" t="s">
        <v>141</v>
      </c>
      <c r="S442" s="4">
        <v>15</v>
      </c>
      <c r="T442">
        <v>0</v>
      </c>
      <c r="U442" t="s">
        <v>35</v>
      </c>
      <c r="V442" t="s">
        <v>121</v>
      </c>
    </row>
    <row r="443" spans="1:22" x14ac:dyDescent="0.25">
      <c r="A443" t="s">
        <v>109</v>
      </c>
      <c r="B443" s="3">
        <v>46012</v>
      </c>
      <c r="C443" t="s">
        <v>30</v>
      </c>
      <c r="D443">
        <v>32</v>
      </c>
      <c r="E443" t="s">
        <v>42</v>
      </c>
      <c r="F443" t="s">
        <v>32</v>
      </c>
      <c r="G443">
        <v>0</v>
      </c>
      <c r="H443">
        <v>1</v>
      </c>
      <c r="I443">
        <v>2</v>
      </c>
      <c r="J443">
        <v>22</v>
      </c>
      <c r="K443">
        <v>45</v>
      </c>
      <c r="L443">
        <v>2.1</v>
      </c>
      <c r="M443">
        <v>5.14</v>
      </c>
      <c r="N443">
        <v>0</v>
      </c>
      <c r="O443">
        <v>2</v>
      </c>
      <c r="P443">
        <v>0</v>
      </c>
      <c r="Q443">
        <v>4</v>
      </c>
      <c r="R443" t="s">
        <v>144</v>
      </c>
      <c r="S443">
        <v>43</v>
      </c>
      <c r="T443">
        <v>0</v>
      </c>
      <c r="U443" t="s">
        <v>35</v>
      </c>
      <c r="V443" t="s">
        <v>121</v>
      </c>
    </row>
    <row r="444" spans="1:22" x14ac:dyDescent="0.25">
      <c r="A444" t="s">
        <v>109</v>
      </c>
      <c r="B444" s="3">
        <v>46012</v>
      </c>
      <c r="C444" t="s">
        <v>30</v>
      </c>
      <c r="D444">
        <v>32</v>
      </c>
      <c r="E444" t="s">
        <v>136</v>
      </c>
      <c r="F444" t="s">
        <v>41</v>
      </c>
      <c r="G444">
        <v>1</v>
      </c>
      <c r="H444">
        <v>1</v>
      </c>
      <c r="I444">
        <v>0</v>
      </c>
      <c r="J444">
        <v>18</v>
      </c>
      <c r="K444">
        <v>25</v>
      </c>
      <c r="L444">
        <v>1.79</v>
      </c>
      <c r="M444">
        <v>3.12</v>
      </c>
      <c r="N444">
        <v>0</v>
      </c>
      <c r="O444">
        <v>2</v>
      </c>
      <c r="P444">
        <v>0</v>
      </c>
      <c r="Q444">
        <v>5</v>
      </c>
      <c r="R444" t="s">
        <v>111</v>
      </c>
      <c r="S444">
        <v>25</v>
      </c>
      <c r="T444">
        <v>0</v>
      </c>
      <c r="U444" t="s">
        <v>33</v>
      </c>
      <c r="V444" t="s">
        <v>121</v>
      </c>
    </row>
    <row r="445" spans="1:22" x14ac:dyDescent="0.25">
      <c r="A445" t="s">
        <v>109</v>
      </c>
      <c r="B445" s="3">
        <v>46012</v>
      </c>
      <c r="C445" t="s">
        <v>30</v>
      </c>
      <c r="D445">
        <v>32</v>
      </c>
      <c r="E445" t="s">
        <v>40</v>
      </c>
      <c r="F445" t="s">
        <v>137</v>
      </c>
      <c r="G445">
        <v>0</v>
      </c>
      <c r="H445">
        <v>1</v>
      </c>
      <c r="I445">
        <v>4</v>
      </c>
      <c r="J445">
        <v>23</v>
      </c>
      <c r="K445">
        <v>39</v>
      </c>
      <c r="N445">
        <v>0</v>
      </c>
      <c r="O445">
        <v>3</v>
      </c>
      <c r="P445">
        <v>0</v>
      </c>
      <c r="Q445">
        <v>4</v>
      </c>
      <c r="R445" t="s">
        <v>119</v>
      </c>
      <c r="S445">
        <v>35</v>
      </c>
      <c r="T445">
        <v>0</v>
      </c>
      <c r="U445" t="s">
        <v>35</v>
      </c>
      <c r="V445" t="s">
        <v>121</v>
      </c>
    </row>
    <row r="446" spans="1:22" x14ac:dyDescent="0.25">
      <c r="A446" t="s">
        <v>109</v>
      </c>
      <c r="B446" s="3">
        <v>46012</v>
      </c>
      <c r="C446" t="s">
        <v>30</v>
      </c>
      <c r="D446">
        <v>32</v>
      </c>
      <c r="E446" t="s">
        <v>44</v>
      </c>
      <c r="F446" t="s">
        <v>36</v>
      </c>
      <c r="G446">
        <v>0</v>
      </c>
      <c r="H446">
        <v>3</v>
      </c>
      <c r="I446">
        <v>0</v>
      </c>
      <c r="J446">
        <v>23</v>
      </c>
      <c r="K446">
        <v>35</v>
      </c>
      <c r="N446">
        <v>1</v>
      </c>
      <c r="O446">
        <v>4</v>
      </c>
      <c r="P446">
        <v>0</v>
      </c>
      <c r="Q446">
        <v>7</v>
      </c>
      <c r="R446" t="s">
        <v>150</v>
      </c>
      <c r="S446">
        <v>35</v>
      </c>
      <c r="T446">
        <v>0</v>
      </c>
      <c r="U446" t="s">
        <v>33</v>
      </c>
      <c r="V446" t="s">
        <v>121</v>
      </c>
    </row>
    <row r="447" spans="1:22" x14ac:dyDescent="0.25">
      <c r="A447" t="s">
        <v>109</v>
      </c>
      <c r="B447" s="3">
        <v>46012</v>
      </c>
      <c r="C447" t="s">
        <v>30</v>
      </c>
      <c r="D447">
        <v>32</v>
      </c>
      <c r="E447" t="s">
        <v>137</v>
      </c>
      <c r="F447" t="s">
        <v>40</v>
      </c>
      <c r="G447">
        <v>1</v>
      </c>
      <c r="H447">
        <v>4</v>
      </c>
      <c r="I447">
        <v>1</v>
      </c>
      <c r="J447">
        <v>39</v>
      </c>
      <c r="K447">
        <v>23</v>
      </c>
      <c r="N447">
        <v>0</v>
      </c>
      <c r="O447">
        <v>4</v>
      </c>
      <c r="P447">
        <v>0</v>
      </c>
      <c r="Q447">
        <v>3</v>
      </c>
      <c r="R447" t="s">
        <v>100</v>
      </c>
      <c r="S447">
        <v>21</v>
      </c>
      <c r="T447">
        <v>0</v>
      </c>
      <c r="U447" t="s">
        <v>33</v>
      </c>
      <c r="V447" t="s">
        <v>121</v>
      </c>
    </row>
    <row r="448" spans="1:22" x14ac:dyDescent="0.25">
      <c r="A448" t="s">
        <v>109</v>
      </c>
      <c r="B448" s="3">
        <v>46012</v>
      </c>
      <c r="C448" t="s">
        <v>30</v>
      </c>
      <c r="D448">
        <v>32</v>
      </c>
      <c r="E448" t="s">
        <v>43</v>
      </c>
      <c r="F448" t="s">
        <v>38</v>
      </c>
      <c r="G448">
        <v>0</v>
      </c>
      <c r="H448">
        <v>3</v>
      </c>
      <c r="I448">
        <v>4</v>
      </c>
      <c r="J448">
        <v>32</v>
      </c>
      <c r="K448">
        <v>37</v>
      </c>
      <c r="N448">
        <v>0</v>
      </c>
      <c r="O448">
        <v>3</v>
      </c>
      <c r="P448">
        <v>0</v>
      </c>
      <c r="Q448">
        <v>2</v>
      </c>
      <c r="R448" t="s">
        <v>151</v>
      </c>
      <c r="S448">
        <v>34</v>
      </c>
      <c r="T448">
        <v>1</v>
      </c>
      <c r="U448" t="s">
        <v>35</v>
      </c>
      <c r="V448" t="s">
        <v>121</v>
      </c>
    </row>
    <row r="449" spans="1:22" x14ac:dyDescent="0.25">
      <c r="A449" t="s">
        <v>109</v>
      </c>
      <c r="B449" s="3">
        <v>46012</v>
      </c>
      <c r="C449" t="s">
        <v>30</v>
      </c>
      <c r="D449">
        <v>32</v>
      </c>
      <c r="E449" t="s">
        <v>36</v>
      </c>
      <c r="F449" t="s">
        <v>44</v>
      </c>
      <c r="G449">
        <v>1</v>
      </c>
      <c r="H449">
        <v>0</v>
      </c>
      <c r="I449">
        <v>3</v>
      </c>
      <c r="J449">
        <v>35</v>
      </c>
      <c r="K449">
        <v>23</v>
      </c>
      <c r="N449">
        <v>0</v>
      </c>
      <c r="O449">
        <v>7</v>
      </c>
      <c r="P449">
        <v>1</v>
      </c>
      <c r="Q449">
        <v>4</v>
      </c>
      <c r="R449" t="s">
        <v>146</v>
      </c>
      <c r="S449">
        <v>20</v>
      </c>
      <c r="T449">
        <v>0</v>
      </c>
      <c r="U449" t="s">
        <v>35</v>
      </c>
      <c r="V449" t="s">
        <v>121</v>
      </c>
    </row>
    <row r="450" spans="1:22" x14ac:dyDescent="0.25">
      <c r="A450" t="s">
        <v>109</v>
      </c>
      <c r="B450" s="3">
        <v>46012</v>
      </c>
      <c r="C450" t="s">
        <v>30</v>
      </c>
      <c r="D450">
        <v>32</v>
      </c>
      <c r="E450" t="s">
        <v>32</v>
      </c>
      <c r="F450" t="s">
        <v>42</v>
      </c>
      <c r="G450">
        <v>1</v>
      </c>
      <c r="H450">
        <v>2</v>
      </c>
      <c r="I450">
        <v>1</v>
      </c>
      <c r="J450">
        <v>45</v>
      </c>
      <c r="K450">
        <v>22</v>
      </c>
      <c r="L450">
        <v>5.14</v>
      </c>
      <c r="M450">
        <v>2.1</v>
      </c>
      <c r="N450">
        <v>0</v>
      </c>
      <c r="O450">
        <v>4</v>
      </c>
      <c r="P450">
        <v>0</v>
      </c>
      <c r="Q450">
        <v>2</v>
      </c>
      <c r="R450" t="s">
        <v>117</v>
      </c>
      <c r="S450">
        <v>20</v>
      </c>
      <c r="T450">
        <v>0</v>
      </c>
      <c r="U450" t="s">
        <v>33</v>
      </c>
      <c r="V450" t="s">
        <v>121</v>
      </c>
    </row>
    <row r="451" spans="1:22" x14ac:dyDescent="0.25">
      <c r="A451" t="s">
        <v>109</v>
      </c>
      <c r="B451" s="3">
        <v>46012</v>
      </c>
      <c r="C451" t="s">
        <v>30</v>
      </c>
      <c r="D451">
        <v>32</v>
      </c>
      <c r="E451" t="s">
        <v>38</v>
      </c>
      <c r="F451" t="s">
        <v>43</v>
      </c>
      <c r="G451">
        <v>1</v>
      </c>
      <c r="H451">
        <v>4</v>
      </c>
      <c r="I451">
        <v>3</v>
      </c>
      <c r="J451">
        <v>37</v>
      </c>
      <c r="K451">
        <v>32</v>
      </c>
      <c r="N451">
        <v>0</v>
      </c>
      <c r="O451">
        <v>2</v>
      </c>
      <c r="P451">
        <v>0</v>
      </c>
      <c r="Q451">
        <v>3</v>
      </c>
      <c r="R451" t="s">
        <v>104</v>
      </c>
      <c r="S451">
        <v>27</v>
      </c>
      <c r="T451">
        <v>1</v>
      </c>
      <c r="U451" t="s">
        <v>33</v>
      </c>
      <c r="V451" t="s">
        <v>121</v>
      </c>
    </row>
    <row r="452" spans="1:22" x14ac:dyDescent="0.25">
      <c r="A452" t="s">
        <v>109</v>
      </c>
      <c r="B452" s="3">
        <v>46012</v>
      </c>
      <c r="C452" t="s">
        <v>30</v>
      </c>
      <c r="D452">
        <v>32</v>
      </c>
      <c r="E452" t="s">
        <v>39</v>
      </c>
      <c r="F452" t="s">
        <v>31</v>
      </c>
      <c r="G452">
        <v>1</v>
      </c>
      <c r="H452">
        <v>1</v>
      </c>
      <c r="I452">
        <v>2</v>
      </c>
      <c r="J452">
        <v>22</v>
      </c>
      <c r="K452">
        <v>31</v>
      </c>
      <c r="L452">
        <v>2.13</v>
      </c>
      <c r="M452">
        <v>2.1800000000000002</v>
      </c>
      <c r="N452">
        <v>0</v>
      </c>
      <c r="O452">
        <v>6</v>
      </c>
      <c r="P452">
        <v>1</v>
      </c>
      <c r="Q452">
        <v>3</v>
      </c>
      <c r="R452" t="s">
        <v>105</v>
      </c>
      <c r="S452">
        <v>28</v>
      </c>
      <c r="T452">
        <v>0</v>
      </c>
      <c r="U452" t="s">
        <v>35</v>
      </c>
      <c r="V452" t="s">
        <v>121</v>
      </c>
    </row>
    <row r="453" spans="1:22" x14ac:dyDescent="0.25">
      <c r="A453" t="s">
        <v>109</v>
      </c>
      <c r="B453" s="3">
        <v>46012</v>
      </c>
      <c r="C453" t="s">
        <v>30</v>
      </c>
      <c r="D453">
        <v>32</v>
      </c>
      <c r="E453" t="s">
        <v>45</v>
      </c>
      <c r="F453" t="s">
        <v>46</v>
      </c>
      <c r="G453">
        <v>0</v>
      </c>
      <c r="H453">
        <v>6</v>
      </c>
      <c r="I453">
        <v>3</v>
      </c>
      <c r="J453">
        <v>21</v>
      </c>
      <c r="K453">
        <v>43</v>
      </c>
      <c r="L453">
        <v>2.35</v>
      </c>
      <c r="M453">
        <v>2.4900000000000002</v>
      </c>
      <c r="N453">
        <v>3</v>
      </c>
      <c r="O453">
        <v>3</v>
      </c>
      <c r="P453">
        <v>2</v>
      </c>
      <c r="Q453">
        <v>6</v>
      </c>
      <c r="R453" t="s">
        <v>148</v>
      </c>
      <c r="S453">
        <v>39</v>
      </c>
      <c r="T453">
        <v>0</v>
      </c>
      <c r="U453" t="s">
        <v>33</v>
      </c>
      <c r="V453" t="s">
        <v>121</v>
      </c>
    </row>
    <row r="454" spans="1:22" x14ac:dyDescent="0.25">
      <c r="A454" t="s">
        <v>109</v>
      </c>
      <c r="B454" s="3">
        <v>46014</v>
      </c>
      <c r="C454" t="s">
        <v>30</v>
      </c>
      <c r="D454">
        <v>33</v>
      </c>
      <c r="E454" t="s">
        <v>31</v>
      </c>
      <c r="F454" t="s">
        <v>40</v>
      </c>
      <c r="G454">
        <v>0</v>
      </c>
      <c r="H454">
        <v>1</v>
      </c>
      <c r="I454">
        <v>0</v>
      </c>
      <c r="J454">
        <v>25</v>
      </c>
      <c r="K454">
        <v>27</v>
      </c>
      <c r="L454">
        <v>2.4900000000000002</v>
      </c>
      <c r="M454">
        <v>2.0099999999999998</v>
      </c>
      <c r="N454">
        <v>1</v>
      </c>
      <c r="O454" s="4">
        <v>5</v>
      </c>
      <c r="P454">
        <v>0</v>
      </c>
      <c r="Q454" s="5">
        <v>4</v>
      </c>
      <c r="R454" t="s">
        <v>47</v>
      </c>
      <c r="S454" s="4">
        <v>27</v>
      </c>
      <c r="T454">
        <v>0</v>
      </c>
      <c r="U454" t="s">
        <v>33</v>
      </c>
      <c r="V454" t="s">
        <v>121</v>
      </c>
    </row>
    <row r="455" spans="1:22" x14ac:dyDescent="0.25">
      <c r="A455" t="s">
        <v>109</v>
      </c>
      <c r="B455" s="3">
        <v>46014</v>
      </c>
      <c r="C455" t="s">
        <v>30</v>
      </c>
      <c r="D455">
        <v>33</v>
      </c>
      <c r="E455" t="s">
        <v>46</v>
      </c>
      <c r="F455" t="s">
        <v>38</v>
      </c>
      <c r="G455">
        <v>1</v>
      </c>
      <c r="H455">
        <v>7</v>
      </c>
      <c r="I455">
        <v>2</v>
      </c>
      <c r="J455">
        <v>44</v>
      </c>
      <c r="K455">
        <v>21</v>
      </c>
      <c r="L455">
        <v>4.2699999999999996</v>
      </c>
      <c r="M455">
        <v>1.66</v>
      </c>
      <c r="N455">
        <v>1</v>
      </c>
      <c r="O455" s="5">
        <v>3</v>
      </c>
      <c r="P455">
        <v>0</v>
      </c>
      <c r="Q455" s="5">
        <v>2</v>
      </c>
      <c r="R455" t="s">
        <v>140</v>
      </c>
      <c r="S455" s="4">
        <v>19</v>
      </c>
      <c r="T455">
        <v>0</v>
      </c>
      <c r="U455" t="s">
        <v>33</v>
      </c>
      <c r="V455" t="s">
        <v>121</v>
      </c>
    </row>
    <row r="456" spans="1:22" x14ac:dyDescent="0.25">
      <c r="A456" t="s">
        <v>109</v>
      </c>
      <c r="B456" s="3">
        <v>46014</v>
      </c>
      <c r="C456" t="s">
        <v>30</v>
      </c>
      <c r="D456">
        <v>33</v>
      </c>
      <c r="E456" t="s">
        <v>42</v>
      </c>
      <c r="F456" t="s">
        <v>39</v>
      </c>
      <c r="G456">
        <v>1</v>
      </c>
      <c r="H456">
        <v>3</v>
      </c>
      <c r="I456">
        <v>2</v>
      </c>
      <c r="J456">
        <v>25</v>
      </c>
      <c r="K456">
        <v>31</v>
      </c>
      <c r="L456">
        <v>2.34</v>
      </c>
      <c r="M456">
        <v>2.5299999999999998</v>
      </c>
      <c r="N456">
        <v>0</v>
      </c>
      <c r="O456">
        <v>3</v>
      </c>
      <c r="P456">
        <v>1</v>
      </c>
      <c r="Q456">
        <v>2</v>
      </c>
      <c r="R456" t="s">
        <v>144</v>
      </c>
      <c r="S456">
        <v>29</v>
      </c>
      <c r="T456">
        <v>1</v>
      </c>
      <c r="U456" t="s">
        <v>33</v>
      </c>
      <c r="V456" t="s">
        <v>121</v>
      </c>
    </row>
    <row r="457" spans="1:22" x14ac:dyDescent="0.25">
      <c r="A457" t="s">
        <v>109</v>
      </c>
      <c r="B457" s="3">
        <v>46014</v>
      </c>
      <c r="C457" t="s">
        <v>30</v>
      </c>
      <c r="D457">
        <v>3</v>
      </c>
      <c r="E457" t="s">
        <v>136</v>
      </c>
      <c r="F457" t="s">
        <v>44</v>
      </c>
      <c r="G457">
        <v>0</v>
      </c>
      <c r="H457">
        <v>0</v>
      </c>
      <c r="I457">
        <v>1</v>
      </c>
      <c r="J457">
        <v>25</v>
      </c>
      <c r="K457">
        <v>25</v>
      </c>
      <c r="N457">
        <v>0</v>
      </c>
      <c r="O457">
        <v>4</v>
      </c>
      <c r="P457">
        <v>0</v>
      </c>
      <c r="Q457">
        <v>6</v>
      </c>
      <c r="R457" t="s">
        <v>111</v>
      </c>
      <c r="S457">
        <v>24</v>
      </c>
      <c r="T457">
        <v>0</v>
      </c>
      <c r="U457" t="s">
        <v>35</v>
      </c>
      <c r="V457" t="s">
        <v>121</v>
      </c>
    </row>
    <row r="458" spans="1:22" x14ac:dyDescent="0.25">
      <c r="A458" t="s">
        <v>109</v>
      </c>
      <c r="B458" s="3">
        <v>46014</v>
      </c>
      <c r="C458" t="s">
        <v>30</v>
      </c>
      <c r="D458">
        <v>33</v>
      </c>
      <c r="E458" t="s">
        <v>40</v>
      </c>
      <c r="F458" t="s">
        <v>31</v>
      </c>
      <c r="G458">
        <v>1</v>
      </c>
      <c r="H458">
        <v>0</v>
      </c>
      <c r="I458">
        <v>1</v>
      </c>
      <c r="J458">
        <v>27</v>
      </c>
      <c r="K458">
        <v>25</v>
      </c>
      <c r="L458">
        <v>2.0099999999999998</v>
      </c>
      <c r="M458">
        <v>2.4900000000000002</v>
      </c>
      <c r="N458">
        <v>0</v>
      </c>
      <c r="O458">
        <v>4</v>
      </c>
      <c r="P458">
        <v>1</v>
      </c>
      <c r="Q458">
        <v>5</v>
      </c>
      <c r="R458" t="s">
        <v>119</v>
      </c>
      <c r="S458">
        <v>24</v>
      </c>
      <c r="T458">
        <v>0</v>
      </c>
      <c r="U458" t="s">
        <v>35</v>
      </c>
      <c r="V458" t="s">
        <v>121</v>
      </c>
    </row>
    <row r="459" spans="1:22" x14ac:dyDescent="0.25">
      <c r="A459" t="s">
        <v>109</v>
      </c>
      <c r="B459" s="3">
        <v>46014</v>
      </c>
      <c r="C459" t="s">
        <v>30</v>
      </c>
      <c r="D459">
        <v>3</v>
      </c>
      <c r="E459" t="s">
        <v>44</v>
      </c>
      <c r="F459" t="s">
        <v>136</v>
      </c>
      <c r="G459">
        <v>1</v>
      </c>
      <c r="H459">
        <v>1</v>
      </c>
      <c r="I459">
        <v>0</v>
      </c>
      <c r="J459">
        <v>25</v>
      </c>
      <c r="K459">
        <v>25</v>
      </c>
      <c r="N459">
        <v>0</v>
      </c>
      <c r="O459">
        <v>6</v>
      </c>
      <c r="P459">
        <v>0</v>
      </c>
      <c r="Q459">
        <v>4</v>
      </c>
      <c r="R459" t="s">
        <v>150</v>
      </c>
      <c r="S459">
        <v>25</v>
      </c>
      <c r="T459">
        <v>0</v>
      </c>
      <c r="U459" t="s">
        <v>33</v>
      </c>
      <c r="V459" t="s">
        <v>121</v>
      </c>
    </row>
    <row r="460" spans="1:22" x14ac:dyDescent="0.25">
      <c r="A460" t="s">
        <v>109</v>
      </c>
      <c r="B460" s="3">
        <v>46014</v>
      </c>
      <c r="C460" t="s">
        <v>30</v>
      </c>
      <c r="D460">
        <v>33</v>
      </c>
      <c r="E460" t="s">
        <v>137</v>
      </c>
      <c r="F460" t="s">
        <v>45</v>
      </c>
      <c r="G460">
        <v>0</v>
      </c>
      <c r="H460">
        <v>1</v>
      </c>
      <c r="I460">
        <v>4</v>
      </c>
      <c r="J460">
        <v>30</v>
      </c>
      <c r="K460">
        <v>18</v>
      </c>
      <c r="N460">
        <v>0</v>
      </c>
      <c r="O460">
        <v>2</v>
      </c>
      <c r="P460">
        <v>1</v>
      </c>
      <c r="Q460">
        <v>4</v>
      </c>
      <c r="R460" t="s">
        <v>115</v>
      </c>
      <c r="S460">
        <v>14</v>
      </c>
      <c r="T460">
        <v>0</v>
      </c>
      <c r="U460" t="s">
        <v>35</v>
      </c>
      <c r="V460" t="s">
        <v>121</v>
      </c>
    </row>
    <row r="461" spans="1:22" x14ac:dyDescent="0.25">
      <c r="A461" t="s">
        <v>109</v>
      </c>
      <c r="B461" s="3">
        <v>46014</v>
      </c>
      <c r="C461" t="s">
        <v>30</v>
      </c>
      <c r="D461">
        <v>33</v>
      </c>
      <c r="E461" t="s">
        <v>43</v>
      </c>
      <c r="F461" t="s">
        <v>36</v>
      </c>
      <c r="G461">
        <v>1</v>
      </c>
      <c r="H461">
        <v>6</v>
      </c>
      <c r="I461">
        <v>1</v>
      </c>
      <c r="J461">
        <v>26</v>
      </c>
      <c r="K461">
        <v>25</v>
      </c>
      <c r="N461">
        <v>0</v>
      </c>
      <c r="O461">
        <v>5</v>
      </c>
      <c r="P461">
        <v>0</v>
      </c>
      <c r="Q461">
        <v>4</v>
      </c>
      <c r="R461" t="s">
        <v>149</v>
      </c>
      <c r="S461">
        <v>24</v>
      </c>
      <c r="T461">
        <v>0</v>
      </c>
      <c r="U461" t="s">
        <v>33</v>
      </c>
      <c r="V461" t="s">
        <v>121</v>
      </c>
    </row>
    <row r="462" spans="1:22" x14ac:dyDescent="0.25">
      <c r="A462" t="s">
        <v>109</v>
      </c>
      <c r="B462" s="3">
        <v>46014</v>
      </c>
      <c r="C462" t="s">
        <v>30</v>
      </c>
      <c r="D462">
        <v>33</v>
      </c>
      <c r="E462" t="s">
        <v>36</v>
      </c>
      <c r="F462" t="s">
        <v>43</v>
      </c>
      <c r="G462">
        <v>0</v>
      </c>
      <c r="H462">
        <v>1</v>
      </c>
      <c r="I462">
        <v>6</v>
      </c>
      <c r="J462">
        <v>25</v>
      </c>
      <c r="K462">
        <v>26</v>
      </c>
      <c r="N462">
        <v>0</v>
      </c>
      <c r="O462">
        <v>4</v>
      </c>
      <c r="P462">
        <v>0</v>
      </c>
      <c r="Q462">
        <v>5</v>
      </c>
      <c r="R462" t="s">
        <v>146</v>
      </c>
      <c r="S462">
        <v>20</v>
      </c>
      <c r="T462">
        <v>0</v>
      </c>
      <c r="U462" t="s">
        <v>35</v>
      </c>
      <c r="V462" t="s">
        <v>121</v>
      </c>
    </row>
    <row r="463" spans="1:22" x14ac:dyDescent="0.25">
      <c r="A463" t="s">
        <v>109</v>
      </c>
      <c r="B463" s="3">
        <v>46014</v>
      </c>
      <c r="C463" t="s">
        <v>30</v>
      </c>
      <c r="D463">
        <v>33</v>
      </c>
      <c r="E463" t="s">
        <v>38</v>
      </c>
      <c r="F463" t="s">
        <v>46</v>
      </c>
      <c r="G463">
        <v>0</v>
      </c>
      <c r="H463">
        <v>2</v>
      </c>
      <c r="I463">
        <v>7</v>
      </c>
      <c r="J463">
        <v>21</v>
      </c>
      <c r="K463">
        <v>44</v>
      </c>
      <c r="L463">
        <v>2.66</v>
      </c>
      <c r="M463">
        <v>4.2699999999999996</v>
      </c>
      <c r="N463">
        <v>0</v>
      </c>
      <c r="O463">
        <v>2</v>
      </c>
      <c r="P463">
        <v>1</v>
      </c>
      <c r="Q463">
        <v>3</v>
      </c>
      <c r="R463" t="s">
        <v>118</v>
      </c>
      <c r="S463" s="4">
        <v>37</v>
      </c>
      <c r="T463">
        <v>0</v>
      </c>
      <c r="U463" t="s">
        <v>35</v>
      </c>
      <c r="V463" t="s">
        <v>121</v>
      </c>
    </row>
    <row r="464" spans="1:22" x14ac:dyDescent="0.25">
      <c r="A464" t="s">
        <v>109</v>
      </c>
      <c r="B464" s="3">
        <v>46014</v>
      </c>
      <c r="C464" t="s">
        <v>30</v>
      </c>
      <c r="D464">
        <v>33</v>
      </c>
      <c r="E464" t="s">
        <v>39</v>
      </c>
      <c r="F464" t="s">
        <v>42</v>
      </c>
      <c r="G464">
        <v>0</v>
      </c>
      <c r="H464">
        <v>2</v>
      </c>
      <c r="I464">
        <v>3</v>
      </c>
      <c r="J464">
        <v>31</v>
      </c>
      <c r="K464">
        <v>25</v>
      </c>
      <c r="L464">
        <v>2.5299999999999998</v>
      </c>
      <c r="M464">
        <v>2.34</v>
      </c>
      <c r="N464">
        <v>1</v>
      </c>
      <c r="O464">
        <v>2</v>
      </c>
      <c r="P464">
        <v>0</v>
      </c>
      <c r="Q464">
        <v>3</v>
      </c>
      <c r="R464" t="s">
        <v>105</v>
      </c>
      <c r="S464">
        <v>22</v>
      </c>
      <c r="T464">
        <v>1</v>
      </c>
      <c r="U464" t="s">
        <v>35</v>
      </c>
      <c r="V464" t="s">
        <v>121</v>
      </c>
    </row>
    <row r="465" spans="1:22" x14ac:dyDescent="0.25">
      <c r="A465" t="s">
        <v>109</v>
      </c>
      <c r="B465" s="3">
        <v>46014</v>
      </c>
      <c r="C465" t="s">
        <v>30</v>
      </c>
      <c r="D465">
        <v>33</v>
      </c>
      <c r="E465" t="s">
        <v>45</v>
      </c>
      <c r="F465" t="s">
        <v>137</v>
      </c>
      <c r="G465">
        <v>1</v>
      </c>
      <c r="H465">
        <v>4</v>
      </c>
      <c r="I465">
        <v>1</v>
      </c>
      <c r="J465">
        <v>18</v>
      </c>
      <c r="K465">
        <v>30</v>
      </c>
      <c r="N465">
        <v>1</v>
      </c>
      <c r="O465">
        <v>4</v>
      </c>
      <c r="P465">
        <v>0</v>
      </c>
      <c r="Q465">
        <v>2</v>
      </c>
      <c r="R465" t="s">
        <v>148</v>
      </c>
      <c r="S465">
        <v>29</v>
      </c>
      <c r="T465">
        <v>0</v>
      </c>
      <c r="U465" t="s">
        <v>33</v>
      </c>
      <c r="V465" t="s">
        <v>121</v>
      </c>
    </row>
    <row r="466" spans="1:22" x14ac:dyDescent="0.25">
      <c r="A466" t="s">
        <v>109</v>
      </c>
      <c r="B466" s="3">
        <v>46017</v>
      </c>
      <c r="C466" t="s">
        <v>30</v>
      </c>
      <c r="D466">
        <v>34</v>
      </c>
      <c r="E466" t="s">
        <v>31</v>
      </c>
      <c r="F466" t="s">
        <v>41</v>
      </c>
      <c r="G466">
        <v>1</v>
      </c>
      <c r="H466">
        <v>5</v>
      </c>
      <c r="I466">
        <v>3</v>
      </c>
      <c r="J466">
        <v>52</v>
      </c>
      <c r="K466">
        <v>17</v>
      </c>
      <c r="L466">
        <v>4.91</v>
      </c>
      <c r="M466">
        <v>1.61</v>
      </c>
      <c r="N466">
        <v>2</v>
      </c>
      <c r="O466" s="4">
        <v>5</v>
      </c>
      <c r="P466">
        <v>0</v>
      </c>
      <c r="Q466" s="5">
        <v>1</v>
      </c>
      <c r="R466" t="s">
        <v>34</v>
      </c>
      <c r="S466" s="7">
        <v>14</v>
      </c>
      <c r="T466">
        <v>0</v>
      </c>
      <c r="U466" t="s">
        <v>33</v>
      </c>
      <c r="V466" t="s">
        <v>121</v>
      </c>
    </row>
    <row r="467" spans="1:22" x14ac:dyDescent="0.25">
      <c r="A467" t="s">
        <v>109</v>
      </c>
      <c r="B467" s="3">
        <v>46017</v>
      </c>
      <c r="C467" t="s">
        <v>30</v>
      </c>
      <c r="D467">
        <v>34</v>
      </c>
      <c r="E467" t="s">
        <v>41</v>
      </c>
      <c r="F467" t="s">
        <v>31</v>
      </c>
      <c r="G467">
        <v>0</v>
      </c>
      <c r="H467">
        <v>3</v>
      </c>
      <c r="I467">
        <v>5</v>
      </c>
      <c r="J467">
        <v>17</v>
      </c>
      <c r="K467">
        <v>52</v>
      </c>
      <c r="L467">
        <v>1.61</v>
      </c>
      <c r="M467">
        <v>4.91</v>
      </c>
      <c r="N467">
        <v>0</v>
      </c>
      <c r="O467" s="5">
        <v>1</v>
      </c>
      <c r="P467">
        <v>2</v>
      </c>
      <c r="Q467" s="5">
        <v>5</v>
      </c>
      <c r="R467" t="s">
        <v>110</v>
      </c>
      <c r="S467" s="4">
        <v>47</v>
      </c>
      <c r="T467">
        <v>0</v>
      </c>
      <c r="U467" t="s">
        <v>35</v>
      </c>
      <c r="V467" t="s">
        <v>121</v>
      </c>
    </row>
    <row r="468" spans="1:22" x14ac:dyDescent="0.25">
      <c r="A468" t="s">
        <v>109</v>
      </c>
      <c r="B468" s="3">
        <v>46017</v>
      </c>
      <c r="C468" t="s">
        <v>30</v>
      </c>
      <c r="D468">
        <v>34</v>
      </c>
      <c r="E468" t="s">
        <v>42</v>
      </c>
      <c r="F468" t="s">
        <v>136</v>
      </c>
      <c r="G468">
        <v>0</v>
      </c>
      <c r="H468">
        <v>2</v>
      </c>
      <c r="I468">
        <v>3</v>
      </c>
      <c r="J468">
        <v>27</v>
      </c>
      <c r="K468">
        <v>35</v>
      </c>
      <c r="L468">
        <v>3.44</v>
      </c>
      <c r="M468">
        <v>2.79</v>
      </c>
      <c r="N468">
        <v>1</v>
      </c>
      <c r="O468">
        <v>5</v>
      </c>
      <c r="P468">
        <v>1</v>
      </c>
      <c r="Q468">
        <v>4</v>
      </c>
      <c r="R468" t="s">
        <v>144</v>
      </c>
      <c r="S468">
        <v>25</v>
      </c>
      <c r="T468">
        <v>1</v>
      </c>
      <c r="U468" t="s">
        <v>35</v>
      </c>
      <c r="V468" t="s">
        <v>121</v>
      </c>
    </row>
    <row r="469" spans="1:22" x14ac:dyDescent="0.25">
      <c r="A469" t="s">
        <v>109</v>
      </c>
      <c r="B469" s="3">
        <v>46017</v>
      </c>
      <c r="C469" t="s">
        <v>30</v>
      </c>
      <c r="D469">
        <v>34</v>
      </c>
      <c r="E469" t="s">
        <v>136</v>
      </c>
      <c r="F469" t="s">
        <v>42</v>
      </c>
      <c r="G469">
        <v>1</v>
      </c>
      <c r="H469">
        <v>3</v>
      </c>
      <c r="I469">
        <v>2</v>
      </c>
      <c r="J469">
        <v>35</v>
      </c>
      <c r="K469">
        <v>27</v>
      </c>
      <c r="L469">
        <v>2.79</v>
      </c>
      <c r="M469">
        <v>3.44</v>
      </c>
      <c r="N469">
        <v>1</v>
      </c>
      <c r="O469">
        <v>4</v>
      </c>
      <c r="P469">
        <v>1</v>
      </c>
      <c r="Q469">
        <v>5</v>
      </c>
      <c r="R469" t="s">
        <v>111</v>
      </c>
      <c r="S469">
        <v>33</v>
      </c>
      <c r="T469">
        <v>1</v>
      </c>
      <c r="U469" t="s">
        <v>33</v>
      </c>
      <c r="V469" t="s">
        <v>121</v>
      </c>
    </row>
    <row r="470" spans="1:22" x14ac:dyDescent="0.25">
      <c r="A470" t="s">
        <v>109</v>
      </c>
      <c r="B470" s="3">
        <v>46017</v>
      </c>
      <c r="C470" t="s">
        <v>30</v>
      </c>
      <c r="D470">
        <v>34</v>
      </c>
      <c r="E470" t="s">
        <v>40</v>
      </c>
      <c r="F470" t="s">
        <v>39</v>
      </c>
      <c r="G470">
        <v>0</v>
      </c>
      <c r="H470">
        <v>0</v>
      </c>
      <c r="I470">
        <v>3</v>
      </c>
      <c r="J470">
        <v>21</v>
      </c>
      <c r="K470">
        <v>29</v>
      </c>
      <c r="N470">
        <v>0</v>
      </c>
      <c r="O470">
        <v>3</v>
      </c>
      <c r="P470">
        <v>0</v>
      </c>
      <c r="Q470">
        <v>4</v>
      </c>
      <c r="R470" t="s">
        <v>119</v>
      </c>
      <c r="S470">
        <v>26</v>
      </c>
      <c r="T470">
        <v>0</v>
      </c>
      <c r="U470" t="s">
        <v>35</v>
      </c>
      <c r="V470" t="s">
        <v>121</v>
      </c>
    </row>
    <row r="471" spans="1:22" x14ac:dyDescent="0.25">
      <c r="A471" t="s">
        <v>109</v>
      </c>
      <c r="B471" s="3">
        <v>46017</v>
      </c>
      <c r="C471" t="s">
        <v>30</v>
      </c>
      <c r="D471">
        <v>34</v>
      </c>
      <c r="E471" t="s">
        <v>44</v>
      </c>
      <c r="F471" t="s">
        <v>137</v>
      </c>
      <c r="G471">
        <v>0</v>
      </c>
      <c r="H471">
        <v>3</v>
      </c>
      <c r="I471">
        <v>2</v>
      </c>
      <c r="J471">
        <v>32</v>
      </c>
      <c r="K471">
        <v>37</v>
      </c>
      <c r="N471">
        <v>1</v>
      </c>
      <c r="O471">
        <v>4</v>
      </c>
      <c r="P471">
        <v>0</v>
      </c>
      <c r="Q471">
        <v>4</v>
      </c>
      <c r="R471" t="s">
        <v>147</v>
      </c>
      <c r="S471">
        <v>35</v>
      </c>
      <c r="T471">
        <v>0</v>
      </c>
      <c r="U471" t="s">
        <v>33</v>
      </c>
      <c r="V471" t="s">
        <v>121</v>
      </c>
    </row>
    <row r="472" spans="1:22" x14ac:dyDescent="0.25">
      <c r="A472" t="s">
        <v>109</v>
      </c>
      <c r="B472" s="3">
        <v>46017</v>
      </c>
      <c r="C472" t="s">
        <v>30</v>
      </c>
      <c r="D472">
        <v>34</v>
      </c>
      <c r="E472" t="s">
        <v>137</v>
      </c>
      <c r="F472" t="s">
        <v>44</v>
      </c>
      <c r="G472">
        <v>1</v>
      </c>
      <c r="H472">
        <v>2</v>
      </c>
      <c r="I472">
        <v>3</v>
      </c>
      <c r="J472">
        <v>37</v>
      </c>
      <c r="K472">
        <v>32</v>
      </c>
      <c r="N472">
        <v>0</v>
      </c>
      <c r="O472">
        <v>4</v>
      </c>
      <c r="P472">
        <v>1</v>
      </c>
      <c r="Q472">
        <v>4</v>
      </c>
      <c r="R472" t="s">
        <v>100</v>
      </c>
      <c r="S472">
        <v>29</v>
      </c>
      <c r="T472">
        <v>0</v>
      </c>
      <c r="U472" t="s">
        <v>35</v>
      </c>
      <c r="V472" t="s">
        <v>121</v>
      </c>
    </row>
    <row r="473" spans="1:22" x14ac:dyDescent="0.25">
      <c r="A473" t="s">
        <v>109</v>
      </c>
      <c r="B473" s="3">
        <v>46017</v>
      </c>
      <c r="C473" t="s">
        <v>30</v>
      </c>
      <c r="D473">
        <v>34</v>
      </c>
      <c r="E473" t="s">
        <v>43</v>
      </c>
      <c r="F473" t="s">
        <v>32</v>
      </c>
      <c r="G473">
        <v>0</v>
      </c>
      <c r="H473">
        <v>3</v>
      </c>
      <c r="I473">
        <v>2</v>
      </c>
      <c r="J473">
        <v>23</v>
      </c>
      <c r="K473">
        <v>26</v>
      </c>
      <c r="N473">
        <v>1</v>
      </c>
      <c r="O473">
        <v>6</v>
      </c>
      <c r="P473">
        <v>2</v>
      </c>
      <c r="Q473">
        <v>8</v>
      </c>
      <c r="R473" t="s">
        <v>149</v>
      </c>
      <c r="S473">
        <v>24</v>
      </c>
      <c r="T473">
        <v>0</v>
      </c>
      <c r="U473" t="s">
        <v>33</v>
      </c>
      <c r="V473" t="s">
        <v>121</v>
      </c>
    </row>
    <row r="474" spans="1:22" x14ac:dyDescent="0.25">
      <c r="A474" t="s">
        <v>109</v>
      </c>
      <c r="B474" s="3">
        <v>46017</v>
      </c>
      <c r="C474" t="s">
        <v>30</v>
      </c>
      <c r="D474">
        <v>34</v>
      </c>
      <c r="E474" t="s">
        <v>32</v>
      </c>
      <c r="F474" t="s">
        <v>43</v>
      </c>
      <c r="G474">
        <v>1</v>
      </c>
      <c r="H474">
        <v>2</v>
      </c>
      <c r="I474">
        <v>3</v>
      </c>
      <c r="J474">
        <v>26</v>
      </c>
      <c r="K474">
        <v>23</v>
      </c>
      <c r="N474">
        <v>2</v>
      </c>
      <c r="O474">
        <v>8</v>
      </c>
      <c r="P474">
        <v>1</v>
      </c>
      <c r="Q474">
        <v>6</v>
      </c>
      <c r="R474" t="s">
        <v>117</v>
      </c>
      <c r="S474">
        <v>20</v>
      </c>
      <c r="T474">
        <v>0</v>
      </c>
      <c r="U474" t="s">
        <v>35</v>
      </c>
      <c r="V474" t="s">
        <v>121</v>
      </c>
    </row>
    <row r="475" spans="1:22" x14ac:dyDescent="0.25">
      <c r="A475" t="s">
        <v>109</v>
      </c>
      <c r="B475" s="3">
        <v>46017</v>
      </c>
      <c r="C475" t="s">
        <v>30</v>
      </c>
      <c r="D475">
        <v>34</v>
      </c>
      <c r="E475" t="s">
        <v>38</v>
      </c>
      <c r="F475" t="s">
        <v>45</v>
      </c>
      <c r="G475">
        <v>1</v>
      </c>
      <c r="H475">
        <v>0</v>
      </c>
      <c r="I475">
        <v>6</v>
      </c>
      <c r="J475">
        <v>25</v>
      </c>
      <c r="K475">
        <v>33</v>
      </c>
      <c r="N475">
        <v>0</v>
      </c>
      <c r="O475">
        <v>1</v>
      </c>
      <c r="P475">
        <v>1</v>
      </c>
      <c r="Q475">
        <v>3</v>
      </c>
      <c r="R475" t="s">
        <v>104</v>
      </c>
      <c r="S475">
        <v>27</v>
      </c>
      <c r="T475">
        <v>0</v>
      </c>
      <c r="U475" t="s">
        <v>35</v>
      </c>
      <c r="V475" t="s">
        <v>121</v>
      </c>
    </row>
    <row r="476" spans="1:22" x14ac:dyDescent="0.25">
      <c r="A476" t="s">
        <v>109</v>
      </c>
      <c r="B476" s="3">
        <v>46017</v>
      </c>
      <c r="C476" t="s">
        <v>30</v>
      </c>
      <c r="D476">
        <v>34</v>
      </c>
      <c r="E476" t="s">
        <v>39</v>
      </c>
      <c r="F476" t="s">
        <v>40</v>
      </c>
      <c r="G476">
        <v>1</v>
      </c>
      <c r="H476">
        <v>3</v>
      </c>
      <c r="I476">
        <v>0</v>
      </c>
      <c r="J476">
        <v>29</v>
      </c>
      <c r="K476">
        <v>21</v>
      </c>
      <c r="N476">
        <v>0</v>
      </c>
      <c r="O476">
        <v>4</v>
      </c>
      <c r="P476">
        <v>0</v>
      </c>
      <c r="Q476">
        <v>3</v>
      </c>
      <c r="R476" t="s">
        <v>105</v>
      </c>
      <c r="S476">
        <v>21</v>
      </c>
      <c r="T476">
        <v>0</v>
      </c>
      <c r="U476" t="s">
        <v>33</v>
      </c>
      <c r="V476" t="s">
        <v>121</v>
      </c>
    </row>
    <row r="477" spans="1:22" x14ac:dyDescent="0.25">
      <c r="A477" t="s">
        <v>109</v>
      </c>
      <c r="B477" s="3">
        <v>46017</v>
      </c>
      <c r="C477" t="s">
        <v>30</v>
      </c>
      <c r="D477">
        <v>34</v>
      </c>
      <c r="E477" t="s">
        <v>45</v>
      </c>
      <c r="F477" t="s">
        <v>38</v>
      </c>
      <c r="G477">
        <v>0</v>
      </c>
      <c r="H477">
        <v>6</v>
      </c>
      <c r="I477">
        <v>0</v>
      </c>
      <c r="J477">
        <v>33</v>
      </c>
      <c r="K477">
        <v>25</v>
      </c>
      <c r="N477">
        <v>1</v>
      </c>
      <c r="O477">
        <v>3</v>
      </c>
      <c r="P477">
        <v>0</v>
      </c>
      <c r="Q477">
        <v>1</v>
      </c>
      <c r="R477" t="s">
        <v>148</v>
      </c>
      <c r="S477">
        <v>25</v>
      </c>
      <c r="T477">
        <v>0</v>
      </c>
      <c r="U477" t="s">
        <v>33</v>
      </c>
      <c r="V477" t="s">
        <v>121</v>
      </c>
    </row>
    <row r="478" spans="1:22" x14ac:dyDescent="0.25">
      <c r="A478" t="s">
        <v>109</v>
      </c>
      <c r="B478" s="3">
        <v>46019</v>
      </c>
      <c r="C478" t="s">
        <v>30</v>
      </c>
      <c r="D478">
        <v>35</v>
      </c>
      <c r="E478" t="s">
        <v>31</v>
      </c>
      <c r="F478" t="s">
        <v>42</v>
      </c>
      <c r="G478">
        <v>0</v>
      </c>
      <c r="H478">
        <v>4</v>
      </c>
      <c r="I478">
        <v>1</v>
      </c>
      <c r="J478">
        <v>27</v>
      </c>
      <c r="K478">
        <v>32</v>
      </c>
      <c r="L478">
        <v>3.32</v>
      </c>
      <c r="M478">
        <v>1.93</v>
      </c>
      <c r="N478">
        <v>1</v>
      </c>
      <c r="O478" s="5">
        <v>4</v>
      </c>
      <c r="P478">
        <v>0</v>
      </c>
      <c r="Q478" s="5">
        <v>5</v>
      </c>
      <c r="R478" t="s">
        <v>34</v>
      </c>
      <c r="S478" s="4">
        <v>31</v>
      </c>
      <c r="T478">
        <v>0</v>
      </c>
      <c r="U478" t="s">
        <v>33</v>
      </c>
      <c r="V478" t="s">
        <v>121</v>
      </c>
    </row>
    <row r="479" spans="1:22" x14ac:dyDescent="0.25">
      <c r="A479" t="s">
        <v>109</v>
      </c>
      <c r="B479" s="3">
        <v>46019</v>
      </c>
      <c r="C479" t="s">
        <v>30</v>
      </c>
      <c r="D479">
        <v>35</v>
      </c>
      <c r="E479" t="s">
        <v>41</v>
      </c>
      <c r="F479" t="s">
        <v>40</v>
      </c>
      <c r="G479">
        <v>1</v>
      </c>
      <c r="H479">
        <v>3</v>
      </c>
      <c r="I479">
        <v>1</v>
      </c>
      <c r="J479">
        <v>37</v>
      </c>
      <c r="K479">
        <v>29</v>
      </c>
      <c r="L479">
        <v>5.18</v>
      </c>
      <c r="M479">
        <v>2.82</v>
      </c>
      <c r="N479">
        <v>1</v>
      </c>
      <c r="O479" s="5">
        <v>7</v>
      </c>
      <c r="P479">
        <v>1</v>
      </c>
      <c r="Q479" s="5">
        <v>3</v>
      </c>
      <c r="R479" t="s">
        <v>110</v>
      </c>
      <c r="S479" s="4">
        <v>28</v>
      </c>
      <c r="T479">
        <v>0</v>
      </c>
      <c r="U479" t="s">
        <v>33</v>
      </c>
      <c r="V479" t="s">
        <v>121</v>
      </c>
    </row>
    <row r="480" spans="1:22" x14ac:dyDescent="0.25">
      <c r="A480" t="s">
        <v>109</v>
      </c>
      <c r="B480" s="3">
        <v>46019</v>
      </c>
      <c r="C480" t="s">
        <v>30</v>
      </c>
      <c r="D480">
        <v>35</v>
      </c>
      <c r="E480" t="s">
        <v>42</v>
      </c>
      <c r="F480" t="s">
        <v>31</v>
      </c>
      <c r="G480">
        <v>1</v>
      </c>
      <c r="H480">
        <v>1</v>
      </c>
      <c r="I480">
        <v>4</v>
      </c>
      <c r="J480">
        <v>32</v>
      </c>
      <c r="K480">
        <v>27</v>
      </c>
      <c r="L480">
        <v>1.93</v>
      </c>
      <c r="M480">
        <v>3.32</v>
      </c>
      <c r="N480">
        <v>0</v>
      </c>
      <c r="O480" s="5">
        <v>5</v>
      </c>
      <c r="P480">
        <v>1</v>
      </c>
      <c r="Q480" s="5">
        <v>4</v>
      </c>
      <c r="R480" t="s">
        <v>144</v>
      </c>
      <c r="S480" s="4">
        <v>23</v>
      </c>
      <c r="T480">
        <v>0</v>
      </c>
      <c r="U480" t="s">
        <v>35</v>
      </c>
      <c r="V480" t="s">
        <v>121</v>
      </c>
    </row>
    <row r="481" spans="1:22" x14ac:dyDescent="0.25">
      <c r="A481" t="s">
        <v>109</v>
      </c>
      <c r="B481" s="3">
        <v>46019</v>
      </c>
      <c r="C481" t="s">
        <v>30</v>
      </c>
      <c r="D481">
        <v>35</v>
      </c>
      <c r="E481" t="s">
        <v>136</v>
      </c>
      <c r="F481" t="s">
        <v>43</v>
      </c>
      <c r="G481">
        <v>0</v>
      </c>
      <c r="H481">
        <v>1</v>
      </c>
      <c r="I481">
        <v>4</v>
      </c>
      <c r="J481">
        <v>34</v>
      </c>
      <c r="K481">
        <v>29</v>
      </c>
      <c r="N481">
        <v>0</v>
      </c>
      <c r="O481">
        <v>5</v>
      </c>
      <c r="P481">
        <v>1</v>
      </c>
      <c r="Q481">
        <v>7</v>
      </c>
      <c r="R481" t="s">
        <v>111</v>
      </c>
      <c r="S481">
        <v>25</v>
      </c>
      <c r="T481">
        <v>0</v>
      </c>
      <c r="U481" t="s">
        <v>35</v>
      </c>
      <c r="V481" t="s">
        <v>121</v>
      </c>
    </row>
    <row r="482" spans="1:22" x14ac:dyDescent="0.25">
      <c r="A482" t="s">
        <v>109</v>
      </c>
      <c r="B482" s="3">
        <v>46019</v>
      </c>
      <c r="C482" t="s">
        <v>30</v>
      </c>
      <c r="D482">
        <v>52</v>
      </c>
      <c r="E482" t="s">
        <v>40</v>
      </c>
      <c r="F482" t="s">
        <v>41</v>
      </c>
      <c r="G482">
        <v>0</v>
      </c>
      <c r="H482">
        <v>1</v>
      </c>
      <c r="I482">
        <v>3</v>
      </c>
      <c r="J482">
        <v>29</v>
      </c>
      <c r="K482">
        <v>37</v>
      </c>
      <c r="L482">
        <v>2.82</v>
      </c>
      <c r="M482">
        <v>5.18</v>
      </c>
      <c r="N482">
        <v>1</v>
      </c>
      <c r="O482">
        <v>3</v>
      </c>
      <c r="P482">
        <v>1</v>
      </c>
      <c r="Q482">
        <v>7</v>
      </c>
      <c r="R482" t="s">
        <v>107</v>
      </c>
      <c r="S482">
        <v>34</v>
      </c>
      <c r="T482">
        <v>0</v>
      </c>
      <c r="U482" t="s">
        <v>35</v>
      </c>
      <c r="V482" t="s">
        <v>121</v>
      </c>
    </row>
    <row r="483" spans="1:22" x14ac:dyDescent="0.25">
      <c r="A483" t="s">
        <v>109</v>
      </c>
      <c r="B483" s="3">
        <v>46019</v>
      </c>
      <c r="C483" t="s">
        <v>30</v>
      </c>
      <c r="D483">
        <v>35</v>
      </c>
      <c r="E483" t="s">
        <v>44</v>
      </c>
      <c r="F483" t="s">
        <v>39</v>
      </c>
      <c r="G483">
        <v>1</v>
      </c>
      <c r="H483">
        <v>1</v>
      </c>
      <c r="I483">
        <v>2</v>
      </c>
      <c r="J483">
        <v>24</v>
      </c>
      <c r="K483">
        <v>21</v>
      </c>
      <c r="N483">
        <v>0</v>
      </c>
      <c r="O483">
        <v>6</v>
      </c>
      <c r="P483">
        <v>0</v>
      </c>
      <c r="Q483">
        <v>3</v>
      </c>
      <c r="R483" t="s">
        <v>150</v>
      </c>
      <c r="S483">
        <v>19</v>
      </c>
      <c r="T483">
        <v>0</v>
      </c>
      <c r="U483" t="s">
        <v>35</v>
      </c>
      <c r="V483" t="s">
        <v>121</v>
      </c>
    </row>
    <row r="484" spans="1:22" x14ac:dyDescent="0.25">
      <c r="A484" t="s">
        <v>109</v>
      </c>
      <c r="B484" s="3">
        <v>46019</v>
      </c>
      <c r="C484" t="s">
        <v>30</v>
      </c>
      <c r="D484">
        <v>35</v>
      </c>
      <c r="E484" t="s">
        <v>43</v>
      </c>
      <c r="F484" t="s">
        <v>136</v>
      </c>
      <c r="G484">
        <v>1</v>
      </c>
      <c r="H484">
        <v>4</v>
      </c>
      <c r="I484">
        <v>1</v>
      </c>
      <c r="J484">
        <v>29</v>
      </c>
      <c r="K484">
        <v>34</v>
      </c>
      <c r="N484">
        <v>1</v>
      </c>
      <c r="O484">
        <v>7</v>
      </c>
      <c r="P484">
        <v>0</v>
      </c>
      <c r="Q484">
        <v>5</v>
      </c>
      <c r="R484" t="s">
        <v>149</v>
      </c>
      <c r="S484">
        <v>33</v>
      </c>
      <c r="T484">
        <v>0</v>
      </c>
      <c r="U484" t="s">
        <v>33</v>
      </c>
      <c r="V484" t="s">
        <v>121</v>
      </c>
    </row>
    <row r="485" spans="1:22" x14ac:dyDescent="0.25">
      <c r="A485" t="s">
        <v>109</v>
      </c>
      <c r="B485" s="3">
        <v>46019</v>
      </c>
      <c r="C485" t="s">
        <v>30</v>
      </c>
      <c r="D485">
        <v>35</v>
      </c>
      <c r="E485" t="s">
        <v>36</v>
      </c>
      <c r="F485" t="s">
        <v>38</v>
      </c>
      <c r="G485">
        <v>0</v>
      </c>
      <c r="H485">
        <v>5</v>
      </c>
      <c r="I485">
        <v>2</v>
      </c>
      <c r="J485">
        <v>29</v>
      </c>
      <c r="K485">
        <v>28</v>
      </c>
      <c r="N485">
        <v>2</v>
      </c>
      <c r="O485">
        <v>3</v>
      </c>
      <c r="P485">
        <v>1</v>
      </c>
      <c r="Q485">
        <v>3</v>
      </c>
      <c r="R485" t="s">
        <v>157</v>
      </c>
      <c r="S485">
        <v>26</v>
      </c>
      <c r="T485">
        <v>0</v>
      </c>
      <c r="U485" t="s">
        <v>33</v>
      </c>
      <c r="V485" t="s">
        <v>121</v>
      </c>
    </row>
    <row r="486" spans="1:22" x14ac:dyDescent="0.25">
      <c r="A486" t="s">
        <v>109</v>
      </c>
      <c r="B486" s="3">
        <v>46019</v>
      </c>
      <c r="C486" t="s">
        <v>30</v>
      </c>
      <c r="D486">
        <v>35</v>
      </c>
      <c r="E486" t="s">
        <v>32</v>
      </c>
      <c r="F486" t="s">
        <v>45</v>
      </c>
      <c r="G486">
        <v>0</v>
      </c>
      <c r="H486">
        <v>5</v>
      </c>
      <c r="I486">
        <v>3</v>
      </c>
      <c r="J486">
        <v>26</v>
      </c>
      <c r="K486">
        <v>28</v>
      </c>
      <c r="N486">
        <v>0</v>
      </c>
      <c r="O486">
        <v>2</v>
      </c>
      <c r="P486">
        <v>1</v>
      </c>
      <c r="Q486">
        <v>7</v>
      </c>
      <c r="R486" t="s">
        <v>117</v>
      </c>
      <c r="S486">
        <v>26</v>
      </c>
      <c r="T486">
        <v>0</v>
      </c>
      <c r="U486" t="s">
        <v>33</v>
      </c>
      <c r="V486" t="s">
        <v>121</v>
      </c>
    </row>
    <row r="487" spans="1:22" x14ac:dyDescent="0.25">
      <c r="A487" t="s">
        <v>109</v>
      </c>
      <c r="B487" s="3">
        <v>46019</v>
      </c>
      <c r="C487" t="s">
        <v>30</v>
      </c>
      <c r="D487">
        <v>35</v>
      </c>
      <c r="E487" t="s">
        <v>38</v>
      </c>
      <c r="F487" t="s">
        <v>36</v>
      </c>
      <c r="G487">
        <v>1</v>
      </c>
      <c r="H487">
        <v>2</v>
      </c>
      <c r="I487">
        <v>5</v>
      </c>
      <c r="J487">
        <v>28</v>
      </c>
      <c r="K487">
        <v>29</v>
      </c>
      <c r="N487">
        <v>1</v>
      </c>
      <c r="O487">
        <v>3</v>
      </c>
      <c r="P487">
        <v>2</v>
      </c>
      <c r="Q487">
        <v>3</v>
      </c>
      <c r="R487" t="s">
        <v>104</v>
      </c>
      <c r="S487">
        <v>24</v>
      </c>
      <c r="T487">
        <v>0</v>
      </c>
      <c r="U487" t="s">
        <v>35</v>
      </c>
      <c r="V487" t="s">
        <v>121</v>
      </c>
    </row>
    <row r="488" spans="1:22" x14ac:dyDescent="0.25">
      <c r="A488" t="s">
        <v>109</v>
      </c>
      <c r="B488" s="3">
        <v>46019</v>
      </c>
      <c r="C488" t="s">
        <v>30</v>
      </c>
      <c r="D488">
        <v>35</v>
      </c>
      <c r="E488" t="s">
        <v>39</v>
      </c>
      <c r="F488" t="s">
        <v>44</v>
      </c>
      <c r="G488">
        <v>0</v>
      </c>
      <c r="H488">
        <v>2</v>
      </c>
      <c r="I488">
        <v>1</v>
      </c>
      <c r="J488">
        <v>21</v>
      </c>
      <c r="K488">
        <v>24</v>
      </c>
      <c r="N488">
        <v>0</v>
      </c>
      <c r="O488">
        <v>3</v>
      </c>
      <c r="P488">
        <v>0</v>
      </c>
      <c r="Q488">
        <v>6</v>
      </c>
      <c r="R488" t="s">
        <v>105</v>
      </c>
      <c r="S488">
        <v>23</v>
      </c>
      <c r="T488">
        <v>0</v>
      </c>
      <c r="U488" t="s">
        <v>33</v>
      </c>
      <c r="V488" t="s">
        <v>121</v>
      </c>
    </row>
    <row r="489" spans="1:22" x14ac:dyDescent="0.25">
      <c r="A489" t="s">
        <v>109</v>
      </c>
      <c r="B489" s="3">
        <v>46019</v>
      </c>
      <c r="C489" t="s">
        <v>30</v>
      </c>
      <c r="D489">
        <v>35</v>
      </c>
      <c r="E489" t="s">
        <v>45</v>
      </c>
      <c r="F489" t="s">
        <v>32</v>
      </c>
      <c r="G489">
        <v>1</v>
      </c>
      <c r="H489">
        <v>3</v>
      </c>
      <c r="I489">
        <v>5</v>
      </c>
      <c r="J489">
        <v>28</v>
      </c>
      <c r="K489">
        <v>26</v>
      </c>
      <c r="N489">
        <v>1</v>
      </c>
      <c r="O489">
        <v>7</v>
      </c>
      <c r="P489">
        <v>0</v>
      </c>
      <c r="Q489">
        <v>2</v>
      </c>
      <c r="R489" t="s">
        <v>148</v>
      </c>
      <c r="S489">
        <v>21</v>
      </c>
      <c r="T489">
        <v>0</v>
      </c>
      <c r="U489" t="s">
        <v>35</v>
      </c>
      <c r="V489" t="s">
        <v>121</v>
      </c>
    </row>
    <row r="490" spans="1:22" x14ac:dyDescent="0.25">
      <c r="A490" t="s">
        <v>109</v>
      </c>
      <c r="B490" s="3">
        <v>46021</v>
      </c>
      <c r="C490" t="s">
        <v>30</v>
      </c>
      <c r="D490">
        <v>36</v>
      </c>
      <c r="E490" t="s">
        <v>31</v>
      </c>
      <c r="F490" t="s">
        <v>43</v>
      </c>
      <c r="G490">
        <v>1</v>
      </c>
      <c r="H490">
        <v>3</v>
      </c>
      <c r="I490">
        <v>2</v>
      </c>
      <c r="J490">
        <v>42</v>
      </c>
      <c r="K490">
        <v>27</v>
      </c>
      <c r="L490">
        <v>2.86</v>
      </c>
      <c r="M490">
        <v>1.76</v>
      </c>
      <c r="N490">
        <v>2</v>
      </c>
      <c r="O490" s="4">
        <v>5</v>
      </c>
      <c r="P490">
        <v>0</v>
      </c>
      <c r="Q490" s="5">
        <v>3</v>
      </c>
      <c r="R490" t="s">
        <v>34</v>
      </c>
      <c r="S490" s="4">
        <v>25</v>
      </c>
      <c r="T490">
        <v>0</v>
      </c>
      <c r="U490" t="s">
        <v>33</v>
      </c>
      <c r="V490" t="s">
        <v>121</v>
      </c>
    </row>
    <row r="491" spans="1:22" x14ac:dyDescent="0.25">
      <c r="A491" t="s">
        <v>109</v>
      </c>
      <c r="B491" s="3">
        <v>46021</v>
      </c>
      <c r="C491" t="s">
        <v>30</v>
      </c>
      <c r="D491">
        <v>36</v>
      </c>
      <c r="E491" t="s">
        <v>41</v>
      </c>
      <c r="F491" t="s">
        <v>42</v>
      </c>
      <c r="G491">
        <v>1</v>
      </c>
      <c r="H491">
        <v>4</v>
      </c>
      <c r="I491">
        <v>3</v>
      </c>
      <c r="J491">
        <v>20</v>
      </c>
      <c r="K491">
        <v>32</v>
      </c>
      <c r="L491">
        <v>1.9</v>
      </c>
      <c r="M491">
        <v>2.85</v>
      </c>
      <c r="N491">
        <v>0</v>
      </c>
      <c r="O491" s="5">
        <v>4</v>
      </c>
      <c r="P491">
        <v>0</v>
      </c>
      <c r="Q491" s="5">
        <v>5</v>
      </c>
      <c r="R491" t="s">
        <v>110</v>
      </c>
      <c r="S491" s="4">
        <v>29</v>
      </c>
      <c r="T491">
        <v>1</v>
      </c>
      <c r="U491" t="s">
        <v>33</v>
      </c>
      <c r="V491" t="s">
        <v>121</v>
      </c>
    </row>
    <row r="492" spans="1:22" x14ac:dyDescent="0.25">
      <c r="A492" t="s">
        <v>109</v>
      </c>
      <c r="B492" s="3">
        <v>46021</v>
      </c>
      <c r="C492" t="s">
        <v>30</v>
      </c>
      <c r="D492">
        <v>36</v>
      </c>
      <c r="E492" t="s">
        <v>42</v>
      </c>
      <c r="F492" t="s">
        <v>41</v>
      </c>
      <c r="G492">
        <v>0</v>
      </c>
      <c r="H492">
        <v>3</v>
      </c>
      <c r="I492">
        <v>4</v>
      </c>
      <c r="J492">
        <v>32</v>
      </c>
      <c r="K492">
        <v>20</v>
      </c>
      <c r="L492">
        <v>2.85</v>
      </c>
      <c r="M492">
        <v>1.9</v>
      </c>
      <c r="N492">
        <v>0</v>
      </c>
      <c r="O492" s="5">
        <v>5</v>
      </c>
      <c r="P492">
        <v>0</v>
      </c>
      <c r="Q492" s="5">
        <v>4</v>
      </c>
      <c r="R492" t="s">
        <v>144</v>
      </c>
      <c r="S492" s="4">
        <v>17</v>
      </c>
      <c r="T492">
        <v>1</v>
      </c>
      <c r="U492" t="s">
        <v>35</v>
      </c>
      <c r="V492" t="s">
        <v>121</v>
      </c>
    </row>
    <row r="493" spans="1:22" x14ac:dyDescent="0.25">
      <c r="A493" t="s">
        <v>109</v>
      </c>
      <c r="B493" s="3">
        <v>46021</v>
      </c>
      <c r="C493" t="s">
        <v>30</v>
      </c>
      <c r="D493">
        <v>36</v>
      </c>
      <c r="E493" t="s">
        <v>136</v>
      </c>
      <c r="F493" t="s">
        <v>45</v>
      </c>
      <c r="G493">
        <v>1</v>
      </c>
      <c r="H493">
        <v>2</v>
      </c>
      <c r="I493">
        <v>3</v>
      </c>
      <c r="J493">
        <v>41</v>
      </c>
      <c r="K493">
        <v>21</v>
      </c>
      <c r="N493">
        <v>0</v>
      </c>
      <c r="O493">
        <v>3</v>
      </c>
      <c r="P493">
        <v>0</v>
      </c>
      <c r="Q493">
        <v>2</v>
      </c>
      <c r="R493" t="s">
        <v>111</v>
      </c>
      <c r="S493">
        <v>19</v>
      </c>
      <c r="T493">
        <v>1</v>
      </c>
      <c r="U493" t="s">
        <v>35</v>
      </c>
      <c r="V493" t="s">
        <v>121</v>
      </c>
    </row>
    <row r="494" spans="1:22" x14ac:dyDescent="0.25">
      <c r="A494" t="s">
        <v>109</v>
      </c>
      <c r="B494" s="3">
        <v>46021</v>
      </c>
      <c r="C494" t="s">
        <v>30</v>
      </c>
      <c r="D494">
        <v>36</v>
      </c>
      <c r="E494" t="s">
        <v>40</v>
      </c>
      <c r="F494" t="s">
        <v>44</v>
      </c>
      <c r="G494">
        <v>1</v>
      </c>
      <c r="H494">
        <v>3</v>
      </c>
      <c r="I494">
        <v>1</v>
      </c>
      <c r="J494">
        <v>36</v>
      </c>
      <c r="K494">
        <v>26</v>
      </c>
      <c r="N494">
        <v>1</v>
      </c>
      <c r="O494">
        <v>7</v>
      </c>
      <c r="P494">
        <v>0</v>
      </c>
      <c r="Q494">
        <v>6</v>
      </c>
      <c r="R494" t="s">
        <v>107</v>
      </c>
      <c r="S494">
        <v>25</v>
      </c>
      <c r="T494">
        <v>0</v>
      </c>
      <c r="U494" t="s">
        <v>33</v>
      </c>
      <c r="V494" t="s">
        <v>121</v>
      </c>
    </row>
    <row r="495" spans="1:22" x14ac:dyDescent="0.25">
      <c r="A495" t="s">
        <v>109</v>
      </c>
      <c r="B495" s="3">
        <v>46021</v>
      </c>
      <c r="C495" t="s">
        <v>30</v>
      </c>
      <c r="D495">
        <v>36</v>
      </c>
      <c r="E495" t="s">
        <v>44</v>
      </c>
      <c r="F495" t="s">
        <v>40</v>
      </c>
      <c r="G495">
        <v>0</v>
      </c>
      <c r="H495">
        <v>1</v>
      </c>
      <c r="I495">
        <v>3</v>
      </c>
      <c r="J495">
        <v>36</v>
      </c>
      <c r="K495">
        <v>26</v>
      </c>
      <c r="N495">
        <v>0</v>
      </c>
      <c r="O495">
        <v>6</v>
      </c>
      <c r="P495">
        <v>1</v>
      </c>
      <c r="Q495">
        <v>7</v>
      </c>
      <c r="R495" t="s">
        <v>150</v>
      </c>
      <c r="S495">
        <v>33</v>
      </c>
      <c r="T495">
        <v>0</v>
      </c>
      <c r="U495" t="s">
        <v>35</v>
      </c>
      <c r="V495" t="s">
        <v>121</v>
      </c>
    </row>
    <row r="496" spans="1:22" x14ac:dyDescent="0.25">
      <c r="A496" t="s">
        <v>109</v>
      </c>
      <c r="B496" s="3">
        <v>46021</v>
      </c>
      <c r="C496" t="s">
        <v>30</v>
      </c>
      <c r="D496">
        <v>36</v>
      </c>
      <c r="E496" t="s">
        <v>137</v>
      </c>
      <c r="F496" t="s">
        <v>36</v>
      </c>
      <c r="G496">
        <v>1</v>
      </c>
      <c r="H496">
        <v>2</v>
      </c>
      <c r="I496">
        <v>1</v>
      </c>
      <c r="J496">
        <v>35</v>
      </c>
      <c r="K496">
        <v>38</v>
      </c>
      <c r="N496">
        <v>0</v>
      </c>
      <c r="O496">
        <v>1</v>
      </c>
      <c r="P496">
        <v>0</v>
      </c>
      <c r="Q496">
        <v>1</v>
      </c>
      <c r="R496" t="s">
        <v>100</v>
      </c>
      <c r="S496">
        <v>37</v>
      </c>
      <c r="T496">
        <v>1</v>
      </c>
      <c r="U496" t="s">
        <v>33</v>
      </c>
      <c r="V496" t="s">
        <v>121</v>
      </c>
    </row>
    <row r="497" spans="1:22" x14ac:dyDescent="0.25">
      <c r="A497" t="s">
        <v>109</v>
      </c>
      <c r="B497" s="3">
        <v>46021</v>
      </c>
      <c r="C497" t="s">
        <v>30</v>
      </c>
      <c r="D497">
        <v>36</v>
      </c>
      <c r="E497" t="s">
        <v>43</v>
      </c>
      <c r="F497" t="s">
        <v>31</v>
      </c>
      <c r="G497">
        <v>0</v>
      </c>
      <c r="H497">
        <v>2</v>
      </c>
      <c r="I497">
        <v>3</v>
      </c>
      <c r="J497">
        <v>27</v>
      </c>
      <c r="K497">
        <v>42</v>
      </c>
      <c r="L497">
        <v>1.76</v>
      </c>
      <c r="M497">
        <v>2.86</v>
      </c>
      <c r="N497">
        <v>0</v>
      </c>
      <c r="O497">
        <v>3</v>
      </c>
      <c r="P497">
        <v>2</v>
      </c>
      <c r="Q497">
        <v>5</v>
      </c>
      <c r="R497" t="s">
        <v>151</v>
      </c>
      <c r="S497">
        <v>39</v>
      </c>
      <c r="T497">
        <v>0</v>
      </c>
      <c r="U497" t="s">
        <v>35</v>
      </c>
      <c r="V497" t="s">
        <v>121</v>
      </c>
    </row>
    <row r="498" spans="1:22" x14ac:dyDescent="0.25">
      <c r="A498" t="s">
        <v>109</v>
      </c>
      <c r="B498" s="3">
        <v>46021</v>
      </c>
      <c r="C498" t="s">
        <v>30</v>
      </c>
      <c r="D498">
        <v>36</v>
      </c>
      <c r="E498" t="s">
        <v>36</v>
      </c>
      <c r="F498" t="s">
        <v>137</v>
      </c>
      <c r="G498">
        <v>0</v>
      </c>
      <c r="H498">
        <v>1</v>
      </c>
      <c r="I498">
        <v>2</v>
      </c>
      <c r="J498">
        <v>38</v>
      </c>
      <c r="K498">
        <v>35</v>
      </c>
      <c r="N498">
        <v>0</v>
      </c>
      <c r="O498">
        <v>1</v>
      </c>
      <c r="P498">
        <v>0</v>
      </c>
      <c r="Q498">
        <v>1</v>
      </c>
      <c r="R498" t="s">
        <v>157</v>
      </c>
      <c r="S498">
        <v>34</v>
      </c>
      <c r="T498">
        <v>1</v>
      </c>
      <c r="U498" t="s">
        <v>35</v>
      </c>
      <c r="V498" t="s">
        <v>121</v>
      </c>
    </row>
    <row r="499" spans="1:22" x14ac:dyDescent="0.25">
      <c r="A499" t="s">
        <v>109</v>
      </c>
      <c r="B499" s="3">
        <v>46021</v>
      </c>
      <c r="C499" t="s">
        <v>30</v>
      </c>
      <c r="D499">
        <v>36</v>
      </c>
      <c r="E499" t="s">
        <v>32</v>
      </c>
      <c r="F499" t="s">
        <v>38</v>
      </c>
      <c r="G499">
        <v>1</v>
      </c>
      <c r="H499">
        <v>3</v>
      </c>
      <c r="I499">
        <v>2</v>
      </c>
      <c r="J499">
        <v>30</v>
      </c>
      <c r="K499">
        <v>25</v>
      </c>
      <c r="N499">
        <v>0</v>
      </c>
      <c r="O499">
        <v>2</v>
      </c>
      <c r="P499">
        <v>1</v>
      </c>
      <c r="Q499">
        <v>5</v>
      </c>
      <c r="R499" t="s">
        <v>101</v>
      </c>
      <c r="S499">
        <v>23</v>
      </c>
      <c r="T499">
        <v>0</v>
      </c>
      <c r="U499" t="s">
        <v>33</v>
      </c>
      <c r="V499" t="s">
        <v>121</v>
      </c>
    </row>
    <row r="500" spans="1:22" x14ac:dyDescent="0.25">
      <c r="A500" t="s">
        <v>109</v>
      </c>
      <c r="B500" s="3">
        <v>46021</v>
      </c>
      <c r="C500" t="s">
        <v>30</v>
      </c>
      <c r="D500">
        <v>36</v>
      </c>
      <c r="E500" t="s">
        <v>38</v>
      </c>
      <c r="F500" t="s">
        <v>32</v>
      </c>
      <c r="G500">
        <v>0</v>
      </c>
      <c r="H500">
        <v>2</v>
      </c>
      <c r="I500">
        <v>3</v>
      </c>
      <c r="J500">
        <v>25</v>
      </c>
      <c r="K500">
        <v>30</v>
      </c>
      <c r="N500">
        <v>1</v>
      </c>
      <c r="O500">
        <v>5</v>
      </c>
      <c r="P500">
        <v>0</v>
      </c>
      <c r="Q500">
        <v>2</v>
      </c>
      <c r="R500" t="s">
        <v>118</v>
      </c>
      <c r="S500">
        <v>27</v>
      </c>
      <c r="T500">
        <v>0</v>
      </c>
      <c r="U500" t="s">
        <v>35</v>
      </c>
      <c r="V500" t="s">
        <v>121</v>
      </c>
    </row>
    <row r="501" spans="1:22" x14ac:dyDescent="0.25">
      <c r="A501" t="s">
        <v>109</v>
      </c>
      <c r="B501" s="3">
        <v>46021</v>
      </c>
      <c r="C501" t="s">
        <v>30</v>
      </c>
      <c r="D501">
        <v>36</v>
      </c>
      <c r="E501" t="s">
        <v>45</v>
      </c>
      <c r="F501" t="s">
        <v>136</v>
      </c>
      <c r="G501">
        <v>0</v>
      </c>
      <c r="H501">
        <v>3</v>
      </c>
      <c r="I501">
        <v>2</v>
      </c>
      <c r="J501">
        <v>21</v>
      </c>
      <c r="K501">
        <v>41</v>
      </c>
      <c r="N501">
        <v>0</v>
      </c>
      <c r="O501">
        <v>2</v>
      </c>
      <c r="P501">
        <v>0</v>
      </c>
      <c r="Q501">
        <v>3</v>
      </c>
      <c r="R501" t="s">
        <v>148</v>
      </c>
      <c r="S501">
        <v>39</v>
      </c>
      <c r="T501">
        <v>1</v>
      </c>
      <c r="U501" t="s">
        <v>33</v>
      </c>
      <c r="V501" t="s">
        <v>121</v>
      </c>
    </row>
    <row r="502" spans="1:22" x14ac:dyDescent="0.25">
      <c r="A502" t="s">
        <v>109</v>
      </c>
      <c r="B502" s="3">
        <v>46024</v>
      </c>
      <c r="C502" t="s">
        <v>30</v>
      </c>
      <c r="D502">
        <v>37</v>
      </c>
      <c r="E502" t="s">
        <v>31</v>
      </c>
      <c r="F502" t="s">
        <v>44</v>
      </c>
      <c r="G502">
        <v>0</v>
      </c>
      <c r="H502">
        <v>2</v>
      </c>
      <c r="I502">
        <v>3</v>
      </c>
      <c r="J502">
        <v>31</v>
      </c>
      <c r="K502">
        <v>25</v>
      </c>
      <c r="L502">
        <v>2.2999999999999998</v>
      </c>
      <c r="M502">
        <v>2.63</v>
      </c>
      <c r="N502">
        <v>1</v>
      </c>
      <c r="O502" s="4">
        <v>5</v>
      </c>
      <c r="P502">
        <v>1</v>
      </c>
      <c r="Q502" s="4">
        <v>5</v>
      </c>
      <c r="R502" t="s">
        <v>34</v>
      </c>
      <c r="S502" s="4">
        <v>22</v>
      </c>
      <c r="T502">
        <v>1</v>
      </c>
      <c r="U502" t="s">
        <v>35</v>
      </c>
      <c r="V502" t="s">
        <v>121</v>
      </c>
    </row>
    <row r="503" spans="1:22" x14ac:dyDescent="0.25">
      <c r="A503" t="s">
        <v>109</v>
      </c>
      <c r="B503" s="3">
        <v>46024</v>
      </c>
      <c r="C503" t="s">
        <v>30</v>
      </c>
      <c r="D503">
        <v>37</v>
      </c>
      <c r="E503" t="s">
        <v>41</v>
      </c>
      <c r="F503" t="s">
        <v>45</v>
      </c>
      <c r="G503">
        <v>0</v>
      </c>
      <c r="H503">
        <v>2</v>
      </c>
      <c r="I503">
        <v>0</v>
      </c>
      <c r="J503">
        <v>26</v>
      </c>
      <c r="K503">
        <v>32</v>
      </c>
      <c r="L503">
        <v>3.26</v>
      </c>
      <c r="M503">
        <v>2.5</v>
      </c>
      <c r="N503">
        <v>0</v>
      </c>
      <c r="O503" s="5">
        <v>0</v>
      </c>
      <c r="P503">
        <v>0</v>
      </c>
      <c r="Q503" s="5">
        <v>3</v>
      </c>
      <c r="R503" t="s">
        <v>110</v>
      </c>
      <c r="S503" s="4">
        <v>32</v>
      </c>
      <c r="T503">
        <v>0</v>
      </c>
      <c r="U503" t="s">
        <v>33</v>
      </c>
      <c r="V503" t="s">
        <v>121</v>
      </c>
    </row>
    <row r="504" spans="1:22" x14ac:dyDescent="0.25">
      <c r="A504" t="s">
        <v>109</v>
      </c>
      <c r="B504" s="3">
        <v>46024</v>
      </c>
      <c r="C504" t="s">
        <v>30</v>
      </c>
      <c r="D504">
        <v>37</v>
      </c>
      <c r="E504" t="s">
        <v>42</v>
      </c>
      <c r="F504" t="s">
        <v>40</v>
      </c>
      <c r="G504">
        <v>1</v>
      </c>
      <c r="H504">
        <v>2</v>
      </c>
      <c r="I504">
        <v>4</v>
      </c>
      <c r="J504">
        <v>30</v>
      </c>
      <c r="K504">
        <v>28</v>
      </c>
      <c r="L504">
        <v>2.0499999999999998</v>
      </c>
      <c r="M504">
        <v>3.01</v>
      </c>
      <c r="N504">
        <v>0</v>
      </c>
      <c r="O504">
        <v>3</v>
      </c>
      <c r="P504">
        <v>0</v>
      </c>
      <c r="Q504">
        <v>1</v>
      </c>
      <c r="R504" t="s">
        <v>145</v>
      </c>
      <c r="S504">
        <v>24</v>
      </c>
      <c r="T504">
        <v>0</v>
      </c>
      <c r="U504" t="s">
        <v>35</v>
      </c>
      <c r="V504" t="s">
        <v>121</v>
      </c>
    </row>
    <row r="505" spans="1:22" x14ac:dyDescent="0.25">
      <c r="A505" t="s">
        <v>109</v>
      </c>
      <c r="B505" s="3">
        <v>46024</v>
      </c>
      <c r="C505" t="s">
        <v>30</v>
      </c>
      <c r="D505">
        <v>37</v>
      </c>
      <c r="E505" t="s">
        <v>136</v>
      </c>
      <c r="F505" t="s">
        <v>36</v>
      </c>
      <c r="G505">
        <v>0</v>
      </c>
      <c r="H505">
        <v>2</v>
      </c>
      <c r="I505">
        <v>4</v>
      </c>
      <c r="J505">
        <v>35</v>
      </c>
      <c r="K505">
        <v>29</v>
      </c>
      <c r="N505">
        <v>0</v>
      </c>
      <c r="O505">
        <v>3</v>
      </c>
      <c r="P505">
        <v>0</v>
      </c>
      <c r="Q505">
        <v>3</v>
      </c>
      <c r="R505" t="s">
        <v>111</v>
      </c>
      <c r="S505">
        <v>25</v>
      </c>
      <c r="T505">
        <v>0</v>
      </c>
      <c r="U505" t="s">
        <v>35</v>
      </c>
      <c r="V505" t="s">
        <v>121</v>
      </c>
    </row>
    <row r="506" spans="1:22" x14ac:dyDescent="0.25">
      <c r="A506" t="s">
        <v>109</v>
      </c>
      <c r="B506" s="3">
        <v>46024</v>
      </c>
      <c r="C506" t="s">
        <v>30</v>
      </c>
      <c r="D506">
        <v>37</v>
      </c>
      <c r="E506" t="s">
        <v>40</v>
      </c>
      <c r="F506" t="s">
        <v>42</v>
      </c>
      <c r="G506">
        <v>0</v>
      </c>
      <c r="H506">
        <v>4</v>
      </c>
      <c r="I506">
        <v>2</v>
      </c>
      <c r="J506">
        <v>28</v>
      </c>
      <c r="K506">
        <v>30</v>
      </c>
      <c r="L506">
        <v>3.01</v>
      </c>
      <c r="M506">
        <v>2.0499999999999998</v>
      </c>
      <c r="N506">
        <v>0</v>
      </c>
      <c r="O506">
        <v>1</v>
      </c>
      <c r="P506">
        <v>0</v>
      </c>
      <c r="Q506">
        <v>3</v>
      </c>
      <c r="R506" t="s">
        <v>107</v>
      </c>
      <c r="S506">
        <v>28</v>
      </c>
      <c r="T506">
        <v>0</v>
      </c>
      <c r="U506" t="s">
        <v>33</v>
      </c>
      <c r="V506" t="s">
        <v>121</v>
      </c>
    </row>
    <row r="507" spans="1:22" x14ac:dyDescent="0.25">
      <c r="A507" t="s">
        <v>109</v>
      </c>
      <c r="B507" s="3">
        <v>46024</v>
      </c>
      <c r="C507" t="s">
        <v>30</v>
      </c>
      <c r="D507">
        <v>37</v>
      </c>
      <c r="E507" t="s">
        <v>44</v>
      </c>
      <c r="F507" t="s">
        <v>31</v>
      </c>
      <c r="G507">
        <v>1</v>
      </c>
      <c r="H507">
        <v>3</v>
      </c>
      <c r="I507">
        <v>2</v>
      </c>
      <c r="J507">
        <v>25</v>
      </c>
      <c r="K507">
        <v>31</v>
      </c>
      <c r="L507">
        <v>2.63</v>
      </c>
      <c r="M507">
        <v>2.2999999999999998</v>
      </c>
      <c r="N507">
        <v>1</v>
      </c>
      <c r="O507">
        <v>5</v>
      </c>
      <c r="P507">
        <v>1</v>
      </c>
      <c r="Q507">
        <v>5</v>
      </c>
      <c r="R507" t="s">
        <v>147</v>
      </c>
      <c r="S507">
        <v>29</v>
      </c>
      <c r="T507">
        <v>1</v>
      </c>
      <c r="U507" t="s">
        <v>33</v>
      </c>
      <c r="V507" t="s">
        <v>121</v>
      </c>
    </row>
    <row r="508" spans="1:22" x14ac:dyDescent="0.25">
      <c r="A508" t="s">
        <v>109</v>
      </c>
      <c r="B508" s="3">
        <v>46024</v>
      </c>
      <c r="C508" t="s">
        <v>30</v>
      </c>
      <c r="D508">
        <v>37</v>
      </c>
      <c r="E508" t="s">
        <v>137</v>
      </c>
      <c r="F508" t="s">
        <v>38</v>
      </c>
      <c r="G508">
        <v>0</v>
      </c>
      <c r="H508">
        <v>3</v>
      </c>
      <c r="I508">
        <v>5</v>
      </c>
      <c r="J508">
        <v>30</v>
      </c>
      <c r="K508">
        <v>40</v>
      </c>
      <c r="N508">
        <v>1</v>
      </c>
      <c r="O508">
        <v>6</v>
      </c>
      <c r="P508">
        <v>2</v>
      </c>
      <c r="Q508">
        <v>9</v>
      </c>
      <c r="R508" t="s">
        <v>100</v>
      </c>
      <c r="S508">
        <v>35</v>
      </c>
      <c r="T508">
        <v>0</v>
      </c>
      <c r="U508" t="s">
        <v>35</v>
      </c>
      <c r="V508" t="s">
        <v>121</v>
      </c>
    </row>
    <row r="509" spans="1:22" x14ac:dyDescent="0.25">
      <c r="A509" t="s">
        <v>109</v>
      </c>
      <c r="B509" s="3">
        <v>46024</v>
      </c>
      <c r="C509" t="s">
        <v>30</v>
      </c>
      <c r="D509">
        <v>37</v>
      </c>
      <c r="E509" t="s">
        <v>43</v>
      </c>
      <c r="F509" t="s">
        <v>39</v>
      </c>
      <c r="G509">
        <v>1</v>
      </c>
      <c r="H509">
        <v>1</v>
      </c>
      <c r="I509">
        <v>8</v>
      </c>
      <c r="J509">
        <v>23</v>
      </c>
      <c r="K509">
        <v>34</v>
      </c>
      <c r="N509">
        <v>0</v>
      </c>
      <c r="O509">
        <v>5</v>
      </c>
      <c r="P509">
        <v>2</v>
      </c>
      <c r="Q509">
        <v>6</v>
      </c>
      <c r="R509" t="s">
        <v>149</v>
      </c>
      <c r="S509">
        <v>26</v>
      </c>
      <c r="T509">
        <v>0</v>
      </c>
      <c r="U509" t="s">
        <v>35</v>
      </c>
      <c r="V509" t="s">
        <v>121</v>
      </c>
    </row>
    <row r="510" spans="1:22" x14ac:dyDescent="0.25">
      <c r="A510" t="s">
        <v>109</v>
      </c>
      <c r="B510" s="3">
        <v>46024</v>
      </c>
      <c r="C510" t="s">
        <v>30</v>
      </c>
      <c r="D510">
        <v>37</v>
      </c>
      <c r="E510" t="s">
        <v>36</v>
      </c>
      <c r="F510" t="s">
        <v>136</v>
      </c>
      <c r="G510">
        <v>1</v>
      </c>
      <c r="H510">
        <v>4</v>
      </c>
      <c r="I510">
        <v>2</v>
      </c>
      <c r="J510">
        <v>29</v>
      </c>
      <c r="K510">
        <v>35</v>
      </c>
      <c r="N510">
        <v>0</v>
      </c>
      <c r="O510">
        <v>3</v>
      </c>
      <c r="P510">
        <v>0</v>
      </c>
      <c r="Q510">
        <v>3</v>
      </c>
      <c r="R510" t="s">
        <v>146</v>
      </c>
      <c r="S510">
        <v>33</v>
      </c>
      <c r="T510">
        <v>0</v>
      </c>
      <c r="U510" t="s">
        <v>33</v>
      </c>
      <c r="V510" t="s">
        <v>121</v>
      </c>
    </row>
    <row r="511" spans="1:22" x14ac:dyDescent="0.25">
      <c r="A511" t="s">
        <v>109</v>
      </c>
      <c r="B511" s="3">
        <v>46024</v>
      </c>
      <c r="C511" t="s">
        <v>30</v>
      </c>
      <c r="D511">
        <v>37</v>
      </c>
      <c r="E511" t="s">
        <v>38</v>
      </c>
      <c r="F511" t="s">
        <v>137</v>
      </c>
      <c r="G511">
        <v>1</v>
      </c>
      <c r="H511">
        <v>5</v>
      </c>
      <c r="I511">
        <v>3</v>
      </c>
      <c r="J511">
        <v>40</v>
      </c>
      <c r="K511">
        <v>30</v>
      </c>
      <c r="N511">
        <v>2</v>
      </c>
      <c r="O511">
        <v>9</v>
      </c>
      <c r="P511">
        <v>1</v>
      </c>
      <c r="Q511">
        <v>6</v>
      </c>
      <c r="R511" t="s">
        <v>118</v>
      </c>
      <c r="S511">
        <v>27</v>
      </c>
      <c r="T511">
        <v>0</v>
      </c>
      <c r="U511" t="s">
        <v>33</v>
      </c>
      <c r="V511" t="s">
        <v>121</v>
      </c>
    </row>
    <row r="512" spans="1:22" x14ac:dyDescent="0.25">
      <c r="A512" t="s">
        <v>109</v>
      </c>
      <c r="B512" s="3">
        <v>46024</v>
      </c>
      <c r="C512" t="s">
        <v>30</v>
      </c>
      <c r="D512">
        <v>37</v>
      </c>
      <c r="E512" t="s">
        <v>39</v>
      </c>
      <c r="F512" t="s">
        <v>43</v>
      </c>
      <c r="G512">
        <v>0</v>
      </c>
      <c r="H512">
        <v>8</v>
      </c>
      <c r="I512">
        <v>1</v>
      </c>
      <c r="J512">
        <v>34</v>
      </c>
      <c r="K512">
        <v>23</v>
      </c>
      <c r="N512">
        <v>2</v>
      </c>
      <c r="O512">
        <v>6</v>
      </c>
      <c r="P512">
        <v>0</v>
      </c>
      <c r="Q512">
        <v>5</v>
      </c>
      <c r="R512" t="s">
        <v>105</v>
      </c>
      <c r="S512">
        <v>22</v>
      </c>
      <c r="T512">
        <v>0</v>
      </c>
      <c r="U512" t="s">
        <v>33</v>
      </c>
      <c r="V512" t="s">
        <v>121</v>
      </c>
    </row>
    <row r="513" spans="1:22" x14ac:dyDescent="0.25">
      <c r="A513" t="s">
        <v>109</v>
      </c>
      <c r="B513" s="3">
        <v>46024</v>
      </c>
      <c r="C513" t="s">
        <v>30</v>
      </c>
      <c r="D513">
        <v>37</v>
      </c>
      <c r="E513" t="s">
        <v>45</v>
      </c>
      <c r="F513" t="s">
        <v>41</v>
      </c>
      <c r="G513">
        <v>1</v>
      </c>
      <c r="H513">
        <v>0</v>
      </c>
      <c r="I513">
        <v>2</v>
      </c>
      <c r="J513">
        <v>32</v>
      </c>
      <c r="K513">
        <v>26</v>
      </c>
      <c r="L513">
        <v>2.5</v>
      </c>
      <c r="M513">
        <v>3.26</v>
      </c>
      <c r="N513">
        <v>0</v>
      </c>
      <c r="O513">
        <v>3</v>
      </c>
      <c r="P513">
        <v>0</v>
      </c>
      <c r="Q513">
        <v>0</v>
      </c>
      <c r="R513" t="s">
        <v>148</v>
      </c>
      <c r="S513">
        <v>26</v>
      </c>
      <c r="T513">
        <v>0</v>
      </c>
      <c r="U513" t="s">
        <v>35</v>
      </c>
      <c r="V513" t="s">
        <v>121</v>
      </c>
    </row>
    <row r="514" spans="1:22" x14ac:dyDescent="0.25">
      <c r="A514" t="s">
        <v>109</v>
      </c>
      <c r="B514" s="3">
        <v>46026</v>
      </c>
      <c r="C514" t="s">
        <v>30</v>
      </c>
      <c r="D514">
        <v>38</v>
      </c>
      <c r="E514" t="s">
        <v>31</v>
      </c>
      <c r="F514" t="s">
        <v>45</v>
      </c>
      <c r="G514">
        <v>1</v>
      </c>
      <c r="H514">
        <v>4</v>
      </c>
      <c r="I514">
        <v>1</v>
      </c>
      <c r="J514">
        <v>38</v>
      </c>
      <c r="K514">
        <v>21</v>
      </c>
      <c r="L514">
        <v>3.45</v>
      </c>
      <c r="M514">
        <v>2.17</v>
      </c>
      <c r="N514">
        <v>0</v>
      </c>
      <c r="O514" s="5">
        <v>4</v>
      </c>
      <c r="P514">
        <v>0</v>
      </c>
      <c r="Q514" s="5">
        <v>2</v>
      </c>
      <c r="R514" t="s">
        <v>34</v>
      </c>
      <c r="S514" s="4">
        <v>20</v>
      </c>
      <c r="T514">
        <v>0</v>
      </c>
      <c r="U514" t="s">
        <v>33</v>
      </c>
      <c r="V514" t="s">
        <v>121</v>
      </c>
    </row>
    <row r="515" spans="1:22" x14ac:dyDescent="0.25">
      <c r="A515" t="s">
        <v>109</v>
      </c>
      <c r="B515" s="3">
        <v>46026</v>
      </c>
      <c r="C515" t="s">
        <v>30</v>
      </c>
      <c r="D515">
        <v>38</v>
      </c>
      <c r="E515" t="s">
        <v>41</v>
      </c>
      <c r="F515" t="s">
        <v>43</v>
      </c>
      <c r="G515">
        <v>1</v>
      </c>
      <c r="H515">
        <v>3</v>
      </c>
      <c r="I515">
        <v>2</v>
      </c>
      <c r="J515">
        <v>26</v>
      </c>
      <c r="K515">
        <v>24</v>
      </c>
      <c r="L515">
        <v>2.54</v>
      </c>
      <c r="M515">
        <v>1.76</v>
      </c>
      <c r="N515">
        <v>0</v>
      </c>
      <c r="O515" s="5">
        <v>2</v>
      </c>
      <c r="P515">
        <v>0</v>
      </c>
      <c r="Q515" s="5">
        <v>2</v>
      </c>
      <c r="R515" t="s">
        <v>110</v>
      </c>
      <c r="S515" s="4">
        <v>22</v>
      </c>
      <c r="T515">
        <v>1</v>
      </c>
      <c r="U515" t="s">
        <v>33</v>
      </c>
      <c r="V515" t="s">
        <v>121</v>
      </c>
    </row>
    <row r="516" spans="1:22" x14ac:dyDescent="0.25">
      <c r="A516" t="s">
        <v>109</v>
      </c>
      <c r="B516" s="3">
        <v>46026</v>
      </c>
      <c r="C516" t="s">
        <v>30</v>
      </c>
      <c r="D516">
        <v>38</v>
      </c>
      <c r="E516" t="s">
        <v>46</v>
      </c>
      <c r="F516" t="s">
        <v>40</v>
      </c>
      <c r="G516">
        <v>1</v>
      </c>
      <c r="H516">
        <v>4</v>
      </c>
      <c r="I516">
        <v>5</v>
      </c>
      <c r="J516">
        <v>38</v>
      </c>
      <c r="K516">
        <v>33</v>
      </c>
      <c r="L516">
        <v>3.54</v>
      </c>
      <c r="M516">
        <v>2.4</v>
      </c>
      <c r="N516">
        <v>1</v>
      </c>
      <c r="O516" s="5">
        <v>4</v>
      </c>
      <c r="P516">
        <v>3</v>
      </c>
      <c r="Q516" s="5">
        <v>5</v>
      </c>
      <c r="R516" t="s">
        <v>140</v>
      </c>
      <c r="S516" s="4">
        <v>28</v>
      </c>
      <c r="T516">
        <v>1</v>
      </c>
      <c r="U516" t="s">
        <v>35</v>
      </c>
      <c r="V516" t="s">
        <v>121</v>
      </c>
    </row>
    <row r="517" spans="1:22" x14ac:dyDescent="0.25">
      <c r="A517" t="s">
        <v>109</v>
      </c>
      <c r="B517" s="3">
        <v>46026</v>
      </c>
      <c r="C517" t="s">
        <v>30</v>
      </c>
      <c r="D517">
        <v>38</v>
      </c>
      <c r="E517" t="s">
        <v>42</v>
      </c>
      <c r="F517" t="s">
        <v>44</v>
      </c>
      <c r="G517">
        <v>1</v>
      </c>
      <c r="H517">
        <v>2</v>
      </c>
      <c r="I517">
        <v>3</v>
      </c>
      <c r="J517">
        <v>38</v>
      </c>
      <c r="K517">
        <v>25</v>
      </c>
      <c r="L517">
        <v>2.85</v>
      </c>
      <c r="M517">
        <v>2.69</v>
      </c>
      <c r="N517">
        <v>1</v>
      </c>
      <c r="O517">
        <v>4</v>
      </c>
      <c r="P517">
        <v>0</v>
      </c>
      <c r="Q517">
        <v>4</v>
      </c>
      <c r="R517" t="s">
        <v>145</v>
      </c>
      <c r="S517">
        <v>22</v>
      </c>
      <c r="T517">
        <v>0</v>
      </c>
      <c r="U517" t="s">
        <v>35</v>
      </c>
      <c r="V517" t="s">
        <v>121</v>
      </c>
    </row>
    <row r="518" spans="1:22" x14ac:dyDescent="0.25">
      <c r="A518" t="s">
        <v>109</v>
      </c>
      <c r="B518" s="3">
        <v>46026</v>
      </c>
      <c r="C518" t="s">
        <v>30</v>
      </c>
      <c r="D518">
        <v>38</v>
      </c>
      <c r="E518" t="s">
        <v>136</v>
      </c>
      <c r="F518" t="s">
        <v>38</v>
      </c>
      <c r="G518">
        <v>1</v>
      </c>
      <c r="H518">
        <v>2</v>
      </c>
      <c r="I518">
        <v>1</v>
      </c>
      <c r="J518">
        <v>26</v>
      </c>
      <c r="K518">
        <v>30</v>
      </c>
      <c r="N518">
        <v>0</v>
      </c>
      <c r="O518">
        <v>3</v>
      </c>
      <c r="P518">
        <v>0</v>
      </c>
      <c r="Q518">
        <v>3</v>
      </c>
      <c r="R518" t="s">
        <v>103</v>
      </c>
      <c r="S518">
        <v>29</v>
      </c>
      <c r="T518">
        <v>0</v>
      </c>
      <c r="U518" t="s">
        <v>33</v>
      </c>
      <c r="V518" t="s">
        <v>121</v>
      </c>
    </row>
    <row r="519" spans="1:22" x14ac:dyDescent="0.25">
      <c r="A519" t="s">
        <v>109</v>
      </c>
      <c r="B519" s="3">
        <v>46026</v>
      </c>
      <c r="C519" t="s">
        <v>30</v>
      </c>
      <c r="D519">
        <v>38</v>
      </c>
      <c r="E519" t="s">
        <v>40</v>
      </c>
      <c r="F519" t="s">
        <v>46</v>
      </c>
      <c r="G519">
        <v>0</v>
      </c>
      <c r="H519">
        <v>5</v>
      </c>
      <c r="I519">
        <v>4</v>
      </c>
      <c r="J519">
        <v>33</v>
      </c>
      <c r="K519">
        <v>38</v>
      </c>
      <c r="L519">
        <v>2.4</v>
      </c>
      <c r="M519">
        <v>3.54</v>
      </c>
      <c r="N519">
        <v>3</v>
      </c>
      <c r="O519">
        <v>5</v>
      </c>
      <c r="P519">
        <v>1</v>
      </c>
      <c r="Q519">
        <v>4</v>
      </c>
      <c r="R519" t="s">
        <v>107</v>
      </c>
      <c r="S519">
        <v>34</v>
      </c>
      <c r="T519">
        <v>1</v>
      </c>
      <c r="U519" t="s">
        <v>33</v>
      </c>
      <c r="V519" t="s">
        <v>121</v>
      </c>
    </row>
    <row r="520" spans="1:22" x14ac:dyDescent="0.25">
      <c r="A520" t="s">
        <v>109</v>
      </c>
      <c r="B520" s="3">
        <v>46026</v>
      </c>
      <c r="C520" t="s">
        <v>30</v>
      </c>
      <c r="D520">
        <v>38</v>
      </c>
      <c r="E520" t="s">
        <v>44</v>
      </c>
      <c r="F520" t="s">
        <v>42</v>
      </c>
      <c r="G520">
        <v>0</v>
      </c>
      <c r="H520">
        <v>3</v>
      </c>
      <c r="I520">
        <v>2</v>
      </c>
      <c r="J520">
        <v>25</v>
      </c>
      <c r="K520">
        <v>38</v>
      </c>
      <c r="L520">
        <v>2.69</v>
      </c>
      <c r="M520">
        <v>2.85</v>
      </c>
      <c r="N520">
        <v>0</v>
      </c>
      <c r="O520">
        <v>4</v>
      </c>
      <c r="P520">
        <v>1</v>
      </c>
      <c r="Q520">
        <v>4</v>
      </c>
      <c r="R520" t="s">
        <v>150</v>
      </c>
      <c r="S520">
        <v>36</v>
      </c>
      <c r="T520">
        <v>0</v>
      </c>
      <c r="U520" t="s">
        <v>33</v>
      </c>
      <c r="V520" t="s">
        <v>121</v>
      </c>
    </row>
    <row r="521" spans="1:22" x14ac:dyDescent="0.25">
      <c r="A521" t="s">
        <v>109</v>
      </c>
      <c r="B521" s="3">
        <v>46026</v>
      </c>
      <c r="C521" t="s">
        <v>30</v>
      </c>
      <c r="D521">
        <v>38</v>
      </c>
      <c r="E521" t="s">
        <v>137</v>
      </c>
      <c r="F521" t="s">
        <v>32</v>
      </c>
      <c r="G521">
        <v>0</v>
      </c>
      <c r="H521">
        <v>2</v>
      </c>
      <c r="I521">
        <v>0</v>
      </c>
      <c r="J521">
        <v>24</v>
      </c>
      <c r="K521">
        <v>23</v>
      </c>
      <c r="N521">
        <v>1</v>
      </c>
      <c r="O521">
        <v>5</v>
      </c>
      <c r="P521">
        <v>0</v>
      </c>
      <c r="Q521">
        <v>3</v>
      </c>
      <c r="R521" t="s">
        <v>115</v>
      </c>
      <c r="S521">
        <v>23</v>
      </c>
      <c r="T521">
        <v>0</v>
      </c>
      <c r="U521" t="s">
        <v>33</v>
      </c>
      <c r="V521" t="s">
        <v>121</v>
      </c>
    </row>
    <row r="522" spans="1:22" x14ac:dyDescent="0.25">
      <c r="A522" t="s">
        <v>109</v>
      </c>
      <c r="B522" s="3">
        <v>46026</v>
      </c>
      <c r="C522" t="s">
        <v>30</v>
      </c>
      <c r="D522">
        <v>38</v>
      </c>
      <c r="E522" t="s">
        <v>43</v>
      </c>
      <c r="F522" t="s">
        <v>41</v>
      </c>
      <c r="G522">
        <v>0</v>
      </c>
      <c r="H522">
        <v>2</v>
      </c>
      <c r="I522">
        <v>3</v>
      </c>
      <c r="J522">
        <v>24</v>
      </c>
      <c r="K522">
        <v>26</v>
      </c>
      <c r="L522">
        <v>1.76</v>
      </c>
      <c r="M522">
        <v>2.54</v>
      </c>
      <c r="N522">
        <v>0</v>
      </c>
      <c r="O522">
        <v>2</v>
      </c>
      <c r="P522">
        <v>0</v>
      </c>
      <c r="Q522">
        <v>2</v>
      </c>
      <c r="R522" t="s">
        <v>151</v>
      </c>
      <c r="S522">
        <v>23</v>
      </c>
      <c r="T522">
        <v>1</v>
      </c>
      <c r="U522" t="s">
        <v>35</v>
      </c>
      <c r="V522" t="s">
        <v>121</v>
      </c>
    </row>
    <row r="523" spans="1:22" x14ac:dyDescent="0.25">
      <c r="A523" t="s">
        <v>109</v>
      </c>
      <c r="B523" s="3">
        <v>46026</v>
      </c>
      <c r="C523" t="s">
        <v>30</v>
      </c>
      <c r="D523">
        <v>38</v>
      </c>
      <c r="E523" t="s">
        <v>36</v>
      </c>
      <c r="F523" t="s">
        <v>39</v>
      </c>
      <c r="G523">
        <v>0</v>
      </c>
      <c r="H523">
        <v>2</v>
      </c>
      <c r="I523">
        <v>6</v>
      </c>
      <c r="J523">
        <v>16</v>
      </c>
      <c r="K523">
        <v>38</v>
      </c>
      <c r="N523">
        <v>1</v>
      </c>
      <c r="O523">
        <v>4</v>
      </c>
      <c r="P523">
        <v>2</v>
      </c>
      <c r="Q523">
        <v>6</v>
      </c>
      <c r="R523" t="s">
        <v>146</v>
      </c>
      <c r="S523">
        <v>32</v>
      </c>
      <c r="T523">
        <v>0</v>
      </c>
      <c r="U523" t="s">
        <v>35</v>
      </c>
      <c r="V523" t="s">
        <v>121</v>
      </c>
    </row>
    <row r="524" spans="1:22" x14ac:dyDescent="0.25">
      <c r="A524" t="s">
        <v>109</v>
      </c>
      <c r="B524" s="3">
        <v>46026</v>
      </c>
      <c r="C524" t="s">
        <v>30</v>
      </c>
      <c r="D524">
        <v>38</v>
      </c>
      <c r="E524" t="s">
        <v>32</v>
      </c>
      <c r="F524" t="s">
        <v>137</v>
      </c>
      <c r="G524">
        <v>1</v>
      </c>
      <c r="H524">
        <v>0</v>
      </c>
      <c r="I524">
        <v>2</v>
      </c>
      <c r="J524">
        <v>23</v>
      </c>
      <c r="K524">
        <v>24</v>
      </c>
      <c r="N524">
        <v>0</v>
      </c>
      <c r="O524">
        <v>3</v>
      </c>
      <c r="P524">
        <v>1</v>
      </c>
      <c r="Q524">
        <v>5</v>
      </c>
      <c r="R524" t="s">
        <v>117</v>
      </c>
      <c r="S524">
        <v>22</v>
      </c>
      <c r="T524">
        <v>0</v>
      </c>
      <c r="U524" t="s">
        <v>35</v>
      </c>
      <c r="V524" t="s">
        <v>121</v>
      </c>
    </row>
    <row r="525" spans="1:22" x14ac:dyDescent="0.25">
      <c r="A525" t="s">
        <v>109</v>
      </c>
      <c r="B525" s="3">
        <v>46026</v>
      </c>
      <c r="C525" t="s">
        <v>30</v>
      </c>
      <c r="D525">
        <v>38</v>
      </c>
      <c r="E525" t="s">
        <v>38</v>
      </c>
      <c r="F525" t="s">
        <v>136</v>
      </c>
      <c r="G525">
        <v>0</v>
      </c>
      <c r="H525">
        <v>1</v>
      </c>
      <c r="I525">
        <v>2</v>
      </c>
      <c r="J525">
        <v>30</v>
      </c>
      <c r="K525">
        <v>26</v>
      </c>
      <c r="N525">
        <v>0</v>
      </c>
      <c r="O525">
        <v>3</v>
      </c>
      <c r="P525">
        <v>0</v>
      </c>
      <c r="Q525">
        <v>3</v>
      </c>
      <c r="R525" t="s">
        <v>118</v>
      </c>
      <c r="S525">
        <v>24</v>
      </c>
      <c r="T525">
        <v>0</v>
      </c>
      <c r="U525" t="s">
        <v>35</v>
      </c>
      <c r="V525" t="s">
        <v>121</v>
      </c>
    </row>
    <row r="526" spans="1:22" x14ac:dyDescent="0.25">
      <c r="A526" t="s">
        <v>109</v>
      </c>
      <c r="B526" s="3">
        <v>46026</v>
      </c>
      <c r="C526" t="s">
        <v>30</v>
      </c>
      <c r="D526">
        <v>38</v>
      </c>
      <c r="E526" t="s">
        <v>39</v>
      </c>
      <c r="F526" t="s">
        <v>36</v>
      </c>
      <c r="G526">
        <v>1</v>
      </c>
      <c r="H526">
        <v>6</v>
      </c>
      <c r="I526">
        <v>2</v>
      </c>
      <c r="J526">
        <v>38</v>
      </c>
      <c r="K526">
        <v>16</v>
      </c>
      <c r="N526">
        <v>2</v>
      </c>
      <c r="O526">
        <v>6</v>
      </c>
      <c r="P526">
        <v>1</v>
      </c>
      <c r="Q526">
        <v>4</v>
      </c>
      <c r="R526" t="s">
        <v>105</v>
      </c>
      <c r="S526">
        <v>14</v>
      </c>
      <c r="T526">
        <v>0</v>
      </c>
      <c r="U526" t="s">
        <v>33</v>
      </c>
      <c r="V526" t="s">
        <v>121</v>
      </c>
    </row>
    <row r="527" spans="1:22" x14ac:dyDescent="0.25">
      <c r="A527" t="s">
        <v>109</v>
      </c>
      <c r="B527" s="3">
        <v>46026</v>
      </c>
      <c r="C527" t="s">
        <v>30</v>
      </c>
      <c r="D527">
        <v>28</v>
      </c>
      <c r="E527" t="s">
        <v>45</v>
      </c>
      <c r="F527" t="s">
        <v>31</v>
      </c>
      <c r="G527">
        <v>0</v>
      </c>
      <c r="H527">
        <v>1</v>
      </c>
      <c r="I527">
        <v>4</v>
      </c>
      <c r="J527">
        <v>21</v>
      </c>
      <c r="K527">
        <v>38</v>
      </c>
      <c r="L527">
        <v>2.17</v>
      </c>
      <c r="M527">
        <v>3.45</v>
      </c>
      <c r="N527">
        <v>0</v>
      </c>
      <c r="O527">
        <v>2</v>
      </c>
      <c r="P527">
        <v>0</v>
      </c>
      <c r="Q527">
        <v>4</v>
      </c>
      <c r="R527" t="s">
        <v>148</v>
      </c>
      <c r="S527">
        <v>34</v>
      </c>
      <c r="T527">
        <v>0</v>
      </c>
      <c r="U527" t="s">
        <v>35</v>
      </c>
      <c r="V527" t="s">
        <v>121</v>
      </c>
    </row>
    <row r="528" spans="1:22" x14ac:dyDescent="0.25">
      <c r="A528" t="s">
        <v>109</v>
      </c>
      <c r="B528" s="3">
        <v>46028</v>
      </c>
      <c r="C528" t="s">
        <v>30</v>
      </c>
      <c r="D528">
        <v>39</v>
      </c>
      <c r="E528" t="s">
        <v>31</v>
      </c>
      <c r="F528" t="s">
        <v>46</v>
      </c>
      <c r="G528">
        <v>0</v>
      </c>
      <c r="H528">
        <v>3</v>
      </c>
      <c r="I528">
        <v>2</v>
      </c>
      <c r="J528">
        <v>33</v>
      </c>
      <c r="K528">
        <v>31</v>
      </c>
      <c r="L528">
        <v>2.77</v>
      </c>
      <c r="M528">
        <v>3.69</v>
      </c>
      <c r="N528">
        <v>0</v>
      </c>
      <c r="O528" s="5">
        <v>6</v>
      </c>
      <c r="P528">
        <v>0</v>
      </c>
      <c r="Q528" s="5">
        <v>7</v>
      </c>
      <c r="R528" t="s">
        <v>34</v>
      </c>
      <c r="S528" s="4">
        <v>29</v>
      </c>
      <c r="T528">
        <v>1</v>
      </c>
      <c r="U528" t="s">
        <v>33</v>
      </c>
      <c r="V528" t="s">
        <v>121</v>
      </c>
    </row>
    <row r="529" spans="1:22" x14ac:dyDescent="0.25">
      <c r="A529" t="s">
        <v>109</v>
      </c>
      <c r="B529" s="3">
        <v>46028</v>
      </c>
      <c r="C529" t="s">
        <v>30</v>
      </c>
      <c r="D529">
        <v>39</v>
      </c>
      <c r="E529" t="s">
        <v>46</v>
      </c>
      <c r="F529" t="s">
        <v>31</v>
      </c>
      <c r="G529">
        <v>1</v>
      </c>
      <c r="H529">
        <v>2</v>
      </c>
      <c r="I529">
        <v>3</v>
      </c>
      <c r="J529">
        <v>31</v>
      </c>
      <c r="K529">
        <v>33</v>
      </c>
      <c r="L529">
        <v>3.69</v>
      </c>
      <c r="M529">
        <v>2.77</v>
      </c>
      <c r="N529">
        <v>0</v>
      </c>
      <c r="O529" s="5">
        <v>7</v>
      </c>
      <c r="P529">
        <v>0</v>
      </c>
      <c r="Q529" s="5">
        <v>6</v>
      </c>
      <c r="R529" t="s">
        <v>141</v>
      </c>
      <c r="S529" s="4">
        <v>30</v>
      </c>
      <c r="T529">
        <v>1</v>
      </c>
      <c r="U529" t="s">
        <v>35</v>
      </c>
      <c r="V529" t="s">
        <v>121</v>
      </c>
    </row>
    <row r="530" spans="1:22" x14ac:dyDescent="0.25">
      <c r="A530" t="s">
        <v>109</v>
      </c>
      <c r="B530" s="3">
        <v>46028</v>
      </c>
      <c r="C530" t="s">
        <v>30</v>
      </c>
      <c r="D530">
        <v>39</v>
      </c>
      <c r="E530" t="s">
        <v>42</v>
      </c>
      <c r="F530" t="s">
        <v>38</v>
      </c>
      <c r="G530">
        <v>0</v>
      </c>
      <c r="H530">
        <v>2</v>
      </c>
      <c r="I530">
        <v>3</v>
      </c>
      <c r="J530">
        <v>35</v>
      </c>
      <c r="K530">
        <v>23</v>
      </c>
      <c r="L530">
        <v>2.76</v>
      </c>
      <c r="M530">
        <v>2.96</v>
      </c>
      <c r="N530">
        <v>1</v>
      </c>
      <c r="O530">
        <v>2</v>
      </c>
      <c r="P530">
        <v>1</v>
      </c>
      <c r="Q530">
        <v>3</v>
      </c>
      <c r="R530" t="s">
        <v>144</v>
      </c>
      <c r="S530">
        <v>20</v>
      </c>
      <c r="T530">
        <v>0</v>
      </c>
      <c r="U530" t="s">
        <v>35</v>
      </c>
      <c r="V530" t="s">
        <v>121</v>
      </c>
    </row>
    <row r="531" spans="1:22" x14ac:dyDescent="0.25">
      <c r="A531" t="s">
        <v>109</v>
      </c>
      <c r="B531" s="3">
        <v>46028</v>
      </c>
      <c r="C531" t="s">
        <v>30</v>
      </c>
      <c r="D531">
        <v>39</v>
      </c>
      <c r="E531" t="s">
        <v>40</v>
      </c>
      <c r="F531" t="s">
        <v>43</v>
      </c>
      <c r="G531">
        <v>0</v>
      </c>
      <c r="H531">
        <v>1</v>
      </c>
      <c r="I531">
        <v>4</v>
      </c>
      <c r="J531">
        <v>31</v>
      </c>
      <c r="K531">
        <v>26</v>
      </c>
      <c r="N531">
        <v>0</v>
      </c>
      <c r="O531">
        <v>3</v>
      </c>
      <c r="P531">
        <v>1</v>
      </c>
      <c r="Q531">
        <v>5</v>
      </c>
      <c r="R531" t="s">
        <v>107</v>
      </c>
      <c r="S531">
        <v>22</v>
      </c>
      <c r="T531">
        <v>0</v>
      </c>
      <c r="U531" t="s">
        <v>35</v>
      </c>
      <c r="V531" t="s">
        <v>121</v>
      </c>
    </row>
    <row r="532" spans="1:22" x14ac:dyDescent="0.25">
      <c r="A532" t="s">
        <v>109</v>
      </c>
      <c r="B532" s="3">
        <v>46028</v>
      </c>
      <c r="C532" t="s">
        <v>30</v>
      </c>
      <c r="D532">
        <v>39</v>
      </c>
      <c r="E532" t="s">
        <v>43</v>
      </c>
      <c r="F532" t="s">
        <v>40</v>
      </c>
      <c r="G532">
        <v>1</v>
      </c>
      <c r="H532">
        <v>4</v>
      </c>
      <c r="I532">
        <v>1</v>
      </c>
      <c r="J532">
        <v>26</v>
      </c>
      <c r="K532">
        <v>31</v>
      </c>
      <c r="N532">
        <v>1</v>
      </c>
      <c r="O532">
        <v>5</v>
      </c>
      <c r="P532">
        <v>0</v>
      </c>
      <c r="Q532">
        <v>3</v>
      </c>
      <c r="R532" t="s">
        <v>151</v>
      </c>
      <c r="S532">
        <v>30</v>
      </c>
      <c r="T532">
        <v>0</v>
      </c>
      <c r="U532" t="s">
        <v>33</v>
      </c>
      <c r="V532" t="s">
        <v>121</v>
      </c>
    </row>
    <row r="533" spans="1:22" x14ac:dyDescent="0.25">
      <c r="A533" t="s">
        <v>109</v>
      </c>
      <c r="B533" s="3">
        <v>46028</v>
      </c>
      <c r="C533" t="s">
        <v>30</v>
      </c>
      <c r="D533">
        <v>39</v>
      </c>
      <c r="E533" t="s">
        <v>38</v>
      </c>
      <c r="F533" t="s">
        <v>42</v>
      </c>
      <c r="G533">
        <v>1</v>
      </c>
      <c r="H533">
        <v>3</v>
      </c>
      <c r="I533">
        <v>2</v>
      </c>
      <c r="J533">
        <v>23</v>
      </c>
      <c r="K533">
        <v>35</v>
      </c>
      <c r="L533">
        <v>2.96</v>
      </c>
      <c r="M533">
        <v>2.76</v>
      </c>
      <c r="N533">
        <v>1</v>
      </c>
      <c r="O533">
        <v>3</v>
      </c>
      <c r="P533">
        <v>1</v>
      </c>
      <c r="Q533">
        <v>2</v>
      </c>
      <c r="R533" t="s">
        <v>118</v>
      </c>
      <c r="S533">
        <v>33</v>
      </c>
      <c r="T533">
        <v>0</v>
      </c>
      <c r="U533" t="s">
        <v>33</v>
      </c>
      <c r="V533" t="s">
        <v>121</v>
      </c>
    </row>
    <row r="534" spans="1:22" x14ac:dyDescent="0.25">
      <c r="A534" t="s">
        <v>109</v>
      </c>
      <c r="B534" s="3">
        <v>46028</v>
      </c>
      <c r="C534" t="s">
        <v>30</v>
      </c>
      <c r="D534">
        <v>39</v>
      </c>
      <c r="E534" t="s">
        <v>39</v>
      </c>
      <c r="F534" t="s">
        <v>45</v>
      </c>
      <c r="G534">
        <v>0</v>
      </c>
      <c r="H534">
        <v>6</v>
      </c>
      <c r="I534">
        <v>4</v>
      </c>
      <c r="J534">
        <v>32</v>
      </c>
      <c r="K534">
        <v>24</v>
      </c>
      <c r="N534">
        <v>1</v>
      </c>
      <c r="O534">
        <v>1</v>
      </c>
      <c r="P534">
        <v>2</v>
      </c>
      <c r="Q534">
        <v>5</v>
      </c>
      <c r="R534" t="s">
        <v>106</v>
      </c>
      <c r="S534">
        <v>20</v>
      </c>
      <c r="T534">
        <v>0</v>
      </c>
      <c r="U534" t="s">
        <v>33</v>
      </c>
      <c r="V534" t="s">
        <v>121</v>
      </c>
    </row>
    <row r="535" spans="1:22" x14ac:dyDescent="0.25">
      <c r="A535" t="s">
        <v>109</v>
      </c>
      <c r="B535" s="3">
        <v>46028</v>
      </c>
      <c r="C535" t="s">
        <v>30</v>
      </c>
      <c r="D535">
        <v>39</v>
      </c>
      <c r="E535" t="s">
        <v>45</v>
      </c>
      <c r="F535" t="s">
        <v>39</v>
      </c>
      <c r="G535">
        <v>1</v>
      </c>
      <c r="H535">
        <v>4</v>
      </c>
      <c r="I535">
        <v>6</v>
      </c>
      <c r="J535">
        <v>24</v>
      </c>
      <c r="K535">
        <v>32</v>
      </c>
      <c r="N535">
        <v>2</v>
      </c>
      <c r="O535">
        <v>5</v>
      </c>
      <c r="P535">
        <v>1</v>
      </c>
      <c r="Q535">
        <v>1</v>
      </c>
      <c r="R535" t="s">
        <v>148</v>
      </c>
      <c r="S535">
        <v>26</v>
      </c>
      <c r="T535">
        <v>0</v>
      </c>
      <c r="U535" t="s">
        <v>35</v>
      </c>
      <c r="V535" t="s">
        <v>121</v>
      </c>
    </row>
    <row r="536" spans="1:22" x14ac:dyDescent="0.25">
      <c r="A536" t="s">
        <v>109</v>
      </c>
      <c r="B536" s="3">
        <v>46029</v>
      </c>
      <c r="C536" t="s">
        <v>30</v>
      </c>
      <c r="D536">
        <v>39</v>
      </c>
      <c r="E536" t="s">
        <v>41</v>
      </c>
      <c r="F536" t="s">
        <v>44</v>
      </c>
      <c r="G536">
        <v>1</v>
      </c>
      <c r="H536">
        <v>6</v>
      </c>
      <c r="I536">
        <v>3</v>
      </c>
      <c r="J536">
        <v>30</v>
      </c>
      <c r="K536">
        <v>26</v>
      </c>
      <c r="L536">
        <v>3.13</v>
      </c>
      <c r="M536">
        <v>3.12</v>
      </c>
      <c r="N536">
        <v>0</v>
      </c>
      <c r="O536" s="5">
        <v>2</v>
      </c>
      <c r="P536">
        <v>1</v>
      </c>
      <c r="Q536" s="5">
        <v>3</v>
      </c>
      <c r="R536" t="s">
        <v>110</v>
      </c>
      <c r="S536" s="4">
        <v>23</v>
      </c>
      <c r="T536">
        <v>0</v>
      </c>
      <c r="U536" t="s">
        <v>33</v>
      </c>
      <c r="V536" t="s">
        <v>121</v>
      </c>
    </row>
    <row r="537" spans="1:22" x14ac:dyDescent="0.25">
      <c r="A537" t="s">
        <v>109</v>
      </c>
      <c r="B537" s="3">
        <v>46029</v>
      </c>
      <c r="C537" t="s">
        <v>30</v>
      </c>
      <c r="D537">
        <v>39</v>
      </c>
      <c r="E537" t="s">
        <v>44</v>
      </c>
      <c r="F537" t="s">
        <v>41</v>
      </c>
      <c r="G537">
        <v>0</v>
      </c>
      <c r="H537">
        <v>3</v>
      </c>
      <c r="I537">
        <v>6</v>
      </c>
      <c r="J537">
        <v>26</v>
      </c>
      <c r="K537">
        <v>30</v>
      </c>
      <c r="L537">
        <v>3.12</v>
      </c>
      <c r="M537">
        <v>3.13</v>
      </c>
      <c r="N537">
        <v>1</v>
      </c>
      <c r="O537">
        <v>3</v>
      </c>
      <c r="P537">
        <v>0</v>
      </c>
      <c r="Q537">
        <v>2</v>
      </c>
      <c r="R537" t="s">
        <v>150</v>
      </c>
      <c r="S537">
        <v>24</v>
      </c>
      <c r="T537">
        <v>0</v>
      </c>
      <c r="U537" t="s">
        <v>35</v>
      </c>
      <c r="V537" t="s">
        <v>121</v>
      </c>
    </row>
    <row r="538" spans="1:22" x14ac:dyDescent="0.25">
      <c r="A538" t="s">
        <v>109</v>
      </c>
      <c r="B538" s="3">
        <v>46031</v>
      </c>
      <c r="C538" t="s">
        <v>30</v>
      </c>
      <c r="D538">
        <v>40</v>
      </c>
      <c r="E538" t="s">
        <v>31</v>
      </c>
      <c r="F538" t="s">
        <v>32</v>
      </c>
      <c r="G538">
        <v>0</v>
      </c>
      <c r="H538">
        <v>3</v>
      </c>
      <c r="I538">
        <v>4</v>
      </c>
      <c r="J538">
        <v>29</v>
      </c>
      <c r="K538">
        <v>34</v>
      </c>
      <c r="L538">
        <v>3.13</v>
      </c>
      <c r="M538">
        <v>2.27</v>
      </c>
      <c r="N538">
        <v>0</v>
      </c>
      <c r="O538" s="5">
        <v>4</v>
      </c>
      <c r="P538">
        <v>1</v>
      </c>
      <c r="Q538" s="4">
        <v>7</v>
      </c>
      <c r="R538" t="s">
        <v>34</v>
      </c>
      <c r="S538" s="4">
        <v>31</v>
      </c>
      <c r="T538">
        <v>1</v>
      </c>
      <c r="U538" t="s">
        <v>35</v>
      </c>
      <c r="V538" t="s">
        <v>121</v>
      </c>
    </row>
    <row r="539" spans="1:22" x14ac:dyDescent="0.25">
      <c r="A539" t="s">
        <v>109</v>
      </c>
      <c r="B539" s="3">
        <v>46031</v>
      </c>
      <c r="C539" t="s">
        <v>30</v>
      </c>
      <c r="D539">
        <v>40</v>
      </c>
      <c r="E539" t="s">
        <v>41</v>
      </c>
      <c r="F539" t="s">
        <v>38</v>
      </c>
      <c r="G539">
        <v>0</v>
      </c>
      <c r="H539">
        <v>1</v>
      </c>
      <c r="I539">
        <v>4</v>
      </c>
      <c r="J539">
        <v>18</v>
      </c>
      <c r="K539">
        <v>23</v>
      </c>
      <c r="L539">
        <v>1.61</v>
      </c>
      <c r="M539">
        <v>2.34</v>
      </c>
      <c r="N539">
        <v>0</v>
      </c>
      <c r="O539" s="5">
        <v>9</v>
      </c>
      <c r="P539">
        <v>2</v>
      </c>
      <c r="Q539" s="5">
        <v>5</v>
      </c>
      <c r="R539" t="s">
        <v>110</v>
      </c>
      <c r="S539" s="4">
        <v>19</v>
      </c>
      <c r="T539">
        <v>0</v>
      </c>
      <c r="U539" t="s">
        <v>35</v>
      </c>
      <c r="V539" t="s">
        <v>121</v>
      </c>
    </row>
    <row r="540" spans="1:22" x14ac:dyDescent="0.25">
      <c r="A540" t="s">
        <v>109</v>
      </c>
      <c r="B540" s="3">
        <v>46031</v>
      </c>
      <c r="C540" t="s">
        <v>30</v>
      </c>
      <c r="D540">
        <v>40</v>
      </c>
      <c r="E540" t="s">
        <v>42</v>
      </c>
      <c r="F540" t="s">
        <v>43</v>
      </c>
      <c r="G540">
        <v>1</v>
      </c>
      <c r="H540">
        <v>7</v>
      </c>
      <c r="I540">
        <v>2</v>
      </c>
      <c r="J540">
        <v>41</v>
      </c>
      <c r="K540">
        <v>22</v>
      </c>
      <c r="L540">
        <v>3.96</v>
      </c>
      <c r="M540">
        <v>1.63</v>
      </c>
      <c r="N540">
        <v>1</v>
      </c>
      <c r="O540">
        <v>3</v>
      </c>
      <c r="P540">
        <v>1</v>
      </c>
      <c r="Q540">
        <v>2</v>
      </c>
      <c r="R540" t="s">
        <v>144</v>
      </c>
      <c r="S540">
        <v>20</v>
      </c>
      <c r="T540">
        <v>0</v>
      </c>
      <c r="U540" t="s">
        <v>33</v>
      </c>
      <c r="V540" t="s">
        <v>121</v>
      </c>
    </row>
    <row r="541" spans="1:22" x14ac:dyDescent="0.25">
      <c r="A541" t="s">
        <v>109</v>
      </c>
      <c r="B541" s="3">
        <v>46031</v>
      </c>
      <c r="C541" t="s">
        <v>30</v>
      </c>
      <c r="D541">
        <v>40</v>
      </c>
      <c r="E541" t="s">
        <v>40</v>
      </c>
      <c r="F541" t="s">
        <v>36</v>
      </c>
      <c r="G541">
        <v>0</v>
      </c>
      <c r="H541">
        <v>5</v>
      </c>
      <c r="I541">
        <v>1</v>
      </c>
      <c r="J541">
        <v>19</v>
      </c>
      <c r="K541">
        <v>21</v>
      </c>
      <c r="N541">
        <v>0</v>
      </c>
      <c r="O541">
        <v>3</v>
      </c>
      <c r="P541">
        <v>0</v>
      </c>
      <c r="Q541">
        <v>4</v>
      </c>
      <c r="R541" t="s">
        <v>107</v>
      </c>
      <c r="S541">
        <v>20</v>
      </c>
      <c r="T541">
        <v>0</v>
      </c>
      <c r="U541" t="s">
        <v>33</v>
      </c>
      <c r="V541" t="s">
        <v>121</v>
      </c>
    </row>
    <row r="542" spans="1:22" x14ac:dyDescent="0.25">
      <c r="A542" t="s">
        <v>109</v>
      </c>
      <c r="B542" s="3">
        <v>46031</v>
      </c>
      <c r="C542" t="s">
        <v>30</v>
      </c>
      <c r="D542">
        <v>40</v>
      </c>
      <c r="E542" t="s">
        <v>44</v>
      </c>
      <c r="F542" t="s">
        <v>45</v>
      </c>
      <c r="G542">
        <v>0</v>
      </c>
      <c r="H542">
        <v>4</v>
      </c>
      <c r="I542">
        <v>3</v>
      </c>
      <c r="J542">
        <v>27</v>
      </c>
      <c r="K542">
        <v>30</v>
      </c>
      <c r="N542">
        <v>2</v>
      </c>
      <c r="O542">
        <v>5</v>
      </c>
      <c r="P542">
        <v>1</v>
      </c>
      <c r="Q542">
        <v>8</v>
      </c>
      <c r="R542" t="s">
        <v>147</v>
      </c>
      <c r="S542">
        <v>27</v>
      </c>
      <c r="T542">
        <v>1</v>
      </c>
      <c r="U542" t="s">
        <v>33</v>
      </c>
      <c r="V542" t="s">
        <v>121</v>
      </c>
    </row>
    <row r="543" spans="1:22" x14ac:dyDescent="0.25">
      <c r="A543" t="s">
        <v>109</v>
      </c>
      <c r="B543" s="3">
        <v>46031</v>
      </c>
      <c r="C543" t="s">
        <v>30</v>
      </c>
      <c r="D543">
        <v>40</v>
      </c>
      <c r="E543" t="s">
        <v>137</v>
      </c>
      <c r="F543" t="s">
        <v>39</v>
      </c>
      <c r="G543">
        <v>1</v>
      </c>
      <c r="H543">
        <v>3</v>
      </c>
      <c r="I543">
        <v>2</v>
      </c>
      <c r="J543">
        <v>28</v>
      </c>
      <c r="K543">
        <v>26</v>
      </c>
      <c r="N543">
        <v>0</v>
      </c>
      <c r="O543">
        <v>3</v>
      </c>
      <c r="P543">
        <v>0</v>
      </c>
      <c r="Q543">
        <v>2</v>
      </c>
      <c r="R543" t="s">
        <v>100</v>
      </c>
      <c r="S543">
        <v>24</v>
      </c>
      <c r="T543">
        <v>1</v>
      </c>
      <c r="U543" t="s">
        <v>33</v>
      </c>
      <c r="V543" t="s">
        <v>121</v>
      </c>
    </row>
    <row r="544" spans="1:22" x14ac:dyDescent="0.25">
      <c r="A544" t="s">
        <v>109</v>
      </c>
      <c r="B544" s="3">
        <v>46031</v>
      </c>
      <c r="C544" t="s">
        <v>30</v>
      </c>
      <c r="D544">
        <v>40</v>
      </c>
      <c r="E544" t="s">
        <v>43</v>
      </c>
      <c r="F544" t="s">
        <v>42</v>
      </c>
      <c r="G544">
        <v>0</v>
      </c>
      <c r="H544">
        <v>2</v>
      </c>
      <c r="I544">
        <v>7</v>
      </c>
      <c r="J544">
        <v>22</v>
      </c>
      <c r="K544">
        <v>41</v>
      </c>
      <c r="L544">
        <v>1.63</v>
      </c>
      <c r="M544">
        <v>3.96</v>
      </c>
      <c r="N544">
        <v>1</v>
      </c>
      <c r="O544">
        <v>2</v>
      </c>
      <c r="P544">
        <v>1</v>
      </c>
      <c r="Q544">
        <v>3</v>
      </c>
      <c r="R544" t="s">
        <v>149</v>
      </c>
      <c r="S544">
        <v>34</v>
      </c>
      <c r="T544">
        <v>0</v>
      </c>
      <c r="U544" t="s">
        <v>35</v>
      </c>
      <c r="V544" t="s">
        <v>121</v>
      </c>
    </row>
    <row r="545" spans="1:22" x14ac:dyDescent="0.25">
      <c r="A545" t="s">
        <v>109</v>
      </c>
      <c r="B545" s="3">
        <v>46031</v>
      </c>
      <c r="C545" t="s">
        <v>30</v>
      </c>
      <c r="D545">
        <v>40</v>
      </c>
      <c r="E545" t="s">
        <v>36</v>
      </c>
      <c r="F545" t="s">
        <v>40</v>
      </c>
      <c r="G545">
        <v>1</v>
      </c>
      <c r="H545">
        <v>1</v>
      </c>
      <c r="I545">
        <v>5</v>
      </c>
      <c r="J545">
        <v>21</v>
      </c>
      <c r="K545">
        <v>19</v>
      </c>
      <c r="N545">
        <v>0</v>
      </c>
      <c r="O545">
        <v>4</v>
      </c>
      <c r="P545">
        <v>0</v>
      </c>
      <c r="Q545">
        <v>3</v>
      </c>
      <c r="R545" t="s">
        <v>146</v>
      </c>
      <c r="S545">
        <v>14</v>
      </c>
      <c r="T545">
        <v>0</v>
      </c>
      <c r="U545" t="s">
        <v>35</v>
      </c>
      <c r="V545" t="s">
        <v>121</v>
      </c>
    </row>
    <row r="546" spans="1:22" x14ac:dyDescent="0.25">
      <c r="A546" t="s">
        <v>109</v>
      </c>
      <c r="B546" s="3">
        <v>46031</v>
      </c>
      <c r="C546" t="s">
        <v>30</v>
      </c>
      <c r="D546">
        <v>40</v>
      </c>
      <c r="E546" t="s">
        <v>32</v>
      </c>
      <c r="F546" t="s">
        <v>31</v>
      </c>
      <c r="G546">
        <v>1</v>
      </c>
      <c r="H546">
        <v>4</v>
      </c>
      <c r="I546">
        <v>3</v>
      </c>
      <c r="J546">
        <v>34</v>
      </c>
      <c r="K546">
        <v>29</v>
      </c>
      <c r="L546">
        <v>2.27</v>
      </c>
      <c r="M546">
        <v>3.13</v>
      </c>
      <c r="N546">
        <v>1</v>
      </c>
      <c r="O546">
        <v>7</v>
      </c>
      <c r="P546">
        <v>0</v>
      </c>
      <c r="Q546">
        <v>4</v>
      </c>
      <c r="R546" t="s">
        <v>117</v>
      </c>
      <c r="S546">
        <v>26</v>
      </c>
      <c r="T546">
        <v>1</v>
      </c>
      <c r="U546" t="s">
        <v>33</v>
      </c>
      <c r="V546" t="s">
        <v>121</v>
      </c>
    </row>
    <row r="547" spans="1:22" x14ac:dyDescent="0.25">
      <c r="A547" t="s">
        <v>109</v>
      </c>
      <c r="B547" s="3">
        <v>46031</v>
      </c>
      <c r="C547" t="s">
        <v>30</v>
      </c>
      <c r="D547">
        <v>40</v>
      </c>
      <c r="E547" t="s">
        <v>38</v>
      </c>
      <c r="F547" t="s">
        <v>41</v>
      </c>
      <c r="G547">
        <v>1</v>
      </c>
      <c r="H547">
        <v>4</v>
      </c>
      <c r="I547">
        <v>1</v>
      </c>
      <c r="J547">
        <v>23</v>
      </c>
      <c r="K547">
        <v>18</v>
      </c>
      <c r="L547">
        <v>2.34</v>
      </c>
      <c r="M547">
        <v>1.61</v>
      </c>
      <c r="N547">
        <v>2</v>
      </c>
      <c r="O547">
        <v>5</v>
      </c>
      <c r="P547">
        <v>0</v>
      </c>
      <c r="Q547">
        <v>9</v>
      </c>
      <c r="R547" t="s">
        <v>104</v>
      </c>
      <c r="S547">
        <v>17</v>
      </c>
      <c r="T547">
        <v>0</v>
      </c>
      <c r="U547" t="s">
        <v>33</v>
      </c>
      <c r="V547" t="s">
        <v>121</v>
      </c>
    </row>
    <row r="548" spans="1:22" x14ac:dyDescent="0.25">
      <c r="A548" t="s">
        <v>109</v>
      </c>
      <c r="B548" s="3">
        <v>46031</v>
      </c>
      <c r="C548" t="s">
        <v>30</v>
      </c>
      <c r="D548">
        <v>40</v>
      </c>
      <c r="E548" t="s">
        <v>39</v>
      </c>
      <c r="F548" t="s">
        <v>137</v>
      </c>
      <c r="G548">
        <v>0</v>
      </c>
      <c r="H548">
        <v>2</v>
      </c>
      <c r="I548">
        <v>3</v>
      </c>
      <c r="J548">
        <v>26</v>
      </c>
      <c r="K548">
        <v>28</v>
      </c>
      <c r="N548">
        <v>0</v>
      </c>
      <c r="O548">
        <v>2</v>
      </c>
      <c r="P548">
        <v>0</v>
      </c>
      <c r="Q548">
        <v>3</v>
      </c>
      <c r="R548" t="s">
        <v>105</v>
      </c>
      <c r="S548">
        <v>26</v>
      </c>
      <c r="T548">
        <v>1</v>
      </c>
      <c r="U548" t="s">
        <v>35</v>
      </c>
      <c r="V548" t="s">
        <v>121</v>
      </c>
    </row>
    <row r="549" spans="1:22" x14ac:dyDescent="0.25">
      <c r="A549" t="s">
        <v>109</v>
      </c>
      <c r="B549" s="3">
        <v>46031</v>
      </c>
      <c r="C549" t="s">
        <v>30</v>
      </c>
      <c r="D549">
        <v>40</v>
      </c>
      <c r="E549" t="s">
        <v>45</v>
      </c>
      <c r="F549" t="s">
        <v>44</v>
      </c>
      <c r="G549">
        <v>1</v>
      </c>
      <c r="H549">
        <v>3</v>
      </c>
      <c r="I549">
        <v>4</v>
      </c>
      <c r="J549">
        <v>30</v>
      </c>
      <c r="K549">
        <v>27</v>
      </c>
      <c r="N549">
        <v>1</v>
      </c>
      <c r="O549">
        <v>8</v>
      </c>
      <c r="P549">
        <v>2</v>
      </c>
      <c r="Q549">
        <v>5</v>
      </c>
      <c r="R549" t="s">
        <v>148</v>
      </c>
      <c r="S549">
        <v>23</v>
      </c>
      <c r="T549">
        <v>1</v>
      </c>
      <c r="U549" t="s">
        <v>35</v>
      </c>
      <c r="V549" t="s">
        <v>121</v>
      </c>
    </row>
    <row r="550" spans="1:22" x14ac:dyDescent="0.25">
      <c r="A550" t="s">
        <v>109</v>
      </c>
      <c r="B550" s="3">
        <v>46033</v>
      </c>
      <c r="C550" t="s">
        <v>30</v>
      </c>
      <c r="D550">
        <v>41</v>
      </c>
      <c r="E550" t="s">
        <v>31</v>
      </c>
      <c r="F550" t="s">
        <v>137</v>
      </c>
      <c r="G550">
        <v>1</v>
      </c>
      <c r="H550">
        <v>2</v>
      </c>
      <c r="I550">
        <v>1</v>
      </c>
      <c r="J550">
        <v>22</v>
      </c>
      <c r="K550">
        <v>26</v>
      </c>
      <c r="L550">
        <v>2.83</v>
      </c>
      <c r="M550">
        <v>4.25</v>
      </c>
      <c r="N550">
        <v>0</v>
      </c>
      <c r="O550" s="5">
        <v>5</v>
      </c>
      <c r="P550">
        <v>0</v>
      </c>
      <c r="Q550" s="5">
        <v>6</v>
      </c>
      <c r="R550" t="s">
        <v>34</v>
      </c>
      <c r="S550" s="4">
        <v>25</v>
      </c>
      <c r="T550">
        <v>1</v>
      </c>
      <c r="U550" t="s">
        <v>33</v>
      </c>
      <c r="V550" t="s">
        <v>121</v>
      </c>
    </row>
    <row r="551" spans="1:22" x14ac:dyDescent="0.25">
      <c r="A551" t="s">
        <v>109</v>
      </c>
      <c r="B551" s="3">
        <v>46033</v>
      </c>
      <c r="C551" t="s">
        <v>30</v>
      </c>
      <c r="D551">
        <v>41</v>
      </c>
      <c r="E551" t="s">
        <v>41</v>
      </c>
      <c r="F551" t="s">
        <v>46</v>
      </c>
      <c r="G551">
        <v>1</v>
      </c>
      <c r="H551">
        <v>5</v>
      </c>
      <c r="I551">
        <v>3</v>
      </c>
      <c r="J551">
        <v>33</v>
      </c>
      <c r="K551">
        <v>32</v>
      </c>
      <c r="L551">
        <v>3.37</v>
      </c>
      <c r="M551">
        <v>2.96</v>
      </c>
      <c r="N551">
        <v>2</v>
      </c>
      <c r="O551" s="5">
        <v>5</v>
      </c>
      <c r="P551">
        <v>0</v>
      </c>
      <c r="Q551" s="5">
        <v>1</v>
      </c>
      <c r="R551" t="s">
        <v>108</v>
      </c>
      <c r="S551" s="4">
        <v>29</v>
      </c>
      <c r="T551">
        <v>0</v>
      </c>
      <c r="U551" t="s">
        <v>33</v>
      </c>
      <c r="V551" t="s">
        <v>121</v>
      </c>
    </row>
    <row r="552" spans="1:22" x14ac:dyDescent="0.25">
      <c r="A552" t="s">
        <v>109</v>
      </c>
      <c r="B552" s="3">
        <v>46033</v>
      </c>
      <c r="C552" t="s">
        <v>30</v>
      </c>
      <c r="D552">
        <v>41</v>
      </c>
      <c r="E552" t="s">
        <v>46</v>
      </c>
      <c r="F552" t="s">
        <v>41</v>
      </c>
      <c r="G552">
        <v>0</v>
      </c>
      <c r="H552">
        <v>3</v>
      </c>
      <c r="I552">
        <v>5</v>
      </c>
      <c r="J552">
        <v>32</v>
      </c>
      <c r="K552">
        <v>33</v>
      </c>
      <c r="L552">
        <v>2.96</v>
      </c>
      <c r="M552">
        <v>3.37</v>
      </c>
      <c r="N552">
        <v>0</v>
      </c>
      <c r="O552" s="5">
        <v>1</v>
      </c>
      <c r="P552">
        <v>2</v>
      </c>
      <c r="Q552" s="5">
        <v>5</v>
      </c>
      <c r="R552" t="s">
        <v>141</v>
      </c>
      <c r="S552" s="4">
        <v>28</v>
      </c>
      <c r="T552">
        <v>0</v>
      </c>
      <c r="U552" t="s">
        <v>35</v>
      </c>
      <c r="V552" t="s">
        <v>121</v>
      </c>
    </row>
    <row r="553" spans="1:22" x14ac:dyDescent="0.25">
      <c r="A553" t="s">
        <v>109</v>
      </c>
      <c r="B553" s="3">
        <v>46033</v>
      </c>
      <c r="C553" t="s">
        <v>30</v>
      </c>
      <c r="D553">
        <v>41</v>
      </c>
      <c r="E553" t="s">
        <v>42</v>
      </c>
      <c r="F553" t="s">
        <v>36</v>
      </c>
      <c r="G553">
        <v>1</v>
      </c>
      <c r="H553">
        <v>3</v>
      </c>
      <c r="I553">
        <v>2</v>
      </c>
      <c r="J553">
        <v>32</v>
      </c>
      <c r="K553">
        <v>22</v>
      </c>
      <c r="L553">
        <v>2.41</v>
      </c>
      <c r="M553">
        <v>1.95</v>
      </c>
      <c r="N553">
        <v>1</v>
      </c>
      <c r="O553">
        <v>6</v>
      </c>
      <c r="P553">
        <v>1</v>
      </c>
      <c r="Q553">
        <v>3</v>
      </c>
      <c r="R553" t="s">
        <v>144</v>
      </c>
      <c r="S553">
        <v>20</v>
      </c>
      <c r="T553">
        <v>1</v>
      </c>
      <c r="U553" t="s">
        <v>33</v>
      </c>
      <c r="V553" t="s">
        <v>121</v>
      </c>
    </row>
    <row r="554" spans="1:22" x14ac:dyDescent="0.25">
      <c r="A554" t="s">
        <v>109</v>
      </c>
      <c r="B554" s="3">
        <v>46033</v>
      </c>
      <c r="C554" t="s">
        <v>30</v>
      </c>
      <c r="D554">
        <v>41</v>
      </c>
      <c r="E554" t="s">
        <v>136</v>
      </c>
      <c r="F554" t="s">
        <v>32</v>
      </c>
      <c r="G554">
        <v>1</v>
      </c>
      <c r="H554">
        <v>5</v>
      </c>
      <c r="I554">
        <v>1</v>
      </c>
      <c r="J554">
        <v>29</v>
      </c>
      <c r="K554">
        <v>18</v>
      </c>
      <c r="N554">
        <v>2</v>
      </c>
      <c r="O554">
        <v>10</v>
      </c>
      <c r="P554">
        <v>0</v>
      </c>
      <c r="Q554">
        <v>5</v>
      </c>
      <c r="R554" t="s">
        <v>103</v>
      </c>
      <c r="S554">
        <v>17</v>
      </c>
      <c r="T554">
        <v>0</v>
      </c>
      <c r="U554" t="s">
        <v>33</v>
      </c>
      <c r="V554" t="s">
        <v>121</v>
      </c>
    </row>
    <row r="555" spans="1:22" x14ac:dyDescent="0.25">
      <c r="A555" t="s">
        <v>109</v>
      </c>
      <c r="B555" s="3">
        <v>46033</v>
      </c>
      <c r="C555" t="s">
        <v>30</v>
      </c>
      <c r="D555">
        <v>41</v>
      </c>
      <c r="E555" t="s">
        <v>40</v>
      </c>
      <c r="F555" t="s">
        <v>45</v>
      </c>
      <c r="G555">
        <v>1</v>
      </c>
      <c r="H555">
        <v>8</v>
      </c>
      <c r="I555">
        <v>1</v>
      </c>
      <c r="J555">
        <v>43</v>
      </c>
      <c r="K555">
        <v>24</v>
      </c>
      <c r="N555">
        <v>1</v>
      </c>
      <c r="O555">
        <v>4</v>
      </c>
      <c r="P555">
        <v>0</v>
      </c>
      <c r="Q555">
        <v>2</v>
      </c>
      <c r="R555" t="s">
        <v>107</v>
      </c>
      <c r="S555">
        <v>23</v>
      </c>
      <c r="T555">
        <v>0</v>
      </c>
      <c r="U555" t="s">
        <v>33</v>
      </c>
      <c r="V555" t="s">
        <v>121</v>
      </c>
    </row>
    <row r="556" spans="1:22" x14ac:dyDescent="0.25">
      <c r="A556" t="s">
        <v>109</v>
      </c>
      <c r="B556" s="3">
        <v>46033</v>
      </c>
      <c r="C556" t="s">
        <v>30</v>
      </c>
      <c r="D556">
        <v>41</v>
      </c>
      <c r="E556" t="s">
        <v>44</v>
      </c>
      <c r="F556" t="s">
        <v>43</v>
      </c>
      <c r="G556">
        <v>1</v>
      </c>
      <c r="H556">
        <v>3</v>
      </c>
      <c r="I556">
        <v>4</v>
      </c>
      <c r="J556">
        <v>41</v>
      </c>
      <c r="K556">
        <v>18</v>
      </c>
      <c r="N556">
        <v>3</v>
      </c>
      <c r="O556">
        <v>9</v>
      </c>
      <c r="P556">
        <v>0</v>
      </c>
      <c r="Q556">
        <v>2</v>
      </c>
      <c r="R556" t="s">
        <v>150</v>
      </c>
      <c r="S556">
        <v>15</v>
      </c>
      <c r="T556">
        <v>1</v>
      </c>
      <c r="U556" t="s">
        <v>35</v>
      </c>
      <c r="V556" t="s">
        <v>121</v>
      </c>
    </row>
    <row r="557" spans="1:22" x14ac:dyDescent="0.25">
      <c r="A557" t="s">
        <v>109</v>
      </c>
      <c r="B557" s="3">
        <v>46033</v>
      </c>
      <c r="C557" t="s">
        <v>30</v>
      </c>
      <c r="D557">
        <v>41</v>
      </c>
      <c r="E557" t="s">
        <v>137</v>
      </c>
      <c r="F557" t="s">
        <v>31</v>
      </c>
      <c r="G557">
        <v>0</v>
      </c>
      <c r="H557">
        <v>1</v>
      </c>
      <c r="I557">
        <v>2</v>
      </c>
      <c r="J557">
        <v>26</v>
      </c>
      <c r="K557">
        <v>22</v>
      </c>
      <c r="L557">
        <v>4.25</v>
      </c>
      <c r="M557">
        <v>2.83</v>
      </c>
      <c r="N557">
        <v>0</v>
      </c>
      <c r="O557">
        <v>6</v>
      </c>
      <c r="P557">
        <v>0</v>
      </c>
      <c r="Q557">
        <v>5</v>
      </c>
      <c r="R557" t="s">
        <v>100</v>
      </c>
      <c r="S557">
        <v>21</v>
      </c>
      <c r="T557">
        <v>1</v>
      </c>
      <c r="U557" t="s">
        <v>35</v>
      </c>
      <c r="V557" t="s">
        <v>121</v>
      </c>
    </row>
    <row r="558" spans="1:22" x14ac:dyDescent="0.25">
      <c r="A558" t="s">
        <v>109</v>
      </c>
      <c r="B558" s="3">
        <v>46033</v>
      </c>
      <c r="C558" t="s">
        <v>30</v>
      </c>
      <c r="D558">
        <v>41</v>
      </c>
      <c r="E558" t="s">
        <v>43</v>
      </c>
      <c r="F558" t="s">
        <v>44</v>
      </c>
      <c r="G558">
        <v>0</v>
      </c>
      <c r="H558">
        <v>4</v>
      </c>
      <c r="I558">
        <v>3</v>
      </c>
      <c r="J558">
        <v>18</v>
      </c>
      <c r="K558">
        <v>41</v>
      </c>
      <c r="N558">
        <v>0</v>
      </c>
      <c r="O558">
        <v>2</v>
      </c>
      <c r="P558">
        <v>3</v>
      </c>
      <c r="Q558">
        <v>9</v>
      </c>
      <c r="R558" t="s">
        <v>151</v>
      </c>
      <c r="S558">
        <v>41</v>
      </c>
      <c r="T558">
        <v>1</v>
      </c>
      <c r="U558" t="s">
        <v>33</v>
      </c>
      <c r="V558" t="s">
        <v>121</v>
      </c>
    </row>
    <row r="559" spans="1:22" x14ac:dyDescent="0.25">
      <c r="A559" t="s">
        <v>109</v>
      </c>
      <c r="B559" s="3">
        <v>46033</v>
      </c>
      <c r="C559" t="s">
        <v>30</v>
      </c>
      <c r="D559">
        <v>41</v>
      </c>
      <c r="E559" t="s">
        <v>36</v>
      </c>
      <c r="F559" t="s">
        <v>42</v>
      </c>
      <c r="G559">
        <v>0</v>
      </c>
      <c r="H559">
        <v>2</v>
      </c>
      <c r="I559">
        <v>3</v>
      </c>
      <c r="J559">
        <v>22</v>
      </c>
      <c r="K559">
        <v>32</v>
      </c>
      <c r="L559">
        <v>1.95</v>
      </c>
      <c r="M559">
        <v>2.41</v>
      </c>
      <c r="N559">
        <v>1</v>
      </c>
      <c r="O559">
        <v>3</v>
      </c>
      <c r="P559">
        <v>1</v>
      </c>
      <c r="Q559">
        <v>6</v>
      </c>
      <c r="R559" t="s">
        <v>157</v>
      </c>
      <c r="S559">
        <v>29</v>
      </c>
      <c r="T559">
        <v>1</v>
      </c>
      <c r="U559" t="s">
        <v>35</v>
      </c>
      <c r="V559" t="s">
        <v>121</v>
      </c>
    </row>
    <row r="560" spans="1:22" x14ac:dyDescent="0.25">
      <c r="A560" t="s">
        <v>109</v>
      </c>
      <c r="B560" s="3">
        <v>46033</v>
      </c>
      <c r="C560" t="s">
        <v>30</v>
      </c>
      <c r="D560">
        <v>41</v>
      </c>
      <c r="E560" t="s">
        <v>32</v>
      </c>
      <c r="F560" t="s">
        <v>136</v>
      </c>
      <c r="G560">
        <v>0</v>
      </c>
      <c r="H560">
        <v>1</v>
      </c>
      <c r="I560">
        <v>5</v>
      </c>
      <c r="J560">
        <v>18</v>
      </c>
      <c r="K560">
        <v>29</v>
      </c>
      <c r="N560">
        <v>0</v>
      </c>
      <c r="O560">
        <v>5</v>
      </c>
      <c r="P560">
        <v>2</v>
      </c>
      <c r="Q560">
        <v>10</v>
      </c>
      <c r="R560" t="s">
        <v>117</v>
      </c>
      <c r="S560">
        <v>24</v>
      </c>
      <c r="T560">
        <v>0</v>
      </c>
      <c r="U560" t="s">
        <v>35</v>
      </c>
      <c r="V560" t="s">
        <v>121</v>
      </c>
    </row>
    <row r="561" spans="1:22" x14ac:dyDescent="0.25">
      <c r="A561" t="s">
        <v>109</v>
      </c>
      <c r="B561" s="3">
        <v>46033</v>
      </c>
      <c r="C561" t="s">
        <v>30</v>
      </c>
      <c r="D561">
        <v>41</v>
      </c>
      <c r="E561" t="s">
        <v>45</v>
      </c>
      <c r="F561" t="s">
        <v>40</v>
      </c>
      <c r="G561">
        <v>0</v>
      </c>
      <c r="H561">
        <v>1</v>
      </c>
      <c r="I561">
        <v>8</v>
      </c>
      <c r="J561">
        <v>24</v>
      </c>
      <c r="K561">
        <v>43</v>
      </c>
      <c r="N561">
        <v>0</v>
      </c>
      <c r="O561">
        <v>2</v>
      </c>
      <c r="P561">
        <v>1</v>
      </c>
      <c r="Q561">
        <v>4</v>
      </c>
      <c r="R561" t="s">
        <v>152</v>
      </c>
      <c r="S561">
        <v>35</v>
      </c>
      <c r="T561">
        <v>0</v>
      </c>
      <c r="U561" t="s">
        <v>35</v>
      </c>
      <c r="V561" t="s">
        <v>121</v>
      </c>
    </row>
    <row r="562" spans="1:22" x14ac:dyDescent="0.25">
      <c r="A562" t="s">
        <v>109</v>
      </c>
      <c r="B562" s="3">
        <v>46034</v>
      </c>
      <c r="C562" t="s">
        <v>30</v>
      </c>
      <c r="D562">
        <v>41</v>
      </c>
      <c r="E562" t="s">
        <v>38</v>
      </c>
      <c r="F562" t="s">
        <v>39</v>
      </c>
      <c r="G562">
        <v>0</v>
      </c>
      <c r="H562">
        <v>2</v>
      </c>
      <c r="I562">
        <v>3</v>
      </c>
      <c r="J562">
        <v>18</v>
      </c>
      <c r="K562">
        <v>24</v>
      </c>
      <c r="N562">
        <v>1</v>
      </c>
      <c r="O562">
        <v>3</v>
      </c>
      <c r="P562">
        <v>1</v>
      </c>
      <c r="Q562">
        <v>4</v>
      </c>
      <c r="R562" t="s">
        <v>104</v>
      </c>
      <c r="S562">
        <v>21</v>
      </c>
      <c r="T562">
        <v>0</v>
      </c>
      <c r="U562" t="s">
        <v>35</v>
      </c>
      <c r="V562" t="s">
        <v>121</v>
      </c>
    </row>
    <row r="563" spans="1:22" x14ac:dyDescent="0.25">
      <c r="A563" t="s">
        <v>109</v>
      </c>
      <c r="B563" s="3">
        <v>46034</v>
      </c>
      <c r="C563" t="s">
        <v>30</v>
      </c>
      <c r="D563">
        <v>41</v>
      </c>
      <c r="E563" t="s">
        <v>39</v>
      </c>
      <c r="F563" t="s">
        <v>38</v>
      </c>
      <c r="G563">
        <v>1</v>
      </c>
      <c r="H563">
        <v>3</v>
      </c>
      <c r="I563">
        <v>2</v>
      </c>
      <c r="J563">
        <v>24</v>
      </c>
      <c r="K563">
        <v>18</v>
      </c>
      <c r="N563">
        <v>1</v>
      </c>
      <c r="O563">
        <v>4</v>
      </c>
      <c r="P563">
        <v>1</v>
      </c>
      <c r="Q563">
        <v>3</v>
      </c>
      <c r="R563" t="s">
        <v>105</v>
      </c>
      <c r="S563">
        <v>16</v>
      </c>
      <c r="T563">
        <v>0</v>
      </c>
      <c r="U563" t="s">
        <v>33</v>
      </c>
      <c r="V563" t="s">
        <v>121</v>
      </c>
    </row>
    <row r="564" spans="1:22" x14ac:dyDescent="0.25">
      <c r="A564" t="s">
        <v>109</v>
      </c>
      <c r="B564" s="3">
        <v>46035</v>
      </c>
      <c r="C564" t="s">
        <v>30</v>
      </c>
      <c r="D564">
        <v>44</v>
      </c>
      <c r="E564" t="s">
        <v>46</v>
      </c>
      <c r="F564" t="s">
        <v>43</v>
      </c>
      <c r="G564">
        <v>1</v>
      </c>
      <c r="H564">
        <v>5</v>
      </c>
      <c r="I564">
        <v>1</v>
      </c>
      <c r="J564">
        <v>29</v>
      </c>
      <c r="K564">
        <v>19</v>
      </c>
      <c r="L564">
        <v>3.36</v>
      </c>
      <c r="M564">
        <v>1.31</v>
      </c>
      <c r="N564">
        <v>3</v>
      </c>
      <c r="O564" s="5">
        <v>4</v>
      </c>
      <c r="P564">
        <v>0</v>
      </c>
      <c r="Q564" s="5">
        <v>4</v>
      </c>
      <c r="R564" t="s">
        <v>140</v>
      </c>
      <c r="S564" s="4">
        <v>18</v>
      </c>
      <c r="T564">
        <v>0</v>
      </c>
      <c r="U564" t="s">
        <v>33</v>
      </c>
      <c r="V564" t="s">
        <v>121</v>
      </c>
    </row>
    <row r="565" spans="1:22" x14ac:dyDescent="0.25">
      <c r="A565" t="s">
        <v>109</v>
      </c>
      <c r="B565" s="3">
        <v>46035</v>
      </c>
      <c r="C565" t="s">
        <v>30</v>
      </c>
      <c r="D565">
        <v>39</v>
      </c>
      <c r="E565" t="s">
        <v>136</v>
      </c>
      <c r="F565" t="s">
        <v>137</v>
      </c>
      <c r="G565">
        <v>0</v>
      </c>
      <c r="H565">
        <v>3</v>
      </c>
      <c r="I565">
        <v>6</v>
      </c>
      <c r="J565">
        <v>29</v>
      </c>
      <c r="K565">
        <v>35</v>
      </c>
      <c r="N565">
        <v>1</v>
      </c>
      <c r="O565">
        <v>5</v>
      </c>
      <c r="P565">
        <v>0</v>
      </c>
      <c r="Q565">
        <v>3</v>
      </c>
      <c r="R565" t="s">
        <v>103</v>
      </c>
      <c r="S565">
        <v>29</v>
      </c>
      <c r="T565">
        <v>0</v>
      </c>
      <c r="U565" t="s">
        <v>35</v>
      </c>
      <c r="V565" t="s">
        <v>121</v>
      </c>
    </row>
    <row r="566" spans="1:22" x14ac:dyDescent="0.25">
      <c r="A566" t="s">
        <v>109</v>
      </c>
      <c r="B566" s="3">
        <v>46035</v>
      </c>
      <c r="C566" t="s">
        <v>30</v>
      </c>
      <c r="D566">
        <v>39</v>
      </c>
      <c r="E566" t="s">
        <v>137</v>
      </c>
      <c r="F566" t="s">
        <v>136</v>
      </c>
      <c r="G566">
        <v>1</v>
      </c>
      <c r="H566">
        <v>6</v>
      </c>
      <c r="I566">
        <v>3</v>
      </c>
      <c r="J566">
        <v>35</v>
      </c>
      <c r="K566">
        <v>29</v>
      </c>
      <c r="N566">
        <v>0</v>
      </c>
      <c r="O566">
        <v>3</v>
      </c>
      <c r="P566">
        <v>1</v>
      </c>
      <c r="Q566">
        <v>5</v>
      </c>
      <c r="R566" t="s">
        <v>115</v>
      </c>
      <c r="S566">
        <v>26</v>
      </c>
      <c r="T566">
        <v>0</v>
      </c>
      <c r="U566" t="s">
        <v>33</v>
      </c>
      <c r="V566" t="s">
        <v>121</v>
      </c>
    </row>
    <row r="567" spans="1:22" x14ac:dyDescent="0.25">
      <c r="A567" t="s">
        <v>109</v>
      </c>
      <c r="B567" s="3">
        <v>46035</v>
      </c>
      <c r="C567" t="s">
        <v>30</v>
      </c>
      <c r="D567">
        <v>44</v>
      </c>
      <c r="E567" t="s">
        <v>43</v>
      </c>
      <c r="F567" t="s">
        <v>46</v>
      </c>
      <c r="G567">
        <v>0</v>
      </c>
      <c r="H567">
        <v>1</v>
      </c>
      <c r="I567">
        <v>5</v>
      </c>
      <c r="J567">
        <v>19</v>
      </c>
      <c r="K567">
        <v>29</v>
      </c>
      <c r="L567">
        <v>1.31</v>
      </c>
      <c r="M567">
        <v>3.36</v>
      </c>
      <c r="N567">
        <v>0</v>
      </c>
      <c r="O567">
        <v>4</v>
      </c>
      <c r="P567">
        <v>3</v>
      </c>
      <c r="Q567">
        <v>4</v>
      </c>
      <c r="R567" t="s">
        <v>151</v>
      </c>
      <c r="S567">
        <v>24</v>
      </c>
      <c r="T567">
        <v>0</v>
      </c>
      <c r="U567" t="s">
        <v>35</v>
      </c>
      <c r="V567" t="s">
        <v>121</v>
      </c>
    </row>
    <row r="568" spans="1:22" x14ac:dyDescent="0.25">
      <c r="A568" t="s">
        <v>109</v>
      </c>
      <c r="B568" s="3">
        <v>46035</v>
      </c>
      <c r="C568" t="s">
        <v>30</v>
      </c>
      <c r="D568">
        <v>39</v>
      </c>
      <c r="E568" t="s">
        <v>36</v>
      </c>
      <c r="F568" t="s">
        <v>32</v>
      </c>
      <c r="G568">
        <v>1</v>
      </c>
      <c r="H568">
        <v>2</v>
      </c>
      <c r="I568">
        <v>0</v>
      </c>
      <c r="J568">
        <v>29</v>
      </c>
      <c r="K568">
        <v>26</v>
      </c>
      <c r="N568">
        <v>0</v>
      </c>
      <c r="O568">
        <v>4</v>
      </c>
      <c r="P568">
        <v>0</v>
      </c>
      <c r="Q568">
        <v>4</v>
      </c>
      <c r="R568" t="s">
        <v>157</v>
      </c>
      <c r="S568">
        <v>26</v>
      </c>
      <c r="T568">
        <v>0</v>
      </c>
      <c r="U568" t="s">
        <v>33</v>
      </c>
      <c r="V568" t="s">
        <v>121</v>
      </c>
    </row>
    <row r="569" spans="1:22" x14ac:dyDescent="0.25">
      <c r="A569" t="s">
        <v>109</v>
      </c>
      <c r="B569" s="3">
        <v>46035</v>
      </c>
      <c r="C569" t="s">
        <v>30</v>
      </c>
      <c r="D569">
        <v>39</v>
      </c>
      <c r="E569" t="s">
        <v>32</v>
      </c>
      <c r="F569" t="s">
        <v>36</v>
      </c>
      <c r="G569">
        <v>0</v>
      </c>
      <c r="H569">
        <v>0</v>
      </c>
      <c r="I569">
        <v>2</v>
      </c>
      <c r="J569">
        <v>26</v>
      </c>
      <c r="K569">
        <v>29</v>
      </c>
      <c r="N569">
        <v>0</v>
      </c>
      <c r="O569">
        <v>4</v>
      </c>
      <c r="P569">
        <v>0</v>
      </c>
      <c r="Q569">
        <v>4</v>
      </c>
      <c r="R569" t="s">
        <v>101</v>
      </c>
      <c r="S569">
        <v>27</v>
      </c>
      <c r="T569">
        <v>0</v>
      </c>
      <c r="U569" t="s">
        <v>35</v>
      </c>
      <c r="V569" t="s">
        <v>121</v>
      </c>
    </row>
    <row r="570" spans="1:22" x14ac:dyDescent="0.25">
      <c r="A570" t="s">
        <v>109</v>
      </c>
      <c r="B570" s="3">
        <v>46037</v>
      </c>
      <c r="C570" t="s">
        <v>30</v>
      </c>
      <c r="D570">
        <v>42</v>
      </c>
      <c r="E570" t="s">
        <v>46</v>
      </c>
      <c r="F570" t="s">
        <v>42</v>
      </c>
      <c r="G570">
        <v>1</v>
      </c>
      <c r="H570">
        <v>1</v>
      </c>
      <c r="I570">
        <v>3</v>
      </c>
      <c r="J570">
        <v>44</v>
      </c>
      <c r="K570">
        <v>24</v>
      </c>
      <c r="L570">
        <v>4.8499999999999996</v>
      </c>
      <c r="M570">
        <v>2.3199999999999998</v>
      </c>
      <c r="N570">
        <v>1</v>
      </c>
      <c r="O570" s="5">
        <v>4</v>
      </c>
      <c r="P570">
        <v>0</v>
      </c>
      <c r="Q570" s="5">
        <v>3</v>
      </c>
      <c r="R570" t="s">
        <v>140</v>
      </c>
      <c r="S570" s="4">
        <v>21</v>
      </c>
      <c r="T570">
        <v>0</v>
      </c>
      <c r="U570" t="s">
        <v>35</v>
      </c>
      <c r="V570" t="s">
        <v>121</v>
      </c>
    </row>
    <row r="571" spans="1:22" x14ac:dyDescent="0.25">
      <c r="A571" t="s">
        <v>109</v>
      </c>
      <c r="B571" s="3">
        <v>46037</v>
      </c>
      <c r="C571" t="s">
        <v>30</v>
      </c>
      <c r="D571">
        <v>42</v>
      </c>
      <c r="E571" t="s">
        <v>42</v>
      </c>
      <c r="F571" t="s">
        <v>46</v>
      </c>
      <c r="G571">
        <v>0</v>
      </c>
      <c r="H571">
        <v>3</v>
      </c>
      <c r="I571">
        <v>1</v>
      </c>
      <c r="J571">
        <v>24</v>
      </c>
      <c r="K571">
        <v>44</v>
      </c>
      <c r="L571">
        <v>2.3199999999999998</v>
      </c>
      <c r="M571">
        <v>4.8499999999999996</v>
      </c>
      <c r="N571">
        <v>0</v>
      </c>
      <c r="O571" s="5">
        <v>3</v>
      </c>
      <c r="P571">
        <v>1</v>
      </c>
      <c r="Q571" s="5">
        <v>4</v>
      </c>
      <c r="R571" t="s">
        <v>144</v>
      </c>
      <c r="S571" s="4">
        <v>43</v>
      </c>
      <c r="T571">
        <v>0</v>
      </c>
      <c r="U571" t="s">
        <v>33</v>
      </c>
      <c r="V571" t="s">
        <v>121</v>
      </c>
    </row>
    <row r="572" spans="1:22" x14ac:dyDescent="0.25">
      <c r="A572" t="s">
        <v>109</v>
      </c>
      <c r="B572" s="3">
        <v>46038</v>
      </c>
      <c r="C572" t="s">
        <v>30</v>
      </c>
      <c r="D572">
        <v>42</v>
      </c>
      <c r="E572" t="s">
        <v>31</v>
      </c>
      <c r="F572" t="s">
        <v>36</v>
      </c>
      <c r="G572">
        <v>0</v>
      </c>
      <c r="H572">
        <v>2</v>
      </c>
      <c r="I572">
        <v>4</v>
      </c>
      <c r="J572">
        <v>32</v>
      </c>
      <c r="K572">
        <v>15</v>
      </c>
      <c r="L572">
        <v>2.4500000000000002</v>
      </c>
      <c r="M572">
        <v>2.83</v>
      </c>
      <c r="N572">
        <v>0</v>
      </c>
      <c r="O572" s="5">
        <v>5</v>
      </c>
      <c r="P572">
        <v>1</v>
      </c>
      <c r="Q572" s="4">
        <v>6</v>
      </c>
      <c r="R572" t="s">
        <v>34</v>
      </c>
      <c r="S572" s="4">
        <v>11</v>
      </c>
      <c r="T572">
        <v>0</v>
      </c>
      <c r="U572" t="s">
        <v>35</v>
      </c>
      <c r="V572" t="s">
        <v>121</v>
      </c>
    </row>
    <row r="573" spans="1:22" x14ac:dyDescent="0.25">
      <c r="A573" t="s">
        <v>109</v>
      </c>
      <c r="B573" s="3">
        <v>46038</v>
      </c>
      <c r="C573" t="s">
        <v>30</v>
      </c>
      <c r="D573">
        <v>42</v>
      </c>
      <c r="E573" t="s">
        <v>41</v>
      </c>
      <c r="F573" t="s">
        <v>137</v>
      </c>
      <c r="G573">
        <v>0</v>
      </c>
      <c r="H573">
        <v>3</v>
      </c>
      <c r="I573">
        <v>5</v>
      </c>
      <c r="J573">
        <v>35</v>
      </c>
      <c r="K573">
        <v>23</v>
      </c>
      <c r="L573" s="6">
        <v>1.97</v>
      </c>
      <c r="M573" s="6">
        <v>2.2000000000000002</v>
      </c>
      <c r="N573">
        <v>0</v>
      </c>
      <c r="O573" s="5">
        <v>4</v>
      </c>
      <c r="P573">
        <v>1</v>
      </c>
      <c r="Q573" s="5">
        <v>4</v>
      </c>
      <c r="R573" t="s">
        <v>108</v>
      </c>
      <c r="S573" s="4">
        <v>18</v>
      </c>
      <c r="T573">
        <v>0</v>
      </c>
      <c r="U573" t="s">
        <v>35</v>
      </c>
      <c r="V573" t="s">
        <v>121</v>
      </c>
    </row>
    <row r="574" spans="1:22" x14ac:dyDescent="0.25">
      <c r="A574" t="s">
        <v>109</v>
      </c>
      <c r="B574" s="3">
        <v>46038</v>
      </c>
      <c r="C574" t="s">
        <v>30</v>
      </c>
      <c r="D574">
        <v>42</v>
      </c>
      <c r="E574" t="s">
        <v>136</v>
      </c>
      <c r="F574" t="s">
        <v>39</v>
      </c>
      <c r="G574">
        <v>1</v>
      </c>
      <c r="H574">
        <v>5</v>
      </c>
      <c r="I574">
        <v>1</v>
      </c>
      <c r="J574">
        <v>22</v>
      </c>
      <c r="K574">
        <v>29</v>
      </c>
      <c r="N574">
        <v>1</v>
      </c>
      <c r="O574">
        <v>6</v>
      </c>
      <c r="P574">
        <v>0</v>
      </c>
      <c r="Q574">
        <v>6</v>
      </c>
      <c r="R574" t="s">
        <v>103</v>
      </c>
      <c r="S574">
        <v>28</v>
      </c>
      <c r="T574">
        <v>0</v>
      </c>
      <c r="U574" t="s">
        <v>33</v>
      </c>
      <c r="V574" t="s">
        <v>121</v>
      </c>
    </row>
    <row r="575" spans="1:22" x14ac:dyDescent="0.25">
      <c r="A575" t="s">
        <v>109</v>
      </c>
      <c r="B575" s="3">
        <v>46038</v>
      </c>
      <c r="C575" t="s">
        <v>30</v>
      </c>
      <c r="D575">
        <v>42</v>
      </c>
      <c r="E575" t="s">
        <v>40</v>
      </c>
      <c r="F575" t="s">
        <v>32</v>
      </c>
      <c r="G575">
        <v>0</v>
      </c>
      <c r="H575">
        <v>0</v>
      </c>
      <c r="I575">
        <v>1</v>
      </c>
      <c r="J575">
        <v>26</v>
      </c>
      <c r="K575">
        <v>31</v>
      </c>
      <c r="N575">
        <v>0</v>
      </c>
      <c r="O575">
        <v>3</v>
      </c>
      <c r="P575">
        <v>1</v>
      </c>
      <c r="Q575">
        <v>5</v>
      </c>
      <c r="R575" t="s">
        <v>107</v>
      </c>
      <c r="S575">
        <v>30</v>
      </c>
      <c r="T575">
        <v>0</v>
      </c>
      <c r="U575" t="s">
        <v>35</v>
      </c>
      <c r="V575" t="s">
        <v>121</v>
      </c>
    </row>
    <row r="576" spans="1:22" x14ac:dyDescent="0.25">
      <c r="A576" t="s">
        <v>109</v>
      </c>
      <c r="B576" s="3">
        <v>46038</v>
      </c>
      <c r="C576" t="s">
        <v>30</v>
      </c>
      <c r="D576">
        <v>42</v>
      </c>
      <c r="E576" t="s">
        <v>44</v>
      </c>
      <c r="F576" t="s">
        <v>38</v>
      </c>
      <c r="G576">
        <v>0</v>
      </c>
      <c r="H576">
        <v>5</v>
      </c>
      <c r="I576">
        <v>1</v>
      </c>
      <c r="J576">
        <v>35</v>
      </c>
      <c r="K576">
        <v>24</v>
      </c>
      <c r="N576">
        <v>2</v>
      </c>
      <c r="O576">
        <v>3</v>
      </c>
      <c r="P576">
        <v>0</v>
      </c>
      <c r="Q576">
        <v>2</v>
      </c>
      <c r="R576" t="s">
        <v>147</v>
      </c>
      <c r="S576">
        <v>23</v>
      </c>
      <c r="T576">
        <v>0</v>
      </c>
      <c r="U576" t="s">
        <v>33</v>
      </c>
      <c r="V576" t="s">
        <v>121</v>
      </c>
    </row>
    <row r="577" spans="1:22" x14ac:dyDescent="0.25">
      <c r="A577" t="s">
        <v>109</v>
      </c>
      <c r="B577" s="3">
        <v>46038</v>
      </c>
      <c r="C577" t="s">
        <v>30</v>
      </c>
      <c r="D577">
        <v>42</v>
      </c>
      <c r="E577" t="s">
        <v>137</v>
      </c>
      <c r="F577" t="s">
        <v>41</v>
      </c>
      <c r="G577">
        <v>1</v>
      </c>
      <c r="H577">
        <v>5</v>
      </c>
      <c r="I577">
        <v>3</v>
      </c>
      <c r="J577">
        <v>23</v>
      </c>
      <c r="K577">
        <v>35</v>
      </c>
      <c r="L577">
        <v>2.2000000000000002</v>
      </c>
      <c r="M577">
        <v>1.97</v>
      </c>
      <c r="N577">
        <v>1</v>
      </c>
      <c r="O577">
        <v>4</v>
      </c>
      <c r="P577">
        <v>0</v>
      </c>
      <c r="Q577">
        <v>4</v>
      </c>
      <c r="R577" t="s">
        <v>100</v>
      </c>
      <c r="S577">
        <v>32</v>
      </c>
      <c r="T577">
        <v>0</v>
      </c>
      <c r="U577" t="s">
        <v>33</v>
      </c>
      <c r="V577" t="s">
        <v>121</v>
      </c>
    </row>
    <row r="578" spans="1:22" x14ac:dyDescent="0.25">
      <c r="A578" t="s">
        <v>109</v>
      </c>
      <c r="B578" s="3">
        <v>46038</v>
      </c>
      <c r="C578" t="s">
        <v>30</v>
      </c>
      <c r="D578">
        <v>42</v>
      </c>
      <c r="E578" t="s">
        <v>43</v>
      </c>
      <c r="F578" t="s">
        <v>45</v>
      </c>
      <c r="G578">
        <v>0</v>
      </c>
      <c r="H578">
        <v>1</v>
      </c>
      <c r="I578">
        <v>4</v>
      </c>
      <c r="J578">
        <v>28</v>
      </c>
      <c r="K578">
        <v>29</v>
      </c>
      <c r="N578">
        <v>0</v>
      </c>
      <c r="O578">
        <v>5</v>
      </c>
      <c r="P578">
        <v>1</v>
      </c>
      <c r="Q578">
        <v>4</v>
      </c>
      <c r="R578" t="s">
        <v>149</v>
      </c>
      <c r="S578">
        <v>25</v>
      </c>
      <c r="T578">
        <v>0</v>
      </c>
      <c r="U578" t="s">
        <v>35</v>
      </c>
      <c r="V578" t="s">
        <v>121</v>
      </c>
    </row>
    <row r="579" spans="1:22" x14ac:dyDescent="0.25">
      <c r="A579" t="s">
        <v>109</v>
      </c>
      <c r="B579" s="3">
        <v>46038</v>
      </c>
      <c r="C579" t="s">
        <v>30</v>
      </c>
      <c r="D579">
        <v>42</v>
      </c>
      <c r="E579" t="s">
        <v>36</v>
      </c>
      <c r="F579" t="s">
        <v>31</v>
      </c>
      <c r="G579">
        <v>1</v>
      </c>
      <c r="H579">
        <v>4</v>
      </c>
      <c r="I579">
        <v>2</v>
      </c>
      <c r="J579">
        <v>15</v>
      </c>
      <c r="K579">
        <v>32</v>
      </c>
      <c r="L579">
        <v>2.83</v>
      </c>
      <c r="M579">
        <v>2.4500000000000002</v>
      </c>
      <c r="N579">
        <v>1</v>
      </c>
      <c r="O579">
        <v>6</v>
      </c>
      <c r="P579">
        <v>0</v>
      </c>
      <c r="Q579">
        <v>5</v>
      </c>
      <c r="R579" t="s">
        <v>146</v>
      </c>
      <c r="S579">
        <v>31</v>
      </c>
      <c r="T579">
        <v>0</v>
      </c>
      <c r="U579" t="s">
        <v>33</v>
      </c>
      <c r="V579" t="s">
        <v>121</v>
      </c>
    </row>
    <row r="580" spans="1:22" x14ac:dyDescent="0.25">
      <c r="A580" t="s">
        <v>109</v>
      </c>
      <c r="B580" s="3">
        <v>46038</v>
      </c>
      <c r="C580" t="s">
        <v>30</v>
      </c>
      <c r="D580">
        <v>42</v>
      </c>
      <c r="E580" t="s">
        <v>32</v>
      </c>
      <c r="F580" t="s">
        <v>40</v>
      </c>
      <c r="G580">
        <v>1</v>
      </c>
      <c r="H580">
        <v>1</v>
      </c>
      <c r="I580">
        <v>0</v>
      </c>
      <c r="J580">
        <v>31</v>
      </c>
      <c r="K580">
        <v>26</v>
      </c>
      <c r="N580">
        <v>1</v>
      </c>
      <c r="O580">
        <v>5</v>
      </c>
      <c r="P580">
        <v>0</v>
      </c>
      <c r="Q580">
        <v>3</v>
      </c>
      <c r="R580" t="s">
        <v>117</v>
      </c>
      <c r="S580">
        <v>26</v>
      </c>
      <c r="T580">
        <v>0</v>
      </c>
      <c r="U580" t="s">
        <v>33</v>
      </c>
      <c r="V580" t="s">
        <v>121</v>
      </c>
    </row>
    <row r="581" spans="1:22" x14ac:dyDescent="0.25">
      <c r="A581" t="s">
        <v>109</v>
      </c>
      <c r="B581" s="3">
        <v>46038</v>
      </c>
      <c r="C581" t="s">
        <v>30</v>
      </c>
      <c r="D581">
        <v>42</v>
      </c>
      <c r="E581" t="s">
        <v>38</v>
      </c>
      <c r="F581" t="s">
        <v>44</v>
      </c>
      <c r="G581">
        <v>1</v>
      </c>
      <c r="H581">
        <v>1</v>
      </c>
      <c r="I581">
        <v>5</v>
      </c>
      <c r="J581">
        <v>24</v>
      </c>
      <c r="K581">
        <v>35</v>
      </c>
      <c r="N581">
        <v>0</v>
      </c>
      <c r="O581">
        <v>2</v>
      </c>
      <c r="P581">
        <v>2</v>
      </c>
      <c r="Q581">
        <v>3</v>
      </c>
      <c r="R581" t="s">
        <v>104</v>
      </c>
      <c r="S581">
        <v>30</v>
      </c>
      <c r="T581">
        <v>0</v>
      </c>
      <c r="U581" t="s">
        <v>35</v>
      </c>
      <c r="V581" t="s">
        <v>121</v>
      </c>
    </row>
    <row r="582" spans="1:22" x14ac:dyDescent="0.25">
      <c r="A582" t="s">
        <v>109</v>
      </c>
      <c r="B582" s="3">
        <v>46038</v>
      </c>
      <c r="C582" t="s">
        <v>30</v>
      </c>
      <c r="D582">
        <v>42</v>
      </c>
      <c r="E582" t="s">
        <v>39</v>
      </c>
      <c r="F582" t="s">
        <v>136</v>
      </c>
      <c r="G582">
        <v>0</v>
      </c>
      <c r="H582">
        <v>1</v>
      </c>
      <c r="I582">
        <v>5</v>
      </c>
      <c r="J582">
        <v>29</v>
      </c>
      <c r="K582">
        <v>22</v>
      </c>
      <c r="N582">
        <v>0</v>
      </c>
      <c r="O582">
        <v>6</v>
      </c>
      <c r="P582">
        <v>1</v>
      </c>
      <c r="Q582">
        <v>6</v>
      </c>
      <c r="R582" t="s">
        <v>106</v>
      </c>
      <c r="S582">
        <v>17</v>
      </c>
      <c r="T582">
        <v>0</v>
      </c>
      <c r="U582" t="s">
        <v>35</v>
      </c>
      <c r="V582" t="s">
        <v>121</v>
      </c>
    </row>
    <row r="583" spans="1:22" x14ac:dyDescent="0.25">
      <c r="A583" t="s">
        <v>109</v>
      </c>
      <c r="B583" s="3">
        <v>46038</v>
      </c>
      <c r="C583" t="s">
        <v>30</v>
      </c>
      <c r="D583">
        <v>42</v>
      </c>
      <c r="E583" t="s">
        <v>45</v>
      </c>
      <c r="F583" t="s">
        <v>43</v>
      </c>
      <c r="G583">
        <v>1</v>
      </c>
      <c r="H583">
        <v>4</v>
      </c>
      <c r="I583">
        <v>1</v>
      </c>
      <c r="J583">
        <v>29</v>
      </c>
      <c r="K583">
        <v>28</v>
      </c>
      <c r="N583">
        <v>1</v>
      </c>
      <c r="O583">
        <v>4</v>
      </c>
      <c r="P583">
        <v>0</v>
      </c>
      <c r="Q583">
        <v>5</v>
      </c>
      <c r="R583" t="s">
        <v>148</v>
      </c>
      <c r="S583">
        <v>27</v>
      </c>
      <c r="T583">
        <v>0</v>
      </c>
      <c r="U583" t="s">
        <v>33</v>
      </c>
      <c r="V583" t="s">
        <v>121</v>
      </c>
    </row>
    <row r="584" spans="1:22" x14ac:dyDescent="0.25">
      <c r="A584" t="s">
        <v>109</v>
      </c>
      <c r="B584" s="3">
        <v>46040</v>
      </c>
      <c r="C584" t="s">
        <v>30</v>
      </c>
      <c r="D584">
        <v>43</v>
      </c>
      <c r="E584" t="s">
        <v>31</v>
      </c>
      <c r="F584" t="s">
        <v>136</v>
      </c>
      <c r="G584">
        <v>1</v>
      </c>
      <c r="H584">
        <v>5</v>
      </c>
      <c r="I584">
        <v>1</v>
      </c>
      <c r="J584">
        <v>24</v>
      </c>
      <c r="K584">
        <v>29</v>
      </c>
      <c r="L584">
        <v>2.38</v>
      </c>
      <c r="M584">
        <v>3.22</v>
      </c>
      <c r="N584">
        <v>2</v>
      </c>
      <c r="O584" s="4">
        <v>2</v>
      </c>
      <c r="P584">
        <v>0</v>
      </c>
      <c r="Q584" s="5">
        <v>4</v>
      </c>
      <c r="R584" t="s">
        <v>34</v>
      </c>
      <c r="S584" s="4">
        <v>28</v>
      </c>
      <c r="T584">
        <v>0</v>
      </c>
      <c r="U584" t="s">
        <v>33</v>
      </c>
      <c r="V584" t="s">
        <v>121</v>
      </c>
    </row>
    <row r="585" spans="1:22" x14ac:dyDescent="0.25">
      <c r="A585" t="s">
        <v>109</v>
      </c>
      <c r="B585" s="3">
        <v>46040</v>
      </c>
      <c r="C585" t="s">
        <v>30</v>
      </c>
      <c r="D585">
        <v>43</v>
      </c>
      <c r="E585" t="s">
        <v>41</v>
      </c>
      <c r="F585" t="s">
        <v>36</v>
      </c>
      <c r="G585">
        <v>0</v>
      </c>
      <c r="H585">
        <v>3</v>
      </c>
      <c r="I585">
        <v>4</v>
      </c>
      <c r="J585">
        <v>29</v>
      </c>
      <c r="K585">
        <v>25</v>
      </c>
      <c r="L585">
        <v>2.17</v>
      </c>
      <c r="M585">
        <v>1.96</v>
      </c>
      <c r="N585">
        <v>1</v>
      </c>
      <c r="O585" s="5">
        <v>1</v>
      </c>
      <c r="P585">
        <v>0</v>
      </c>
      <c r="Q585" s="5">
        <v>2</v>
      </c>
      <c r="R585" t="s">
        <v>110</v>
      </c>
      <c r="S585" s="4">
        <v>22</v>
      </c>
      <c r="T585">
        <v>1</v>
      </c>
      <c r="U585" t="s">
        <v>35</v>
      </c>
      <c r="V585" t="s">
        <v>121</v>
      </c>
    </row>
    <row r="586" spans="1:22" x14ac:dyDescent="0.25">
      <c r="A586" t="s">
        <v>109</v>
      </c>
      <c r="B586" s="3">
        <v>46040</v>
      </c>
      <c r="C586" t="s">
        <v>30</v>
      </c>
      <c r="D586">
        <v>42</v>
      </c>
      <c r="E586" t="s">
        <v>42</v>
      </c>
      <c r="F586" t="s">
        <v>45</v>
      </c>
      <c r="G586">
        <v>0</v>
      </c>
      <c r="H586">
        <v>3</v>
      </c>
      <c r="I586">
        <v>2</v>
      </c>
      <c r="J586">
        <v>24</v>
      </c>
      <c r="K586">
        <v>27</v>
      </c>
      <c r="L586">
        <v>1.96</v>
      </c>
      <c r="M586">
        <v>2.2999999999999998</v>
      </c>
      <c r="N586">
        <v>2</v>
      </c>
      <c r="O586">
        <v>3</v>
      </c>
      <c r="P586">
        <v>0</v>
      </c>
      <c r="Q586">
        <v>4</v>
      </c>
      <c r="R586" t="s">
        <v>144</v>
      </c>
      <c r="S586">
        <v>25</v>
      </c>
      <c r="T586">
        <v>1</v>
      </c>
      <c r="U586" t="s">
        <v>33</v>
      </c>
      <c r="V586" t="s">
        <v>121</v>
      </c>
    </row>
    <row r="587" spans="1:22" x14ac:dyDescent="0.25">
      <c r="A587" t="s">
        <v>109</v>
      </c>
      <c r="B587" s="3">
        <v>46040</v>
      </c>
      <c r="C587" t="s">
        <v>30</v>
      </c>
      <c r="D587">
        <v>43</v>
      </c>
      <c r="E587" t="s">
        <v>136</v>
      </c>
      <c r="F587" t="s">
        <v>31</v>
      </c>
      <c r="G587">
        <v>0</v>
      </c>
      <c r="H587">
        <v>1</v>
      </c>
      <c r="I587">
        <v>5</v>
      </c>
      <c r="J587">
        <v>29</v>
      </c>
      <c r="K587">
        <v>24</v>
      </c>
      <c r="L587">
        <v>3.22</v>
      </c>
      <c r="M587">
        <v>2.38</v>
      </c>
      <c r="N587">
        <v>0</v>
      </c>
      <c r="O587" s="4">
        <v>4</v>
      </c>
      <c r="P587">
        <v>2</v>
      </c>
      <c r="Q587" s="5">
        <v>2</v>
      </c>
      <c r="R587" t="s">
        <v>103</v>
      </c>
      <c r="S587" s="4">
        <v>19</v>
      </c>
      <c r="T587">
        <v>0</v>
      </c>
      <c r="U587" t="s">
        <v>35</v>
      </c>
      <c r="V587" t="s">
        <v>121</v>
      </c>
    </row>
    <row r="588" spans="1:22" x14ac:dyDescent="0.25">
      <c r="A588" t="s">
        <v>109</v>
      </c>
      <c r="B588" s="3">
        <v>46040</v>
      </c>
      <c r="C588" t="s">
        <v>30</v>
      </c>
      <c r="D588">
        <v>43</v>
      </c>
      <c r="E588" t="s">
        <v>40</v>
      </c>
      <c r="F588" t="s">
        <v>38</v>
      </c>
      <c r="G588">
        <v>1</v>
      </c>
      <c r="H588">
        <v>2</v>
      </c>
      <c r="I588">
        <v>0</v>
      </c>
      <c r="J588">
        <v>36</v>
      </c>
      <c r="K588">
        <v>17</v>
      </c>
      <c r="N588">
        <v>1</v>
      </c>
      <c r="O588">
        <v>5</v>
      </c>
      <c r="P588">
        <v>0</v>
      </c>
      <c r="Q588">
        <v>4</v>
      </c>
      <c r="R588" t="s">
        <v>107</v>
      </c>
      <c r="S588">
        <v>17</v>
      </c>
      <c r="T588">
        <v>0</v>
      </c>
      <c r="U588" t="s">
        <v>33</v>
      </c>
      <c r="V588" t="s">
        <v>121</v>
      </c>
    </row>
    <row r="589" spans="1:22" x14ac:dyDescent="0.25">
      <c r="A589" t="s">
        <v>109</v>
      </c>
      <c r="B589" s="3">
        <v>46040</v>
      </c>
      <c r="C589" t="s">
        <v>30</v>
      </c>
      <c r="D589">
        <v>41</v>
      </c>
      <c r="E589" t="s">
        <v>46</v>
      </c>
      <c r="F589" t="s">
        <v>44</v>
      </c>
      <c r="G589">
        <v>0</v>
      </c>
      <c r="H589">
        <v>4</v>
      </c>
      <c r="I589">
        <v>3</v>
      </c>
      <c r="J589">
        <v>34</v>
      </c>
      <c r="K589">
        <v>33</v>
      </c>
      <c r="L589">
        <v>3.48</v>
      </c>
      <c r="M589">
        <v>3.53</v>
      </c>
      <c r="N589">
        <v>0</v>
      </c>
      <c r="O589" s="5">
        <v>6</v>
      </c>
      <c r="P589">
        <v>2</v>
      </c>
      <c r="Q589" s="5">
        <v>9</v>
      </c>
      <c r="R589" t="s">
        <v>141</v>
      </c>
      <c r="S589" s="4">
        <v>30</v>
      </c>
      <c r="T589">
        <v>1</v>
      </c>
      <c r="U589" t="s">
        <v>33</v>
      </c>
      <c r="V589" t="s">
        <v>121</v>
      </c>
    </row>
    <row r="590" spans="1:22" x14ac:dyDescent="0.25">
      <c r="A590" t="s">
        <v>109</v>
      </c>
      <c r="B590" s="3">
        <v>46040</v>
      </c>
      <c r="C590" t="s">
        <v>30</v>
      </c>
      <c r="D590">
        <v>41</v>
      </c>
      <c r="E590" t="s">
        <v>44</v>
      </c>
      <c r="F590" t="s">
        <v>46</v>
      </c>
      <c r="G590">
        <v>1</v>
      </c>
      <c r="H590">
        <v>3</v>
      </c>
      <c r="I590">
        <v>4</v>
      </c>
      <c r="J590">
        <v>33</v>
      </c>
      <c r="K590">
        <v>34</v>
      </c>
      <c r="L590">
        <v>3.53</v>
      </c>
      <c r="M590">
        <v>3.48</v>
      </c>
      <c r="N590">
        <v>2</v>
      </c>
      <c r="O590">
        <v>9</v>
      </c>
      <c r="P590">
        <v>0</v>
      </c>
      <c r="Q590">
        <v>6</v>
      </c>
      <c r="R590" t="s">
        <v>147</v>
      </c>
      <c r="S590">
        <v>31</v>
      </c>
      <c r="T590">
        <v>1</v>
      </c>
      <c r="U590" t="s">
        <v>35</v>
      </c>
      <c r="V590" t="s">
        <v>121</v>
      </c>
    </row>
    <row r="591" spans="1:22" x14ac:dyDescent="0.25">
      <c r="A591" t="s">
        <v>109</v>
      </c>
      <c r="B591" s="3">
        <v>46040</v>
      </c>
      <c r="C591" t="s">
        <v>30</v>
      </c>
      <c r="D591">
        <v>43</v>
      </c>
      <c r="E591" t="s">
        <v>137</v>
      </c>
      <c r="F591" t="s">
        <v>43</v>
      </c>
      <c r="G591">
        <v>1</v>
      </c>
      <c r="H591">
        <v>4</v>
      </c>
      <c r="I591">
        <v>1</v>
      </c>
      <c r="J591">
        <v>28</v>
      </c>
      <c r="K591">
        <v>24</v>
      </c>
      <c r="N591">
        <v>0</v>
      </c>
      <c r="O591">
        <v>5</v>
      </c>
      <c r="P591">
        <v>0</v>
      </c>
      <c r="Q591">
        <v>1</v>
      </c>
      <c r="R591" t="s">
        <v>100</v>
      </c>
      <c r="S591">
        <v>23</v>
      </c>
      <c r="T591">
        <v>0</v>
      </c>
      <c r="U591" t="s">
        <v>33</v>
      </c>
      <c r="V591" t="s">
        <v>121</v>
      </c>
    </row>
    <row r="592" spans="1:22" x14ac:dyDescent="0.25">
      <c r="A592" t="s">
        <v>109</v>
      </c>
      <c r="B592" s="3">
        <v>46040</v>
      </c>
      <c r="C592" t="s">
        <v>30</v>
      </c>
      <c r="D592">
        <v>43</v>
      </c>
      <c r="E592" t="s">
        <v>43</v>
      </c>
      <c r="F592" t="s">
        <v>137</v>
      </c>
      <c r="G592">
        <v>0</v>
      </c>
      <c r="H592">
        <v>1</v>
      </c>
      <c r="I592">
        <v>4</v>
      </c>
      <c r="J592">
        <v>24</v>
      </c>
      <c r="K592">
        <v>28</v>
      </c>
      <c r="N592">
        <v>0</v>
      </c>
      <c r="O592">
        <v>1</v>
      </c>
      <c r="P592">
        <v>0</v>
      </c>
      <c r="Q592">
        <v>5</v>
      </c>
      <c r="R592" t="s">
        <v>149</v>
      </c>
      <c r="S592">
        <v>24</v>
      </c>
      <c r="T592">
        <v>0</v>
      </c>
      <c r="U592" t="s">
        <v>35</v>
      </c>
      <c r="V592" t="s">
        <v>121</v>
      </c>
    </row>
    <row r="593" spans="1:22" x14ac:dyDescent="0.25">
      <c r="A593" t="s">
        <v>109</v>
      </c>
      <c r="B593" s="3">
        <v>46040</v>
      </c>
      <c r="C593" t="s">
        <v>30</v>
      </c>
      <c r="D593">
        <v>43</v>
      </c>
      <c r="E593" t="s">
        <v>36</v>
      </c>
      <c r="F593" t="s">
        <v>41</v>
      </c>
      <c r="G593">
        <v>1</v>
      </c>
      <c r="H593">
        <v>4</v>
      </c>
      <c r="I593">
        <v>3</v>
      </c>
      <c r="J593">
        <v>25</v>
      </c>
      <c r="K593">
        <v>29</v>
      </c>
      <c r="L593">
        <v>1.96</v>
      </c>
      <c r="M593">
        <v>2.17</v>
      </c>
      <c r="N593">
        <v>0</v>
      </c>
      <c r="O593" s="5">
        <v>2</v>
      </c>
      <c r="P593">
        <v>1</v>
      </c>
      <c r="Q593" s="5">
        <v>1</v>
      </c>
      <c r="R593" t="s">
        <v>146</v>
      </c>
      <c r="S593" s="5">
        <v>26</v>
      </c>
      <c r="T593">
        <v>1</v>
      </c>
      <c r="U593" t="s">
        <v>33</v>
      </c>
      <c r="V593" t="s">
        <v>121</v>
      </c>
    </row>
    <row r="594" spans="1:22" x14ac:dyDescent="0.25">
      <c r="A594" t="s">
        <v>109</v>
      </c>
      <c r="B594" s="3">
        <v>46040</v>
      </c>
      <c r="C594" t="s">
        <v>30</v>
      </c>
      <c r="D594">
        <v>43</v>
      </c>
      <c r="E594" t="s">
        <v>32</v>
      </c>
      <c r="F594" t="s">
        <v>39</v>
      </c>
      <c r="G594">
        <v>0</v>
      </c>
      <c r="H594">
        <v>3</v>
      </c>
      <c r="I594">
        <v>2</v>
      </c>
      <c r="J594">
        <v>26</v>
      </c>
      <c r="K594">
        <v>30</v>
      </c>
      <c r="N594">
        <v>0</v>
      </c>
      <c r="O594">
        <v>0</v>
      </c>
      <c r="P594">
        <v>1</v>
      </c>
      <c r="Q594">
        <v>3</v>
      </c>
      <c r="R594" t="s">
        <v>117</v>
      </c>
      <c r="S594">
        <v>28</v>
      </c>
      <c r="T594">
        <v>1</v>
      </c>
      <c r="U594" t="s">
        <v>33</v>
      </c>
      <c r="V594" t="s">
        <v>121</v>
      </c>
    </row>
    <row r="595" spans="1:22" x14ac:dyDescent="0.25">
      <c r="A595" t="s">
        <v>109</v>
      </c>
      <c r="B595" s="3">
        <v>46040</v>
      </c>
      <c r="C595" t="s">
        <v>30</v>
      </c>
      <c r="D595">
        <v>43</v>
      </c>
      <c r="E595" t="s">
        <v>38</v>
      </c>
      <c r="F595" t="s">
        <v>40</v>
      </c>
      <c r="G595">
        <v>0</v>
      </c>
      <c r="H595">
        <v>0</v>
      </c>
      <c r="I595">
        <v>2</v>
      </c>
      <c r="J595">
        <v>17</v>
      </c>
      <c r="K595">
        <v>36</v>
      </c>
      <c r="N595">
        <v>0</v>
      </c>
      <c r="O595">
        <v>4</v>
      </c>
      <c r="P595">
        <v>1</v>
      </c>
      <c r="Q595">
        <v>5</v>
      </c>
      <c r="R595" t="s">
        <v>104</v>
      </c>
      <c r="S595">
        <v>34</v>
      </c>
      <c r="T595">
        <v>0</v>
      </c>
      <c r="U595" t="s">
        <v>35</v>
      </c>
      <c r="V595" t="s">
        <v>121</v>
      </c>
    </row>
    <row r="596" spans="1:22" x14ac:dyDescent="0.25">
      <c r="A596" t="s">
        <v>109</v>
      </c>
      <c r="B596" s="3">
        <v>46040</v>
      </c>
      <c r="C596" t="s">
        <v>30</v>
      </c>
      <c r="D596">
        <v>43</v>
      </c>
      <c r="E596" t="s">
        <v>39</v>
      </c>
      <c r="F596" t="s">
        <v>32</v>
      </c>
      <c r="G596">
        <v>1</v>
      </c>
      <c r="H596">
        <v>2</v>
      </c>
      <c r="I596">
        <v>3</v>
      </c>
      <c r="J596">
        <v>30</v>
      </c>
      <c r="K596">
        <v>26</v>
      </c>
      <c r="N596">
        <v>1</v>
      </c>
      <c r="O596">
        <v>3</v>
      </c>
      <c r="P596">
        <v>0</v>
      </c>
      <c r="Q596">
        <v>0</v>
      </c>
      <c r="R596" t="s">
        <v>105</v>
      </c>
      <c r="S596">
        <v>24</v>
      </c>
      <c r="T596">
        <v>1</v>
      </c>
      <c r="U596" t="s">
        <v>35</v>
      </c>
      <c r="V596" t="s">
        <v>121</v>
      </c>
    </row>
    <row r="597" spans="1:22" x14ac:dyDescent="0.25">
      <c r="A597" t="s">
        <v>109</v>
      </c>
      <c r="B597" s="3">
        <v>46040</v>
      </c>
      <c r="C597" t="s">
        <v>30</v>
      </c>
      <c r="D597">
        <v>42</v>
      </c>
      <c r="E597" t="s">
        <v>45</v>
      </c>
      <c r="F597" t="s">
        <v>42</v>
      </c>
      <c r="G597">
        <v>1</v>
      </c>
      <c r="H597">
        <v>2</v>
      </c>
      <c r="I597">
        <v>3</v>
      </c>
      <c r="J597">
        <v>27</v>
      </c>
      <c r="K597">
        <v>24</v>
      </c>
      <c r="L597">
        <v>2.2999999999999998</v>
      </c>
      <c r="M597">
        <v>1.96</v>
      </c>
      <c r="N597">
        <v>0</v>
      </c>
      <c r="O597">
        <v>4</v>
      </c>
      <c r="P597">
        <v>2</v>
      </c>
      <c r="Q597">
        <v>3</v>
      </c>
      <c r="R597" t="s">
        <v>148</v>
      </c>
      <c r="S597">
        <v>21</v>
      </c>
      <c r="T597">
        <v>1</v>
      </c>
      <c r="U597" t="s">
        <v>35</v>
      </c>
      <c r="V597" t="s">
        <v>121</v>
      </c>
    </row>
    <row r="598" spans="1:22" x14ac:dyDescent="0.25">
      <c r="A598" t="s">
        <v>109</v>
      </c>
      <c r="B598" s="3">
        <v>46042</v>
      </c>
      <c r="C598" t="s">
        <v>30</v>
      </c>
      <c r="D598">
        <v>44</v>
      </c>
      <c r="E598" t="s">
        <v>41</v>
      </c>
      <c r="F598" t="s">
        <v>39</v>
      </c>
      <c r="G598">
        <v>0</v>
      </c>
      <c r="H598">
        <v>1</v>
      </c>
      <c r="I598">
        <v>2</v>
      </c>
      <c r="J598">
        <v>23</v>
      </c>
      <c r="K598">
        <v>22</v>
      </c>
      <c r="L598">
        <v>2.64</v>
      </c>
      <c r="M598">
        <v>1.84</v>
      </c>
      <c r="N598">
        <v>0</v>
      </c>
      <c r="O598" s="5">
        <v>3</v>
      </c>
      <c r="P598">
        <v>0</v>
      </c>
      <c r="Q598" s="5">
        <v>3</v>
      </c>
      <c r="R598" t="s">
        <v>110</v>
      </c>
      <c r="S598" s="4">
        <v>21</v>
      </c>
      <c r="T598">
        <v>1</v>
      </c>
      <c r="U598" t="s">
        <v>35</v>
      </c>
      <c r="V598" t="s">
        <v>121</v>
      </c>
    </row>
    <row r="599" spans="1:22" x14ac:dyDescent="0.25">
      <c r="A599" t="s">
        <v>109</v>
      </c>
      <c r="B599" s="3">
        <v>46042</v>
      </c>
      <c r="C599" t="s">
        <v>30</v>
      </c>
      <c r="D599">
        <v>42</v>
      </c>
      <c r="E599" t="s">
        <v>46</v>
      </c>
      <c r="F599" t="s">
        <v>32</v>
      </c>
      <c r="G599">
        <v>1</v>
      </c>
      <c r="H599">
        <v>1</v>
      </c>
      <c r="I599">
        <v>2</v>
      </c>
      <c r="J599">
        <v>42</v>
      </c>
      <c r="K599">
        <v>34</v>
      </c>
      <c r="L599">
        <v>3.04</v>
      </c>
      <c r="M599">
        <v>3.1</v>
      </c>
      <c r="N599">
        <v>0</v>
      </c>
      <c r="O599" s="5">
        <v>2</v>
      </c>
      <c r="P599">
        <v>0</v>
      </c>
      <c r="Q599" s="5">
        <v>3</v>
      </c>
      <c r="R599" t="s">
        <v>141</v>
      </c>
      <c r="S599" s="4">
        <v>33</v>
      </c>
      <c r="T599">
        <v>1</v>
      </c>
      <c r="U599" t="s">
        <v>35</v>
      </c>
      <c r="V599" t="s">
        <v>121</v>
      </c>
    </row>
    <row r="600" spans="1:22" x14ac:dyDescent="0.25">
      <c r="A600" t="s">
        <v>109</v>
      </c>
      <c r="B600" s="3">
        <v>46042</v>
      </c>
      <c r="C600" t="s">
        <v>30</v>
      </c>
      <c r="D600">
        <v>42</v>
      </c>
      <c r="E600" t="s">
        <v>32</v>
      </c>
      <c r="F600" t="s">
        <v>46</v>
      </c>
      <c r="G600">
        <v>0</v>
      </c>
      <c r="H600">
        <v>2</v>
      </c>
      <c r="I600">
        <v>1</v>
      </c>
      <c r="J600">
        <v>34</v>
      </c>
      <c r="K600">
        <v>42</v>
      </c>
      <c r="L600">
        <v>3.1</v>
      </c>
      <c r="M600">
        <v>3.04</v>
      </c>
      <c r="N600">
        <v>0</v>
      </c>
      <c r="O600">
        <v>3</v>
      </c>
      <c r="P600">
        <v>0</v>
      </c>
      <c r="Q600">
        <v>2</v>
      </c>
      <c r="R600" t="s">
        <v>117</v>
      </c>
      <c r="S600">
        <v>41</v>
      </c>
      <c r="T600">
        <v>1</v>
      </c>
      <c r="U600" t="s">
        <v>33</v>
      </c>
      <c r="V600" t="s">
        <v>121</v>
      </c>
    </row>
    <row r="601" spans="1:22" x14ac:dyDescent="0.25">
      <c r="A601" t="s">
        <v>109</v>
      </c>
      <c r="B601" s="3">
        <v>46042</v>
      </c>
      <c r="C601" t="s">
        <v>30</v>
      </c>
      <c r="D601">
        <v>44</v>
      </c>
      <c r="E601" t="s">
        <v>39</v>
      </c>
      <c r="F601" t="s">
        <v>41</v>
      </c>
      <c r="G601">
        <v>1</v>
      </c>
      <c r="H601">
        <v>2</v>
      </c>
      <c r="I601">
        <v>1</v>
      </c>
      <c r="J601">
        <v>22</v>
      </c>
      <c r="K601">
        <v>23</v>
      </c>
      <c r="L601">
        <v>1.84</v>
      </c>
      <c r="M601">
        <v>2.64</v>
      </c>
      <c r="N601">
        <v>0</v>
      </c>
      <c r="O601">
        <v>3</v>
      </c>
      <c r="P601">
        <v>0</v>
      </c>
      <c r="Q601">
        <v>3</v>
      </c>
      <c r="R601" t="s">
        <v>105</v>
      </c>
      <c r="S601">
        <v>22</v>
      </c>
      <c r="T601">
        <v>1</v>
      </c>
      <c r="U601" t="s">
        <v>33</v>
      </c>
      <c r="V601" t="s">
        <v>121</v>
      </c>
    </row>
    <row r="602" spans="1:22" x14ac:dyDescent="0.25">
      <c r="A602" t="s">
        <v>109</v>
      </c>
      <c r="B602" s="3">
        <v>46043</v>
      </c>
      <c r="C602" t="s">
        <v>30</v>
      </c>
      <c r="D602">
        <v>22</v>
      </c>
      <c r="E602" t="s">
        <v>31</v>
      </c>
      <c r="F602" t="s">
        <v>42</v>
      </c>
      <c r="G602">
        <v>1</v>
      </c>
      <c r="H602">
        <v>7</v>
      </c>
      <c r="I602">
        <v>1</v>
      </c>
      <c r="J602">
        <v>44</v>
      </c>
      <c r="K602">
        <v>19</v>
      </c>
      <c r="L602">
        <v>4.18</v>
      </c>
      <c r="M602">
        <v>2.2200000000000002</v>
      </c>
      <c r="N602">
        <v>2</v>
      </c>
      <c r="O602" s="4">
        <v>5</v>
      </c>
      <c r="P602">
        <v>0</v>
      </c>
      <c r="Q602" s="5">
        <v>2</v>
      </c>
      <c r="R602" t="s">
        <v>34</v>
      </c>
      <c r="S602" s="4">
        <v>18</v>
      </c>
      <c r="T602">
        <v>0</v>
      </c>
      <c r="U602" t="s">
        <v>33</v>
      </c>
      <c r="V602" t="s">
        <v>121</v>
      </c>
    </row>
    <row r="603" spans="1:22" x14ac:dyDescent="0.25">
      <c r="A603" t="s">
        <v>109</v>
      </c>
      <c r="B603" s="3">
        <v>46043</v>
      </c>
      <c r="C603" t="s">
        <v>30</v>
      </c>
      <c r="D603">
        <v>22</v>
      </c>
      <c r="E603" t="s">
        <v>42</v>
      </c>
      <c r="F603" t="s">
        <v>31</v>
      </c>
      <c r="G603">
        <v>0</v>
      </c>
      <c r="H603">
        <v>1</v>
      </c>
      <c r="I603">
        <v>7</v>
      </c>
      <c r="J603">
        <v>19</v>
      </c>
      <c r="K603">
        <v>44</v>
      </c>
      <c r="L603">
        <v>2.2200000000000002</v>
      </c>
      <c r="M603">
        <v>4.18</v>
      </c>
      <c r="N603">
        <v>0</v>
      </c>
      <c r="O603" s="4">
        <v>2</v>
      </c>
      <c r="P603">
        <v>2</v>
      </c>
      <c r="Q603" s="5">
        <v>5</v>
      </c>
      <c r="R603" t="s">
        <v>159</v>
      </c>
      <c r="S603" s="4">
        <v>37</v>
      </c>
      <c r="T603">
        <v>0</v>
      </c>
      <c r="U603" t="s">
        <v>35</v>
      </c>
      <c r="V603" t="s">
        <v>121</v>
      </c>
    </row>
    <row r="604" spans="1:22" x14ac:dyDescent="0.25">
      <c r="A604" t="s">
        <v>109</v>
      </c>
      <c r="B604" s="3">
        <v>46045</v>
      </c>
      <c r="C604" t="s">
        <v>30</v>
      </c>
      <c r="D604">
        <v>44</v>
      </c>
      <c r="E604" t="s">
        <v>31</v>
      </c>
      <c r="F604" t="s">
        <v>38</v>
      </c>
      <c r="G604">
        <v>0</v>
      </c>
      <c r="H604">
        <v>3</v>
      </c>
      <c r="I604">
        <v>2</v>
      </c>
      <c r="J604">
        <v>33</v>
      </c>
      <c r="K604">
        <v>30</v>
      </c>
      <c r="L604">
        <v>3.04</v>
      </c>
      <c r="M604">
        <v>2.58</v>
      </c>
      <c r="N604">
        <v>1</v>
      </c>
      <c r="O604" s="4">
        <v>3</v>
      </c>
      <c r="P604">
        <v>1</v>
      </c>
      <c r="Q604" s="4">
        <v>7</v>
      </c>
      <c r="R604" t="s">
        <v>37</v>
      </c>
      <c r="S604" s="4">
        <v>28</v>
      </c>
      <c r="T604">
        <v>0</v>
      </c>
      <c r="U604" t="s">
        <v>33</v>
      </c>
      <c r="V604" t="s">
        <v>121</v>
      </c>
    </row>
    <row r="605" spans="1:22" x14ac:dyDescent="0.25">
      <c r="A605" t="s">
        <v>109</v>
      </c>
      <c r="B605" s="3">
        <v>46045</v>
      </c>
      <c r="C605" t="s">
        <v>30</v>
      </c>
      <c r="D605">
        <v>44</v>
      </c>
      <c r="E605" t="s">
        <v>42</v>
      </c>
      <c r="F605" t="s">
        <v>137</v>
      </c>
      <c r="G605">
        <v>0</v>
      </c>
      <c r="H605">
        <v>0</v>
      </c>
      <c r="I605">
        <v>4</v>
      </c>
      <c r="J605">
        <v>18</v>
      </c>
      <c r="K605">
        <v>30</v>
      </c>
      <c r="L605">
        <v>2.27</v>
      </c>
      <c r="M605">
        <v>3.46</v>
      </c>
      <c r="N605">
        <v>0</v>
      </c>
      <c r="O605">
        <v>2</v>
      </c>
      <c r="P605">
        <v>0</v>
      </c>
      <c r="Q605">
        <v>2</v>
      </c>
      <c r="R605" t="s">
        <v>144</v>
      </c>
      <c r="S605">
        <v>26</v>
      </c>
      <c r="T605">
        <v>0</v>
      </c>
      <c r="U605" t="s">
        <v>35</v>
      </c>
      <c r="V605" t="s">
        <v>121</v>
      </c>
    </row>
    <row r="606" spans="1:22" x14ac:dyDescent="0.25">
      <c r="A606" t="s">
        <v>109</v>
      </c>
      <c r="B606" s="3">
        <v>46045</v>
      </c>
      <c r="C606" t="s">
        <v>30</v>
      </c>
      <c r="D606">
        <v>44</v>
      </c>
      <c r="E606" t="s">
        <v>136</v>
      </c>
      <c r="F606" t="s">
        <v>40</v>
      </c>
      <c r="G606">
        <v>1</v>
      </c>
      <c r="H606">
        <v>2</v>
      </c>
      <c r="I606">
        <v>3</v>
      </c>
      <c r="J606">
        <v>28</v>
      </c>
      <c r="K606">
        <v>37</v>
      </c>
      <c r="N606">
        <v>0</v>
      </c>
      <c r="O606">
        <v>1</v>
      </c>
      <c r="P606">
        <v>0</v>
      </c>
      <c r="Q606">
        <v>3</v>
      </c>
      <c r="R606" t="s">
        <v>103</v>
      </c>
      <c r="S606">
        <v>34</v>
      </c>
      <c r="T606">
        <v>1</v>
      </c>
      <c r="U606" t="s">
        <v>35</v>
      </c>
      <c r="V606" t="s">
        <v>121</v>
      </c>
    </row>
    <row r="607" spans="1:22" x14ac:dyDescent="0.25">
      <c r="A607" t="s">
        <v>109</v>
      </c>
      <c r="B607" s="3">
        <v>46045</v>
      </c>
      <c r="C607" t="s">
        <v>30</v>
      </c>
      <c r="D607">
        <v>44</v>
      </c>
      <c r="E607" t="s">
        <v>40</v>
      </c>
      <c r="F607" t="s">
        <v>136</v>
      </c>
      <c r="G607">
        <v>0</v>
      </c>
      <c r="H607">
        <v>3</v>
      </c>
      <c r="I607">
        <v>2</v>
      </c>
      <c r="J607">
        <v>37</v>
      </c>
      <c r="K607">
        <v>28</v>
      </c>
      <c r="N607">
        <v>0</v>
      </c>
      <c r="O607">
        <v>3</v>
      </c>
      <c r="P607">
        <v>0</v>
      </c>
      <c r="Q607">
        <v>1</v>
      </c>
      <c r="R607" t="s">
        <v>107</v>
      </c>
      <c r="S607">
        <v>34</v>
      </c>
      <c r="T607">
        <v>1</v>
      </c>
      <c r="U607" t="s">
        <v>33</v>
      </c>
      <c r="V607" t="s">
        <v>121</v>
      </c>
    </row>
    <row r="608" spans="1:22" x14ac:dyDescent="0.25">
      <c r="A608" t="s">
        <v>109</v>
      </c>
      <c r="B608" s="3">
        <v>46045</v>
      </c>
      <c r="C608" t="s">
        <v>30</v>
      </c>
      <c r="D608">
        <v>44</v>
      </c>
      <c r="E608" t="s">
        <v>44</v>
      </c>
      <c r="F608" t="s">
        <v>32</v>
      </c>
      <c r="G608">
        <v>0</v>
      </c>
      <c r="H608">
        <v>3</v>
      </c>
      <c r="I608">
        <v>2</v>
      </c>
      <c r="J608">
        <v>22</v>
      </c>
      <c r="K608">
        <v>21</v>
      </c>
      <c r="N608">
        <v>0</v>
      </c>
      <c r="O608">
        <v>6</v>
      </c>
      <c r="P608">
        <v>0</v>
      </c>
      <c r="Q608">
        <v>3</v>
      </c>
      <c r="R608" t="s">
        <v>147</v>
      </c>
      <c r="S608">
        <v>19</v>
      </c>
      <c r="T608">
        <v>1</v>
      </c>
      <c r="U608" t="s">
        <v>33</v>
      </c>
      <c r="V608" t="s">
        <v>121</v>
      </c>
    </row>
    <row r="609" spans="1:22" x14ac:dyDescent="0.25">
      <c r="A609" t="s">
        <v>109</v>
      </c>
      <c r="B609" s="3">
        <v>46045</v>
      </c>
      <c r="C609" t="s">
        <v>30</v>
      </c>
      <c r="D609">
        <v>44</v>
      </c>
      <c r="E609" t="s">
        <v>137</v>
      </c>
      <c r="F609" t="s">
        <v>42</v>
      </c>
      <c r="G609">
        <v>1</v>
      </c>
      <c r="H609">
        <v>4</v>
      </c>
      <c r="I609">
        <v>0</v>
      </c>
      <c r="J609">
        <v>30</v>
      </c>
      <c r="K609">
        <v>18</v>
      </c>
      <c r="L609">
        <v>3.46</v>
      </c>
      <c r="M609">
        <v>2.27</v>
      </c>
      <c r="N609">
        <v>0</v>
      </c>
      <c r="O609">
        <v>2</v>
      </c>
      <c r="P609">
        <v>0</v>
      </c>
      <c r="Q609">
        <v>2</v>
      </c>
      <c r="R609" t="s">
        <v>100</v>
      </c>
      <c r="S609">
        <v>18</v>
      </c>
      <c r="T609">
        <v>0</v>
      </c>
      <c r="U609" t="s">
        <v>33</v>
      </c>
      <c r="V609" t="s">
        <v>121</v>
      </c>
    </row>
    <row r="610" spans="1:22" x14ac:dyDescent="0.25">
      <c r="A610" t="s">
        <v>109</v>
      </c>
      <c r="B610" s="3">
        <v>46045</v>
      </c>
      <c r="C610" t="s">
        <v>30</v>
      </c>
      <c r="D610">
        <v>44</v>
      </c>
      <c r="E610" t="s">
        <v>36</v>
      </c>
      <c r="F610" t="s">
        <v>45</v>
      </c>
      <c r="G610">
        <v>1</v>
      </c>
      <c r="H610">
        <v>2</v>
      </c>
      <c r="I610">
        <v>1</v>
      </c>
      <c r="J610">
        <v>30</v>
      </c>
      <c r="K610">
        <v>18</v>
      </c>
      <c r="N610">
        <v>0</v>
      </c>
      <c r="O610">
        <v>5</v>
      </c>
      <c r="P610">
        <v>1</v>
      </c>
      <c r="Q610">
        <v>5</v>
      </c>
      <c r="R610" t="s">
        <v>146</v>
      </c>
      <c r="S610">
        <v>17</v>
      </c>
      <c r="T610">
        <v>1</v>
      </c>
      <c r="U610" t="s">
        <v>33</v>
      </c>
      <c r="V610" t="s">
        <v>121</v>
      </c>
    </row>
    <row r="611" spans="1:22" x14ac:dyDescent="0.25">
      <c r="A611" t="s">
        <v>109</v>
      </c>
      <c r="B611" s="3">
        <v>46045</v>
      </c>
      <c r="C611" t="s">
        <v>30</v>
      </c>
      <c r="D611">
        <v>44</v>
      </c>
      <c r="E611" t="s">
        <v>32</v>
      </c>
      <c r="F611" t="s">
        <v>44</v>
      </c>
      <c r="G611">
        <v>1</v>
      </c>
      <c r="H611">
        <v>2</v>
      </c>
      <c r="I611">
        <v>3</v>
      </c>
      <c r="J611">
        <v>21</v>
      </c>
      <c r="K611">
        <v>22</v>
      </c>
      <c r="N611">
        <v>0</v>
      </c>
      <c r="O611">
        <v>3</v>
      </c>
      <c r="P611">
        <v>0</v>
      </c>
      <c r="Q611">
        <v>6</v>
      </c>
      <c r="R611" t="s">
        <v>117</v>
      </c>
      <c r="S611">
        <v>19</v>
      </c>
      <c r="T611">
        <v>1</v>
      </c>
      <c r="U611" t="s">
        <v>35</v>
      </c>
      <c r="V611" t="s">
        <v>121</v>
      </c>
    </row>
    <row r="612" spans="1:22" x14ac:dyDescent="0.25">
      <c r="A612" t="s">
        <v>109</v>
      </c>
      <c r="B612" s="3">
        <v>46045</v>
      </c>
      <c r="C612" t="s">
        <v>30</v>
      </c>
      <c r="D612">
        <v>44</v>
      </c>
      <c r="E612" t="s">
        <v>38</v>
      </c>
      <c r="F612" t="s">
        <v>31</v>
      </c>
      <c r="G612">
        <v>1</v>
      </c>
      <c r="H612">
        <v>2</v>
      </c>
      <c r="I612">
        <v>3</v>
      </c>
      <c r="J612">
        <v>30</v>
      </c>
      <c r="K612">
        <v>33</v>
      </c>
      <c r="L612">
        <v>2.58</v>
      </c>
      <c r="M612">
        <v>3.04</v>
      </c>
      <c r="N612">
        <v>1</v>
      </c>
      <c r="O612">
        <v>7</v>
      </c>
      <c r="P612">
        <v>1</v>
      </c>
      <c r="Q612">
        <v>3</v>
      </c>
      <c r="R612" t="s">
        <v>118</v>
      </c>
      <c r="S612">
        <v>30</v>
      </c>
      <c r="T612">
        <v>0</v>
      </c>
      <c r="U612" t="s">
        <v>35</v>
      </c>
      <c r="V612" t="s">
        <v>121</v>
      </c>
    </row>
    <row r="613" spans="1:22" x14ac:dyDescent="0.25">
      <c r="A613" t="s">
        <v>109</v>
      </c>
      <c r="B613" s="3">
        <v>46045</v>
      </c>
      <c r="C613" t="s">
        <v>30</v>
      </c>
      <c r="D613">
        <v>44</v>
      </c>
      <c r="E613" t="s">
        <v>45</v>
      </c>
      <c r="F613" t="s">
        <v>36</v>
      </c>
      <c r="G613">
        <v>0</v>
      </c>
      <c r="H613">
        <v>1</v>
      </c>
      <c r="I613">
        <v>2</v>
      </c>
      <c r="J613">
        <v>18</v>
      </c>
      <c r="K613">
        <v>30</v>
      </c>
      <c r="N613">
        <v>1</v>
      </c>
      <c r="O613">
        <v>5</v>
      </c>
      <c r="P613">
        <v>0</v>
      </c>
      <c r="Q613">
        <v>5</v>
      </c>
      <c r="R613" t="s">
        <v>148</v>
      </c>
      <c r="S613">
        <v>28</v>
      </c>
      <c r="T613">
        <v>1</v>
      </c>
      <c r="U613" t="s">
        <v>35</v>
      </c>
      <c r="V613" t="s">
        <v>121</v>
      </c>
    </row>
    <row r="614" spans="1:22" x14ac:dyDescent="0.25">
      <c r="A614" t="s">
        <v>109</v>
      </c>
      <c r="B614" s="3">
        <v>46047</v>
      </c>
      <c r="C614" t="s">
        <v>30</v>
      </c>
      <c r="D614">
        <v>45</v>
      </c>
      <c r="E614" t="s">
        <v>31</v>
      </c>
      <c r="F614" t="s">
        <v>39</v>
      </c>
      <c r="G614">
        <v>1</v>
      </c>
      <c r="H614">
        <v>3</v>
      </c>
      <c r="I614">
        <v>4</v>
      </c>
      <c r="J614">
        <v>52</v>
      </c>
      <c r="K614">
        <v>23</v>
      </c>
      <c r="L614">
        <v>5.1100000000000003</v>
      </c>
      <c r="M614">
        <v>2.33</v>
      </c>
      <c r="N614">
        <v>1</v>
      </c>
      <c r="O614" s="4">
        <v>7</v>
      </c>
      <c r="P614">
        <v>2</v>
      </c>
      <c r="Q614" s="4">
        <v>2</v>
      </c>
      <c r="R614" t="s">
        <v>34</v>
      </c>
      <c r="S614" s="4">
        <v>19</v>
      </c>
      <c r="T614">
        <v>1</v>
      </c>
      <c r="U614" t="s">
        <v>35</v>
      </c>
      <c r="V614" t="s">
        <v>121</v>
      </c>
    </row>
    <row r="615" spans="1:22" x14ac:dyDescent="0.25">
      <c r="A615" t="s">
        <v>109</v>
      </c>
      <c r="B615" s="3">
        <v>46047</v>
      </c>
      <c r="C615" t="s">
        <v>30</v>
      </c>
      <c r="D615">
        <v>45</v>
      </c>
      <c r="E615" t="s">
        <v>41</v>
      </c>
      <c r="F615" t="s">
        <v>136</v>
      </c>
      <c r="G615">
        <v>1</v>
      </c>
      <c r="H615">
        <v>2</v>
      </c>
      <c r="I615">
        <v>1</v>
      </c>
      <c r="J615">
        <v>26</v>
      </c>
      <c r="K615">
        <v>19</v>
      </c>
      <c r="L615">
        <v>2.72</v>
      </c>
      <c r="M615">
        <v>1.28</v>
      </c>
      <c r="N615">
        <v>0</v>
      </c>
      <c r="O615" s="5">
        <v>7</v>
      </c>
      <c r="P615">
        <v>0</v>
      </c>
      <c r="Q615" s="5">
        <v>4</v>
      </c>
      <c r="R615" t="s">
        <v>110</v>
      </c>
      <c r="S615" s="4">
        <v>18</v>
      </c>
      <c r="T615">
        <v>0</v>
      </c>
      <c r="U615" t="s">
        <v>33</v>
      </c>
      <c r="V615" t="s">
        <v>121</v>
      </c>
    </row>
    <row r="616" spans="1:22" x14ac:dyDescent="0.25">
      <c r="A616" t="s">
        <v>109</v>
      </c>
      <c r="B616" s="3">
        <v>46047</v>
      </c>
      <c r="C616" t="s">
        <v>30</v>
      </c>
      <c r="D616">
        <v>45</v>
      </c>
      <c r="E616" t="s">
        <v>42</v>
      </c>
      <c r="F616" t="s">
        <v>32</v>
      </c>
      <c r="G616">
        <v>1</v>
      </c>
      <c r="H616">
        <v>4</v>
      </c>
      <c r="I616">
        <v>3</v>
      </c>
      <c r="J616">
        <v>22</v>
      </c>
      <c r="K616">
        <v>33</v>
      </c>
      <c r="L616">
        <v>2.34</v>
      </c>
      <c r="M616">
        <v>3.11</v>
      </c>
      <c r="N616">
        <v>0</v>
      </c>
      <c r="O616">
        <v>5</v>
      </c>
      <c r="P616">
        <v>1</v>
      </c>
      <c r="Q616">
        <v>5</v>
      </c>
      <c r="R616" t="s">
        <v>144</v>
      </c>
      <c r="S616">
        <v>30</v>
      </c>
      <c r="T616">
        <v>0</v>
      </c>
      <c r="U616" t="s">
        <v>33</v>
      </c>
      <c r="V616" t="s">
        <v>121</v>
      </c>
    </row>
    <row r="617" spans="1:22" x14ac:dyDescent="0.25">
      <c r="A617" t="s">
        <v>109</v>
      </c>
      <c r="B617" s="3">
        <v>46047</v>
      </c>
      <c r="C617" t="s">
        <v>30</v>
      </c>
      <c r="D617">
        <v>45</v>
      </c>
      <c r="E617" t="s">
        <v>136</v>
      </c>
      <c r="F617" t="s">
        <v>41</v>
      </c>
      <c r="G617">
        <v>0</v>
      </c>
      <c r="H617">
        <v>1</v>
      </c>
      <c r="I617">
        <v>2</v>
      </c>
      <c r="J617">
        <v>19</v>
      </c>
      <c r="K617">
        <v>26</v>
      </c>
      <c r="L617">
        <v>1.28</v>
      </c>
      <c r="M617">
        <v>2.72</v>
      </c>
      <c r="N617">
        <v>0</v>
      </c>
      <c r="O617">
        <v>4</v>
      </c>
      <c r="P617">
        <v>0</v>
      </c>
      <c r="Q617">
        <v>7</v>
      </c>
      <c r="R617" t="s">
        <v>103</v>
      </c>
      <c r="S617">
        <v>24</v>
      </c>
      <c r="T617">
        <v>0</v>
      </c>
      <c r="U617" t="s">
        <v>35</v>
      </c>
      <c r="V617" t="s">
        <v>121</v>
      </c>
    </row>
    <row r="618" spans="1:22" x14ac:dyDescent="0.25">
      <c r="A618" t="s">
        <v>109</v>
      </c>
      <c r="B618" s="3">
        <v>46047</v>
      </c>
      <c r="C618" t="s">
        <v>30</v>
      </c>
      <c r="D618">
        <v>45</v>
      </c>
      <c r="E618" t="s">
        <v>40</v>
      </c>
      <c r="F618" t="s">
        <v>137</v>
      </c>
      <c r="G618">
        <v>1</v>
      </c>
      <c r="H618">
        <v>0</v>
      </c>
      <c r="I618">
        <v>2</v>
      </c>
      <c r="J618">
        <v>37</v>
      </c>
      <c r="K618">
        <v>38</v>
      </c>
      <c r="N618">
        <v>0</v>
      </c>
      <c r="O618">
        <v>5</v>
      </c>
      <c r="P618">
        <v>0</v>
      </c>
      <c r="Q618">
        <v>3</v>
      </c>
      <c r="R618" t="s">
        <v>119</v>
      </c>
      <c r="S618">
        <v>35</v>
      </c>
      <c r="T618">
        <v>0</v>
      </c>
      <c r="U618" t="s">
        <v>35</v>
      </c>
      <c r="V618" t="s">
        <v>121</v>
      </c>
    </row>
    <row r="619" spans="1:22" x14ac:dyDescent="0.25">
      <c r="A619" t="s">
        <v>109</v>
      </c>
      <c r="B619" s="3">
        <v>46047</v>
      </c>
      <c r="C619" t="s">
        <v>30</v>
      </c>
      <c r="D619">
        <v>45</v>
      </c>
      <c r="E619" t="s">
        <v>44</v>
      </c>
      <c r="F619" t="s">
        <v>36</v>
      </c>
      <c r="G619">
        <v>1</v>
      </c>
      <c r="H619">
        <v>4</v>
      </c>
      <c r="I619">
        <v>0</v>
      </c>
      <c r="J619">
        <v>43</v>
      </c>
      <c r="K619">
        <v>12</v>
      </c>
      <c r="N619">
        <v>2</v>
      </c>
      <c r="O619">
        <v>4</v>
      </c>
      <c r="P619">
        <v>0</v>
      </c>
      <c r="Q619">
        <v>3</v>
      </c>
      <c r="R619" t="s">
        <v>150</v>
      </c>
      <c r="S619">
        <v>12</v>
      </c>
      <c r="T619">
        <v>0</v>
      </c>
      <c r="U619" t="s">
        <v>33</v>
      </c>
      <c r="V619" t="s">
        <v>121</v>
      </c>
    </row>
    <row r="620" spans="1:22" x14ac:dyDescent="0.25">
      <c r="A620" t="s">
        <v>109</v>
      </c>
      <c r="B620" s="3">
        <v>46047</v>
      </c>
      <c r="C620" t="s">
        <v>30</v>
      </c>
      <c r="D620">
        <v>45</v>
      </c>
      <c r="E620" t="s">
        <v>137</v>
      </c>
      <c r="F620" t="s">
        <v>40</v>
      </c>
      <c r="G620">
        <v>0</v>
      </c>
      <c r="H620">
        <v>2</v>
      </c>
      <c r="I620">
        <v>0</v>
      </c>
      <c r="J620">
        <v>38</v>
      </c>
      <c r="K620">
        <v>37</v>
      </c>
      <c r="N620">
        <v>0</v>
      </c>
      <c r="O620">
        <v>3</v>
      </c>
      <c r="P620">
        <v>0</v>
      </c>
      <c r="Q620">
        <v>5</v>
      </c>
      <c r="R620" t="s">
        <v>100</v>
      </c>
      <c r="S620">
        <v>37</v>
      </c>
      <c r="T620">
        <v>0</v>
      </c>
      <c r="U620" t="s">
        <v>33</v>
      </c>
      <c r="V620" t="s">
        <v>121</v>
      </c>
    </row>
    <row r="621" spans="1:22" x14ac:dyDescent="0.25">
      <c r="A621" t="s">
        <v>109</v>
      </c>
      <c r="B621" s="3">
        <v>46047</v>
      </c>
      <c r="C621" t="s">
        <v>30</v>
      </c>
      <c r="D621">
        <v>45</v>
      </c>
      <c r="E621" t="s">
        <v>43</v>
      </c>
      <c r="F621" t="s">
        <v>38</v>
      </c>
      <c r="G621">
        <v>1</v>
      </c>
      <c r="H621">
        <v>3</v>
      </c>
      <c r="I621">
        <v>5</v>
      </c>
      <c r="J621">
        <v>25</v>
      </c>
      <c r="K621">
        <v>34</v>
      </c>
      <c r="N621">
        <v>2</v>
      </c>
      <c r="O621">
        <v>4</v>
      </c>
      <c r="P621">
        <v>2</v>
      </c>
      <c r="Q621">
        <v>3</v>
      </c>
      <c r="R621" t="s">
        <v>151</v>
      </c>
      <c r="S621">
        <v>29</v>
      </c>
      <c r="T621">
        <v>0</v>
      </c>
      <c r="U621" t="s">
        <v>35</v>
      </c>
      <c r="V621" t="s">
        <v>121</v>
      </c>
    </row>
    <row r="622" spans="1:22" x14ac:dyDescent="0.25">
      <c r="A622" t="s">
        <v>109</v>
      </c>
      <c r="B622" s="3">
        <v>46047</v>
      </c>
      <c r="C622" t="s">
        <v>30</v>
      </c>
      <c r="D622">
        <v>45</v>
      </c>
      <c r="E622" t="s">
        <v>36</v>
      </c>
      <c r="F622" t="s">
        <v>44</v>
      </c>
      <c r="G622">
        <v>0</v>
      </c>
      <c r="H622">
        <v>0</v>
      </c>
      <c r="I622">
        <v>4</v>
      </c>
      <c r="J622">
        <v>12</v>
      </c>
      <c r="K622">
        <v>43</v>
      </c>
      <c r="N622">
        <v>0</v>
      </c>
      <c r="O622">
        <v>3</v>
      </c>
      <c r="P622">
        <v>2</v>
      </c>
      <c r="Q622">
        <v>4</v>
      </c>
      <c r="R622" t="s">
        <v>157</v>
      </c>
      <c r="S622">
        <v>39</v>
      </c>
      <c r="T622">
        <v>0</v>
      </c>
      <c r="U622" t="s">
        <v>35</v>
      </c>
      <c r="V622" t="s">
        <v>121</v>
      </c>
    </row>
    <row r="623" spans="1:22" x14ac:dyDescent="0.25">
      <c r="A623" t="s">
        <v>109</v>
      </c>
      <c r="B623" s="3">
        <v>46047</v>
      </c>
      <c r="C623" t="s">
        <v>30</v>
      </c>
      <c r="D623">
        <v>45</v>
      </c>
      <c r="E623" t="s">
        <v>32</v>
      </c>
      <c r="F623" t="s">
        <v>42</v>
      </c>
      <c r="G623">
        <v>0</v>
      </c>
      <c r="H623">
        <v>3</v>
      </c>
      <c r="I623">
        <v>4</v>
      </c>
      <c r="J623">
        <v>33</v>
      </c>
      <c r="K623">
        <v>22</v>
      </c>
      <c r="L623">
        <v>3.11</v>
      </c>
      <c r="M623">
        <v>2.34</v>
      </c>
      <c r="N623">
        <v>1</v>
      </c>
      <c r="O623">
        <v>5</v>
      </c>
      <c r="P623">
        <v>0</v>
      </c>
      <c r="Q623">
        <v>5</v>
      </c>
      <c r="R623" t="s">
        <v>101</v>
      </c>
      <c r="S623">
        <v>18</v>
      </c>
      <c r="T623">
        <v>0</v>
      </c>
      <c r="U623" t="s">
        <v>35</v>
      </c>
      <c r="V623" t="s">
        <v>121</v>
      </c>
    </row>
    <row r="624" spans="1:22" x14ac:dyDescent="0.25">
      <c r="A624" t="s">
        <v>109</v>
      </c>
      <c r="B624" s="3">
        <v>46047</v>
      </c>
      <c r="C624" t="s">
        <v>30</v>
      </c>
      <c r="D624">
        <v>45</v>
      </c>
      <c r="E624" t="s">
        <v>38</v>
      </c>
      <c r="F624" t="s">
        <v>43</v>
      </c>
      <c r="G624">
        <v>0</v>
      </c>
      <c r="H624">
        <v>5</v>
      </c>
      <c r="I624">
        <v>3</v>
      </c>
      <c r="J624">
        <v>34</v>
      </c>
      <c r="K624">
        <v>25</v>
      </c>
      <c r="N624">
        <v>2</v>
      </c>
      <c r="O624">
        <v>3</v>
      </c>
      <c r="P624">
        <v>2</v>
      </c>
      <c r="Q624">
        <v>4</v>
      </c>
      <c r="R624" t="s">
        <v>104</v>
      </c>
      <c r="S624">
        <v>21</v>
      </c>
      <c r="T624">
        <v>0</v>
      </c>
      <c r="U624" t="s">
        <v>33</v>
      </c>
      <c r="V624" t="s">
        <v>121</v>
      </c>
    </row>
    <row r="625" spans="1:22" x14ac:dyDescent="0.25">
      <c r="A625" t="s">
        <v>109</v>
      </c>
      <c r="B625" s="3">
        <v>46047</v>
      </c>
      <c r="C625" t="s">
        <v>30</v>
      </c>
      <c r="D625">
        <v>45</v>
      </c>
      <c r="E625" t="s">
        <v>39</v>
      </c>
      <c r="F625" t="s">
        <v>31</v>
      </c>
      <c r="G625">
        <v>0</v>
      </c>
      <c r="H625">
        <v>4</v>
      </c>
      <c r="I625">
        <v>3</v>
      </c>
      <c r="J625">
        <v>23</v>
      </c>
      <c r="K625">
        <v>52</v>
      </c>
      <c r="L625">
        <v>2.33</v>
      </c>
      <c r="M625">
        <v>5.1100000000000003</v>
      </c>
      <c r="N625">
        <v>2</v>
      </c>
      <c r="O625">
        <v>2</v>
      </c>
      <c r="P625">
        <v>1</v>
      </c>
      <c r="Q625">
        <v>7</v>
      </c>
      <c r="R625" t="s">
        <v>105</v>
      </c>
      <c r="S625">
        <v>49</v>
      </c>
      <c r="T625">
        <v>1</v>
      </c>
      <c r="U625" t="s">
        <v>33</v>
      </c>
      <c r="V625" t="s">
        <v>121</v>
      </c>
    </row>
    <row r="626" spans="1:22" x14ac:dyDescent="0.25">
      <c r="A626" t="s">
        <v>109</v>
      </c>
      <c r="B626" s="3">
        <v>46048</v>
      </c>
      <c r="C626" t="s">
        <v>30</v>
      </c>
      <c r="D626">
        <v>46</v>
      </c>
      <c r="E626" t="s">
        <v>46</v>
      </c>
      <c r="F626" t="s">
        <v>38</v>
      </c>
      <c r="G626">
        <v>1</v>
      </c>
      <c r="H626">
        <v>6</v>
      </c>
      <c r="I626">
        <v>3</v>
      </c>
      <c r="J626">
        <v>39</v>
      </c>
      <c r="K626">
        <v>29</v>
      </c>
      <c r="L626">
        <v>5.18</v>
      </c>
      <c r="M626">
        <v>2.17</v>
      </c>
      <c r="N626">
        <v>1</v>
      </c>
      <c r="O626" s="5">
        <v>3</v>
      </c>
      <c r="P626">
        <v>0</v>
      </c>
      <c r="Q626" s="5">
        <v>2</v>
      </c>
      <c r="R626" t="s">
        <v>141</v>
      </c>
      <c r="S626" s="4">
        <v>26</v>
      </c>
      <c r="T626">
        <v>0</v>
      </c>
      <c r="U626" t="s">
        <v>33</v>
      </c>
      <c r="V626" t="s">
        <v>121</v>
      </c>
    </row>
    <row r="627" spans="1:22" x14ac:dyDescent="0.25">
      <c r="A627" t="s">
        <v>109</v>
      </c>
      <c r="B627" s="3">
        <v>46048</v>
      </c>
      <c r="C627" t="s">
        <v>30</v>
      </c>
      <c r="D627">
        <v>46</v>
      </c>
      <c r="E627" t="s">
        <v>38</v>
      </c>
      <c r="F627" t="s">
        <v>46</v>
      </c>
      <c r="G627">
        <v>0</v>
      </c>
      <c r="H627">
        <v>3</v>
      </c>
      <c r="I627">
        <v>6</v>
      </c>
      <c r="J627">
        <v>29</v>
      </c>
      <c r="K627">
        <v>39</v>
      </c>
      <c r="L627">
        <v>2.17</v>
      </c>
      <c r="M627">
        <v>5.18</v>
      </c>
      <c r="N627">
        <v>0</v>
      </c>
      <c r="O627">
        <v>2</v>
      </c>
      <c r="P627">
        <v>1</v>
      </c>
      <c r="Q627">
        <v>3</v>
      </c>
      <c r="R627" t="s">
        <v>104</v>
      </c>
      <c r="S627" s="4">
        <v>33</v>
      </c>
      <c r="T627">
        <v>0</v>
      </c>
      <c r="U627" t="s">
        <v>35</v>
      </c>
      <c r="V627" t="s">
        <v>121</v>
      </c>
    </row>
    <row r="628" spans="1:22" x14ac:dyDescent="0.25">
      <c r="A628" t="s">
        <v>109</v>
      </c>
      <c r="B628" s="3">
        <v>46049</v>
      </c>
      <c r="C628" t="s">
        <v>30</v>
      </c>
      <c r="D628">
        <v>46</v>
      </c>
      <c r="E628" t="s">
        <v>31</v>
      </c>
      <c r="F628" t="s">
        <v>40</v>
      </c>
      <c r="G628">
        <v>1</v>
      </c>
      <c r="H628">
        <v>2</v>
      </c>
      <c r="I628">
        <v>1</v>
      </c>
      <c r="J628">
        <v>32</v>
      </c>
      <c r="K628">
        <v>22</v>
      </c>
      <c r="L628">
        <v>2.38</v>
      </c>
      <c r="M628">
        <v>2.33</v>
      </c>
      <c r="N628">
        <v>0</v>
      </c>
      <c r="O628" s="5">
        <v>2</v>
      </c>
      <c r="P628">
        <v>0</v>
      </c>
      <c r="Q628" s="5">
        <v>1</v>
      </c>
      <c r="R628" t="s">
        <v>34</v>
      </c>
      <c r="S628" s="4">
        <v>21</v>
      </c>
      <c r="T628">
        <v>1</v>
      </c>
      <c r="U628" t="s">
        <v>33</v>
      </c>
      <c r="V628" t="s">
        <v>121</v>
      </c>
    </row>
    <row r="629" spans="1:22" x14ac:dyDescent="0.25">
      <c r="A629" t="s">
        <v>109</v>
      </c>
      <c r="B629" s="3">
        <v>46049</v>
      </c>
      <c r="C629" t="s">
        <v>30</v>
      </c>
      <c r="D629">
        <v>46</v>
      </c>
      <c r="E629" t="s">
        <v>41</v>
      </c>
      <c r="F629" t="s">
        <v>32</v>
      </c>
      <c r="G629">
        <v>0</v>
      </c>
      <c r="H629">
        <v>0</v>
      </c>
      <c r="I629">
        <v>3</v>
      </c>
      <c r="J629">
        <v>22</v>
      </c>
      <c r="K629">
        <v>22</v>
      </c>
      <c r="L629">
        <v>3.67</v>
      </c>
      <c r="M629">
        <v>2.68</v>
      </c>
      <c r="N629">
        <v>0</v>
      </c>
      <c r="O629" s="5">
        <v>3</v>
      </c>
      <c r="P629">
        <v>0</v>
      </c>
      <c r="Q629" s="5">
        <v>2</v>
      </c>
      <c r="R629" t="s">
        <v>110</v>
      </c>
      <c r="S629" s="4">
        <v>19</v>
      </c>
      <c r="T629">
        <v>0</v>
      </c>
      <c r="U629" t="s">
        <v>35</v>
      </c>
      <c r="V629" t="s">
        <v>121</v>
      </c>
    </row>
    <row r="630" spans="1:22" x14ac:dyDescent="0.25">
      <c r="A630" t="s">
        <v>109</v>
      </c>
      <c r="B630" s="3">
        <v>46049</v>
      </c>
      <c r="C630" t="s">
        <v>30</v>
      </c>
      <c r="D630">
        <v>46</v>
      </c>
      <c r="E630" t="s">
        <v>42</v>
      </c>
      <c r="F630" t="s">
        <v>39</v>
      </c>
      <c r="G630">
        <v>0</v>
      </c>
      <c r="H630">
        <v>0</v>
      </c>
      <c r="I630">
        <v>4</v>
      </c>
      <c r="J630">
        <v>19</v>
      </c>
      <c r="K630">
        <v>26</v>
      </c>
      <c r="L630">
        <v>2</v>
      </c>
      <c r="M630">
        <v>2.66</v>
      </c>
      <c r="N630">
        <v>0</v>
      </c>
      <c r="O630">
        <v>7</v>
      </c>
      <c r="P630">
        <v>2</v>
      </c>
      <c r="Q630">
        <v>10</v>
      </c>
      <c r="R630" t="s">
        <v>144</v>
      </c>
      <c r="S630">
        <v>22</v>
      </c>
      <c r="T630">
        <v>0</v>
      </c>
      <c r="U630" t="s">
        <v>35</v>
      </c>
      <c r="V630" t="s">
        <v>121</v>
      </c>
    </row>
    <row r="631" spans="1:22" x14ac:dyDescent="0.25">
      <c r="A631" t="s">
        <v>109</v>
      </c>
      <c r="B631" s="3">
        <v>46049</v>
      </c>
      <c r="C631" t="s">
        <v>30</v>
      </c>
      <c r="D631">
        <v>46</v>
      </c>
      <c r="E631" t="s">
        <v>136</v>
      </c>
      <c r="F631" t="s">
        <v>44</v>
      </c>
      <c r="G631">
        <v>1</v>
      </c>
      <c r="H631">
        <v>3</v>
      </c>
      <c r="I631">
        <v>6</v>
      </c>
      <c r="J631">
        <v>22</v>
      </c>
      <c r="K631">
        <v>33</v>
      </c>
      <c r="N631">
        <v>0</v>
      </c>
      <c r="O631">
        <v>0</v>
      </c>
      <c r="P631">
        <v>1</v>
      </c>
      <c r="Q631">
        <v>4</v>
      </c>
      <c r="R631" t="s">
        <v>111</v>
      </c>
      <c r="S631">
        <v>27</v>
      </c>
      <c r="T631">
        <v>0</v>
      </c>
      <c r="U631" t="s">
        <v>35</v>
      </c>
      <c r="V631" t="s">
        <v>121</v>
      </c>
    </row>
    <row r="632" spans="1:22" x14ac:dyDescent="0.25">
      <c r="A632" t="s">
        <v>109</v>
      </c>
      <c r="B632" s="3">
        <v>46049</v>
      </c>
      <c r="C632" t="s">
        <v>30</v>
      </c>
      <c r="D632">
        <v>46</v>
      </c>
      <c r="E632" t="s">
        <v>40</v>
      </c>
      <c r="F632" t="s">
        <v>31</v>
      </c>
      <c r="G632">
        <v>0</v>
      </c>
      <c r="H632">
        <v>1</v>
      </c>
      <c r="I632">
        <v>2</v>
      </c>
      <c r="J632">
        <v>22</v>
      </c>
      <c r="K632">
        <v>32</v>
      </c>
      <c r="L632">
        <v>2.33</v>
      </c>
      <c r="M632">
        <v>2.38</v>
      </c>
      <c r="N632">
        <v>0</v>
      </c>
      <c r="O632">
        <v>1</v>
      </c>
      <c r="P632">
        <v>0</v>
      </c>
      <c r="Q632">
        <v>2</v>
      </c>
      <c r="R632" t="s">
        <v>107</v>
      </c>
      <c r="S632">
        <v>30</v>
      </c>
      <c r="T632">
        <v>1</v>
      </c>
      <c r="U632" t="s">
        <v>35</v>
      </c>
      <c r="V632" t="s">
        <v>121</v>
      </c>
    </row>
    <row r="633" spans="1:22" x14ac:dyDescent="0.25">
      <c r="A633" t="s">
        <v>109</v>
      </c>
      <c r="B633" s="3">
        <v>46049</v>
      </c>
      <c r="C633" t="s">
        <v>30</v>
      </c>
      <c r="D633">
        <v>46</v>
      </c>
      <c r="E633" t="s">
        <v>44</v>
      </c>
      <c r="F633" t="s">
        <v>136</v>
      </c>
      <c r="G633">
        <v>0</v>
      </c>
      <c r="H633">
        <v>6</v>
      </c>
      <c r="I633">
        <v>3</v>
      </c>
      <c r="J633">
        <v>33</v>
      </c>
      <c r="K633">
        <v>22</v>
      </c>
      <c r="N633">
        <v>1</v>
      </c>
      <c r="O633">
        <v>4</v>
      </c>
      <c r="P633">
        <v>0</v>
      </c>
      <c r="Q633">
        <v>0</v>
      </c>
      <c r="R633" t="s">
        <v>147</v>
      </c>
      <c r="S633">
        <v>19</v>
      </c>
      <c r="T633">
        <v>0</v>
      </c>
      <c r="U633" t="s">
        <v>33</v>
      </c>
      <c r="V633" t="s">
        <v>121</v>
      </c>
    </row>
    <row r="634" spans="1:22" x14ac:dyDescent="0.25">
      <c r="A634" t="s">
        <v>109</v>
      </c>
      <c r="B634" s="3">
        <v>46049</v>
      </c>
      <c r="C634" t="s">
        <v>30</v>
      </c>
      <c r="D634">
        <v>46</v>
      </c>
      <c r="E634" t="s">
        <v>137</v>
      </c>
      <c r="F634" t="s">
        <v>45</v>
      </c>
      <c r="G634">
        <v>1</v>
      </c>
      <c r="H634">
        <v>6</v>
      </c>
      <c r="I634">
        <v>2</v>
      </c>
      <c r="J634">
        <v>38</v>
      </c>
      <c r="K634">
        <v>32</v>
      </c>
      <c r="N634">
        <v>3</v>
      </c>
      <c r="O634">
        <v>4</v>
      </c>
      <c r="P634">
        <v>1</v>
      </c>
      <c r="Q634">
        <v>3</v>
      </c>
      <c r="R634" t="s">
        <v>115</v>
      </c>
      <c r="S634">
        <v>30</v>
      </c>
      <c r="T634">
        <v>0</v>
      </c>
      <c r="U634" t="s">
        <v>33</v>
      </c>
      <c r="V634" t="s">
        <v>121</v>
      </c>
    </row>
    <row r="635" spans="1:22" x14ac:dyDescent="0.25">
      <c r="A635" t="s">
        <v>109</v>
      </c>
      <c r="B635" s="3">
        <v>46049</v>
      </c>
      <c r="C635" t="s">
        <v>30</v>
      </c>
      <c r="D635">
        <v>46</v>
      </c>
      <c r="E635" t="s">
        <v>43</v>
      </c>
      <c r="F635" t="s">
        <v>36</v>
      </c>
      <c r="G635">
        <v>0</v>
      </c>
      <c r="H635">
        <v>0</v>
      </c>
      <c r="I635">
        <v>1</v>
      </c>
      <c r="J635">
        <v>20</v>
      </c>
      <c r="K635">
        <v>33</v>
      </c>
      <c r="N635">
        <v>0</v>
      </c>
      <c r="O635">
        <v>2</v>
      </c>
      <c r="P635">
        <v>0</v>
      </c>
      <c r="Q635">
        <v>3</v>
      </c>
      <c r="R635" t="s">
        <v>149</v>
      </c>
      <c r="S635">
        <v>32</v>
      </c>
      <c r="T635">
        <v>0</v>
      </c>
      <c r="U635" t="s">
        <v>35</v>
      </c>
      <c r="V635" t="s">
        <v>121</v>
      </c>
    </row>
    <row r="636" spans="1:22" x14ac:dyDescent="0.25">
      <c r="A636" t="s">
        <v>109</v>
      </c>
      <c r="B636" s="3">
        <v>46049</v>
      </c>
      <c r="C636" t="s">
        <v>30</v>
      </c>
      <c r="D636">
        <v>46</v>
      </c>
      <c r="E636" t="s">
        <v>36</v>
      </c>
      <c r="F636" t="s">
        <v>43</v>
      </c>
      <c r="G636">
        <v>1</v>
      </c>
      <c r="H636">
        <v>1</v>
      </c>
      <c r="I636">
        <v>0</v>
      </c>
      <c r="J636">
        <v>33</v>
      </c>
      <c r="K636">
        <v>20</v>
      </c>
      <c r="N636">
        <v>0</v>
      </c>
      <c r="O636">
        <v>3</v>
      </c>
      <c r="P636">
        <v>0</v>
      </c>
      <c r="Q636">
        <v>2</v>
      </c>
      <c r="R636" t="s">
        <v>146</v>
      </c>
      <c r="S636">
        <v>20</v>
      </c>
      <c r="T636">
        <v>0</v>
      </c>
      <c r="U636" t="s">
        <v>33</v>
      </c>
      <c r="V636" t="s">
        <v>121</v>
      </c>
    </row>
    <row r="637" spans="1:22" x14ac:dyDescent="0.25">
      <c r="A637" t="s">
        <v>109</v>
      </c>
      <c r="B637" s="3">
        <v>46049</v>
      </c>
      <c r="C637" t="s">
        <v>30</v>
      </c>
      <c r="D637">
        <v>46</v>
      </c>
      <c r="E637" t="s">
        <v>32</v>
      </c>
      <c r="F637" t="s">
        <v>41</v>
      </c>
      <c r="G637">
        <v>1</v>
      </c>
      <c r="H637">
        <v>3</v>
      </c>
      <c r="I637">
        <v>0</v>
      </c>
      <c r="J637">
        <v>22</v>
      </c>
      <c r="K637">
        <v>22</v>
      </c>
      <c r="L637">
        <v>2.68</v>
      </c>
      <c r="M637">
        <v>3.67</v>
      </c>
      <c r="N637">
        <v>0</v>
      </c>
      <c r="O637">
        <v>2</v>
      </c>
      <c r="P637">
        <v>0</v>
      </c>
      <c r="Q637">
        <v>3</v>
      </c>
      <c r="R637" t="s">
        <v>117</v>
      </c>
      <c r="S637">
        <v>21</v>
      </c>
      <c r="T637">
        <v>0</v>
      </c>
      <c r="U637" t="s">
        <v>33</v>
      </c>
      <c r="V637" t="s">
        <v>121</v>
      </c>
    </row>
    <row r="638" spans="1:22" x14ac:dyDescent="0.25">
      <c r="A638" t="s">
        <v>109</v>
      </c>
      <c r="B638" s="3">
        <v>46049</v>
      </c>
      <c r="C638" t="s">
        <v>30</v>
      </c>
      <c r="D638">
        <v>46</v>
      </c>
      <c r="E638" t="s">
        <v>39</v>
      </c>
      <c r="F638" t="s">
        <v>42</v>
      </c>
      <c r="G638">
        <v>1</v>
      </c>
      <c r="H638">
        <v>4</v>
      </c>
      <c r="I638">
        <v>0</v>
      </c>
      <c r="J638">
        <v>26</v>
      </c>
      <c r="K638">
        <v>19</v>
      </c>
      <c r="L638">
        <v>2.66</v>
      </c>
      <c r="M638">
        <v>2</v>
      </c>
      <c r="N638">
        <v>2</v>
      </c>
      <c r="O638">
        <v>10</v>
      </c>
      <c r="P638">
        <v>0</v>
      </c>
      <c r="Q638">
        <v>7</v>
      </c>
      <c r="R638" t="s">
        <v>105</v>
      </c>
      <c r="S638">
        <v>19</v>
      </c>
      <c r="T638">
        <v>0</v>
      </c>
      <c r="U638" t="s">
        <v>33</v>
      </c>
      <c r="V638" t="s">
        <v>121</v>
      </c>
    </row>
    <row r="639" spans="1:22" x14ac:dyDescent="0.25">
      <c r="A639" t="s">
        <v>109</v>
      </c>
      <c r="B639" s="3">
        <v>46049</v>
      </c>
      <c r="C639" t="s">
        <v>30</v>
      </c>
      <c r="D639">
        <v>46</v>
      </c>
      <c r="E639" t="s">
        <v>45</v>
      </c>
      <c r="F639" t="s">
        <v>137</v>
      </c>
      <c r="G639">
        <v>0</v>
      </c>
      <c r="H639">
        <v>2</v>
      </c>
      <c r="I639">
        <v>6</v>
      </c>
      <c r="J639">
        <v>32</v>
      </c>
      <c r="K639">
        <v>38</v>
      </c>
      <c r="N639">
        <v>1</v>
      </c>
      <c r="O639">
        <v>3</v>
      </c>
      <c r="P639">
        <v>3</v>
      </c>
      <c r="Q639">
        <v>4</v>
      </c>
      <c r="R639" t="s">
        <v>148</v>
      </c>
      <c r="S639">
        <v>32</v>
      </c>
      <c r="T639">
        <v>0</v>
      </c>
      <c r="U639" t="s">
        <v>35</v>
      </c>
      <c r="V639" t="s">
        <v>121</v>
      </c>
    </row>
    <row r="640" spans="1:22" x14ac:dyDescent="0.25">
      <c r="A640" t="s">
        <v>109</v>
      </c>
      <c r="B640" s="3">
        <v>46051</v>
      </c>
      <c r="C640" t="s">
        <v>30</v>
      </c>
      <c r="D640">
        <v>47</v>
      </c>
      <c r="E640" t="s">
        <v>31</v>
      </c>
      <c r="F640" t="s">
        <v>41</v>
      </c>
      <c r="G640">
        <v>0</v>
      </c>
      <c r="H640">
        <v>2</v>
      </c>
      <c r="I640">
        <v>3</v>
      </c>
      <c r="J640">
        <v>31</v>
      </c>
      <c r="K640">
        <v>32</v>
      </c>
      <c r="L640">
        <v>2.41</v>
      </c>
      <c r="M640">
        <v>4.6100000000000003</v>
      </c>
      <c r="N640">
        <v>1</v>
      </c>
      <c r="O640" s="4">
        <v>6</v>
      </c>
      <c r="P640">
        <v>1</v>
      </c>
      <c r="Q640" s="4">
        <v>6</v>
      </c>
      <c r="R640" t="s">
        <v>47</v>
      </c>
      <c r="S640" s="4">
        <v>29</v>
      </c>
      <c r="T640">
        <v>0</v>
      </c>
      <c r="U640" t="s">
        <v>35</v>
      </c>
      <c r="V640" t="s">
        <v>121</v>
      </c>
    </row>
    <row r="641" spans="1:22" x14ac:dyDescent="0.25">
      <c r="A641" t="s">
        <v>109</v>
      </c>
      <c r="B641" s="3">
        <v>46051</v>
      </c>
      <c r="C641" t="s">
        <v>30</v>
      </c>
      <c r="D641">
        <v>47</v>
      </c>
      <c r="E641" t="s">
        <v>41</v>
      </c>
      <c r="F641" t="s">
        <v>31</v>
      </c>
      <c r="G641">
        <v>1</v>
      </c>
      <c r="H641">
        <v>3</v>
      </c>
      <c r="I641">
        <v>2</v>
      </c>
      <c r="J641">
        <v>32</v>
      </c>
      <c r="K641">
        <v>31</v>
      </c>
      <c r="L641">
        <v>4.6100000000000003</v>
      </c>
      <c r="M641">
        <v>2.41</v>
      </c>
      <c r="N641">
        <v>1</v>
      </c>
      <c r="O641" s="5">
        <v>6</v>
      </c>
      <c r="P641">
        <v>1</v>
      </c>
      <c r="Q641" s="5">
        <v>6</v>
      </c>
      <c r="R641" t="s">
        <v>110</v>
      </c>
      <c r="S641" s="4">
        <v>29</v>
      </c>
      <c r="T641">
        <v>0</v>
      </c>
      <c r="U641" t="s">
        <v>33</v>
      </c>
      <c r="V641" t="s">
        <v>121</v>
      </c>
    </row>
    <row r="642" spans="1:22" x14ac:dyDescent="0.25">
      <c r="A642" t="s">
        <v>109</v>
      </c>
      <c r="B642" s="3">
        <v>46051</v>
      </c>
      <c r="C642" t="s">
        <v>30</v>
      </c>
      <c r="D642">
        <v>44</v>
      </c>
      <c r="E642" t="s">
        <v>46</v>
      </c>
      <c r="F642" t="s">
        <v>36</v>
      </c>
      <c r="G642">
        <v>1</v>
      </c>
      <c r="H642">
        <v>4</v>
      </c>
      <c r="I642">
        <v>1</v>
      </c>
      <c r="J642">
        <v>34</v>
      </c>
      <c r="K642">
        <v>29</v>
      </c>
      <c r="L642">
        <v>2.68</v>
      </c>
      <c r="M642">
        <v>1.83</v>
      </c>
      <c r="N642">
        <v>2</v>
      </c>
      <c r="O642" s="5">
        <v>3</v>
      </c>
      <c r="P642">
        <v>1</v>
      </c>
      <c r="Q642" s="5">
        <v>4</v>
      </c>
      <c r="R642" t="s">
        <v>141</v>
      </c>
      <c r="S642" s="4">
        <v>28</v>
      </c>
      <c r="T642">
        <v>0</v>
      </c>
      <c r="U642" t="s">
        <v>33</v>
      </c>
      <c r="V642" t="s">
        <v>121</v>
      </c>
    </row>
    <row r="643" spans="1:22" x14ac:dyDescent="0.25">
      <c r="A643" t="s">
        <v>109</v>
      </c>
      <c r="B643" s="3">
        <v>46051</v>
      </c>
      <c r="C643" t="s">
        <v>30</v>
      </c>
      <c r="D643">
        <v>47</v>
      </c>
      <c r="E643" t="s">
        <v>40</v>
      </c>
      <c r="F643" t="s">
        <v>39</v>
      </c>
      <c r="G643">
        <v>1</v>
      </c>
      <c r="H643">
        <v>4</v>
      </c>
      <c r="I643">
        <v>1</v>
      </c>
      <c r="J643">
        <v>26</v>
      </c>
      <c r="K643">
        <v>23</v>
      </c>
      <c r="N643">
        <v>0</v>
      </c>
      <c r="O643">
        <v>0</v>
      </c>
      <c r="P643">
        <v>0</v>
      </c>
      <c r="Q643">
        <v>1</v>
      </c>
      <c r="R643" t="s">
        <v>107</v>
      </c>
      <c r="S643">
        <v>22</v>
      </c>
      <c r="T643">
        <v>0</v>
      </c>
      <c r="U643" t="s">
        <v>33</v>
      </c>
      <c r="V643" t="s">
        <v>121</v>
      </c>
    </row>
    <row r="644" spans="1:22" x14ac:dyDescent="0.25">
      <c r="A644" t="s">
        <v>109</v>
      </c>
      <c r="B644" s="3">
        <v>46051</v>
      </c>
      <c r="C644" t="s">
        <v>30</v>
      </c>
      <c r="D644">
        <v>47</v>
      </c>
      <c r="E644" t="s">
        <v>44</v>
      </c>
      <c r="F644" t="s">
        <v>137</v>
      </c>
      <c r="G644">
        <v>1</v>
      </c>
      <c r="H644">
        <v>3</v>
      </c>
      <c r="I644">
        <v>2</v>
      </c>
      <c r="J644">
        <v>35</v>
      </c>
      <c r="K644">
        <v>34</v>
      </c>
      <c r="N644">
        <v>1</v>
      </c>
      <c r="O644">
        <v>4</v>
      </c>
      <c r="P644">
        <v>1</v>
      </c>
      <c r="Q644">
        <v>5</v>
      </c>
      <c r="R644" t="s">
        <v>150</v>
      </c>
      <c r="S644">
        <v>32</v>
      </c>
      <c r="T644">
        <v>1</v>
      </c>
      <c r="U644" t="s">
        <v>33</v>
      </c>
      <c r="V644" t="s">
        <v>121</v>
      </c>
    </row>
    <row r="645" spans="1:22" x14ac:dyDescent="0.25">
      <c r="A645" t="s">
        <v>109</v>
      </c>
      <c r="B645" s="3">
        <v>46051</v>
      </c>
      <c r="C645" t="s">
        <v>30</v>
      </c>
      <c r="D645">
        <v>47</v>
      </c>
      <c r="E645" t="s">
        <v>137</v>
      </c>
      <c r="F645" t="s">
        <v>44</v>
      </c>
      <c r="G645">
        <v>0</v>
      </c>
      <c r="H645">
        <v>2</v>
      </c>
      <c r="I645">
        <v>3</v>
      </c>
      <c r="J645">
        <v>34</v>
      </c>
      <c r="K645">
        <v>35</v>
      </c>
      <c r="N645">
        <v>1</v>
      </c>
      <c r="O645">
        <v>5</v>
      </c>
      <c r="P645">
        <v>1</v>
      </c>
      <c r="Q645">
        <v>4</v>
      </c>
      <c r="R645" t="s">
        <v>100</v>
      </c>
      <c r="S645">
        <v>33</v>
      </c>
      <c r="T645">
        <v>1</v>
      </c>
      <c r="U645" t="s">
        <v>35</v>
      </c>
      <c r="V645" t="s">
        <v>121</v>
      </c>
    </row>
    <row r="646" spans="1:22" x14ac:dyDescent="0.25">
      <c r="A646" t="s">
        <v>109</v>
      </c>
      <c r="B646" s="3">
        <v>46051</v>
      </c>
      <c r="C646" t="s">
        <v>30</v>
      </c>
      <c r="D646">
        <v>47</v>
      </c>
      <c r="E646" t="s">
        <v>43</v>
      </c>
      <c r="F646" t="s">
        <v>32</v>
      </c>
      <c r="G646">
        <v>1</v>
      </c>
      <c r="H646">
        <v>3</v>
      </c>
      <c r="I646">
        <v>6</v>
      </c>
      <c r="J646">
        <v>33</v>
      </c>
      <c r="K646">
        <v>31</v>
      </c>
      <c r="N646">
        <v>1</v>
      </c>
      <c r="O646">
        <v>4</v>
      </c>
      <c r="P646">
        <v>1</v>
      </c>
      <c r="Q646">
        <v>1</v>
      </c>
      <c r="R646" t="s">
        <v>160</v>
      </c>
      <c r="S646">
        <v>25</v>
      </c>
      <c r="T646">
        <v>0</v>
      </c>
      <c r="U646" t="s">
        <v>35</v>
      </c>
      <c r="V646" t="s">
        <v>121</v>
      </c>
    </row>
    <row r="647" spans="1:22" x14ac:dyDescent="0.25">
      <c r="A647" t="s">
        <v>109</v>
      </c>
      <c r="B647" s="3">
        <v>46051</v>
      </c>
      <c r="C647" t="s">
        <v>30</v>
      </c>
      <c r="D647">
        <v>47</v>
      </c>
      <c r="E647" t="s">
        <v>36</v>
      </c>
      <c r="F647" t="s">
        <v>46</v>
      </c>
      <c r="G647">
        <v>0</v>
      </c>
      <c r="H647">
        <v>1</v>
      </c>
      <c r="I647">
        <v>4</v>
      </c>
      <c r="J647">
        <v>29</v>
      </c>
      <c r="K647">
        <v>34</v>
      </c>
      <c r="L647">
        <v>1.83</v>
      </c>
      <c r="M647">
        <v>2.68</v>
      </c>
      <c r="N647">
        <v>1</v>
      </c>
      <c r="O647">
        <v>4</v>
      </c>
      <c r="P647">
        <v>2</v>
      </c>
      <c r="Q647">
        <v>3</v>
      </c>
      <c r="R647" t="s">
        <v>157</v>
      </c>
      <c r="S647">
        <v>30</v>
      </c>
      <c r="T647">
        <v>0</v>
      </c>
      <c r="U647" t="s">
        <v>35</v>
      </c>
      <c r="V647" t="s">
        <v>121</v>
      </c>
    </row>
    <row r="648" spans="1:22" x14ac:dyDescent="0.25">
      <c r="A648" t="s">
        <v>109</v>
      </c>
      <c r="B648" s="3">
        <v>46051</v>
      </c>
      <c r="C648" t="s">
        <v>30</v>
      </c>
      <c r="D648">
        <v>47</v>
      </c>
      <c r="E648" t="s">
        <v>32</v>
      </c>
      <c r="F648" t="s">
        <v>43</v>
      </c>
      <c r="G648">
        <v>0</v>
      </c>
      <c r="H648">
        <v>6</v>
      </c>
      <c r="I648">
        <v>3</v>
      </c>
      <c r="J648">
        <v>31</v>
      </c>
      <c r="K648">
        <v>33</v>
      </c>
      <c r="N648">
        <v>1</v>
      </c>
      <c r="O648">
        <v>1</v>
      </c>
      <c r="P648">
        <v>1</v>
      </c>
      <c r="Q648">
        <v>4</v>
      </c>
      <c r="R648" t="s">
        <v>117</v>
      </c>
      <c r="S648">
        <v>18</v>
      </c>
      <c r="T648">
        <v>0</v>
      </c>
      <c r="U648" t="s">
        <v>33</v>
      </c>
      <c r="V648" t="s">
        <v>121</v>
      </c>
    </row>
    <row r="649" spans="1:22" x14ac:dyDescent="0.25">
      <c r="A649" t="s">
        <v>109</v>
      </c>
      <c r="B649" s="3">
        <v>46051</v>
      </c>
      <c r="C649" t="s">
        <v>30</v>
      </c>
      <c r="D649">
        <v>47</v>
      </c>
      <c r="E649" t="s">
        <v>39</v>
      </c>
      <c r="F649" t="s">
        <v>40</v>
      </c>
      <c r="G649">
        <v>0</v>
      </c>
      <c r="H649">
        <v>1</v>
      </c>
      <c r="I649">
        <v>4</v>
      </c>
      <c r="J649">
        <v>23</v>
      </c>
      <c r="K649">
        <v>26</v>
      </c>
      <c r="N649">
        <v>0</v>
      </c>
      <c r="O649">
        <v>1</v>
      </c>
      <c r="P649">
        <v>0</v>
      </c>
      <c r="Q649">
        <v>0</v>
      </c>
      <c r="R649" t="s">
        <v>106</v>
      </c>
      <c r="S649">
        <v>22</v>
      </c>
      <c r="T649">
        <v>0</v>
      </c>
      <c r="U649" t="s">
        <v>35</v>
      </c>
      <c r="V649" t="s">
        <v>121</v>
      </c>
    </row>
    <row r="650" spans="1:22" x14ac:dyDescent="0.25">
      <c r="A650" t="s">
        <v>109</v>
      </c>
      <c r="B650" s="3">
        <v>46052</v>
      </c>
      <c r="C650" t="s">
        <v>30</v>
      </c>
      <c r="D650">
        <v>47</v>
      </c>
      <c r="E650" t="s">
        <v>42</v>
      </c>
      <c r="F650" t="s">
        <v>136</v>
      </c>
      <c r="G650">
        <v>1</v>
      </c>
      <c r="H650">
        <v>4</v>
      </c>
      <c r="I650">
        <v>3</v>
      </c>
      <c r="J650">
        <v>40</v>
      </c>
      <c r="K650">
        <v>25</v>
      </c>
      <c r="L650">
        <v>3.07</v>
      </c>
      <c r="M650">
        <v>4.16</v>
      </c>
      <c r="N650">
        <v>1</v>
      </c>
      <c r="O650">
        <v>6</v>
      </c>
      <c r="P650">
        <v>2</v>
      </c>
      <c r="Q650">
        <v>7</v>
      </c>
      <c r="R650" t="s">
        <v>144</v>
      </c>
      <c r="S650">
        <v>35</v>
      </c>
      <c r="T650">
        <v>1</v>
      </c>
      <c r="U650" t="s">
        <v>33</v>
      </c>
      <c r="V650" t="s">
        <v>121</v>
      </c>
    </row>
    <row r="651" spans="1:22" x14ac:dyDescent="0.25">
      <c r="A651" t="s">
        <v>109</v>
      </c>
      <c r="B651" s="3">
        <v>46052</v>
      </c>
      <c r="C651" t="s">
        <v>30</v>
      </c>
      <c r="D651">
        <v>47</v>
      </c>
      <c r="E651" t="s">
        <v>136</v>
      </c>
      <c r="F651" t="s">
        <v>42</v>
      </c>
      <c r="G651">
        <v>0</v>
      </c>
      <c r="H651">
        <v>3</v>
      </c>
      <c r="I651">
        <v>4</v>
      </c>
      <c r="J651">
        <v>25</v>
      </c>
      <c r="K651">
        <v>40</v>
      </c>
      <c r="L651">
        <v>4.16</v>
      </c>
      <c r="M651">
        <v>3.07</v>
      </c>
      <c r="N651">
        <v>2</v>
      </c>
      <c r="O651">
        <v>7</v>
      </c>
      <c r="P651">
        <v>1</v>
      </c>
      <c r="Q651">
        <v>6</v>
      </c>
      <c r="R651" t="s">
        <v>103</v>
      </c>
      <c r="S651">
        <v>20</v>
      </c>
      <c r="T651">
        <v>1</v>
      </c>
      <c r="U651" t="s">
        <v>35</v>
      </c>
      <c r="V651" t="s">
        <v>121</v>
      </c>
    </row>
    <row r="652" spans="1:22" x14ac:dyDescent="0.25">
      <c r="A652" t="s">
        <v>109</v>
      </c>
      <c r="B652" s="3">
        <v>46052</v>
      </c>
      <c r="C652" t="s">
        <v>30</v>
      </c>
      <c r="D652">
        <v>21</v>
      </c>
      <c r="E652" t="s">
        <v>44</v>
      </c>
      <c r="F652" t="s">
        <v>137</v>
      </c>
      <c r="G652">
        <v>1</v>
      </c>
      <c r="H652">
        <v>3</v>
      </c>
      <c r="I652">
        <v>2</v>
      </c>
      <c r="J652">
        <v>32</v>
      </c>
      <c r="K652">
        <v>44</v>
      </c>
      <c r="N652">
        <v>1</v>
      </c>
      <c r="O652">
        <v>3</v>
      </c>
      <c r="P652">
        <v>0</v>
      </c>
      <c r="Q652">
        <v>4</v>
      </c>
      <c r="R652" t="s">
        <v>150</v>
      </c>
      <c r="S652">
        <v>42</v>
      </c>
      <c r="T652">
        <v>1</v>
      </c>
      <c r="U652" t="s">
        <v>33</v>
      </c>
      <c r="V652" t="s">
        <v>121</v>
      </c>
    </row>
    <row r="653" spans="1:22" x14ac:dyDescent="0.25">
      <c r="A653" t="s">
        <v>109</v>
      </c>
      <c r="B653" s="3">
        <v>46052</v>
      </c>
      <c r="C653" t="s">
        <v>30</v>
      </c>
      <c r="D653">
        <v>21</v>
      </c>
      <c r="E653" t="s">
        <v>137</v>
      </c>
      <c r="F653" t="s">
        <v>44</v>
      </c>
      <c r="G653">
        <v>0</v>
      </c>
      <c r="H653">
        <v>2</v>
      </c>
      <c r="I653">
        <v>3</v>
      </c>
      <c r="J653">
        <v>44</v>
      </c>
      <c r="K653">
        <v>32</v>
      </c>
      <c r="N653">
        <v>0</v>
      </c>
      <c r="O653">
        <v>4</v>
      </c>
      <c r="P653">
        <v>1</v>
      </c>
      <c r="Q653">
        <v>3</v>
      </c>
      <c r="R653" t="s">
        <v>100</v>
      </c>
      <c r="S653">
        <v>30</v>
      </c>
      <c r="T653">
        <v>1</v>
      </c>
      <c r="U653" t="s">
        <v>35</v>
      </c>
      <c r="V653" t="s">
        <v>121</v>
      </c>
    </row>
    <row r="654" spans="1:22" x14ac:dyDescent="0.25">
      <c r="A654" t="s">
        <v>109</v>
      </c>
      <c r="B654" s="3">
        <v>46054</v>
      </c>
      <c r="C654" t="s">
        <v>30</v>
      </c>
      <c r="D654">
        <v>45</v>
      </c>
      <c r="E654" t="s">
        <v>46</v>
      </c>
      <c r="F654" t="s">
        <v>136</v>
      </c>
      <c r="G654">
        <v>1</v>
      </c>
      <c r="H654">
        <v>4</v>
      </c>
      <c r="I654">
        <v>3</v>
      </c>
      <c r="J654">
        <v>34</v>
      </c>
      <c r="K654">
        <v>29</v>
      </c>
      <c r="N654">
        <v>2</v>
      </c>
      <c r="O654" s="5">
        <v>6</v>
      </c>
      <c r="P654">
        <v>1</v>
      </c>
      <c r="Q654" s="5">
        <v>5</v>
      </c>
      <c r="R654" t="s">
        <v>140</v>
      </c>
      <c r="S654" s="4">
        <v>26</v>
      </c>
      <c r="T654">
        <v>0</v>
      </c>
      <c r="U654" t="s">
        <v>33</v>
      </c>
      <c r="V654" t="s">
        <v>121</v>
      </c>
    </row>
    <row r="655" spans="1:22" x14ac:dyDescent="0.25">
      <c r="A655" t="s">
        <v>109</v>
      </c>
      <c r="B655" s="3">
        <v>46054</v>
      </c>
      <c r="C655" t="s">
        <v>30</v>
      </c>
      <c r="D655">
        <v>45</v>
      </c>
      <c r="E655" t="s">
        <v>136</v>
      </c>
      <c r="F655" t="s">
        <v>46</v>
      </c>
      <c r="G655">
        <v>0</v>
      </c>
      <c r="H655">
        <v>3</v>
      </c>
      <c r="I655">
        <v>4</v>
      </c>
      <c r="J655">
        <v>29</v>
      </c>
      <c r="K655">
        <v>34</v>
      </c>
      <c r="N655">
        <v>1</v>
      </c>
      <c r="O655" s="5">
        <v>5</v>
      </c>
      <c r="P655">
        <v>2</v>
      </c>
      <c r="Q655" s="5">
        <v>6</v>
      </c>
      <c r="R655" t="s">
        <v>103</v>
      </c>
      <c r="S655" s="4">
        <v>30</v>
      </c>
      <c r="T655">
        <v>0</v>
      </c>
      <c r="U655" t="s">
        <v>35</v>
      </c>
      <c r="V655" t="s">
        <v>121</v>
      </c>
    </row>
    <row r="656" spans="1:22" x14ac:dyDescent="0.25">
      <c r="A656" t="s">
        <v>109</v>
      </c>
      <c r="B656" s="3">
        <v>46055</v>
      </c>
      <c r="C656" t="s">
        <v>30</v>
      </c>
      <c r="D656">
        <v>46</v>
      </c>
      <c r="E656" t="s">
        <v>46</v>
      </c>
      <c r="F656" t="s">
        <v>39</v>
      </c>
      <c r="G656">
        <v>0</v>
      </c>
      <c r="H656">
        <v>1</v>
      </c>
      <c r="I656">
        <v>4</v>
      </c>
      <c r="J656">
        <v>18</v>
      </c>
      <c r="K656">
        <v>33</v>
      </c>
      <c r="L656">
        <v>1.53</v>
      </c>
      <c r="M656">
        <v>3.07</v>
      </c>
      <c r="N656">
        <v>0</v>
      </c>
      <c r="O656" s="5">
        <v>3</v>
      </c>
      <c r="P656">
        <v>2</v>
      </c>
      <c r="Q656" s="5">
        <v>9</v>
      </c>
      <c r="R656" t="s">
        <v>141</v>
      </c>
      <c r="S656" s="4">
        <v>29</v>
      </c>
      <c r="T656">
        <v>0</v>
      </c>
      <c r="U656" t="s">
        <v>35</v>
      </c>
      <c r="V656" t="s">
        <v>121</v>
      </c>
    </row>
    <row r="657" spans="1:22" x14ac:dyDescent="0.25">
      <c r="A657" t="s">
        <v>109</v>
      </c>
      <c r="B657" s="3">
        <v>46055</v>
      </c>
      <c r="C657" t="s">
        <v>30</v>
      </c>
      <c r="D657">
        <v>46</v>
      </c>
      <c r="E657" t="s">
        <v>39</v>
      </c>
      <c r="F657" t="s">
        <v>46</v>
      </c>
      <c r="G657">
        <v>1</v>
      </c>
      <c r="H657">
        <v>4</v>
      </c>
      <c r="I657">
        <v>1</v>
      </c>
      <c r="J657">
        <v>33</v>
      </c>
      <c r="K657">
        <v>18</v>
      </c>
      <c r="L657">
        <v>3.07</v>
      </c>
      <c r="M657">
        <v>1.53</v>
      </c>
      <c r="N657">
        <v>2</v>
      </c>
      <c r="O657">
        <v>9</v>
      </c>
      <c r="P657">
        <v>0</v>
      </c>
      <c r="Q657">
        <v>3</v>
      </c>
      <c r="R657" t="s">
        <v>105</v>
      </c>
      <c r="S657">
        <v>17</v>
      </c>
      <c r="T657">
        <v>0</v>
      </c>
      <c r="U657" t="s">
        <v>33</v>
      </c>
      <c r="V657" t="s">
        <v>121</v>
      </c>
    </row>
    <row r="658" spans="1:22" x14ac:dyDescent="0.25">
      <c r="A658" t="s">
        <v>109</v>
      </c>
      <c r="B658" s="3">
        <v>46075</v>
      </c>
      <c r="C658" t="s">
        <v>30</v>
      </c>
      <c r="D658">
        <v>47</v>
      </c>
      <c r="E658" t="s">
        <v>46</v>
      </c>
      <c r="F658" t="s">
        <v>36</v>
      </c>
      <c r="G658">
        <v>0</v>
      </c>
      <c r="H658">
        <v>3</v>
      </c>
      <c r="I658">
        <v>2</v>
      </c>
      <c r="J658">
        <v>29</v>
      </c>
      <c r="K658">
        <v>28</v>
      </c>
      <c r="L658">
        <v>2.06</v>
      </c>
      <c r="M658">
        <v>2.04</v>
      </c>
      <c r="N658">
        <v>1</v>
      </c>
      <c r="O658" s="5">
        <v>2</v>
      </c>
      <c r="P658">
        <v>1</v>
      </c>
      <c r="Q658" s="5">
        <v>4</v>
      </c>
      <c r="R658" t="s">
        <v>140</v>
      </c>
      <c r="S658" s="4">
        <v>26</v>
      </c>
      <c r="T658">
        <v>0</v>
      </c>
      <c r="U658" t="s">
        <v>33</v>
      </c>
      <c r="V658" t="s">
        <v>121</v>
      </c>
    </row>
    <row r="659" spans="1:22" x14ac:dyDescent="0.25">
      <c r="A659" t="s">
        <v>109</v>
      </c>
      <c r="B659" s="3">
        <v>46075</v>
      </c>
      <c r="C659" t="s">
        <v>30</v>
      </c>
      <c r="D659">
        <v>47</v>
      </c>
      <c r="E659" t="s">
        <v>36</v>
      </c>
      <c r="F659" t="s">
        <v>46</v>
      </c>
      <c r="G659">
        <v>1</v>
      </c>
      <c r="H659">
        <v>2</v>
      </c>
      <c r="I659">
        <v>3</v>
      </c>
      <c r="J659">
        <v>28</v>
      </c>
      <c r="K659">
        <v>29</v>
      </c>
      <c r="L659">
        <v>2.04</v>
      </c>
      <c r="M659">
        <v>2.06</v>
      </c>
      <c r="N659">
        <v>1</v>
      </c>
      <c r="O659">
        <v>4</v>
      </c>
      <c r="P659">
        <v>1</v>
      </c>
      <c r="Q659">
        <v>2</v>
      </c>
      <c r="R659" t="s">
        <v>146</v>
      </c>
      <c r="S659">
        <v>26</v>
      </c>
      <c r="T659">
        <v>0</v>
      </c>
      <c r="U659" t="s">
        <v>35</v>
      </c>
      <c r="V659" t="s">
        <v>121</v>
      </c>
    </row>
    <row r="660" spans="1:22" x14ac:dyDescent="0.25">
      <c r="A660" t="s">
        <v>109</v>
      </c>
      <c r="B660" s="3">
        <v>46077</v>
      </c>
      <c r="C660" t="s">
        <v>30</v>
      </c>
      <c r="D660">
        <v>48</v>
      </c>
      <c r="E660" t="s">
        <v>36</v>
      </c>
      <c r="F660" t="s">
        <v>38</v>
      </c>
      <c r="G660">
        <v>1</v>
      </c>
      <c r="H660">
        <v>3</v>
      </c>
      <c r="I660">
        <v>2</v>
      </c>
      <c r="J660">
        <v>40</v>
      </c>
      <c r="K660">
        <v>20</v>
      </c>
      <c r="N660">
        <v>0</v>
      </c>
      <c r="O660">
        <v>4</v>
      </c>
      <c r="P660">
        <v>0</v>
      </c>
      <c r="Q660">
        <v>2</v>
      </c>
      <c r="R660" t="s">
        <v>146</v>
      </c>
      <c r="S660">
        <v>18</v>
      </c>
      <c r="T660">
        <v>1</v>
      </c>
      <c r="U660" t="s">
        <v>33</v>
      </c>
      <c r="V660" t="s">
        <v>121</v>
      </c>
    </row>
    <row r="661" spans="1:22" x14ac:dyDescent="0.25">
      <c r="A661" t="s">
        <v>109</v>
      </c>
      <c r="B661" s="3">
        <v>46077</v>
      </c>
      <c r="C661" t="s">
        <v>30</v>
      </c>
      <c r="D661">
        <v>48</v>
      </c>
      <c r="E661" t="s">
        <v>38</v>
      </c>
      <c r="F661" t="s">
        <v>36</v>
      </c>
      <c r="G661">
        <v>0</v>
      </c>
      <c r="H661">
        <v>2</v>
      </c>
      <c r="I661">
        <v>3</v>
      </c>
      <c r="J661">
        <v>20</v>
      </c>
      <c r="K661">
        <v>40</v>
      </c>
      <c r="N661">
        <v>0</v>
      </c>
      <c r="O661">
        <v>2</v>
      </c>
      <c r="P661">
        <v>0</v>
      </c>
      <c r="Q661">
        <v>4</v>
      </c>
      <c r="R661" t="s">
        <v>104</v>
      </c>
      <c r="S661">
        <v>37</v>
      </c>
      <c r="T661">
        <v>1</v>
      </c>
      <c r="U661" t="s">
        <v>35</v>
      </c>
      <c r="V661" t="s">
        <v>121</v>
      </c>
    </row>
    <row r="662" spans="1:22" x14ac:dyDescent="0.25">
      <c r="A662" t="s">
        <v>109</v>
      </c>
      <c r="B662" s="3">
        <v>46078</v>
      </c>
      <c r="C662" t="s">
        <v>30</v>
      </c>
      <c r="D662">
        <v>48</v>
      </c>
      <c r="E662" t="s">
        <v>31</v>
      </c>
      <c r="F662" t="s">
        <v>42</v>
      </c>
      <c r="G662">
        <v>1</v>
      </c>
      <c r="H662">
        <v>4</v>
      </c>
      <c r="I662">
        <v>2</v>
      </c>
      <c r="J662">
        <v>33</v>
      </c>
      <c r="K662">
        <v>26</v>
      </c>
      <c r="L662">
        <v>4.6399999999999997</v>
      </c>
      <c r="M662">
        <v>2.16</v>
      </c>
      <c r="N662">
        <v>0</v>
      </c>
      <c r="O662" s="5">
        <v>4</v>
      </c>
      <c r="P662">
        <v>0</v>
      </c>
      <c r="Q662" s="5">
        <v>4</v>
      </c>
      <c r="R662" t="s">
        <v>47</v>
      </c>
      <c r="S662" s="4">
        <v>24</v>
      </c>
      <c r="T662">
        <v>0</v>
      </c>
      <c r="U662" t="s">
        <v>33</v>
      </c>
      <c r="V662" t="s">
        <v>121</v>
      </c>
    </row>
    <row r="663" spans="1:22" x14ac:dyDescent="0.25">
      <c r="A663" t="s">
        <v>109</v>
      </c>
      <c r="B663" s="3">
        <v>46078</v>
      </c>
      <c r="C663" t="s">
        <v>30</v>
      </c>
      <c r="D663">
        <v>48</v>
      </c>
      <c r="E663" t="s">
        <v>41</v>
      </c>
      <c r="F663" t="s">
        <v>40</v>
      </c>
      <c r="G663">
        <v>0</v>
      </c>
      <c r="H663">
        <v>3</v>
      </c>
      <c r="I663">
        <v>1</v>
      </c>
      <c r="J663">
        <v>24</v>
      </c>
      <c r="K663">
        <v>21</v>
      </c>
      <c r="L663">
        <v>3.27</v>
      </c>
      <c r="M663">
        <v>1.74</v>
      </c>
      <c r="N663">
        <v>1</v>
      </c>
      <c r="O663" s="5">
        <v>3</v>
      </c>
      <c r="P663">
        <v>1</v>
      </c>
      <c r="Q663" s="5">
        <v>4</v>
      </c>
      <c r="R663" t="s">
        <v>110</v>
      </c>
      <c r="S663" s="4">
        <v>20</v>
      </c>
      <c r="T663">
        <v>0</v>
      </c>
      <c r="U663" t="s">
        <v>33</v>
      </c>
      <c r="V663" t="s">
        <v>121</v>
      </c>
    </row>
    <row r="664" spans="1:22" x14ac:dyDescent="0.25">
      <c r="A664" t="s">
        <v>109</v>
      </c>
      <c r="B664" s="3">
        <v>46078</v>
      </c>
      <c r="C664" t="s">
        <v>30</v>
      </c>
      <c r="D664">
        <v>48</v>
      </c>
      <c r="E664" t="s">
        <v>46</v>
      </c>
      <c r="F664" t="s">
        <v>137</v>
      </c>
      <c r="G664">
        <v>0</v>
      </c>
      <c r="H664">
        <v>2</v>
      </c>
      <c r="I664">
        <v>1</v>
      </c>
      <c r="J664">
        <v>18</v>
      </c>
      <c r="K664">
        <v>37</v>
      </c>
      <c r="L664">
        <v>2.3199999999999998</v>
      </c>
      <c r="M664">
        <v>3.71</v>
      </c>
      <c r="N664">
        <v>0</v>
      </c>
      <c r="O664" s="5">
        <v>5</v>
      </c>
      <c r="P664">
        <v>1</v>
      </c>
      <c r="Q664" s="5">
        <v>8</v>
      </c>
      <c r="R664" t="s">
        <v>140</v>
      </c>
      <c r="S664" s="4">
        <v>36</v>
      </c>
      <c r="T664">
        <v>0</v>
      </c>
      <c r="U664" t="s">
        <v>33</v>
      </c>
      <c r="V664" t="s">
        <v>121</v>
      </c>
    </row>
    <row r="665" spans="1:22" x14ac:dyDescent="0.25">
      <c r="A665" t="s">
        <v>109</v>
      </c>
      <c r="B665" s="3">
        <v>46078</v>
      </c>
      <c r="C665" t="s">
        <v>30</v>
      </c>
      <c r="D665">
        <v>48</v>
      </c>
      <c r="E665" t="s">
        <v>42</v>
      </c>
      <c r="F665" t="s">
        <v>31</v>
      </c>
      <c r="G665">
        <v>0</v>
      </c>
      <c r="H665">
        <v>2</v>
      </c>
      <c r="I665">
        <v>4</v>
      </c>
      <c r="J665">
        <v>26</v>
      </c>
      <c r="K665">
        <v>33</v>
      </c>
      <c r="L665">
        <v>2.16</v>
      </c>
      <c r="M665">
        <v>4.6399999999999997</v>
      </c>
      <c r="N665">
        <v>0</v>
      </c>
      <c r="O665" s="5">
        <v>4</v>
      </c>
      <c r="P665">
        <v>0</v>
      </c>
      <c r="Q665" s="5">
        <v>4</v>
      </c>
      <c r="R665" t="s">
        <v>159</v>
      </c>
      <c r="S665" s="4">
        <v>29</v>
      </c>
      <c r="T665">
        <v>0</v>
      </c>
      <c r="U665" t="s">
        <v>35</v>
      </c>
      <c r="V665" t="s">
        <v>121</v>
      </c>
    </row>
    <row r="666" spans="1:22" x14ac:dyDescent="0.25">
      <c r="A666" t="s">
        <v>109</v>
      </c>
      <c r="B666" s="3">
        <v>46078</v>
      </c>
      <c r="C666" t="s">
        <v>30</v>
      </c>
      <c r="D666">
        <v>48</v>
      </c>
      <c r="E666" t="s">
        <v>136</v>
      </c>
      <c r="F666" t="s">
        <v>43</v>
      </c>
      <c r="G666">
        <v>1</v>
      </c>
      <c r="H666">
        <v>4</v>
      </c>
      <c r="I666">
        <v>2</v>
      </c>
      <c r="J666">
        <v>40</v>
      </c>
      <c r="K666">
        <v>23</v>
      </c>
      <c r="N666">
        <v>2</v>
      </c>
      <c r="O666">
        <v>11</v>
      </c>
      <c r="P666">
        <v>1</v>
      </c>
      <c r="Q666">
        <v>4</v>
      </c>
      <c r="R666" t="s">
        <v>103</v>
      </c>
      <c r="S666">
        <v>21</v>
      </c>
      <c r="T666">
        <v>0</v>
      </c>
      <c r="U666" t="s">
        <v>33</v>
      </c>
      <c r="V666" t="s">
        <v>121</v>
      </c>
    </row>
    <row r="667" spans="1:22" x14ac:dyDescent="0.25">
      <c r="A667" t="s">
        <v>109</v>
      </c>
      <c r="B667" s="3">
        <v>46078</v>
      </c>
      <c r="C667" t="s">
        <v>30</v>
      </c>
      <c r="D667">
        <v>48</v>
      </c>
      <c r="E667" t="s">
        <v>40</v>
      </c>
      <c r="F667" t="s">
        <v>41</v>
      </c>
      <c r="G667">
        <v>1</v>
      </c>
      <c r="H667">
        <v>1</v>
      </c>
      <c r="I667">
        <v>3</v>
      </c>
      <c r="J667">
        <v>21</v>
      </c>
      <c r="K667">
        <v>24</v>
      </c>
      <c r="L667">
        <v>1.74</v>
      </c>
      <c r="M667">
        <v>3.27</v>
      </c>
      <c r="N667">
        <v>1</v>
      </c>
      <c r="O667">
        <v>4</v>
      </c>
      <c r="P667">
        <v>1</v>
      </c>
      <c r="Q667">
        <v>3</v>
      </c>
      <c r="R667" t="s">
        <v>107</v>
      </c>
      <c r="S667">
        <v>21</v>
      </c>
      <c r="T667">
        <v>0</v>
      </c>
      <c r="U667" t="s">
        <v>35</v>
      </c>
      <c r="V667" t="s">
        <v>121</v>
      </c>
    </row>
    <row r="668" spans="1:22" x14ac:dyDescent="0.25">
      <c r="A668" t="s">
        <v>109</v>
      </c>
      <c r="B668" s="3">
        <v>46078</v>
      </c>
      <c r="C668" t="s">
        <v>30</v>
      </c>
      <c r="D668">
        <v>48</v>
      </c>
      <c r="E668" t="s">
        <v>44</v>
      </c>
      <c r="F668" t="s">
        <v>39</v>
      </c>
      <c r="G668">
        <v>0</v>
      </c>
      <c r="H668">
        <v>0</v>
      </c>
      <c r="I668">
        <v>2</v>
      </c>
      <c r="J668">
        <v>23</v>
      </c>
      <c r="K668">
        <v>32</v>
      </c>
      <c r="N668">
        <v>0</v>
      </c>
      <c r="O668">
        <v>1</v>
      </c>
      <c r="P668">
        <v>0</v>
      </c>
      <c r="Q668">
        <v>3</v>
      </c>
      <c r="R668" t="s">
        <v>150</v>
      </c>
      <c r="S668">
        <v>30</v>
      </c>
      <c r="T668">
        <v>0</v>
      </c>
      <c r="U668" t="s">
        <v>35</v>
      </c>
      <c r="V668" t="s">
        <v>121</v>
      </c>
    </row>
    <row r="669" spans="1:22" x14ac:dyDescent="0.25">
      <c r="A669" t="s">
        <v>109</v>
      </c>
      <c r="B669" s="3">
        <v>46078</v>
      </c>
      <c r="C669" t="s">
        <v>30</v>
      </c>
      <c r="D669">
        <v>48</v>
      </c>
      <c r="E669" t="s">
        <v>137</v>
      </c>
      <c r="F669" t="s">
        <v>46</v>
      </c>
      <c r="G669">
        <v>1</v>
      </c>
      <c r="H669">
        <v>1</v>
      </c>
      <c r="I669">
        <v>2</v>
      </c>
      <c r="J669">
        <v>37</v>
      </c>
      <c r="K669">
        <v>18</v>
      </c>
      <c r="L669">
        <v>3.71</v>
      </c>
      <c r="M669">
        <v>2.3199999999999998</v>
      </c>
      <c r="N669">
        <v>1</v>
      </c>
      <c r="O669">
        <v>8</v>
      </c>
      <c r="P669">
        <v>0</v>
      </c>
      <c r="Q669">
        <v>5</v>
      </c>
      <c r="R669" t="s">
        <v>100</v>
      </c>
      <c r="S669">
        <v>15</v>
      </c>
      <c r="T669">
        <v>0</v>
      </c>
      <c r="U669" t="s">
        <v>35</v>
      </c>
      <c r="V669" t="s">
        <v>121</v>
      </c>
    </row>
    <row r="670" spans="1:22" x14ac:dyDescent="0.25">
      <c r="A670" t="s">
        <v>109</v>
      </c>
      <c r="B670" s="3">
        <v>46078</v>
      </c>
      <c r="C670" t="s">
        <v>30</v>
      </c>
      <c r="D670">
        <v>48</v>
      </c>
      <c r="E670" t="s">
        <v>43</v>
      </c>
      <c r="F670" t="s">
        <v>136</v>
      </c>
      <c r="G670">
        <v>0</v>
      </c>
      <c r="H670">
        <v>2</v>
      </c>
      <c r="I670">
        <v>4</v>
      </c>
      <c r="J670">
        <v>23</v>
      </c>
      <c r="K670">
        <v>40</v>
      </c>
      <c r="N670">
        <v>1</v>
      </c>
      <c r="O670">
        <v>4</v>
      </c>
      <c r="P670">
        <v>2</v>
      </c>
      <c r="Q670">
        <v>11</v>
      </c>
      <c r="R670" t="s">
        <v>151</v>
      </c>
      <c r="S670">
        <v>36</v>
      </c>
      <c r="T670">
        <v>0</v>
      </c>
      <c r="U670" t="s">
        <v>35</v>
      </c>
      <c r="V670" t="s">
        <v>121</v>
      </c>
    </row>
    <row r="671" spans="1:22" x14ac:dyDescent="0.25">
      <c r="A671" t="s">
        <v>109</v>
      </c>
      <c r="B671" s="3">
        <v>46078</v>
      </c>
      <c r="C671" t="s">
        <v>30</v>
      </c>
      <c r="D671">
        <v>48</v>
      </c>
      <c r="E671" t="s">
        <v>32</v>
      </c>
      <c r="F671" t="s">
        <v>45</v>
      </c>
      <c r="G671">
        <v>1</v>
      </c>
      <c r="H671">
        <v>4</v>
      </c>
      <c r="I671">
        <v>0</v>
      </c>
      <c r="J671">
        <v>26</v>
      </c>
      <c r="K671">
        <v>25</v>
      </c>
      <c r="N671">
        <v>1</v>
      </c>
      <c r="O671">
        <v>5</v>
      </c>
      <c r="P671">
        <v>0</v>
      </c>
      <c r="Q671">
        <v>6</v>
      </c>
      <c r="R671" t="s">
        <v>117</v>
      </c>
      <c r="S671">
        <v>25</v>
      </c>
      <c r="T671">
        <v>0</v>
      </c>
      <c r="U671" t="s">
        <v>33</v>
      </c>
      <c r="V671" t="s">
        <v>121</v>
      </c>
    </row>
    <row r="672" spans="1:22" x14ac:dyDescent="0.25">
      <c r="A672" t="s">
        <v>109</v>
      </c>
      <c r="B672" s="3">
        <v>46078</v>
      </c>
      <c r="C672" t="s">
        <v>30</v>
      </c>
      <c r="D672">
        <v>48</v>
      </c>
      <c r="E672" t="s">
        <v>39</v>
      </c>
      <c r="F672" t="s">
        <v>44</v>
      </c>
      <c r="G672">
        <v>1</v>
      </c>
      <c r="H672">
        <v>2</v>
      </c>
      <c r="I672">
        <v>0</v>
      </c>
      <c r="J672">
        <v>32</v>
      </c>
      <c r="K672">
        <v>23</v>
      </c>
      <c r="N672">
        <v>0</v>
      </c>
      <c r="O672">
        <v>3</v>
      </c>
      <c r="P672">
        <v>0</v>
      </c>
      <c r="Q672">
        <v>1</v>
      </c>
      <c r="R672" t="s">
        <v>105</v>
      </c>
      <c r="S672">
        <v>23</v>
      </c>
      <c r="T672">
        <v>0</v>
      </c>
      <c r="U672" t="s">
        <v>33</v>
      </c>
      <c r="V672" t="s">
        <v>121</v>
      </c>
    </row>
    <row r="673" spans="1:22" x14ac:dyDescent="0.25">
      <c r="A673" t="s">
        <v>109</v>
      </c>
      <c r="B673" s="3">
        <v>46078</v>
      </c>
      <c r="C673" t="s">
        <v>30</v>
      </c>
      <c r="D673">
        <v>48</v>
      </c>
      <c r="E673" t="s">
        <v>45</v>
      </c>
      <c r="F673" t="s">
        <v>32</v>
      </c>
      <c r="G673">
        <v>0</v>
      </c>
      <c r="H673">
        <v>0</v>
      </c>
      <c r="I673">
        <v>4</v>
      </c>
      <c r="J673">
        <v>25</v>
      </c>
      <c r="K673">
        <v>26</v>
      </c>
      <c r="N673">
        <v>0</v>
      </c>
      <c r="O673">
        <v>6</v>
      </c>
      <c r="P673">
        <v>1</v>
      </c>
      <c r="Q673">
        <v>5</v>
      </c>
      <c r="R673" t="s">
        <v>148</v>
      </c>
      <c r="S673">
        <v>22</v>
      </c>
      <c r="T673">
        <v>0</v>
      </c>
      <c r="U673" t="s">
        <v>35</v>
      </c>
      <c r="V673" t="s">
        <v>121</v>
      </c>
    </row>
    <row r="674" spans="1:22" x14ac:dyDescent="0.25">
      <c r="A674" t="s">
        <v>109</v>
      </c>
      <c r="B674" s="3">
        <v>46080</v>
      </c>
      <c r="C674" t="s">
        <v>30</v>
      </c>
      <c r="D674">
        <v>49</v>
      </c>
      <c r="E674" t="s">
        <v>31</v>
      </c>
      <c r="F674" t="s">
        <v>43</v>
      </c>
      <c r="G674">
        <v>0</v>
      </c>
      <c r="H674">
        <v>4</v>
      </c>
      <c r="I674">
        <v>1</v>
      </c>
      <c r="J674">
        <v>25</v>
      </c>
      <c r="K674">
        <v>26</v>
      </c>
      <c r="L674">
        <v>2.72</v>
      </c>
      <c r="M674">
        <v>2.09</v>
      </c>
      <c r="N674">
        <v>2</v>
      </c>
      <c r="O674" s="4">
        <v>5</v>
      </c>
      <c r="P674">
        <v>1</v>
      </c>
      <c r="Q674" s="4">
        <v>4</v>
      </c>
      <c r="R674" t="s">
        <v>34</v>
      </c>
      <c r="S674" s="4">
        <v>25</v>
      </c>
      <c r="T674">
        <v>0</v>
      </c>
      <c r="U674" t="s">
        <v>33</v>
      </c>
      <c r="V674" t="s">
        <v>121</v>
      </c>
    </row>
    <row r="675" spans="1:22" x14ac:dyDescent="0.25">
      <c r="A675" t="s">
        <v>109</v>
      </c>
      <c r="B675" s="3">
        <v>46080</v>
      </c>
      <c r="C675" t="s">
        <v>30</v>
      </c>
      <c r="D675">
        <v>49</v>
      </c>
      <c r="E675" t="s">
        <v>41</v>
      </c>
      <c r="F675" t="s">
        <v>42</v>
      </c>
      <c r="G675">
        <v>0</v>
      </c>
      <c r="H675">
        <v>1</v>
      </c>
      <c r="I675">
        <v>5</v>
      </c>
      <c r="J675">
        <v>43</v>
      </c>
      <c r="K675">
        <v>29</v>
      </c>
      <c r="L675">
        <v>3.65</v>
      </c>
      <c r="M675">
        <v>2.5299999999999998</v>
      </c>
      <c r="N675">
        <v>0</v>
      </c>
      <c r="O675" s="5">
        <v>3</v>
      </c>
      <c r="P675">
        <v>0</v>
      </c>
      <c r="Q675" s="5">
        <v>3</v>
      </c>
      <c r="R675" t="s">
        <v>110</v>
      </c>
      <c r="S675" s="4">
        <v>24</v>
      </c>
      <c r="T675">
        <v>0</v>
      </c>
      <c r="U675" t="s">
        <v>35</v>
      </c>
      <c r="V675" t="s">
        <v>121</v>
      </c>
    </row>
    <row r="676" spans="1:22" x14ac:dyDescent="0.25">
      <c r="A676" t="s">
        <v>109</v>
      </c>
      <c r="B676" s="3">
        <v>46080</v>
      </c>
      <c r="C676" t="s">
        <v>30</v>
      </c>
      <c r="D676">
        <v>49</v>
      </c>
      <c r="E676" t="s">
        <v>46</v>
      </c>
      <c r="F676" t="s">
        <v>39</v>
      </c>
      <c r="G676">
        <v>1</v>
      </c>
      <c r="H676">
        <v>3</v>
      </c>
      <c r="I676">
        <v>0</v>
      </c>
      <c r="J676">
        <v>24</v>
      </c>
      <c r="K676">
        <v>28</v>
      </c>
      <c r="L676">
        <v>2.2599999999999998</v>
      </c>
      <c r="M676">
        <v>2.73</v>
      </c>
      <c r="N676">
        <v>1</v>
      </c>
      <c r="O676" s="5">
        <v>2</v>
      </c>
      <c r="P676">
        <v>0</v>
      </c>
      <c r="Q676" s="5">
        <v>3</v>
      </c>
      <c r="R676" t="s">
        <v>140</v>
      </c>
      <c r="S676" s="4">
        <v>28</v>
      </c>
      <c r="T676">
        <v>0</v>
      </c>
      <c r="U676" t="s">
        <v>33</v>
      </c>
      <c r="V676" t="s">
        <v>121</v>
      </c>
    </row>
    <row r="677" spans="1:22" x14ac:dyDescent="0.25">
      <c r="A677" t="s">
        <v>109</v>
      </c>
      <c r="B677" s="3">
        <v>46080</v>
      </c>
      <c r="C677" t="s">
        <v>30</v>
      </c>
      <c r="D677">
        <v>49</v>
      </c>
      <c r="E677" t="s">
        <v>42</v>
      </c>
      <c r="F677" t="s">
        <v>41</v>
      </c>
      <c r="G677">
        <v>1</v>
      </c>
      <c r="H677">
        <v>5</v>
      </c>
      <c r="I677">
        <v>1</v>
      </c>
      <c r="J677">
        <v>29</v>
      </c>
      <c r="K677">
        <v>43</v>
      </c>
      <c r="L677">
        <v>2.5299999999999998</v>
      </c>
      <c r="M677">
        <v>3.65</v>
      </c>
      <c r="N677">
        <v>0</v>
      </c>
      <c r="O677" s="5">
        <v>3</v>
      </c>
      <c r="P677">
        <v>0</v>
      </c>
      <c r="Q677" s="5">
        <v>3</v>
      </c>
      <c r="R677" t="s">
        <v>144</v>
      </c>
      <c r="S677" s="5">
        <v>42</v>
      </c>
      <c r="T677">
        <v>0</v>
      </c>
      <c r="U677" t="s">
        <v>33</v>
      </c>
      <c r="V677" t="s">
        <v>121</v>
      </c>
    </row>
    <row r="678" spans="1:22" x14ac:dyDescent="0.25">
      <c r="A678" t="s">
        <v>109</v>
      </c>
      <c r="B678" s="3">
        <v>46080</v>
      </c>
      <c r="C678" t="s">
        <v>30</v>
      </c>
      <c r="D678">
        <v>49</v>
      </c>
      <c r="E678" t="s">
        <v>136</v>
      </c>
      <c r="F678" t="s">
        <v>45</v>
      </c>
      <c r="G678">
        <v>0</v>
      </c>
      <c r="H678">
        <v>4</v>
      </c>
      <c r="I678">
        <v>5</v>
      </c>
      <c r="J678">
        <v>39</v>
      </c>
      <c r="K678">
        <v>32</v>
      </c>
      <c r="N678">
        <v>1</v>
      </c>
      <c r="O678">
        <v>4</v>
      </c>
      <c r="P678">
        <v>2</v>
      </c>
      <c r="Q678">
        <v>4</v>
      </c>
      <c r="R678" t="s">
        <v>103</v>
      </c>
      <c r="S678">
        <v>27</v>
      </c>
      <c r="T678">
        <v>1</v>
      </c>
      <c r="U678" t="s">
        <v>35</v>
      </c>
      <c r="V678" t="s">
        <v>121</v>
      </c>
    </row>
    <row r="679" spans="1:22" x14ac:dyDescent="0.25">
      <c r="A679" t="s">
        <v>109</v>
      </c>
      <c r="B679" s="3">
        <v>46080</v>
      </c>
      <c r="C679" t="s">
        <v>30</v>
      </c>
      <c r="D679">
        <v>49</v>
      </c>
      <c r="E679" t="s">
        <v>40</v>
      </c>
      <c r="F679" t="s">
        <v>44</v>
      </c>
      <c r="G679">
        <v>0</v>
      </c>
      <c r="H679">
        <v>4</v>
      </c>
      <c r="I679">
        <v>2</v>
      </c>
      <c r="J679">
        <v>24</v>
      </c>
      <c r="K679">
        <v>27</v>
      </c>
      <c r="N679">
        <v>0</v>
      </c>
      <c r="O679">
        <v>2</v>
      </c>
      <c r="P679">
        <v>0</v>
      </c>
      <c r="Q679">
        <v>8</v>
      </c>
      <c r="R679" t="s">
        <v>107</v>
      </c>
      <c r="S679">
        <v>25</v>
      </c>
      <c r="T679">
        <v>0</v>
      </c>
      <c r="U679" t="s">
        <v>33</v>
      </c>
      <c r="V679" t="s">
        <v>121</v>
      </c>
    </row>
    <row r="680" spans="1:22" x14ac:dyDescent="0.25">
      <c r="A680" t="s">
        <v>109</v>
      </c>
      <c r="B680" s="3">
        <v>46080</v>
      </c>
      <c r="C680" t="s">
        <v>30</v>
      </c>
      <c r="D680">
        <v>49</v>
      </c>
      <c r="E680" t="s">
        <v>44</v>
      </c>
      <c r="F680" t="s">
        <v>40</v>
      </c>
      <c r="G680">
        <v>1</v>
      </c>
      <c r="H680">
        <v>2</v>
      </c>
      <c r="I680">
        <v>4</v>
      </c>
      <c r="J680">
        <v>27</v>
      </c>
      <c r="K680">
        <v>24</v>
      </c>
      <c r="N680">
        <v>0</v>
      </c>
      <c r="O680">
        <v>8</v>
      </c>
      <c r="P680">
        <v>0</v>
      </c>
      <c r="Q680">
        <v>2</v>
      </c>
      <c r="R680" t="s">
        <v>150</v>
      </c>
      <c r="S680">
        <v>20</v>
      </c>
      <c r="T680">
        <v>0</v>
      </c>
      <c r="U680" t="s">
        <v>35</v>
      </c>
      <c r="V680" t="s">
        <v>121</v>
      </c>
    </row>
    <row r="681" spans="1:22" x14ac:dyDescent="0.25">
      <c r="A681" t="s">
        <v>109</v>
      </c>
      <c r="B681" s="3">
        <v>46080</v>
      </c>
      <c r="C681" t="s">
        <v>30</v>
      </c>
      <c r="D681">
        <v>49</v>
      </c>
      <c r="E681" t="s">
        <v>137</v>
      </c>
      <c r="F681" t="s">
        <v>36</v>
      </c>
      <c r="G681">
        <v>0</v>
      </c>
      <c r="H681">
        <v>5</v>
      </c>
      <c r="I681">
        <v>4</v>
      </c>
      <c r="J681">
        <v>28</v>
      </c>
      <c r="K681">
        <v>35</v>
      </c>
      <c r="N681">
        <v>1</v>
      </c>
      <c r="O681">
        <v>4</v>
      </c>
      <c r="P681">
        <v>0</v>
      </c>
      <c r="Q681">
        <v>5</v>
      </c>
      <c r="R681" t="s">
        <v>100</v>
      </c>
      <c r="S681">
        <v>31</v>
      </c>
      <c r="T681">
        <v>1</v>
      </c>
      <c r="U681" t="s">
        <v>33</v>
      </c>
      <c r="V681" t="s">
        <v>121</v>
      </c>
    </row>
    <row r="682" spans="1:22" x14ac:dyDescent="0.25">
      <c r="A682" t="s">
        <v>109</v>
      </c>
      <c r="B682" s="3">
        <v>46080</v>
      </c>
      <c r="C682" t="s">
        <v>30</v>
      </c>
      <c r="D682">
        <v>49</v>
      </c>
      <c r="E682" t="s">
        <v>43</v>
      </c>
      <c r="F682" t="s">
        <v>31</v>
      </c>
      <c r="G682">
        <v>1</v>
      </c>
      <c r="H682">
        <v>1</v>
      </c>
      <c r="I682">
        <v>4</v>
      </c>
      <c r="J682">
        <v>26</v>
      </c>
      <c r="K682">
        <v>25</v>
      </c>
      <c r="L682">
        <v>2.09</v>
      </c>
      <c r="M682">
        <v>2.72</v>
      </c>
      <c r="N682">
        <v>1</v>
      </c>
      <c r="O682">
        <v>4</v>
      </c>
      <c r="P682">
        <v>2</v>
      </c>
      <c r="Q682">
        <v>5</v>
      </c>
      <c r="R682" t="s">
        <v>151</v>
      </c>
      <c r="S682">
        <v>21</v>
      </c>
      <c r="T682">
        <v>0</v>
      </c>
      <c r="U682" t="s">
        <v>35</v>
      </c>
      <c r="V682" t="s">
        <v>121</v>
      </c>
    </row>
    <row r="683" spans="1:22" x14ac:dyDescent="0.25">
      <c r="A683" t="s">
        <v>109</v>
      </c>
      <c r="B683" s="3">
        <v>46080</v>
      </c>
      <c r="C683" t="s">
        <v>30</v>
      </c>
      <c r="D683">
        <v>49</v>
      </c>
      <c r="E683" t="s">
        <v>36</v>
      </c>
      <c r="F683" t="s">
        <v>137</v>
      </c>
      <c r="G683">
        <v>1</v>
      </c>
      <c r="H683">
        <v>4</v>
      </c>
      <c r="I683">
        <v>5</v>
      </c>
      <c r="J683">
        <v>35</v>
      </c>
      <c r="K683">
        <v>28</v>
      </c>
      <c r="N683">
        <v>0</v>
      </c>
      <c r="O683">
        <v>5</v>
      </c>
      <c r="P683">
        <v>1</v>
      </c>
      <c r="Q683">
        <v>4</v>
      </c>
      <c r="R683" t="s">
        <v>146</v>
      </c>
      <c r="S683">
        <v>23</v>
      </c>
      <c r="T683">
        <v>1</v>
      </c>
      <c r="U683" t="s">
        <v>35</v>
      </c>
      <c r="V683" t="s">
        <v>121</v>
      </c>
    </row>
    <row r="684" spans="1:22" x14ac:dyDescent="0.25">
      <c r="A684" t="s">
        <v>109</v>
      </c>
      <c r="B684" s="3">
        <v>46080</v>
      </c>
      <c r="C684" t="s">
        <v>30</v>
      </c>
      <c r="D684">
        <v>49</v>
      </c>
      <c r="E684" t="s">
        <v>32</v>
      </c>
      <c r="F684" t="s">
        <v>38</v>
      </c>
      <c r="G684">
        <v>0</v>
      </c>
      <c r="H684">
        <v>4</v>
      </c>
      <c r="I684">
        <v>2</v>
      </c>
      <c r="J684">
        <v>26</v>
      </c>
      <c r="K684">
        <v>33</v>
      </c>
      <c r="N684">
        <v>0</v>
      </c>
      <c r="O684">
        <v>1</v>
      </c>
      <c r="P684">
        <v>1</v>
      </c>
      <c r="Q684">
        <v>4</v>
      </c>
      <c r="R684" t="s">
        <v>117</v>
      </c>
      <c r="S684">
        <v>31</v>
      </c>
      <c r="T684">
        <v>0</v>
      </c>
      <c r="U684" t="s">
        <v>33</v>
      </c>
      <c r="V684" t="s">
        <v>121</v>
      </c>
    </row>
    <row r="685" spans="1:22" x14ac:dyDescent="0.25">
      <c r="A685" t="s">
        <v>109</v>
      </c>
      <c r="B685" s="3">
        <v>46080</v>
      </c>
      <c r="C685" t="s">
        <v>30</v>
      </c>
      <c r="D685">
        <v>49</v>
      </c>
      <c r="E685" t="s">
        <v>38</v>
      </c>
      <c r="F685" t="s">
        <v>32</v>
      </c>
      <c r="G685">
        <v>1</v>
      </c>
      <c r="H685">
        <v>2</v>
      </c>
      <c r="I685">
        <v>4</v>
      </c>
      <c r="J685">
        <v>33</v>
      </c>
      <c r="K685">
        <v>26</v>
      </c>
      <c r="N685">
        <v>1</v>
      </c>
      <c r="O685">
        <v>4</v>
      </c>
      <c r="P685">
        <v>0</v>
      </c>
      <c r="Q685">
        <v>1</v>
      </c>
      <c r="R685" t="s">
        <v>104</v>
      </c>
      <c r="S685">
        <v>22</v>
      </c>
      <c r="T685">
        <v>0</v>
      </c>
      <c r="U685" t="s">
        <v>35</v>
      </c>
      <c r="V685" t="s">
        <v>121</v>
      </c>
    </row>
    <row r="686" spans="1:22" x14ac:dyDescent="0.25">
      <c r="A686" t="s">
        <v>109</v>
      </c>
      <c r="B686" s="3">
        <v>46080</v>
      </c>
      <c r="C686" t="s">
        <v>30</v>
      </c>
      <c r="D686">
        <v>49</v>
      </c>
      <c r="E686" t="s">
        <v>39</v>
      </c>
      <c r="F686" t="s">
        <v>46</v>
      </c>
      <c r="G686">
        <v>0</v>
      </c>
      <c r="H686">
        <v>0</v>
      </c>
      <c r="I686">
        <v>3</v>
      </c>
      <c r="J686">
        <v>28</v>
      </c>
      <c r="K686">
        <v>24</v>
      </c>
      <c r="L686">
        <v>2.73</v>
      </c>
      <c r="M686">
        <v>2.23</v>
      </c>
      <c r="N686">
        <v>0</v>
      </c>
      <c r="O686">
        <v>3</v>
      </c>
      <c r="P686">
        <v>1</v>
      </c>
      <c r="Q686">
        <v>2</v>
      </c>
      <c r="R686" t="s">
        <v>105</v>
      </c>
      <c r="S686">
        <v>21</v>
      </c>
      <c r="T686">
        <v>0</v>
      </c>
      <c r="U686" t="s">
        <v>35</v>
      </c>
      <c r="V686" t="s">
        <v>121</v>
      </c>
    </row>
    <row r="687" spans="1:22" x14ac:dyDescent="0.25">
      <c r="A687" t="s">
        <v>109</v>
      </c>
      <c r="B687" s="3">
        <v>46080</v>
      </c>
      <c r="C687" t="s">
        <v>30</v>
      </c>
      <c r="D687">
        <v>49</v>
      </c>
      <c r="E687" t="s">
        <v>45</v>
      </c>
      <c r="F687" t="s">
        <v>136</v>
      </c>
      <c r="G687">
        <v>1</v>
      </c>
      <c r="H687">
        <v>5</v>
      </c>
      <c r="I687">
        <v>4</v>
      </c>
      <c r="J687">
        <v>32</v>
      </c>
      <c r="K687">
        <v>39</v>
      </c>
      <c r="N687">
        <v>2</v>
      </c>
      <c r="O687">
        <v>4</v>
      </c>
      <c r="P687">
        <v>1</v>
      </c>
      <c r="Q687">
        <v>4</v>
      </c>
      <c r="R687" t="s">
        <v>148</v>
      </c>
      <c r="S687">
        <v>35</v>
      </c>
      <c r="T687">
        <v>1</v>
      </c>
      <c r="U687" t="s">
        <v>33</v>
      </c>
      <c r="V687" t="s">
        <v>121</v>
      </c>
    </row>
    <row r="688" spans="1:22" x14ac:dyDescent="0.25">
      <c r="A688" t="s">
        <v>109</v>
      </c>
      <c r="B688" s="3">
        <v>46082</v>
      </c>
      <c r="C688" t="s">
        <v>30</v>
      </c>
      <c r="D688">
        <v>50</v>
      </c>
      <c r="E688" t="s">
        <v>31</v>
      </c>
      <c r="F688" t="s">
        <v>44</v>
      </c>
      <c r="G688">
        <v>1</v>
      </c>
      <c r="H688">
        <v>4</v>
      </c>
      <c r="I688">
        <v>3</v>
      </c>
      <c r="J688">
        <v>24</v>
      </c>
      <c r="K688">
        <v>25</v>
      </c>
      <c r="L688">
        <v>2.1800000000000002</v>
      </c>
      <c r="M688">
        <v>2.15</v>
      </c>
      <c r="N688">
        <v>1</v>
      </c>
      <c r="O688" s="4">
        <v>2</v>
      </c>
      <c r="P688">
        <v>1</v>
      </c>
      <c r="Q688" s="4">
        <v>3</v>
      </c>
      <c r="R688" t="s">
        <v>47</v>
      </c>
      <c r="S688" s="4">
        <v>22</v>
      </c>
      <c r="T688">
        <v>1</v>
      </c>
      <c r="U688" t="s">
        <v>33</v>
      </c>
      <c r="V688" t="s">
        <v>121</v>
      </c>
    </row>
    <row r="689" spans="1:22" x14ac:dyDescent="0.25">
      <c r="A689" t="s">
        <v>109</v>
      </c>
      <c r="B689" s="3">
        <v>46082</v>
      </c>
      <c r="C689" t="s">
        <v>30</v>
      </c>
      <c r="D689">
        <v>50</v>
      </c>
      <c r="E689" t="s">
        <v>41</v>
      </c>
      <c r="F689" t="s">
        <v>45</v>
      </c>
      <c r="G689">
        <v>1</v>
      </c>
      <c r="H689">
        <v>3</v>
      </c>
      <c r="I689">
        <v>2</v>
      </c>
      <c r="J689">
        <v>44</v>
      </c>
      <c r="K689">
        <v>24</v>
      </c>
      <c r="L689">
        <v>5.07</v>
      </c>
      <c r="M689">
        <v>2.74</v>
      </c>
      <c r="N689">
        <v>2</v>
      </c>
      <c r="O689" s="5">
        <v>5</v>
      </c>
      <c r="P689">
        <v>2</v>
      </c>
      <c r="Q689" s="5">
        <v>7</v>
      </c>
      <c r="R689" t="s">
        <v>110</v>
      </c>
      <c r="S689" s="4">
        <v>22</v>
      </c>
      <c r="T689">
        <v>1</v>
      </c>
      <c r="U689" t="s">
        <v>33</v>
      </c>
      <c r="V689" t="s">
        <v>121</v>
      </c>
    </row>
    <row r="690" spans="1:22" x14ac:dyDescent="0.25">
      <c r="A690" t="s">
        <v>109</v>
      </c>
      <c r="B690" s="3">
        <v>46082</v>
      </c>
      <c r="C690" t="s">
        <v>30</v>
      </c>
      <c r="D690">
        <v>50</v>
      </c>
      <c r="E690" t="s">
        <v>46</v>
      </c>
      <c r="F690" t="s">
        <v>32</v>
      </c>
      <c r="G690">
        <v>0</v>
      </c>
      <c r="H690">
        <v>3</v>
      </c>
      <c r="I690">
        <v>6</v>
      </c>
      <c r="J690">
        <v>32</v>
      </c>
      <c r="K690">
        <v>19</v>
      </c>
      <c r="L690">
        <v>2.2799999999999998</v>
      </c>
      <c r="M690">
        <v>2.2000000000000002</v>
      </c>
      <c r="N690">
        <v>2</v>
      </c>
      <c r="O690" s="5">
        <v>8</v>
      </c>
      <c r="P690">
        <v>1</v>
      </c>
      <c r="Q690" s="5">
        <v>8</v>
      </c>
      <c r="R690" t="s">
        <v>140</v>
      </c>
      <c r="S690" s="4">
        <v>13</v>
      </c>
      <c r="T690">
        <v>0</v>
      </c>
      <c r="U690" t="s">
        <v>35</v>
      </c>
      <c r="V690" t="s">
        <v>121</v>
      </c>
    </row>
    <row r="691" spans="1:22" x14ac:dyDescent="0.25">
      <c r="A691" t="s">
        <v>109</v>
      </c>
      <c r="B691" s="3">
        <v>46082</v>
      </c>
      <c r="C691" t="s">
        <v>30</v>
      </c>
      <c r="D691">
        <v>50</v>
      </c>
      <c r="E691" t="s">
        <v>42</v>
      </c>
      <c r="F691" t="s">
        <v>40</v>
      </c>
      <c r="G691">
        <v>0</v>
      </c>
      <c r="H691">
        <v>2</v>
      </c>
      <c r="I691">
        <v>4</v>
      </c>
      <c r="J691">
        <v>18</v>
      </c>
      <c r="K691">
        <v>32</v>
      </c>
      <c r="L691">
        <v>1.45</v>
      </c>
      <c r="M691">
        <v>3.66</v>
      </c>
      <c r="N691">
        <v>0</v>
      </c>
      <c r="O691">
        <v>4</v>
      </c>
      <c r="P691">
        <v>1</v>
      </c>
      <c r="Q691">
        <v>3</v>
      </c>
      <c r="R691" t="s">
        <v>144</v>
      </c>
      <c r="S691">
        <v>28</v>
      </c>
      <c r="T691">
        <v>0</v>
      </c>
      <c r="U691" t="s">
        <v>35</v>
      </c>
      <c r="V691" t="s">
        <v>121</v>
      </c>
    </row>
    <row r="692" spans="1:22" x14ac:dyDescent="0.25">
      <c r="A692" t="s">
        <v>109</v>
      </c>
      <c r="B692" s="3">
        <v>46082</v>
      </c>
      <c r="C692" t="s">
        <v>30</v>
      </c>
      <c r="D692">
        <v>50</v>
      </c>
      <c r="E692" t="s">
        <v>136</v>
      </c>
      <c r="F692" t="s">
        <v>36</v>
      </c>
      <c r="G692">
        <v>1</v>
      </c>
      <c r="H692">
        <v>3</v>
      </c>
      <c r="I692">
        <v>0</v>
      </c>
      <c r="J692">
        <v>26</v>
      </c>
      <c r="K692">
        <v>24</v>
      </c>
      <c r="N692">
        <v>2</v>
      </c>
      <c r="O692">
        <v>6</v>
      </c>
      <c r="P692">
        <v>0</v>
      </c>
      <c r="Q692">
        <v>1</v>
      </c>
      <c r="R692" t="s">
        <v>103</v>
      </c>
      <c r="S692">
        <v>24</v>
      </c>
      <c r="T692">
        <v>0</v>
      </c>
      <c r="U692" t="s">
        <v>33</v>
      </c>
      <c r="V692" t="s">
        <v>121</v>
      </c>
    </row>
    <row r="693" spans="1:22" x14ac:dyDescent="0.25">
      <c r="A693" t="s">
        <v>109</v>
      </c>
      <c r="B693" s="3">
        <v>46082</v>
      </c>
      <c r="C693" t="s">
        <v>30</v>
      </c>
      <c r="D693">
        <v>50</v>
      </c>
      <c r="E693" t="s">
        <v>40</v>
      </c>
      <c r="F693" t="s">
        <v>42</v>
      </c>
      <c r="G693">
        <v>1</v>
      </c>
      <c r="H693">
        <v>4</v>
      </c>
      <c r="I693">
        <v>2</v>
      </c>
      <c r="J693">
        <v>32</v>
      </c>
      <c r="K693">
        <v>18</v>
      </c>
      <c r="L693">
        <v>3.66</v>
      </c>
      <c r="M693">
        <v>1.45</v>
      </c>
      <c r="N693">
        <v>1</v>
      </c>
      <c r="O693">
        <v>3</v>
      </c>
      <c r="P693">
        <v>0</v>
      </c>
      <c r="Q693">
        <v>4</v>
      </c>
      <c r="R693" t="s">
        <v>107</v>
      </c>
      <c r="S693">
        <v>16</v>
      </c>
      <c r="T693">
        <v>0</v>
      </c>
      <c r="U693" t="s">
        <v>33</v>
      </c>
      <c r="V693" t="s">
        <v>121</v>
      </c>
    </row>
    <row r="694" spans="1:22" x14ac:dyDescent="0.25">
      <c r="A694" t="s">
        <v>109</v>
      </c>
      <c r="B694" s="3">
        <v>46082</v>
      </c>
      <c r="C694" t="s">
        <v>30</v>
      </c>
      <c r="D694">
        <v>50</v>
      </c>
      <c r="E694" t="s">
        <v>44</v>
      </c>
      <c r="F694" t="s">
        <v>31</v>
      </c>
      <c r="G694">
        <v>0</v>
      </c>
      <c r="H694">
        <v>3</v>
      </c>
      <c r="I694">
        <v>4</v>
      </c>
      <c r="J694">
        <v>25</v>
      </c>
      <c r="K694">
        <v>24</v>
      </c>
      <c r="L694">
        <v>2.15</v>
      </c>
      <c r="M694">
        <v>2.1800000000000002</v>
      </c>
      <c r="N694">
        <v>1</v>
      </c>
      <c r="O694">
        <v>3</v>
      </c>
      <c r="P694">
        <v>1</v>
      </c>
      <c r="Q694">
        <v>2</v>
      </c>
      <c r="R694" t="s">
        <v>147</v>
      </c>
      <c r="S694">
        <v>20</v>
      </c>
      <c r="T694">
        <v>1</v>
      </c>
      <c r="U694" t="s">
        <v>35</v>
      </c>
      <c r="V694" t="s">
        <v>121</v>
      </c>
    </row>
    <row r="695" spans="1:22" x14ac:dyDescent="0.25">
      <c r="A695" t="s">
        <v>109</v>
      </c>
      <c r="B695" s="3">
        <v>46082</v>
      </c>
      <c r="C695" t="s">
        <v>30</v>
      </c>
      <c r="D695">
        <v>50</v>
      </c>
      <c r="E695" t="s">
        <v>137</v>
      </c>
      <c r="F695" t="s">
        <v>38</v>
      </c>
      <c r="G695">
        <v>1</v>
      </c>
      <c r="H695">
        <v>6</v>
      </c>
      <c r="I695">
        <v>3</v>
      </c>
      <c r="J695">
        <v>31</v>
      </c>
      <c r="K695">
        <v>17</v>
      </c>
      <c r="N695">
        <v>1</v>
      </c>
      <c r="O695">
        <v>4</v>
      </c>
      <c r="P695">
        <v>3</v>
      </c>
      <c r="Q695">
        <v>4</v>
      </c>
      <c r="R695" t="s">
        <v>100</v>
      </c>
      <c r="S695">
        <v>14</v>
      </c>
      <c r="T695">
        <v>0</v>
      </c>
      <c r="U695" t="s">
        <v>33</v>
      </c>
      <c r="V695" t="s">
        <v>121</v>
      </c>
    </row>
    <row r="696" spans="1:22" x14ac:dyDescent="0.25">
      <c r="A696" t="s">
        <v>109</v>
      </c>
      <c r="B696" s="3">
        <v>46082</v>
      </c>
      <c r="C696" t="s">
        <v>30</v>
      </c>
      <c r="D696">
        <v>50</v>
      </c>
      <c r="E696" t="s">
        <v>43</v>
      </c>
      <c r="F696" t="s">
        <v>39</v>
      </c>
      <c r="G696">
        <v>0</v>
      </c>
      <c r="H696">
        <v>2</v>
      </c>
      <c r="I696">
        <v>3</v>
      </c>
      <c r="J696">
        <v>17</v>
      </c>
      <c r="K696">
        <v>43</v>
      </c>
      <c r="N696">
        <v>1</v>
      </c>
      <c r="O696">
        <v>4</v>
      </c>
      <c r="P696">
        <v>0</v>
      </c>
      <c r="Q696">
        <v>5</v>
      </c>
      <c r="R696" t="s">
        <v>149</v>
      </c>
      <c r="S696">
        <v>40</v>
      </c>
      <c r="T696">
        <v>0</v>
      </c>
      <c r="U696" t="s">
        <v>35</v>
      </c>
      <c r="V696" t="s">
        <v>121</v>
      </c>
    </row>
    <row r="697" spans="1:22" x14ac:dyDescent="0.25">
      <c r="A697" t="s">
        <v>109</v>
      </c>
      <c r="B697" s="3">
        <v>46082</v>
      </c>
      <c r="C697" t="s">
        <v>30</v>
      </c>
      <c r="D697">
        <v>50</v>
      </c>
      <c r="E697" t="s">
        <v>36</v>
      </c>
      <c r="F697" t="s">
        <v>136</v>
      </c>
      <c r="G697">
        <v>0</v>
      </c>
      <c r="H697">
        <v>0</v>
      </c>
      <c r="I697">
        <v>3</v>
      </c>
      <c r="J697">
        <v>26</v>
      </c>
      <c r="K697">
        <v>24</v>
      </c>
      <c r="N697">
        <v>0</v>
      </c>
      <c r="O697">
        <v>1</v>
      </c>
      <c r="P697">
        <v>2</v>
      </c>
      <c r="Q697">
        <v>6</v>
      </c>
      <c r="R697" t="s">
        <v>146</v>
      </c>
      <c r="S697">
        <v>23</v>
      </c>
      <c r="T697">
        <v>0</v>
      </c>
      <c r="U697" t="s">
        <v>35</v>
      </c>
      <c r="V697" t="s">
        <v>121</v>
      </c>
    </row>
    <row r="698" spans="1:22" x14ac:dyDescent="0.25">
      <c r="A698" t="s">
        <v>109</v>
      </c>
      <c r="B698" s="3">
        <v>46082</v>
      </c>
      <c r="C698" t="s">
        <v>30</v>
      </c>
      <c r="D698">
        <v>50</v>
      </c>
      <c r="E698" t="s">
        <v>32</v>
      </c>
      <c r="F698" t="s">
        <v>46</v>
      </c>
      <c r="G698">
        <v>1</v>
      </c>
      <c r="H698">
        <v>6</v>
      </c>
      <c r="I698">
        <v>3</v>
      </c>
      <c r="J698">
        <v>19</v>
      </c>
      <c r="K698">
        <v>32</v>
      </c>
      <c r="L698">
        <v>2.2000000000000002</v>
      </c>
      <c r="M698">
        <v>2.2799999999999998</v>
      </c>
      <c r="N698">
        <v>1</v>
      </c>
      <c r="O698">
        <v>8</v>
      </c>
      <c r="P698">
        <v>2</v>
      </c>
      <c r="Q698">
        <v>8</v>
      </c>
      <c r="R698" t="s">
        <v>117</v>
      </c>
      <c r="S698">
        <v>29</v>
      </c>
      <c r="T698">
        <v>0</v>
      </c>
      <c r="U698" t="s">
        <v>33</v>
      </c>
      <c r="V698" t="s">
        <v>121</v>
      </c>
    </row>
    <row r="699" spans="1:22" x14ac:dyDescent="0.25">
      <c r="A699" t="s">
        <v>109</v>
      </c>
      <c r="B699" s="3">
        <v>46082</v>
      </c>
      <c r="C699" t="s">
        <v>30</v>
      </c>
      <c r="D699">
        <v>50</v>
      </c>
      <c r="E699" t="s">
        <v>38</v>
      </c>
      <c r="F699" t="s">
        <v>137</v>
      </c>
      <c r="G699">
        <v>0</v>
      </c>
      <c r="H699">
        <v>3</v>
      </c>
      <c r="I699">
        <v>6</v>
      </c>
      <c r="J699">
        <v>17</v>
      </c>
      <c r="K699">
        <v>31</v>
      </c>
      <c r="N699">
        <v>3</v>
      </c>
      <c r="O699">
        <v>4</v>
      </c>
      <c r="P699">
        <v>1</v>
      </c>
      <c r="Q699">
        <v>4</v>
      </c>
      <c r="R699" t="s">
        <v>118</v>
      </c>
      <c r="S699">
        <v>25</v>
      </c>
      <c r="T699">
        <v>0</v>
      </c>
      <c r="U699" t="s">
        <v>35</v>
      </c>
      <c r="V699" t="s">
        <v>121</v>
      </c>
    </row>
    <row r="700" spans="1:22" x14ac:dyDescent="0.25">
      <c r="A700" t="s">
        <v>109</v>
      </c>
      <c r="B700" s="3">
        <v>46082</v>
      </c>
      <c r="C700" t="s">
        <v>30</v>
      </c>
      <c r="D700">
        <v>50</v>
      </c>
      <c r="E700" t="s">
        <v>39</v>
      </c>
      <c r="F700" t="s">
        <v>43</v>
      </c>
      <c r="G700">
        <v>1</v>
      </c>
      <c r="H700">
        <v>3</v>
      </c>
      <c r="I700">
        <v>2</v>
      </c>
      <c r="J700">
        <v>43</v>
      </c>
      <c r="K700">
        <v>17</v>
      </c>
      <c r="N700">
        <v>0</v>
      </c>
      <c r="O700">
        <v>5</v>
      </c>
      <c r="P700">
        <v>1</v>
      </c>
      <c r="Q700">
        <v>4</v>
      </c>
      <c r="R700" t="s">
        <v>105</v>
      </c>
      <c r="S700">
        <v>15</v>
      </c>
      <c r="T700">
        <v>0</v>
      </c>
      <c r="U700" t="s">
        <v>33</v>
      </c>
      <c r="V700" t="s">
        <v>121</v>
      </c>
    </row>
    <row r="701" spans="1:22" x14ac:dyDescent="0.25">
      <c r="A701" t="s">
        <v>109</v>
      </c>
      <c r="B701" s="3">
        <v>46082</v>
      </c>
      <c r="C701" t="s">
        <v>30</v>
      </c>
      <c r="D701">
        <v>50</v>
      </c>
      <c r="E701" t="s">
        <v>45</v>
      </c>
      <c r="F701" t="s">
        <v>41</v>
      </c>
      <c r="G701">
        <v>0</v>
      </c>
      <c r="H701">
        <v>2</v>
      </c>
      <c r="I701">
        <v>3</v>
      </c>
      <c r="J701">
        <v>24</v>
      </c>
      <c r="K701">
        <v>44</v>
      </c>
      <c r="L701">
        <v>2.74</v>
      </c>
      <c r="M701">
        <v>5.07</v>
      </c>
      <c r="N701">
        <v>2</v>
      </c>
      <c r="O701">
        <v>7</v>
      </c>
      <c r="P701">
        <v>2</v>
      </c>
      <c r="Q701">
        <v>5</v>
      </c>
      <c r="R701" t="s">
        <v>148</v>
      </c>
      <c r="S701">
        <v>41</v>
      </c>
      <c r="T701">
        <v>1</v>
      </c>
      <c r="U701" t="s">
        <v>35</v>
      </c>
      <c r="V701" t="s">
        <v>121</v>
      </c>
    </row>
    <row r="702" spans="1:22" x14ac:dyDescent="0.25">
      <c r="A702" t="s">
        <v>109</v>
      </c>
      <c r="B702" s="3">
        <v>46085</v>
      </c>
      <c r="C702" t="s">
        <v>30</v>
      </c>
      <c r="D702">
        <v>51</v>
      </c>
      <c r="E702" t="s">
        <v>31</v>
      </c>
      <c r="F702" t="s">
        <v>45</v>
      </c>
      <c r="G702">
        <v>0</v>
      </c>
      <c r="H702">
        <v>2</v>
      </c>
      <c r="I702">
        <v>4</v>
      </c>
      <c r="J702">
        <v>41</v>
      </c>
      <c r="K702">
        <v>17</v>
      </c>
      <c r="L702">
        <v>3.09</v>
      </c>
      <c r="M702">
        <v>1.98</v>
      </c>
      <c r="N702">
        <v>0</v>
      </c>
      <c r="O702" s="5">
        <v>2</v>
      </c>
      <c r="P702">
        <v>0</v>
      </c>
      <c r="Q702" s="5">
        <v>2</v>
      </c>
      <c r="R702" t="s">
        <v>34</v>
      </c>
      <c r="S702" s="4">
        <v>13</v>
      </c>
      <c r="T702">
        <v>0</v>
      </c>
      <c r="U702" t="s">
        <v>35</v>
      </c>
      <c r="V702" t="s">
        <v>121</v>
      </c>
    </row>
    <row r="703" spans="1:22" x14ac:dyDescent="0.25">
      <c r="A703" t="s">
        <v>109</v>
      </c>
      <c r="B703" s="3">
        <v>46085</v>
      </c>
      <c r="C703" t="s">
        <v>30</v>
      </c>
      <c r="D703">
        <v>51</v>
      </c>
      <c r="E703" t="s">
        <v>41</v>
      </c>
      <c r="F703" t="s">
        <v>43</v>
      </c>
      <c r="G703">
        <v>0</v>
      </c>
      <c r="H703">
        <v>4</v>
      </c>
      <c r="I703">
        <v>1</v>
      </c>
      <c r="J703">
        <v>33</v>
      </c>
      <c r="K703">
        <v>27</v>
      </c>
      <c r="L703">
        <v>2.99</v>
      </c>
      <c r="M703">
        <v>1.99</v>
      </c>
      <c r="N703">
        <v>2</v>
      </c>
      <c r="O703" s="5">
        <v>5</v>
      </c>
      <c r="P703">
        <v>0</v>
      </c>
      <c r="Q703" s="5">
        <v>2</v>
      </c>
      <c r="R703" t="s">
        <v>110</v>
      </c>
      <c r="S703" s="4">
        <v>26</v>
      </c>
      <c r="T703">
        <v>0</v>
      </c>
      <c r="U703" t="s">
        <v>33</v>
      </c>
      <c r="V703" t="s">
        <v>121</v>
      </c>
    </row>
    <row r="704" spans="1:22" x14ac:dyDescent="0.25">
      <c r="A704" t="s">
        <v>109</v>
      </c>
      <c r="B704" s="3">
        <v>46085</v>
      </c>
      <c r="C704" t="s">
        <v>30</v>
      </c>
      <c r="D704">
        <v>51</v>
      </c>
      <c r="E704" t="s">
        <v>46</v>
      </c>
      <c r="F704" t="s">
        <v>40</v>
      </c>
      <c r="G704">
        <v>1</v>
      </c>
      <c r="H704">
        <v>6</v>
      </c>
      <c r="I704">
        <v>3</v>
      </c>
      <c r="J704">
        <v>35</v>
      </c>
      <c r="K704">
        <v>27</v>
      </c>
      <c r="L704">
        <v>3.24</v>
      </c>
      <c r="M704">
        <v>2.0699999999999998</v>
      </c>
      <c r="N704">
        <v>3</v>
      </c>
      <c r="O704" s="5">
        <v>6</v>
      </c>
      <c r="P704">
        <v>1</v>
      </c>
      <c r="Q704" s="5">
        <v>2</v>
      </c>
      <c r="R704" t="s">
        <v>140</v>
      </c>
      <c r="S704" s="4">
        <v>24</v>
      </c>
      <c r="T704">
        <v>0</v>
      </c>
      <c r="U704" t="s">
        <v>33</v>
      </c>
      <c r="V704" t="s">
        <v>121</v>
      </c>
    </row>
    <row r="705" spans="1:22" x14ac:dyDescent="0.25">
      <c r="A705" t="s">
        <v>109</v>
      </c>
      <c r="B705" s="3">
        <v>46085</v>
      </c>
      <c r="C705" t="s">
        <v>30</v>
      </c>
      <c r="D705">
        <v>51</v>
      </c>
      <c r="E705" t="s">
        <v>42</v>
      </c>
      <c r="F705" t="s">
        <v>44</v>
      </c>
      <c r="G705">
        <v>0</v>
      </c>
      <c r="H705">
        <v>2</v>
      </c>
      <c r="I705">
        <v>3</v>
      </c>
      <c r="J705">
        <v>33</v>
      </c>
      <c r="K705">
        <v>35</v>
      </c>
      <c r="L705">
        <v>4</v>
      </c>
      <c r="M705">
        <v>3.67</v>
      </c>
      <c r="N705">
        <v>0</v>
      </c>
      <c r="O705">
        <v>6</v>
      </c>
      <c r="P705">
        <v>2</v>
      </c>
      <c r="Q705">
        <v>6</v>
      </c>
      <c r="R705" t="s">
        <v>159</v>
      </c>
      <c r="S705">
        <v>32</v>
      </c>
      <c r="T705">
        <v>1</v>
      </c>
      <c r="U705" t="s">
        <v>35</v>
      </c>
      <c r="V705" t="s">
        <v>121</v>
      </c>
    </row>
    <row r="706" spans="1:22" x14ac:dyDescent="0.25">
      <c r="A706" t="s">
        <v>109</v>
      </c>
      <c r="B706" s="3">
        <v>46085</v>
      </c>
      <c r="C706" t="s">
        <v>30</v>
      </c>
      <c r="D706">
        <v>51</v>
      </c>
      <c r="E706" t="s">
        <v>136</v>
      </c>
      <c r="F706" t="s">
        <v>38</v>
      </c>
      <c r="G706">
        <v>0</v>
      </c>
      <c r="H706">
        <v>2</v>
      </c>
      <c r="I706">
        <v>3</v>
      </c>
      <c r="J706">
        <v>26</v>
      </c>
      <c r="K706">
        <v>28</v>
      </c>
      <c r="N706">
        <v>0</v>
      </c>
      <c r="O706">
        <v>2</v>
      </c>
      <c r="P706">
        <v>0</v>
      </c>
      <c r="Q706">
        <v>3</v>
      </c>
      <c r="R706" t="s">
        <v>103</v>
      </c>
      <c r="S706">
        <v>25</v>
      </c>
      <c r="T706">
        <v>0</v>
      </c>
      <c r="U706" t="s">
        <v>35</v>
      </c>
      <c r="V706" t="s">
        <v>121</v>
      </c>
    </row>
    <row r="707" spans="1:22" x14ac:dyDescent="0.25">
      <c r="A707" t="s">
        <v>109</v>
      </c>
      <c r="B707" s="3">
        <v>46085</v>
      </c>
      <c r="C707" t="s">
        <v>30</v>
      </c>
      <c r="D707">
        <v>51</v>
      </c>
      <c r="E707" t="s">
        <v>40</v>
      </c>
      <c r="F707" t="s">
        <v>46</v>
      </c>
      <c r="G707">
        <v>0</v>
      </c>
      <c r="H707">
        <v>3</v>
      </c>
      <c r="I707">
        <v>6</v>
      </c>
      <c r="J707">
        <v>27</v>
      </c>
      <c r="K707">
        <v>35</v>
      </c>
      <c r="L707">
        <v>2.0699999999999998</v>
      </c>
      <c r="M707">
        <v>3.24</v>
      </c>
      <c r="N707">
        <v>1</v>
      </c>
      <c r="O707">
        <v>2</v>
      </c>
      <c r="P707">
        <v>3</v>
      </c>
      <c r="Q707">
        <v>6</v>
      </c>
      <c r="R707" t="s">
        <v>119</v>
      </c>
      <c r="S707">
        <v>29</v>
      </c>
      <c r="T707">
        <v>0</v>
      </c>
      <c r="U707" t="s">
        <v>35</v>
      </c>
      <c r="V707" t="s">
        <v>121</v>
      </c>
    </row>
    <row r="708" spans="1:22" x14ac:dyDescent="0.25">
      <c r="A708" t="s">
        <v>109</v>
      </c>
      <c r="B708" s="3">
        <v>46085</v>
      </c>
      <c r="C708" t="s">
        <v>30</v>
      </c>
      <c r="D708">
        <v>51</v>
      </c>
      <c r="E708" t="s">
        <v>44</v>
      </c>
      <c r="F708" t="s">
        <v>42</v>
      </c>
      <c r="G708">
        <v>1</v>
      </c>
      <c r="H708">
        <v>3</v>
      </c>
      <c r="I708">
        <v>2</v>
      </c>
      <c r="J708">
        <v>35</v>
      </c>
      <c r="K708">
        <v>33</v>
      </c>
      <c r="L708">
        <v>3.67</v>
      </c>
      <c r="M708">
        <v>4</v>
      </c>
      <c r="N708">
        <v>2</v>
      </c>
      <c r="O708">
        <v>6</v>
      </c>
      <c r="P708">
        <v>0</v>
      </c>
      <c r="Q708">
        <v>6</v>
      </c>
      <c r="R708" t="s">
        <v>150</v>
      </c>
      <c r="S708">
        <v>31</v>
      </c>
      <c r="T708">
        <v>1</v>
      </c>
      <c r="U708" t="s">
        <v>33</v>
      </c>
      <c r="V708" t="s">
        <v>121</v>
      </c>
    </row>
    <row r="709" spans="1:22" x14ac:dyDescent="0.25">
      <c r="A709" t="s">
        <v>109</v>
      </c>
      <c r="B709" s="3">
        <v>46085</v>
      </c>
      <c r="C709" t="s">
        <v>30</v>
      </c>
      <c r="D709">
        <v>51</v>
      </c>
      <c r="E709" t="s">
        <v>137</v>
      </c>
      <c r="F709" t="s">
        <v>32</v>
      </c>
      <c r="G709">
        <v>1</v>
      </c>
      <c r="H709">
        <v>4</v>
      </c>
      <c r="I709">
        <v>0</v>
      </c>
      <c r="J709">
        <v>29</v>
      </c>
      <c r="K709">
        <v>21</v>
      </c>
      <c r="N709">
        <v>1</v>
      </c>
      <c r="O709">
        <v>4</v>
      </c>
      <c r="P709">
        <v>0</v>
      </c>
      <c r="Q709">
        <v>3</v>
      </c>
      <c r="R709" t="s">
        <v>100</v>
      </c>
      <c r="S709">
        <v>21</v>
      </c>
      <c r="T709">
        <v>0</v>
      </c>
      <c r="U709" t="s">
        <v>33</v>
      </c>
      <c r="V709" t="s">
        <v>121</v>
      </c>
    </row>
    <row r="710" spans="1:22" x14ac:dyDescent="0.25">
      <c r="A710" t="s">
        <v>109</v>
      </c>
      <c r="B710" s="3">
        <v>46085</v>
      </c>
      <c r="C710" t="s">
        <v>30</v>
      </c>
      <c r="D710">
        <v>51</v>
      </c>
      <c r="E710" t="s">
        <v>43</v>
      </c>
      <c r="F710" t="s">
        <v>41</v>
      </c>
      <c r="G710">
        <v>1</v>
      </c>
      <c r="H710">
        <v>1</v>
      </c>
      <c r="I710">
        <v>4</v>
      </c>
      <c r="J710">
        <v>27</v>
      </c>
      <c r="K710">
        <v>33</v>
      </c>
      <c r="L710">
        <v>1.99</v>
      </c>
      <c r="M710">
        <v>2.99</v>
      </c>
      <c r="N710">
        <v>0</v>
      </c>
      <c r="O710">
        <v>2</v>
      </c>
      <c r="P710">
        <v>2</v>
      </c>
      <c r="Q710">
        <v>5</v>
      </c>
      <c r="R710" t="s">
        <v>149</v>
      </c>
      <c r="S710">
        <v>29</v>
      </c>
      <c r="T710">
        <v>0</v>
      </c>
      <c r="U710" t="s">
        <v>35</v>
      </c>
      <c r="V710" t="s">
        <v>121</v>
      </c>
    </row>
    <row r="711" spans="1:22" x14ac:dyDescent="0.25">
      <c r="A711" t="s">
        <v>109</v>
      </c>
      <c r="B711" s="3">
        <v>46085</v>
      </c>
      <c r="C711" t="s">
        <v>30</v>
      </c>
      <c r="D711">
        <v>51</v>
      </c>
      <c r="E711" t="s">
        <v>36</v>
      </c>
      <c r="F711" t="s">
        <v>39</v>
      </c>
      <c r="G711">
        <v>1</v>
      </c>
      <c r="H711">
        <v>0</v>
      </c>
      <c r="I711">
        <v>2</v>
      </c>
      <c r="J711">
        <v>26</v>
      </c>
      <c r="K711">
        <v>29</v>
      </c>
      <c r="N711">
        <v>0</v>
      </c>
      <c r="O711">
        <v>2</v>
      </c>
      <c r="P711">
        <v>1</v>
      </c>
      <c r="Q711">
        <v>5</v>
      </c>
      <c r="R711" t="s">
        <v>146</v>
      </c>
      <c r="S711">
        <v>27</v>
      </c>
      <c r="T711">
        <v>0</v>
      </c>
      <c r="U711" t="s">
        <v>35</v>
      </c>
      <c r="V711" t="s">
        <v>121</v>
      </c>
    </row>
    <row r="712" spans="1:22" x14ac:dyDescent="0.25">
      <c r="A712" t="s">
        <v>109</v>
      </c>
      <c r="B712" s="3">
        <v>46085</v>
      </c>
      <c r="C712" t="s">
        <v>30</v>
      </c>
      <c r="D712">
        <v>51</v>
      </c>
      <c r="E712" t="s">
        <v>32</v>
      </c>
      <c r="F712" t="s">
        <v>137</v>
      </c>
      <c r="G712">
        <v>0</v>
      </c>
      <c r="H712">
        <v>0</v>
      </c>
      <c r="I712">
        <v>4</v>
      </c>
      <c r="J712">
        <v>21</v>
      </c>
      <c r="K712">
        <v>29</v>
      </c>
      <c r="N712">
        <v>0</v>
      </c>
      <c r="O712">
        <v>3</v>
      </c>
      <c r="P712">
        <v>1</v>
      </c>
      <c r="Q712">
        <v>4</v>
      </c>
      <c r="R712" t="s">
        <v>117</v>
      </c>
      <c r="S712">
        <v>25</v>
      </c>
      <c r="T712">
        <v>0</v>
      </c>
      <c r="U712" t="s">
        <v>35</v>
      </c>
      <c r="V712" t="s">
        <v>121</v>
      </c>
    </row>
    <row r="713" spans="1:22" x14ac:dyDescent="0.25">
      <c r="A713" t="s">
        <v>109</v>
      </c>
      <c r="B713" s="3">
        <v>46085</v>
      </c>
      <c r="C713" t="s">
        <v>30</v>
      </c>
      <c r="D713">
        <v>51</v>
      </c>
      <c r="E713" t="s">
        <v>38</v>
      </c>
      <c r="F713" t="s">
        <v>136</v>
      </c>
      <c r="G713">
        <v>1</v>
      </c>
      <c r="H713">
        <v>3</v>
      </c>
      <c r="I713">
        <v>2</v>
      </c>
      <c r="J713">
        <v>28</v>
      </c>
      <c r="K713">
        <v>26</v>
      </c>
      <c r="N713">
        <v>0</v>
      </c>
      <c r="O713">
        <v>3</v>
      </c>
      <c r="P713">
        <v>0</v>
      </c>
      <c r="Q713">
        <v>2</v>
      </c>
      <c r="R713" t="s">
        <v>104</v>
      </c>
      <c r="S713">
        <v>24</v>
      </c>
      <c r="T713">
        <v>0</v>
      </c>
      <c r="U713" t="s">
        <v>33</v>
      </c>
      <c r="V713" t="s">
        <v>121</v>
      </c>
    </row>
    <row r="714" spans="1:22" x14ac:dyDescent="0.25">
      <c r="A714" t="s">
        <v>109</v>
      </c>
      <c r="B714" s="3">
        <v>46085</v>
      </c>
      <c r="C714" t="s">
        <v>30</v>
      </c>
      <c r="D714">
        <v>51</v>
      </c>
      <c r="E714" t="s">
        <v>39</v>
      </c>
      <c r="F714" t="s">
        <v>36</v>
      </c>
      <c r="G714">
        <v>0</v>
      </c>
      <c r="H714">
        <v>2</v>
      </c>
      <c r="I714">
        <v>0</v>
      </c>
      <c r="J714">
        <v>29</v>
      </c>
      <c r="K714">
        <v>26</v>
      </c>
      <c r="N714">
        <v>1</v>
      </c>
      <c r="O714">
        <v>5</v>
      </c>
      <c r="P714">
        <v>0</v>
      </c>
      <c r="Q714">
        <v>2</v>
      </c>
      <c r="R714" t="s">
        <v>105</v>
      </c>
      <c r="S714">
        <v>26</v>
      </c>
      <c r="T714">
        <v>0</v>
      </c>
      <c r="U714" t="s">
        <v>33</v>
      </c>
      <c r="V714" t="s">
        <v>121</v>
      </c>
    </row>
    <row r="715" spans="1:22" x14ac:dyDescent="0.25">
      <c r="A715" t="s">
        <v>109</v>
      </c>
      <c r="B715" s="3">
        <v>46085</v>
      </c>
      <c r="C715" t="s">
        <v>30</v>
      </c>
      <c r="D715">
        <v>51</v>
      </c>
      <c r="E715" t="s">
        <v>45</v>
      </c>
      <c r="F715" t="s">
        <v>31</v>
      </c>
      <c r="G715">
        <v>1</v>
      </c>
      <c r="H715">
        <v>4</v>
      </c>
      <c r="I715">
        <v>2</v>
      </c>
      <c r="J715">
        <v>17</v>
      </c>
      <c r="K715">
        <v>41</v>
      </c>
      <c r="L715">
        <v>1.98</v>
      </c>
      <c r="M715">
        <v>3.09</v>
      </c>
      <c r="N715">
        <v>0</v>
      </c>
      <c r="O715">
        <v>2</v>
      </c>
      <c r="P715">
        <v>0</v>
      </c>
      <c r="Q715">
        <v>2</v>
      </c>
      <c r="R715" t="s">
        <v>148</v>
      </c>
      <c r="S715">
        <v>39</v>
      </c>
      <c r="T715">
        <v>0</v>
      </c>
      <c r="U715" t="s">
        <v>33</v>
      </c>
      <c r="V715" t="s">
        <v>121</v>
      </c>
    </row>
    <row r="716" spans="1:22" x14ac:dyDescent="0.25">
      <c r="A716" t="s">
        <v>109</v>
      </c>
      <c r="B716" s="3">
        <v>46087</v>
      </c>
      <c r="C716" t="s">
        <v>30</v>
      </c>
      <c r="D716">
        <v>52</v>
      </c>
      <c r="E716" t="s">
        <v>31</v>
      </c>
      <c r="F716" t="s">
        <v>46</v>
      </c>
      <c r="G716">
        <v>1</v>
      </c>
      <c r="H716">
        <v>2</v>
      </c>
      <c r="I716">
        <v>1</v>
      </c>
      <c r="J716">
        <v>28</v>
      </c>
      <c r="K716">
        <v>26</v>
      </c>
      <c r="L716">
        <v>3.55</v>
      </c>
      <c r="M716">
        <v>2.46</v>
      </c>
      <c r="N716">
        <v>0</v>
      </c>
      <c r="O716" s="5">
        <v>11</v>
      </c>
      <c r="P716">
        <v>0</v>
      </c>
      <c r="Q716" s="5">
        <v>10</v>
      </c>
      <c r="R716" t="s">
        <v>47</v>
      </c>
      <c r="S716" s="4">
        <v>25</v>
      </c>
      <c r="T716">
        <v>1</v>
      </c>
      <c r="U716" t="s">
        <v>33</v>
      </c>
      <c r="V716" t="s">
        <v>121</v>
      </c>
    </row>
    <row r="717" spans="1:22" x14ac:dyDescent="0.25">
      <c r="A717" t="s">
        <v>109</v>
      </c>
      <c r="B717" s="3">
        <v>46087</v>
      </c>
      <c r="C717" t="s">
        <v>30</v>
      </c>
      <c r="D717">
        <v>52</v>
      </c>
      <c r="E717" t="s">
        <v>41</v>
      </c>
      <c r="F717" t="s">
        <v>44</v>
      </c>
      <c r="G717">
        <v>1</v>
      </c>
      <c r="H717">
        <v>1</v>
      </c>
      <c r="I717">
        <v>2</v>
      </c>
      <c r="J717">
        <v>33</v>
      </c>
      <c r="K717">
        <v>22</v>
      </c>
      <c r="L717">
        <v>3.17</v>
      </c>
      <c r="M717">
        <v>1.94</v>
      </c>
      <c r="N717">
        <v>1</v>
      </c>
      <c r="O717" s="5">
        <v>4</v>
      </c>
      <c r="P717">
        <v>0</v>
      </c>
      <c r="Q717" s="5">
        <v>3</v>
      </c>
      <c r="R717" t="s">
        <v>110</v>
      </c>
      <c r="S717" s="4">
        <v>21</v>
      </c>
      <c r="T717">
        <v>1</v>
      </c>
      <c r="U717" t="s">
        <v>35</v>
      </c>
      <c r="V717" t="s">
        <v>121</v>
      </c>
    </row>
    <row r="718" spans="1:22" x14ac:dyDescent="0.25">
      <c r="A718" t="s">
        <v>109</v>
      </c>
      <c r="B718" s="3">
        <v>46087</v>
      </c>
      <c r="C718" t="s">
        <v>30</v>
      </c>
      <c r="D718">
        <v>52</v>
      </c>
      <c r="E718" t="s">
        <v>46</v>
      </c>
      <c r="F718" t="s">
        <v>31</v>
      </c>
      <c r="G718">
        <v>0</v>
      </c>
      <c r="H718">
        <v>1</v>
      </c>
      <c r="I718">
        <v>2</v>
      </c>
      <c r="J718">
        <v>28</v>
      </c>
      <c r="K718">
        <v>26</v>
      </c>
      <c r="L718">
        <v>3.55</v>
      </c>
      <c r="M718">
        <v>2.46</v>
      </c>
      <c r="N718">
        <v>0</v>
      </c>
      <c r="O718" s="5">
        <v>10</v>
      </c>
      <c r="P718">
        <v>0</v>
      </c>
      <c r="Q718" s="5">
        <v>11</v>
      </c>
      <c r="R718" t="s">
        <v>141</v>
      </c>
      <c r="S718" s="4">
        <v>26</v>
      </c>
      <c r="T718">
        <v>0</v>
      </c>
      <c r="U718" t="s">
        <v>35</v>
      </c>
      <c r="V718" t="s">
        <v>121</v>
      </c>
    </row>
    <row r="719" spans="1:22" x14ac:dyDescent="0.25">
      <c r="A719" t="s">
        <v>109</v>
      </c>
      <c r="B719" s="3">
        <v>46087</v>
      </c>
      <c r="C719" t="s">
        <v>30</v>
      </c>
      <c r="D719">
        <v>52</v>
      </c>
      <c r="E719" t="s">
        <v>42</v>
      </c>
      <c r="F719" t="s">
        <v>38</v>
      </c>
      <c r="G719">
        <v>1</v>
      </c>
      <c r="H719">
        <v>5</v>
      </c>
      <c r="I719">
        <v>4</v>
      </c>
      <c r="J719">
        <v>29</v>
      </c>
      <c r="K719">
        <v>28</v>
      </c>
      <c r="L719">
        <v>3.11</v>
      </c>
      <c r="M719">
        <v>2.77</v>
      </c>
      <c r="N719">
        <v>1</v>
      </c>
      <c r="O719">
        <v>2</v>
      </c>
      <c r="P719">
        <v>0</v>
      </c>
      <c r="Q719">
        <v>2</v>
      </c>
      <c r="R719" t="s">
        <v>144</v>
      </c>
      <c r="S719">
        <v>23</v>
      </c>
      <c r="T719">
        <v>0</v>
      </c>
      <c r="U719" t="s">
        <v>33</v>
      </c>
      <c r="V719" t="s">
        <v>121</v>
      </c>
    </row>
    <row r="720" spans="1:22" x14ac:dyDescent="0.25">
      <c r="A720" t="s">
        <v>109</v>
      </c>
      <c r="B720" s="3">
        <v>46087</v>
      </c>
      <c r="C720" t="s">
        <v>30</v>
      </c>
      <c r="D720">
        <v>52</v>
      </c>
      <c r="E720" t="s">
        <v>136</v>
      </c>
      <c r="F720" t="s">
        <v>137</v>
      </c>
      <c r="G720">
        <v>1</v>
      </c>
      <c r="H720">
        <v>4</v>
      </c>
      <c r="I720">
        <v>3</v>
      </c>
      <c r="J720">
        <v>24</v>
      </c>
      <c r="K720">
        <v>36</v>
      </c>
      <c r="N720">
        <v>1</v>
      </c>
      <c r="O720">
        <v>5</v>
      </c>
      <c r="P720">
        <v>2</v>
      </c>
      <c r="Q720">
        <v>6</v>
      </c>
      <c r="R720" t="s">
        <v>103</v>
      </c>
      <c r="S720">
        <v>33</v>
      </c>
      <c r="T720">
        <v>1</v>
      </c>
      <c r="U720" t="s">
        <v>33</v>
      </c>
      <c r="V720" t="s">
        <v>121</v>
      </c>
    </row>
    <row r="721" spans="1:22" x14ac:dyDescent="0.25">
      <c r="A721" t="s">
        <v>109</v>
      </c>
      <c r="B721" s="3">
        <v>46087</v>
      </c>
      <c r="C721" t="s">
        <v>30</v>
      </c>
      <c r="D721">
        <v>52</v>
      </c>
      <c r="E721" t="s">
        <v>40</v>
      </c>
      <c r="F721" t="s">
        <v>43</v>
      </c>
      <c r="G721">
        <v>1</v>
      </c>
      <c r="H721">
        <v>3</v>
      </c>
      <c r="I721">
        <v>1</v>
      </c>
      <c r="J721">
        <v>31</v>
      </c>
      <c r="K721">
        <v>28</v>
      </c>
      <c r="N721">
        <v>0</v>
      </c>
      <c r="O721">
        <v>5</v>
      </c>
      <c r="P721">
        <v>1</v>
      </c>
      <c r="Q721">
        <v>2</v>
      </c>
      <c r="R721" t="s">
        <v>107</v>
      </c>
      <c r="S721">
        <v>27</v>
      </c>
      <c r="T721">
        <v>0</v>
      </c>
      <c r="U721" t="s">
        <v>33</v>
      </c>
      <c r="V721" t="s">
        <v>121</v>
      </c>
    </row>
    <row r="722" spans="1:22" x14ac:dyDescent="0.25">
      <c r="A722" t="s">
        <v>109</v>
      </c>
      <c r="B722" s="3">
        <v>46087</v>
      </c>
      <c r="C722" t="s">
        <v>30</v>
      </c>
      <c r="D722">
        <v>52</v>
      </c>
      <c r="E722" t="s">
        <v>44</v>
      </c>
      <c r="F722" t="s">
        <v>41</v>
      </c>
      <c r="G722">
        <v>0</v>
      </c>
      <c r="H722">
        <v>2</v>
      </c>
      <c r="I722">
        <v>1</v>
      </c>
      <c r="J722">
        <v>22</v>
      </c>
      <c r="K722">
        <v>33</v>
      </c>
      <c r="L722">
        <v>1.94</v>
      </c>
      <c r="M722">
        <v>3.17</v>
      </c>
      <c r="N722">
        <v>0</v>
      </c>
      <c r="O722">
        <v>3</v>
      </c>
      <c r="P722">
        <v>1</v>
      </c>
      <c r="Q722">
        <v>4</v>
      </c>
      <c r="R722" t="s">
        <v>150</v>
      </c>
      <c r="S722">
        <v>32</v>
      </c>
      <c r="T722">
        <v>1</v>
      </c>
      <c r="U722" t="s">
        <v>33</v>
      </c>
      <c r="V722" t="s">
        <v>121</v>
      </c>
    </row>
    <row r="723" spans="1:22" x14ac:dyDescent="0.25">
      <c r="A723" t="s">
        <v>109</v>
      </c>
      <c r="B723" s="3">
        <v>46087</v>
      </c>
      <c r="C723" t="s">
        <v>30</v>
      </c>
      <c r="D723">
        <v>52</v>
      </c>
      <c r="E723" t="s">
        <v>137</v>
      </c>
      <c r="F723" t="s">
        <v>136</v>
      </c>
      <c r="G723">
        <v>0</v>
      </c>
      <c r="H723">
        <v>3</v>
      </c>
      <c r="I723">
        <v>4</v>
      </c>
      <c r="J723">
        <v>36</v>
      </c>
      <c r="K723">
        <v>24</v>
      </c>
      <c r="N723">
        <v>2</v>
      </c>
      <c r="O723">
        <v>6</v>
      </c>
      <c r="P723">
        <v>1</v>
      </c>
      <c r="Q723">
        <v>5</v>
      </c>
      <c r="R723" t="s">
        <v>115</v>
      </c>
      <c r="S723">
        <v>21</v>
      </c>
      <c r="T723">
        <v>1</v>
      </c>
      <c r="U723" t="s">
        <v>35</v>
      </c>
      <c r="V723" t="s">
        <v>121</v>
      </c>
    </row>
    <row r="724" spans="1:22" x14ac:dyDescent="0.25">
      <c r="A724" t="s">
        <v>109</v>
      </c>
      <c r="B724" s="3">
        <v>46087</v>
      </c>
      <c r="C724" t="s">
        <v>30</v>
      </c>
      <c r="D724">
        <v>52</v>
      </c>
      <c r="E724" t="s">
        <v>43</v>
      </c>
      <c r="F724" t="s">
        <v>40</v>
      </c>
      <c r="G724">
        <v>0</v>
      </c>
      <c r="H724">
        <v>1</v>
      </c>
      <c r="I724">
        <v>3</v>
      </c>
      <c r="J724">
        <v>28</v>
      </c>
      <c r="K724">
        <v>31</v>
      </c>
      <c r="N724">
        <v>1</v>
      </c>
      <c r="O724">
        <v>2</v>
      </c>
      <c r="P724">
        <v>0</v>
      </c>
      <c r="Q724">
        <v>5</v>
      </c>
      <c r="R724" t="s">
        <v>151</v>
      </c>
      <c r="S724">
        <v>28</v>
      </c>
      <c r="T724">
        <v>0</v>
      </c>
      <c r="U724" t="s">
        <v>35</v>
      </c>
      <c r="V724" t="s">
        <v>121</v>
      </c>
    </row>
    <row r="725" spans="1:22" x14ac:dyDescent="0.25">
      <c r="A725" t="s">
        <v>109</v>
      </c>
      <c r="B725" s="3">
        <v>46087</v>
      </c>
      <c r="C725" t="s">
        <v>30</v>
      </c>
      <c r="D725">
        <v>52</v>
      </c>
      <c r="E725" t="s">
        <v>36</v>
      </c>
      <c r="F725" t="s">
        <v>32</v>
      </c>
      <c r="G725">
        <v>0</v>
      </c>
      <c r="H725">
        <v>1</v>
      </c>
      <c r="I725">
        <v>3</v>
      </c>
      <c r="J725">
        <v>32</v>
      </c>
      <c r="K725">
        <v>22</v>
      </c>
      <c r="N725">
        <v>0</v>
      </c>
      <c r="O725">
        <v>4</v>
      </c>
      <c r="P725">
        <v>0</v>
      </c>
      <c r="Q725">
        <v>2</v>
      </c>
      <c r="R725" t="s">
        <v>157</v>
      </c>
      <c r="S725">
        <v>19</v>
      </c>
      <c r="T725">
        <v>0</v>
      </c>
      <c r="U725" t="s">
        <v>35</v>
      </c>
      <c r="V725" t="s">
        <v>121</v>
      </c>
    </row>
    <row r="726" spans="1:22" x14ac:dyDescent="0.25">
      <c r="A726" t="s">
        <v>109</v>
      </c>
      <c r="B726" s="3">
        <v>46087</v>
      </c>
      <c r="C726" t="s">
        <v>30</v>
      </c>
      <c r="D726">
        <v>52</v>
      </c>
      <c r="E726" t="s">
        <v>32</v>
      </c>
      <c r="F726" t="s">
        <v>36</v>
      </c>
      <c r="G726">
        <v>1</v>
      </c>
      <c r="H726">
        <v>3</v>
      </c>
      <c r="I726">
        <v>1</v>
      </c>
      <c r="J726">
        <v>22</v>
      </c>
      <c r="K726">
        <v>32</v>
      </c>
      <c r="N726">
        <v>0</v>
      </c>
      <c r="O726">
        <v>2</v>
      </c>
      <c r="P726">
        <v>0</v>
      </c>
      <c r="Q726">
        <v>4</v>
      </c>
      <c r="R726" t="s">
        <v>117</v>
      </c>
      <c r="S726">
        <v>31</v>
      </c>
      <c r="T726">
        <v>0</v>
      </c>
      <c r="U726" t="s">
        <v>33</v>
      </c>
      <c r="V726" t="s">
        <v>121</v>
      </c>
    </row>
    <row r="727" spans="1:22" x14ac:dyDescent="0.25">
      <c r="A727" t="s">
        <v>109</v>
      </c>
      <c r="B727" s="3">
        <v>46087</v>
      </c>
      <c r="C727" t="s">
        <v>30</v>
      </c>
      <c r="D727">
        <v>52</v>
      </c>
      <c r="E727" t="s">
        <v>38</v>
      </c>
      <c r="F727" t="s">
        <v>42</v>
      </c>
      <c r="G727">
        <v>0</v>
      </c>
      <c r="H727">
        <v>4</v>
      </c>
      <c r="I727">
        <v>5</v>
      </c>
      <c r="J727">
        <v>28</v>
      </c>
      <c r="K727">
        <v>29</v>
      </c>
      <c r="L727">
        <v>2.77</v>
      </c>
      <c r="M727">
        <v>3.11</v>
      </c>
      <c r="N727">
        <v>0</v>
      </c>
      <c r="O727">
        <v>2</v>
      </c>
      <c r="P727">
        <v>1</v>
      </c>
      <c r="Q727">
        <v>2</v>
      </c>
      <c r="R727" t="s">
        <v>118</v>
      </c>
      <c r="S727">
        <v>24</v>
      </c>
      <c r="T727">
        <v>0</v>
      </c>
      <c r="U727" t="s">
        <v>35</v>
      </c>
      <c r="V727" t="s">
        <v>121</v>
      </c>
    </row>
    <row r="728" spans="1:22" x14ac:dyDescent="0.25">
      <c r="A728" t="s">
        <v>109</v>
      </c>
      <c r="B728" s="3">
        <v>46087</v>
      </c>
      <c r="C728" t="s">
        <v>30</v>
      </c>
      <c r="D728">
        <v>52</v>
      </c>
      <c r="E728" t="s">
        <v>39</v>
      </c>
      <c r="F728" t="s">
        <v>45</v>
      </c>
      <c r="G728">
        <v>1</v>
      </c>
      <c r="H728">
        <v>5</v>
      </c>
      <c r="I728">
        <v>2</v>
      </c>
      <c r="J728">
        <v>49</v>
      </c>
      <c r="K728">
        <v>11</v>
      </c>
      <c r="N728">
        <v>0</v>
      </c>
      <c r="O728">
        <v>4</v>
      </c>
      <c r="P728">
        <v>0</v>
      </c>
      <c r="Q728">
        <v>4</v>
      </c>
      <c r="R728" t="s">
        <v>105</v>
      </c>
      <c r="S728">
        <v>9</v>
      </c>
      <c r="T728">
        <v>0</v>
      </c>
      <c r="U728" t="s">
        <v>33</v>
      </c>
      <c r="V728" t="s">
        <v>121</v>
      </c>
    </row>
    <row r="729" spans="1:22" x14ac:dyDescent="0.25">
      <c r="A729" t="s">
        <v>109</v>
      </c>
      <c r="B729" s="3">
        <v>46087</v>
      </c>
      <c r="C729" t="s">
        <v>30</v>
      </c>
      <c r="D729">
        <v>52</v>
      </c>
      <c r="E729" t="s">
        <v>45</v>
      </c>
      <c r="F729" t="s">
        <v>39</v>
      </c>
      <c r="G729">
        <v>0</v>
      </c>
      <c r="H729">
        <v>2</v>
      </c>
      <c r="I729">
        <v>5</v>
      </c>
      <c r="J729">
        <v>11</v>
      </c>
      <c r="K729">
        <v>49</v>
      </c>
      <c r="N729">
        <v>0</v>
      </c>
      <c r="O729">
        <v>4</v>
      </c>
      <c r="P729">
        <v>0</v>
      </c>
      <c r="Q729">
        <v>4</v>
      </c>
      <c r="R729" t="s">
        <v>148</v>
      </c>
      <c r="S729">
        <v>44</v>
      </c>
      <c r="T729">
        <v>0</v>
      </c>
      <c r="U729" t="s">
        <v>35</v>
      </c>
      <c r="V729" t="s">
        <v>121</v>
      </c>
    </row>
    <row r="730" spans="1:22" x14ac:dyDescent="0.25">
      <c r="A730" t="s">
        <v>162</v>
      </c>
      <c r="B730" s="3">
        <f ca="1">TODAY()</f>
        <v>46160</v>
      </c>
      <c r="C730" t="s">
        <v>30</v>
      </c>
      <c r="D730">
        <v>1</v>
      </c>
      <c r="E730" t="s">
        <v>31</v>
      </c>
      <c r="F730" t="s">
        <v>42</v>
      </c>
      <c r="G730">
        <v>1</v>
      </c>
      <c r="R730" t="s">
        <v>34</v>
      </c>
      <c r="V730" t="s">
        <v>121</v>
      </c>
    </row>
    <row r="731" spans="1:22" x14ac:dyDescent="0.25">
      <c r="A731" t="s">
        <v>162</v>
      </c>
      <c r="B731" s="3">
        <f ca="1">TODAY()</f>
        <v>46160</v>
      </c>
      <c r="C731" t="s">
        <v>30</v>
      </c>
      <c r="D731">
        <v>1</v>
      </c>
      <c r="E731" t="s">
        <v>42</v>
      </c>
      <c r="F731" t="s">
        <v>31</v>
      </c>
      <c r="G731">
        <v>0</v>
      </c>
      <c r="R731" t="s">
        <v>144</v>
      </c>
      <c r="V731" t="s">
        <v>121</v>
      </c>
    </row>
  </sheetData>
  <autoFilter ref="A1:V729" xr:uid="{A6664F4C-05FC-44C2-8592-AB978FC68EA3}">
    <sortState xmlns:xlrd2="http://schemas.microsoft.com/office/spreadsheetml/2017/richdata2" ref="A175:V726">
      <sortCondition ref="B1:B729"/>
    </sortState>
  </autoFilter>
  <phoneticPr fontId="4" type="noConversion"/>
  <pageMargins left="0.7" right="0.7" top="0.78740157499999996" bottom="0.78740157499999996" header="0.3" footer="0.3"/>
  <headerFooter>
    <oddFooter>&amp;C_x000D_&amp;1#&amp;"Aptos"&amp;8&amp;K000000 INTERNAL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8346-63B6-4F53-AA24-2E69B70DD463}">
  <sheetPr>
    <tabColor rgb="FF00B0F0"/>
  </sheetPr>
  <dimension ref="A1:H760"/>
  <sheetViews>
    <sheetView topLeftCell="A707" workbookViewId="0">
      <selection activeCell="G737" sqref="G737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7.42578125" bestFit="1" customWidth="1"/>
    <col min="4" max="4" width="9.28515625" bestFit="1" customWidth="1"/>
    <col min="5" max="5" width="10.42578125" bestFit="1" customWidth="1"/>
    <col min="6" max="6" width="17.5703125" bestFit="1" customWidth="1"/>
    <col min="8" max="8" width="17.5703125" bestFit="1" customWidth="1"/>
    <col min="10" max="10" width="10.140625" bestFit="1" customWidth="1"/>
    <col min="11" max="11" width="14.5703125" customWidth="1"/>
    <col min="12" max="12" width="10.140625" bestFit="1" customWidth="1"/>
  </cols>
  <sheetData>
    <row r="1" spans="1:8" ht="18.75" x14ac:dyDescent="0.3">
      <c r="A1" s="1" t="s">
        <v>0</v>
      </c>
      <c r="B1" s="1" t="s">
        <v>1</v>
      </c>
      <c r="C1" s="1" t="s">
        <v>3</v>
      </c>
      <c r="D1" s="1" t="s">
        <v>19</v>
      </c>
      <c r="E1" s="1" t="s">
        <v>20</v>
      </c>
      <c r="F1" s="1" t="s">
        <v>8</v>
      </c>
      <c r="G1" s="1" t="s">
        <v>21</v>
      </c>
      <c r="H1" s="1" t="s">
        <v>9</v>
      </c>
    </row>
    <row r="2" spans="1:8" x14ac:dyDescent="0.25">
      <c r="A2" t="str">
        <f>RAW_GAMES!A2</f>
        <v>25/26</v>
      </c>
      <c r="B2" s="3">
        <f>RAW_GAMES!B2</f>
        <v>45909</v>
      </c>
      <c r="C2" t="str">
        <f>RAW_GAMES!E2</f>
        <v>SPA</v>
      </c>
      <c r="D2" t="str">
        <f>RAW_GAMES!R2</f>
        <v>Kořenář</v>
      </c>
      <c r="F2">
        <f>RAW_GAMES!K2</f>
        <v>28</v>
      </c>
      <c r="G2" s="7">
        <f>RAW_GAMES!S2</f>
        <v>26</v>
      </c>
      <c r="H2">
        <f>RAW_GAMES!I2</f>
        <v>2</v>
      </c>
    </row>
    <row r="3" spans="1:8" x14ac:dyDescent="0.25">
      <c r="A3" t="str">
        <f>RAW_GAMES!A3</f>
        <v>25/26</v>
      </c>
      <c r="B3" s="3">
        <f>RAW_GAMES!B3</f>
        <v>45909</v>
      </c>
      <c r="C3" t="str">
        <f>RAW_GAMES!E3</f>
        <v>CEB</v>
      </c>
      <c r="D3" t="str">
        <f>RAW_GAMES!R3</f>
        <v>Strmeň</v>
      </c>
      <c r="F3">
        <f>RAW_GAMES!K3</f>
        <v>26</v>
      </c>
      <c r="G3" s="7">
        <f>RAW_GAMES!S3</f>
        <v>23</v>
      </c>
      <c r="H3">
        <f>RAW_GAMES!I3</f>
        <v>3</v>
      </c>
    </row>
    <row r="4" spans="1:8" x14ac:dyDescent="0.25">
      <c r="A4" t="str">
        <f>RAW_GAMES!A4</f>
        <v>25/26</v>
      </c>
      <c r="B4" s="3">
        <f>RAW_GAMES!B4</f>
        <v>45910</v>
      </c>
      <c r="C4" t="str">
        <f>RAW_GAMES!E4</f>
        <v>PCE</v>
      </c>
      <c r="D4" t="str">
        <f>RAW_GAMES!R4</f>
        <v>Will</v>
      </c>
      <c r="F4">
        <f>RAW_GAMES!K4</f>
        <v>33</v>
      </c>
      <c r="G4" s="7">
        <f>RAW_GAMES!S4</f>
        <v>32</v>
      </c>
      <c r="H4">
        <f>RAW_GAMES!I4</f>
        <v>1</v>
      </c>
    </row>
    <row r="5" spans="1:8" x14ac:dyDescent="0.25">
      <c r="A5" t="str">
        <f>RAW_GAMES!A5</f>
        <v>25/26</v>
      </c>
      <c r="B5" s="3">
        <f>RAW_GAMES!B5</f>
        <v>45910</v>
      </c>
      <c r="C5" t="str">
        <f>RAW_GAMES!E5</f>
        <v>TRI</v>
      </c>
      <c r="D5" t="str">
        <f>RAW_GAMES!R5</f>
        <v>Kacetl</v>
      </c>
      <c r="F5">
        <f>RAW_GAMES!K5</f>
        <v>30</v>
      </c>
      <c r="G5" s="7">
        <f>RAW_GAMES!S5</f>
        <v>28</v>
      </c>
      <c r="H5">
        <f>RAW_GAMES!I5</f>
        <v>2</v>
      </c>
    </row>
    <row r="6" spans="1:8" x14ac:dyDescent="0.25">
      <c r="A6" t="str">
        <f>RAW_GAMES!A6</f>
        <v>25/26</v>
      </c>
      <c r="B6" s="3">
        <f>RAW_GAMES!B6</f>
        <v>45910</v>
      </c>
      <c r="C6" t="str">
        <f>RAW_GAMES!E6</f>
        <v>KOM</v>
      </c>
      <c r="D6" t="str">
        <f>RAW_GAMES!R6</f>
        <v>Stezka</v>
      </c>
      <c r="F6">
        <f>RAW_GAMES!K6</f>
        <v>14</v>
      </c>
      <c r="G6" s="7">
        <f>RAW_GAMES!S6</f>
        <v>12</v>
      </c>
      <c r="H6">
        <f>RAW_GAMES!I6</f>
        <v>2</v>
      </c>
    </row>
    <row r="7" spans="1:8" x14ac:dyDescent="0.25">
      <c r="A7" t="str">
        <f>RAW_GAMES!A7</f>
        <v>25/26</v>
      </c>
      <c r="B7" s="3">
        <f>RAW_GAMES!B7</f>
        <v>45910</v>
      </c>
      <c r="C7" t="str">
        <f>RAW_GAMES!E7</f>
        <v>KLA</v>
      </c>
      <c r="D7" t="str">
        <f>RAW_GAMES!R7</f>
        <v>Brízgala</v>
      </c>
      <c r="F7">
        <f>RAW_GAMES!K7</f>
        <v>15</v>
      </c>
      <c r="G7" s="7">
        <f>RAW_GAMES!S7</f>
        <v>13</v>
      </c>
      <c r="H7">
        <f>RAW_GAMES!I7</f>
        <v>2</v>
      </c>
    </row>
    <row r="8" spans="1:8" x14ac:dyDescent="0.25">
      <c r="A8" t="str">
        <f>RAW_GAMES!A8</f>
        <v>25/26</v>
      </c>
      <c r="B8" s="3">
        <f>RAW_GAMES!B8</f>
        <v>45910</v>
      </c>
      <c r="C8" t="str">
        <f>RAW_GAMES!E8</f>
        <v>KVA</v>
      </c>
      <c r="D8" t="str">
        <f>RAW_GAMES!R8</f>
        <v>Král</v>
      </c>
      <c r="F8">
        <f>RAW_GAMES!K8</f>
        <v>24</v>
      </c>
      <c r="G8" s="7">
        <f>RAW_GAMES!S8</f>
        <v>17</v>
      </c>
      <c r="H8">
        <f>RAW_GAMES!I8</f>
        <v>7</v>
      </c>
    </row>
    <row r="9" spans="1:8" x14ac:dyDescent="0.25">
      <c r="A9" t="str">
        <f>RAW_GAMES!A9</f>
        <v>25/26</v>
      </c>
      <c r="B9" s="3">
        <f>RAW_GAMES!B9</f>
        <v>45910</v>
      </c>
      <c r="C9" t="str">
        <f>RAW_GAMES!E9</f>
        <v>LIB</v>
      </c>
      <c r="D9" t="str">
        <f>RAW_GAMES!R9</f>
        <v>Kváča</v>
      </c>
      <c r="F9">
        <f>RAW_GAMES!K9</f>
        <v>25</v>
      </c>
      <c r="G9" s="7">
        <f>RAW_GAMES!S9</f>
        <v>22</v>
      </c>
      <c r="H9">
        <f>RAW_GAMES!I9</f>
        <v>3</v>
      </c>
    </row>
    <row r="10" spans="1:8" x14ac:dyDescent="0.25">
      <c r="A10" t="str">
        <f>RAW_GAMES!A10</f>
        <v>25/26</v>
      </c>
      <c r="B10" s="3">
        <f>RAW_GAMES!B10</f>
        <v>45910</v>
      </c>
      <c r="C10" t="str">
        <f>RAW_GAMES!E10</f>
        <v>LIT</v>
      </c>
      <c r="D10" t="str">
        <f>RAW_GAMES!R10</f>
        <v>Tomek</v>
      </c>
      <c r="F10">
        <f>RAW_GAMES!K10</f>
        <v>28</v>
      </c>
      <c r="G10" s="7">
        <f>RAW_GAMES!S10</f>
        <v>24</v>
      </c>
      <c r="H10">
        <f>RAW_GAMES!I10</f>
        <v>4</v>
      </c>
    </row>
    <row r="11" spans="1:8" x14ac:dyDescent="0.25">
      <c r="A11" t="str">
        <f>RAW_GAMES!A11</f>
        <v>25/26</v>
      </c>
      <c r="B11" s="3">
        <f>RAW_GAMES!B11</f>
        <v>45910</v>
      </c>
      <c r="C11" t="str">
        <f>RAW_GAMES!E11</f>
        <v>MBL</v>
      </c>
      <c r="D11" t="str">
        <f>RAW_GAMES!R11</f>
        <v>Furch</v>
      </c>
      <c r="F11">
        <f>RAW_GAMES!K11</f>
        <v>28</v>
      </c>
      <c r="G11" s="7">
        <f>RAW_GAMES!S11</f>
        <v>27</v>
      </c>
      <c r="H11">
        <f>RAW_GAMES!I11</f>
        <v>1</v>
      </c>
    </row>
    <row r="12" spans="1:8" x14ac:dyDescent="0.25">
      <c r="A12" t="str">
        <f>RAW_GAMES!A12</f>
        <v>25/26</v>
      </c>
      <c r="B12" s="3">
        <f>RAW_GAMES!B12</f>
        <v>45910</v>
      </c>
      <c r="C12" t="str">
        <f>RAW_GAMES!E12</f>
        <v>MHK</v>
      </c>
      <c r="D12" t="str">
        <f>RAW_GAMES!R12</f>
        <v>Novotný</v>
      </c>
      <c r="F12">
        <f>RAW_GAMES!K12</f>
        <v>29</v>
      </c>
      <c r="G12" s="7">
        <f>RAW_GAMES!S12</f>
        <v>26</v>
      </c>
      <c r="H12">
        <f>RAW_GAMES!I12</f>
        <v>7</v>
      </c>
    </row>
    <row r="13" spans="1:8" x14ac:dyDescent="0.25">
      <c r="A13" t="str">
        <f>RAW_GAMES!A13</f>
        <v>25/26</v>
      </c>
      <c r="B13" s="3">
        <f>RAW_GAMES!B13</f>
        <v>45910</v>
      </c>
      <c r="C13" t="str">
        <f>RAW_GAMES!E13</f>
        <v>OLO</v>
      </c>
      <c r="D13" t="str">
        <f>RAW_GAMES!R13</f>
        <v>Machovský</v>
      </c>
      <c r="F13">
        <f>RAW_GAMES!K13</f>
        <v>38</v>
      </c>
      <c r="G13" s="7">
        <f>RAW_GAMES!S13</f>
        <v>30</v>
      </c>
      <c r="H13">
        <f>RAW_GAMES!I13</f>
        <v>8</v>
      </c>
    </row>
    <row r="14" spans="1:8" x14ac:dyDescent="0.25">
      <c r="A14" t="str">
        <f>RAW_GAMES!A14</f>
        <v>25/26</v>
      </c>
      <c r="B14" s="3">
        <f>RAW_GAMES!B14</f>
        <v>45910</v>
      </c>
      <c r="C14" t="str">
        <f>RAW_GAMES!E14</f>
        <v>PLZ</v>
      </c>
      <c r="D14" t="str">
        <f>RAW_GAMES!R14</f>
        <v>Malík</v>
      </c>
      <c r="F14">
        <f>RAW_GAMES!K14</f>
        <v>24</v>
      </c>
      <c r="G14" s="7">
        <f>RAW_GAMES!S14</f>
        <v>23</v>
      </c>
      <c r="H14">
        <f>RAW_GAMES!I14</f>
        <v>1</v>
      </c>
    </row>
    <row r="15" spans="1:8" x14ac:dyDescent="0.25">
      <c r="A15" t="str">
        <f>RAW_GAMES!A15</f>
        <v>25/26</v>
      </c>
      <c r="B15" s="3">
        <f>RAW_GAMES!B15</f>
        <v>45910</v>
      </c>
      <c r="C15" t="str">
        <f>RAW_GAMES!E15</f>
        <v>VIT</v>
      </c>
      <c r="D15" t="str">
        <f>RAW_GAMES!R15</f>
        <v>Hrachovina</v>
      </c>
      <c r="F15">
        <f>RAW_GAMES!K15</f>
        <v>31</v>
      </c>
      <c r="G15" s="7">
        <f>RAW_GAMES!S15</f>
        <v>27</v>
      </c>
      <c r="H15">
        <f>RAW_GAMES!I15</f>
        <v>4</v>
      </c>
    </row>
    <row r="16" spans="1:8" x14ac:dyDescent="0.25">
      <c r="A16" t="str">
        <f>RAW_GAMES!A16</f>
        <v>25/26</v>
      </c>
      <c r="B16" s="3">
        <f>RAW_GAMES!B16</f>
        <v>45912</v>
      </c>
      <c r="C16" t="str">
        <f>RAW_GAMES!E16</f>
        <v>PCE</v>
      </c>
      <c r="D16" t="str">
        <f>RAW_GAMES!R16</f>
        <v>Will</v>
      </c>
      <c r="F16">
        <f>RAW_GAMES!K16</f>
        <v>36</v>
      </c>
      <c r="G16" s="7">
        <f>RAW_GAMES!S16</f>
        <v>32</v>
      </c>
      <c r="H16">
        <f>RAW_GAMES!I16</f>
        <v>4</v>
      </c>
    </row>
    <row r="17" spans="1:8" x14ac:dyDescent="0.25">
      <c r="A17" t="str">
        <f>RAW_GAMES!A17</f>
        <v>25/26</v>
      </c>
      <c r="B17" s="3">
        <f>RAW_GAMES!B17</f>
        <v>45912</v>
      </c>
      <c r="C17" t="str">
        <f>RAW_GAMES!E17</f>
        <v>TRI</v>
      </c>
      <c r="D17" t="str">
        <f>RAW_GAMES!R17</f>
        <v>Kacetl</v>
      </c>
      <c r="F17">
        <f>RAW_GAMES!K17</f>
        <v>39</v>
      </c>
      <c r="G17" s="7">
        <f>RAW_GAMES!S17</f>
        <v>34</v>
      </c>
      <c r="H17">
        <f>RAW_GAMES!I17</f>
        <v>5</v>
      </c>
    </row>
    <row r="18" spans="1:8" x14ac:dyDescent="0.25">
      <c r="A18" t="str">
        <f>RAW_GAMES!A18</f>
        <v>25/26</v>
      </c>
      <c r="B18" s="3">
        <f>RAW_GAMES!B18</f>
        <v>45912</v>
      </c>
      <c r="C18" t="str">
        <f>RAW_GAMES!E18</f>
        <v>SPA</v>
      </c>
      <c r="D18" t="str">
        <f>RAW_GAMES!R18</f>
        <v>Kovář</v>
      </c>
      <c r="F18">
        <f>RAW_GAMES!K18</f>
        <v>21</v>
      </c>
      <c r="G18" s="7">
        <f>RAW_GAMES!S18</f>
        <v>19</v>
      </c>
      <c r="H18">
        <f>RAW_GAMES!I18</f>
        <v>2</v>
      </c>
    </row>
    <row r="19" spans="1:8" x14ac:dyDescent="0.25">
      <c r="A19" t="str">
        <f>RAW_GAMES!A19</f>
        <v>25/26</v>
      </c>
      <c r="B19" s="3">
        <f>RAW_GAMES!B19</f>
        <v>45912</v>
      </c>
      <c r="C19" t="str">
        <f>RAW_GAMES!E19</f>
        <v>KOM</v>
      </c>
      <c r="D19" t="str">
        <f>RAW_GAMES!R19</f>
        <v>Stezka</v>
      </c>
      <c r="F19">
        <f>RAW_GAMES!K19</f>
        <v>30</v>
      </c>
      <c r="G19" s="7">
        <f>RAW_GAMES!S19</f>
        <v>29</v>
      </c>
      <c r="H19">
        <f>RAW_GAMES!I19</f>
        <v>1</v>
      </c>
    </row>
    <row r="20" spans="1:8" x14ac:dyDescent="0.25">
      <c r="A20" t="str">
        <f>RAW_GAMES!A20</f>
        <v>25/26</v>
      </c>
      <c r="B20" s="3">
        <f>RAW_GAMES!B20</f>
        <v>45912</v>
      </c>
      <c r="C20" t="str">
        <f>RAW_GAMES!E20</f>
        <v>CEB</v>
      </c>
      <c r="D20" t="str">
        <f>RAW_GAMES!R20</f>
        <v>Strmeň</v>
      </c>
      <c r="F20">
        <f>RAW_GAMES!K20</f>
        <v>18</v>
      </c>
      <c r="G20" s="7">
        <f>RAW_GAMES!S20</f>
        <v>15</v>
      </c>
      <c r="H20">
        <f>RAW_GAMES!I20</f>
        <v>3</v>
      </c>
    </row>
    <row r="21" spans="1:8" x14ac:dyDescent="0.25">
      <c r="A21" t="str">
        <f>RAW_GAMES!A21</f>
        <v>25/26</v>
      </c>
      <c r="B21" s="3">
        <f>RAW_GAMES!B21</f>
        <v>45912</v>
      </c>
      <c r="C21" t="str">
        <f>RAW_GAMES!E21</f>
        <v>KLA</v>
      </c>
      <c r="D21" t="str">
        <f>RAW_GAMES!R21</f>
        <v>Brízgala</v>
      </c>
      <c r="F21">
        <f>RAW_GAMES!K21</f>
        <v>24</v>
      </c>
      <c r="G21" s="7">
        <f>RAW_GAMES!S21</f>
        <v>24</v>
      </c>
      <c r="H21">
        <f>RAW_GAMES!I21</f>
        <v>1</v>
      </c>
    </row>
    <row r="22" spans="1:8" x14ac:dyDescent="0.25">
      <c r="A22" t="str">
        <f>RAW_GAMES!A22</f>
        <v>25/26</v>
      </c>
      <c r="B22" s="3">
        <f>RAW_GAMES!B22</f>
        <v>45912</v>
      </c>
      <c r="C22" t="str">
        <f>RAW_GAMES!E22</f>
        <v>KVA</v>
      </c>
      <c r="D22" t="str">
        <f>RAW_GAMES!R22</f>
        <v>Frodl</v>
      </c>
      <c r="F22">
        <f>RAW_GAMES!K22</f>
        <v>24</v>
      </c>
      <c r="G22" s="7">
        <f>RAW_GAMES!S22</f>
        <v>24</v>
      </c>
      <c r="H22">
        <f>RAW_GAMES!I22</f>
        <v>0</v>
      </c>
    </row>
    <row r="23" spans="1:8" x14ac:dyDescent="0.25">
      <c r="A23" t="str">
        <f>RAW_GAMES!A23</f>
        <v>25/26</v>
      </c>
      <c r="B23" s="3">
        <f>RAW_GAMES!B23</f>
        <v>45912</v>
      </c>
      <c r="C23" t="str">
        <f>RAW_GAMES!E23</f>
        <v>LIB</v>
      </c>
      <c r="D23" t="str">
        <f>RAW_GAMES!R23</f>
        <v>Kváča</v>
      </c>
      <c r="F23">
        <f>RAW_GAMES!K23</f>
        <v>29</v>
      </c>
      <c r="G23" s="7">
        <f>RAW_GAMES!S23</f>
        <v>27</v>
      </c>
      <c r="H23">
        <f>RAW_GAMES!I23</f>
        <v>2</v>
      </c>
    </row>
    <row r="24" spans="1:8" x14ac:dyDescent="0.25">
      <c r="A24" t="str">
        <f>RAW_GAMES!A24</f>
        <v>25/26</v>
      </c>
      <c r="B24" s="3">
        <f>RAW_GAMES!B24</f>
        <v>45912</v>
      </c>
      <c r="C24" t="str">
        <f>RAW_GAMES!E24</f>
        <v>LIT</v>
      </c>
      <c r="D24" t="str">
        <f>RAW_GAMES!R24</f>
        <v>Tomek</v>
      </c>
      <c r="F24">
        <f>RAW_GAMES!K24</f>
        <v>26</v>
      </c>
      <c r="G24" s="7">
        <f>RAW_GAMES!S24</f>
        <v>22</v>
      </c>
      <c r="H24">
        <f>RAW_GAMES!I24</f>
        <v>4</v>
      </c>
    </row>
    <row r="25" spans="1:8" x14ac:dyDescent="0.25">
      <c r="A25" t="str">
        <f>RAW_GAMES!A25</f>
        <v>25/26</v>
      </c>
      <c r="B25" s="3">
        <f>RAW_GAMES!B25</f>
        <v>45912</v>
      </c>
      <c r="C25" t="str">
        <f>RAW_GAMES!E25</f>
        <v>MBL</v>
      </c>
      <c r="D25" t="str">
        <f>RAW_GAMES!R25</f>
        <v>Furch</v>
      </c>
      <c r="F25">
        <f>RAW_GAMES!K25</f>
        <v>29</v>
      </c>
      <c r="G25" s="7">
        <f>RAW_GAMES!S25</f>
        <v>26</v>
      </c>
      <c r="H25">
        <f>RAW_GAMES!I25</f>
        <v>3</v>
      </c>
    </row>
    <row r="26" spans="1:8" x14ac:dyDescent="0.25">
      <c r="A26" t="str">
        <f>RAW_GAMES!A26</f>
        <v>25/26</v>
      </c>
      <c r="B26" s="3">
        <f>RAW_GAMES!B26</f>
        <v>45912</v>
      </c>
      <c r="C26" t="str">
        <f>RAW_GAMES!E26</f>
        <v>MHK</v>
      </c>
      <c r="D26" t="str">
        <f>RAW_GAMES!R26</f>
        <v>Novotný</v>
      </c>
      <c r="F26">
        <f>RAW_GAMES!K26</f>
        <v>21</v>
      </c>
      <c r="G26" s="7">
        <f>RAW_GAMES!S26</f>
        <v>17</v>
      </c>
      <c r="H26">
        <f>RAW_GAMES!I26</f>
        <v>4</v>
      </c>
    </row>
    <row r="27" spans="1:8" x14ac:dyDescent="0.25">
      <c r="A27" t="str">
        <f>RAW_GAMES!A27</f>
        <v>25/26</v>
      </c>
      <c r="B27" s="3">
        <f>RAW_GAMES!B27</f>
        <v>45912</v>
      </c>
      <c r="C27" t="str">
        <f>RAW_GAMES!E27</f>
        <v>OLO</v>
      </c>
      <c r="D27" t="str">
        <f>RAW_GAMES!R27</f>
        <v>Machovský</v>
      </c>
      <c r="F27">
        <f>RAW_GAMES!K27</f>
        <v>29</v>
      </c>
      <c r="G27" s="7">
        <f>RAW_GAMES!S27</f>
        <v>25</v>
      </c>
      <c r="H27">
        <f>RAW_GAMES!I27</f>
        <v>4</v>
      </c>
    </row>
    <row r="28" spans="1:8" x14ac:dyDescent="0.25">
      <c r="A28" t="str">
        <f>RAW_GAMES!A28</f>
        <v>25/26</v>
      </c>
      <c r="B28" s="3">
        <f>RAW_GAMES!B28</f>
        <v>45912</v>
      </c>
      <c r="C28" t="str">
        <f>RAW_GAMES!E28</f>
        <v>PLZ</v>
      </c>
      <c r="D28" t="str">
        <f>RAW_GAMES!R28</f>
        <v>Malík</v>
      </c>
      <c r="F28">
        <f>RAW_GAMES!K28</f>
        <v>26</v>
      </c>
      <c r="G28" s="7">
        <f>RAW_GAMES!S28</f>
        <v>25</v>
      </c>
      <c r="H28">
        <f>RAW_GAMES!I28</f>
        <v>1</v>
      </c>
    </row>
    <row r="29" spans="1:8" x14ac:dyDescent="0.25">
      <c r="A29" t="str">
        <f>RAW_GAMES!A29</f>
        <v>25/26</v>
      </c>
      <c r="B29" s="3">
        <f>RAW_GAMES!B29</f>
        <v>45912</v>
      </c>
      <c r="C29" t="str">
        <f>RAW_GAMES!E29</f>
        <v>VIT</v>
      </c>
      <c r="D29" t="str">
        <f>RAW_GAMES!R29</f>
        <v>Hrachovina</v>
      </c>
      <c r="F29">
        <f>RAW_GAMES!K29</f>
        <v>41</v>
      </c>
      <c r="G29" s="7">
        <f>RAW_GAMES!S29</f>
        <v>41</v>
      </c>
      <c r="H29">
        <f>RAW_GAMES!I29</f>
        <v>0</v>
      </c>
    </row>
    <row r="30" spans="1:8" x14ac:dyDescent="0.25">
      <c r="A30" t="str">
        <f>RAW_GAMES!A30</f>
        <v>25/26</v>
      </c>
      <c r="B30" s="3">
        <f>RAW_GAMES!B30</f>
        <v>45914</v>
      </c>
      <c r="C30" t="str">
        <f>RAW_GAMES!E30</f>
        <v>PCE</v>
      </c>
      <c r="D30" t="str">
        <f>RAW_GAMES!R30</f>
        <v>Will</v>
      </c>
      <c r="F30">
        <f>RAW_GAMES!K30</f>
        <v>14</v>
      </c>
      <c r="G30" s="7">
        <f>RAW_GAMES!S30</f>
        <v>13</v>
      </c>
      <c r="H30">
        <f>RAW_GAMES!I30</f>
        <v>1</v>
      </c>
    </row>
    <row r="31" spans="1:8" x14ac:dyDescent="0.25">
      <c r="A31" t="str">
        <f>RAW_GAMES!A31</f>
        <v>25/26</v>
      </c>
      <c r="B31" s="3">
        <f>RAW_GAMES!B31</f>
        <v>45914</v>
      </c>
      <c r="C31" t="str">
        <f>RAW_GAMES!E31</f>
        <v>TRI</v>
      </c>
      <c r="D31" t="str">
        <f>RAW_GAMES!R31</f>
        <v>Mazanec</v>
      </c>
      <c r="F31">
        <f>RAW_GAMES!K31</f>
        <v>26</v>
      </c>
      <c r="G31" s="7">
        <f>RAW_GAMES!S31</f>
        <v>24</v>
      </c>
      <c r="H31">
        <f>RAW_GAMES!I31</f>
        <v>2</v>
      </c>
    </row>
    <row r="32" spans="1:8" x14ac:dyDescent="0.25">
      <c r="A32" t="str">
        <f>RAW_GAMES!A32</f>
        <v>25/26</v>
      </c>
      <c r="B32" s="3">
        <f>RAW_GAMES!B32</f>
        <v>45914</v>
      </c>
      <c r="C32" t="str">
        <f>RAW_GAMES!E32</f>
        <v>SPA</v>
      </c>
      <c r="D32" t="str">
        <f>RAW_GAMES!R32</f>
        <v>Kořenář</v>
      </c>
      <c r="F32">
        <f>RAW_GAMES!K32</f>
        <v>21</v>
      </c>
      <c r="G32" s="7">
        <f>RAW_GAMES!S32</f>
        <v>19</v>
      </c>
      <c r="H32">
        <f>RAW_GAMES!I32</f>
        <v>2</v>
      </c>
    </row>
    <row r="33" spans="1:8" x14ac:dyDescent="0.25">
      <c r="A33" t="str">
        <f>RAW_GAMES!A33</f>
        <v>25/26</v>
      </c>
      <c r="B33" s="3">
        <f>RAW_GAMES!B33</f>
        <v>45914</v>
      </c>
      <c r="C33" t="str">
        <f>RAW_GAMES!E33</f>
        <v>KOM</v>
      </c>
      <c r="D33" t="str">
        <f>RAW_GAMES!R33</f>
        <v>Stezka</v>
      </c>
      <c r="F33">
        <f>RAW_GAMES!K33</f>
        <v>27</v>
      </c>
      <c r="G33" s="7">
        <f>RAW_GAMES!S33</f>
        <v>27</v>
      </c>
      <c r="H33">
        <f>RAW_GAMES!I33</f>
        <v>0</v>
      </c>
    </row>
    <row r="34" spans="1:8" x14ac:dyDescent="0.25">
      <c r="A34" t="str">
        <f>RAW_GAMES!A34</f>
        <v>25/26</v>
      </c>
      <c r="B34" s="3">
        <f>RAW_GAMES!B34</f>
        <v>45914</v>
      </c>
      <c r="C34" t="str">
        <f>RAW_GAMES!E34</f>
        <v>CEB</v>
      </c>
      <c r="D34" t="str">
        <f>RAW_GAMES!R34</f>
        <v>Klouček</v>
      </c>
      <c r="F34">
        <f>RAW_GAMES!K34</f>
        <v>24</v>
      </c>
      <c r="G34" s="7">
        <f>RAW_GAMES!S34</f>
        <v>23</v>
      </c>
      <c r="H34">
        <f>RAW_GAMES!I34</f>
        <v>1</v>
      </c>
    </row>
    <row r="35" spans="1:8" x14ac:dyDescent="0.25">
      <c r="A35" t="str">
        <f>RAW_GAMES!A35</f>
        <v>25/26</v>
      </c>
      <c r="B35" s="3">
        <f>RAW_GAMES!B35</f>
        <v>45914</v>
      </c>
      <c r="C35" t="str">
        <f>RAW_GAMES!E35</f>
        <v>KLA</v>
      </c>
      <c r="D35" t="str">
        <f>RAW_GAMES!R35</f>
        <v>Brízgala</v>
      </c>
      <c r="F35">
        <f>RAW_GAMES!K35</f>
        <v>34</v>
      </c>
      <c r="G35" s="7">
        <f>RAW_GAMES!S35</f>
        <v>32</v>
      </c>
      <c r="H35">
        <f>RAW_GAMES!I35</f>
        <v>2</v>
      </c>
    </row>
    <row r="36" spans="1:8" x14ac:dyDescent="0.25">
      <c r="A36" t="str">
        <f>RAW_GAMES!A36</f>
        <v>25/26</v>
      </c>
      <c r="B36" s="3">
        <f>RAW_GAMES!B36</f>
        <v>45914</v>
      </c>
      <c r="C36" t="str">
        <f>RAW_GAMES!E36</f>
        <v>KVA</v>
      </c>
      <c r="D36" t="str">
        <f>RAW_GAMES!R36</f>
        <v>Frodl</v>
      </c>
      <c r="F36">
        <f>RAW_GAMES!K36</f>
        <v>41</v>
      </c>
      <c r="G36" s="7">
        <f>RAW_GAMES!S36</f>
        <v>37</v>
      </c>
      <c r="H36">
        <f>RAW_GAMES!I36</f>
        <v>4</v>
      </c>
    </row>
    <row r="37" spans="1:8" x14ac:dyDescent="0.25">
      <c r="A37" t="str">
        <f>RAW_GAMES!A37</f>
        <v>25/26</v>
      </c>
      <c r="B37" s="3">
        <f>RAW_GAMES!B37</f>
        <v>45914</v>
      </c>
      <c r="C37" t="str">
        <f>RAW_GAMES!E37</f>
        <v>LIB</v>
      </c>
      <c r="D37" t="str">
        <f>RAW_GAMES!R37</f>
        <v>Kváča</v>
      </c>
      <c r="F37">
        <f>RAW_GAMES!K37</f>
        <v>23</v>
      </c>
      <c r="G37" s="7">
        <f>RAW_GAMES!S37</f>
        <v>19</v>
      </c>
      <c r="H37">
        <f>RAW_GAMES!I37</f>
        <v>4</v>
      </c>
    </row>
    <row r="38" spans="1:8" x14ac:dyDescent="0.25">
      <c r="A38" t="str">
        <f>RAW_GAMES!A38</f>
        <v>25/26</v>
      </c>
      <c r="B38" s="3">
        <f>RAW_GAMES!B38</f>
        <v>45914</v>
      </c>
      <c r="C38" t="str">
        <f>RAW_GAMES!E38</f>
        <v>LIT</v>
      </c>
      <c r="D38" t="str">
        <f>RAW_GAMES!R38</f>
        <v>Čajan</v>
      </c>
      <c r="F38">
        <f>RAW_GAMES!K38</f>
        <v>22</v>
      </c>
      <c r="G38" s="7">
        <f>RAW_GAMES!S38</f>
        <v>19</v>
      </c>
      <c r="H38">
        <f>RAW_GAMES!I38</f>
        <v>3</v>
      </c>
    </row>
    <row r="39" spans="1:8" x14ac:dyDescent="0.25">
      <c r="A39" t="str">
        <f>RAW_GAMES!A39</f>
        <v>25/26</v>
      </c>
      <c r="B39" s="3">
        <f>RAW_GAMES!B39</f>
        <v>45914</v>
      </c>
      <c r="C39" t="str">
        <f>RAW_GAMES!E39</f>
        <v>MBL</v>
      </c>
      <c r="D39" t="str">
        <f>RAW_GAMES!R39</f>
        <v>Westerholm</v>
      </c>
      <c r="F39">
        <f>RAW_GAMES!K39</f>
        <v>43</v>
      </c>
      <c r="G39" s="7">
        <f>RAW_GAMES!S39</f>
        <v>39</v>
      </c>
      <c r="H39">
        <f>RAW_GAMES!I39</f>
        <v>4</v>
      </c>
    </row>
    <row r="40" spans="1:8" x14ac:dyDescent="0.25">
      <c r="A40" t="str">
        <f>RAW_GAMES!A40</f>
        <v>25/26</v>
      </c>
      <c r="B40" s="3">
        <f>RAW_GAMES!B40</f>
        <v>45914</v>
      </c>
      <c r="C40" t="str">
        <f>RAW_GAMES!E40</f>
        <v>MHK</v>
      </c>
      <c r="D40" t="str">
        <f>RAW_GAMES!R40</f>
        <v>Škorvánek</v>
      </c>
      <c r="F40">
        <f>RAW_GAMES!K40</f>
        <v>31</v>
      </c>
      <c r="G40" s="7">
        <f>RAW_GAMES!S40</f>
        <v>27</v>
      </c>
      <c r="H40">
        <f>RAW_GAMES!I40</f>
        <v>4</v>
      </c>
    </row>
    <row r="41" spans="1:8" x14ac:dyDescent="0.25">
      <c r="A41" t="str">
        <f>RAW_GAMES!A41</f>
        <v>25/26</v>
      </c>
      <c r="B41" s="3">
        <f>RAW_GAMES!B41</f>
        <v>45914</v>
      </c>
      <c r="C41" t="str">
        <f>RAW_GAMES!E41</f>
        <v>OLO</v>
      </c>
      <c r="D41" t="str">
        <f>RAW_GAMES!R41</f>
        <v>Machovský</v>
      </c>
      <c r="F41">
        <f>RAW_GAMES!K41</f>
        <v>23</v>
      </c>
      <c r="G41" s="7">
        <f>RAW_GAMES!S41</f>
        <v>21</v>
      </c>
      <c r="H41">
        <f>RAW_GAMES!I41</f>
        <v>2</v>
      </c>
    </row>
    <row r="42" spans="1:8" x14ac:dyDescent="0.25">
      <c r="A42" t="str">
        <f>RAW_GAMES!A42</f>
        <v>25/26</v>
      </c>
      <c r="B42" s="3">
        <f>RAW_GAMES!B42</f>
        <v>45914</v>
      </c>
      <c r="C42" t="str">
        <f>RAW_GAMES!E42</f>
        <v>PLZ</v>
      </c>
      <c r="D42" t="str">
        <f>RAW_GAMES!R42</f>
        <v>Malík</v>
      </c>
      <c r="F42">
        <f>RAW_GAMES!K42</f>
        <v>28</v>
      </c>
      <c r="G42" s="7">
        <f>RAW_GAMES!S42</f>
        <v>24</v>
      </c>
      <c r="H42">
        <f>RAW_GAMES!I42</f>
        <v>4</v>
      </c>
    </row>
    <row r="43" spans="1:8" x14ac:dyDescent="0.25">
      <c r="A43" t="str">
        <f>RAW_GAMES!A43</f>
        <v>25/26</v>
      </c>
      <c r="B43" s="3">
        <f>RAW_GAMES!B43</f>
        <v>45914</v>
      </c>
      <c r="C43" t="str">
        <f>RAW_GAMES!E43</f>
        <v>VIT</v>
      </c>
      <c r="D43" t="str">
        <f>RAW_GAMES!R43</f>
        <v>Klimeš</v>
      </c>
      <c r="F43">
        <f>RAW_GAMES!K43</f>
        <v>32</v>
      </c>
      <c r="G43" s="7">
        <f>RAW_GAMES!S43</f>
        <v>32</v>
      </c>
      <c r="H43">
        <f>RAW_GAMES!I43</f>
        <v>0</v>
      </c>
    </row>
    <row r="44" spans="1:8" x14ac:dyDescent="0.25">
      <c r="A44" t="str">
        <f>RAW_GAMES!A44</f>
        <v>25/26</v>
      </c>
      <c r="B44" s="3">
        <f>RAW_GAMES!B44</f>
        <v>45916</v>
      </c>
      <c r="C44" t="str">
        <f>RAW_GAMES!E44</f>
        <v>PCE</v>
      </c>
      <c r="D44" t="str">
        <f>RAW_GAMES!R44</f>
        <v>Vomáčka</v>
      </c>
      <c r="F44">
        <f>RAW_GAMES!K44</f>
        <v>33</v>
      </c>
      <c r="G44" s="7">
        <f>RAW_GAMES!S44</f>
        <v>29</v>
      </c>
      <c r="H44">
        <f>RAW_GAMES!I44</f>
        <v>4</v>
      </c>
    </row>
    <row r="45" spans="1:8" x14ac:dyDescent="0.25">
      <c r="A45" t="str">
        <f>RAW_GAMES!A45</f>
        <v>25/26</v>
      </c>
      <c r="B45" s="3">
        <f>RAW_GAMES!B45</f>
        <v>45916</v>
      </c>
      <c r="C45" t="str">
        <f>RAW_GAMES!E45</f>
        <v>TRI</v>
      </c>
      <c r="D45" t="str">
        <f>RAW_GAMES!R45</f>
        <v>Mazanec</v>
      </c>
      <c r="F45">
        <f>RAW_GAMES!K45</f>
        <v>22</v>
      </c>
      <c r="G45" s="7">
        <f>RAW_GAMES!S45</f>
        <v>20</v>
      </c>
      <c r="H45">
        <f>RAW_GAMES!I45</f>
        <v>2</v>
      </c>
    </row>
    <row r="46" spans="1:8" x14ac:dyDescent="0.25">
      <c r="A46" t="str">
        <f>RAW_GAMES!A46</f>
        <v>25/26</v>
      </c>
      <c r="B46" s="3">
        <f>RAW_GAMES!B46</f>
        <v>45916</v>
      </c>
      <c r="C46" t="str">
        <f>RAW_GAMES!E46</f>
        <v>SPA</v>
      </c>
      <c r="D46" t="str">
        <f>RAW_GAMES!R46</f>
        <v>Kovář</v>
      </c>
      <c r="F46">
        <f>RAW_GAMES!K46</f>
        <v>32</v>
      </c>
      <c r="G46" s="7">
        <f>RAW_GAMES!S46</f>
        <v>30</v>
      </c>
      <c r="H46">
        <f>RAW_GAMES!I46</f>
        <v>2</v>
      </c>
    </row>
    <row r="47" spans="1:8" x14ac:dyDescent="0.25">
      <c r="A47" t="str">
        <f>RAW_GAMES!A47</f>
        <v>25/26</v>
      </c>
      <c r="B47" s="3">
        <f>RAW_GAMES!B47</f>
        <v>45916</v>
      </c>
      <c r="C47" t="str">
        <f>RAW_GAMES!E47</f>
        <v>KVA</v>
      </c>
      <c r="D47" t="str">
        <f>RAW_GAMES!R47</f>
        <v>Frodl</v>
      </c>
      <c r="F47">
        <f>RAW_GAMES!K47</f>
        <v>38</v>
      </c>
      <c r="G47" s="7">
        <f>RAW_GAMES!S47</f>
        <v>37</v>
      </c>
      <c r="H47">
        <f>RAW_GAMES!I47</f>
        <v>1</v>
      </c>
    </row>
    <row r="48" spans="1:8" x14ac:dyDescent="0.25">
      <c r="A48" t="str">
        <f>RAW_GAMES!A48</f>
        <v>25/26</v>
      </c>
      <c r="B48" s="3">
        <f>RAW_GAMES!B48</f>
        <v>45916</v>
      </c>
      <c r="C48" t="str">
        <f>RAW_GAMES!E48</f>
        <v>KOM</v>
      </c>
      <c r="D48" t="str">
        <f>RAW_GAMES!R48</f>
        <v>Stezka</v>
      </c>
      <c r="F48">
        <f>RAW_GAMES!K48</f>
        <v>21</v>
      </c>
      <c r="G48" s="7">
        <f>RAW_GAMES!S48</f>
        <v>19</v>
      </c>
      <c r="H48">
        <f>RAW_GAMES!I48</f>
        <v>2</v>
      </c>
    </row>
    <row r="49" spans="1:8" x14ac:dyDescent="0.25">
      <c r="A49" t="str">
        <f>RAW_GAMES!A49</f>
        <v>25/26</v>
      </c>
      <c r="B49" s="3">
        <f>RAW_GAMES!B49</f>
        <v>45916</v>
      </c>
      <c r="C49" t="str">
        <f>RAW_GAMES!E49</f>
        <v>CEB</v>
      </c>
      <c r="D49" t="str">
        <f>RAW_GAMES!R49</f>
        <v>Klouček</v>
      </c>
      <c r="F49">
        <f>RAW_GAMES!K49</f>
        <v>31</v>
      </c>
      <c r="G49" s="7">
        <f>RAW_GAMES!S49</f>
        <v>30</v>
      </c>
      <c r="H49">
        <f>RAW_GAMES!I49</f>
        <v>1</v>
      </c>
    </row>
    <row r="50" spans="1:8" x14ac:dyDescent="0.25">
      <c r="A50" t="str">
        <f>RAW_GAMES!A50</f>
        <v>25/26</v>
      </c>
      <c r="B50" s="3">
        <f>RAW_GAMES!B50</f>
        <v>45916</v>
      </c>
      <c r="C50" t="str">
        <f>RAW_GAMES!E50</f>
        <v>LIB</v>
      </c>
      <c r="D50" t="str">
        <f>RAW_GAMES!R50</f>
        <v>Hamalčík</v>
      </c>
      <c r="F50">
        <f>RAW_GAMES!K50</f>
        <v>16</v>
      </c>
      <c r="G50" s="7">
        <f>RAW_GAMES!S50</f>
        <v>12</v>
      </c>
      <c r="H50">
        <f>RAW_GAMES!I50</f>
        <v>4</v>
      </c>
    </row>
    <row r="51" spans="1:8" x14ac:dyDescent="0.25">
      <c r="A51" t="str">
        <f>RAW_GAMES!A51</f>
        <v>25/26</v>
      </c>
      <c r="B51" s="3">
        <f>RAW_GAMES!B51</f>
        <v>45916</v>
      </c>
      <c r="C51" t="str">
        <f>RAW_GAMES!E51</f>
        <v>LIT</v>
      </c>
      <c r="D51" t="str">
        <f>RAW_GAMES!R51</f>
        <v>Čajan</v>
      </c>
      <c r="F51">
        <f>RAW_GAMES!K51</f>
        <v>60</v>
      </c>
      <c r="G51" s="7">
        <f>RAW_GAMES!S51</f>
        <v>58</v>
      </c>
      <c r="H51">
        <f>RAW_GAMES!I51</f>
        <v>2</v>
      </c>
    </row>
    <row r="52" spans="1:8" x14ac:dyDescent="0.25">
      <c r="A52" t="str">
        <f>RAW_GAMES!A52</f>
        <v>25/26</v>
      </c>
      <c r="B52" s="3">
        <f>RAW_GAMES!B52</f>
        <v>45916</v>
      </c>
      <c r="C52" t="str">
        <f>RAW_GAMES!E52</f>
        <v>MBL</v>
      </c>
      <c r="D52" t="str">
        <f>RAW_GAMES!R52</f>
        <v>Furch</v>
      </c>
      <c r="F52">
        <f>RAW_GAMES!K52</f>
        <v>22</v>
      </c>
      <c r="G52" s="7">
        <f>RAW_GAMES!S52</f>
        <v>21</v>
      </c>
      <c r="H52">
        <f>RAW_GAMES!I52</f>
        <v>1</v>
      </c>
    </row>
    <row r="53" spans="1:8" x14ac:dyDescent="0.25">
      <c r="A53" t="str">
        <f>RAW_GAMES!A53</f>
        <v>25/26</v>
      </c>
      <c r="B53" s="3">
        <f>RAW_GAMES!B53</f>
        <v>45916</v>
      </c>
      <c r="C53" t="str">
        <f>RAW_GAMES!E53</f>
        <v>MHK</v>
      </c>
      <c r="D53" t="str">
        <f>RAW_GAMES!R53</f>
        <v>Škorvánek</v>
      </c>
      <c r="F53">
        <f>RAW_GAMES!K53</f>
        <v>29</v>
      </c>
      <c r="G53" s="7">
        <f>RAW_GAMES!S53</f>
        <v>26</v>
      </c>
      <c r="H53">
        <f>RAW_GAMES!I53</f>
        <v>3</v>
      </c>
    </row>
    <row r="54" spans="1:8" x14ac:dyDescent="0.25">
      <c r="A54" t="str">
        <f>RAW_GAMES!A54</f>
        <v>25/26</v>
      </c>
      <c r="B54" s="3">
        <f>RAW_GAMES!B54</f>
        <v>45916</v>
      </c>
      <c r="C54" t="str">
        <f>RAW_GAMES!E54</f>
        <v>PLZ</v>
      </c>
      <c r="D54" t="str">
        <f>RAW_GAMES!R54</f>
        <v>Malík</v>
      </c>
      <c r="F54">
        <f>RAW_GAMES!K54</f>
        <v>32</v>
      </c>
      <c r="G54" s="7">
        <f>RAW_GAMES!S54</f>
        <v>28</v>
      </c>
      <c r="H54">
        <f>RAW_GAMES!I54</f>
        <v>4</v>
      </c>
    </row>
    <row r="55" spans="1:8" x14ac:dyDescent="0.25">
      <c r="A55" t="str">
        <f>RAW_GAMES!A55</f>
        <v>25/26</v>
      </c>
      <c r="B55" s="3">
        <f>RAW_GAMES!B55</f>
        <v>45916</v>
      </c>
      <c r="C55" t="str">
        <f>RAW_GAMES!E55</f>
        <v>VIT</v>
      </c>
      <c r="D55" t="str">
        <f>RAW_GAMES!R55</f>
        <v>Hrachovina</v>
      </c>
      <c r="F55">
        <f>RAW_GAMES!K55</f>
        <v>17</v>
      </c>
      <c r="G55" s="7">
        <f>RAW_GAMES!S55</f>
        <v>12</v>
      </c>
      <c r="H55">
        <f>RAW_GAMES!I55</f>
        <v>5</v>
      </c>
    </row>
    <row r="56" spans="1:8" x14ac:dyDescent="0.25">
      <c r="A56" t="str">
        <f>RAW_GAMES!A56</f>
        <v>25/26</v>
      </c>
      <c r="B56" s="3">
        <f>RAW_GAMES!B56</f>
        <v>45917</v>
      </c>
      <c r="C56" t="str">
        <f>RAW_GAMES!E56</f>
        <v>OLO</v>
      </c>
      <c r="D56" t="str">
        <f>RAW_GAMES!R56</f>
        <v>Machovský</v>
      </c>
      <c r="F56">
        <f>RAW_GAMES!K56</f>
        <v>31</v>
      </c>
      <c r="G56" s="7">
        <f>RAW_GAMES!S56</f>
        <v>30</v>
      </c>
      <c r="H56">
        <f>RAW_GAMES!I56</f>
        <v>1</v>
      </c>
    </row>
    <row r="57" spans="1:8" x14ac:dyDescent="0.25">
      <c r="A57" t="str">
        <f>RAW_GAMES!A57</f>
        <v>25/26</v>
      </c>
      <c r="B57" s="3">
        <f>RAW_GAMES!B57</f>
        <v>45917</v>
      </c>
      <c r="C57" t="str">
        <f>RAW_GAMES!E57</f>
        <v>KLA</v>
      </c>
      <c r="D57" t="str">
        <f>RAW_GAMES!R57</f>
        <v>Brízgala</v>
      </c>
      <c r="F57">
        <f>RAW_GAMES!K57</f>
        <v>34</v>
      </c>
      <c r="G57" s="7">
        <f>RAW_GAMES!S57</f>
        <v>30</v>
      </c>
      <c r="H57">
        <f>RAW_GAMES!I57</f>
        <v>4</v>
      </c>
    </row>
    <row r="58" spans="1:8" x14ac:dyDescent="0.25">
      <c r="A58" t="str">
        <f>RAW_GAMES!A58</f>
        <v>25/26</v>
      </c>
      <c r="B58" s="3">
        <f>RAW_GAMES!B58</f>
        <v>45919</v>
      </c>
      <c r="C58" t="str">
        <f>RAW_GAMES!E58</f>
        <v>PCE</v>
      </c>
      <c r="D58" t="str">
        <f>RAW_GAMES!R58</f>
        <v>Will</v>
      </c>
      <c r="F58">
        <f>RAW_GAMES!K58</f>
        <v>20</v>
      </c>
      <c r="G58" s="7">
        <f>RAW_GAMES!S58</f>
        <v>19</v>
      </c>
      <c r="H58">
        <f>RAW_GAMES!I58</f>
        <v>1</v>
      </c>
    </row>
    <row r="59" spans="1:8" x14ac:dyDescent="0.25">
      <c r="A59" t="str">
        <f>RAW_GAMES!A59</f>
        <v>25/26</v>
      </c>
      <c r="B59" s="3">
        <f>RAW_GAMES!B59</f>
        <v>45919</v>
      </c>
      <c r="C59" t="str">
        <f>RAW_GAMES!E59</f>
        <v>TRI</v>
      </c>
      <c r="D59" t="str">
        <f>RAW_GAMES!R59</f>
        <v>Kacetl</v>
      </c>
      <c r="F59">
        <f>RAW_GAMES!K59</f>
        <v>31</v>
      </c>
      <c r="G59" s="7">
        <f>RAW_GAMES!S59</f>
        <v>30</v>
      </c>
      <c r="H59">
        <f>RAW_GAMES!I59</f>
        <v>1</v>
      </c>
    </row>
    <row r="60" spans="1:8" x14ac:dyDescent="0.25">
      <c r="A60" t="str">
        <f>RAW_GAMES!A60</f>
        <v>25/26</v>
      </c>
      <c r="B60" s="3">
        <f>RAW_GAMES!B60</f>
        <v>45919</v>
      </c>
      <c r="C60" t="str">
        <f>RAW_GAMES!E60</f>
        <v>SPA</v>
      </c>
      <c r="D60" t="str">
        <f>RAW_GAMES!R60</f>
        <v>Kořenář</v>
      </c>
      <c r="F60">
        <f>RAW_GAMES!K60</f>
        <v>20</v>
      </c>
      <c r="G60" s="7">
        <f>RAW_GAMES!S60</f>
        <v>19</v>
      </c>
      <c r="H60">
        <f>RAW_GAMES!I60</f>
        <v>1</v>
      </c>
    </row>
    <row r="61" spans="1:8" x14ac:dyDescent="0.25">
      <c r="A61" t="str">
        <f>RAW_GAMES!A61</f>
        <v>25/26</v>
      </c>
      <c r="B61" s="3">
        <f>RAW_GAMES!B61</f>
        <v>45919</v>
      </c>
      <c r="C61" t="str">
        <f>RAW_GAMES!E61</f>
        <v>KOM</v>
      </c>
      <c r="D61" t="str">
        <f>RAW_GAMES!R61</f>
        <v>Stezka</v>
      </c>
      <c r="F61">
        <f>RAW_GAMES!K61</f>
        <v>36</v>
      </c>
      <c r="G61" s="7">
        <f>RAW_GAMES!S61</f>
        <v>31</v>
      </c>
      <c r="H61">
        <f>RAW_GAMES!I61</f>
        <v>5</v>
      </c>
    </row>
    <row r="62" spans="1:8" x14ac:dyDescent="0.25">
      <c r="A62" t="str">
        <f>RAW_GAMES!A62</f>
        <v>25/26</v>
      </c>
      <c r="B62" s="3">
        <f>RAW_GAMES!B62</f>
        <v>45919</v>
      </c>
      <c r="C62" t="str">
        <f>RAW_GAMES!E62</f>
        <v>CEB</v>
      </c>
      <c r="D62" t="str">
        <f>RAW_GAMES!R62</f>
        <v>Klouček</v>
      </c>
      <c r="F62">
        <f>RAW_GAMES!K62</f>
        <v>34</v>
      </c>
      <c r="G62" s="7">
        <f>RAW_GAMES!S62</f>
        <v>33</v>
      </c>
      <c r="H62">
        <f>RAW_GAMES!I62</f>
        <v>1</v>
      </c>
    </row>
    <row r="63" spans="1:8" x14ac:dyDescent="0.25">
      <c r="A63" t="str">
        <f>RAW_GAMES!A63</f>
        <v>25/26</v>
      </c>
      <c r="B63" s="3">
        <f>RAW_GAMES!B63</f>
        <v>45919</v>
      </c>
      <c r="C63" t="str">
        <f>RAW_GAMES!E63</f>
        <v>KLA</v>
      </c>
      <c r="D63" t="str">
        <f>RAW_GAMES!R63</f>
        <v>Lukeš</v>
      </c>
      <c r="F63">
        <f>RAW_GAMES!K63</f>
        <v>20</v>
      </c>
      <c r="G63" s="7">
        <f>RAW_GAMES!S63</f>
        <v>16</v>
      </c>
      <c r="H63">
        <f>RAW_GAMES!I63</f>
        <v>4</v>
      </c>
    </row>
    <row r="64" spans="1:8" x14ac:dyDescent="0.25">
      <c r="A64" t="str">
        <f>RAW_GAMES!A64</f>
        <v>25/26</v>
      </c>
      <c r="B64" s="3">
        <f>RAW_GAMES!B64</f>
        <v>45919</v>
      </c>
      <c r="C64" t="str">
        <f>RAW_GAMES!E64</f>
        <v>KVA</v>
      </c>
      <c r="D64" t="str">
        <f>RAW_GAMES!R64</f>
        <v>Frodl</v>
      </c>
      <c r="F64">
        <f>RAW_GAMES!K64</f>
        <v>42</v>
      </c>
      <c r="G64" s="7">
        <f>RAW_GAMES!S64</f>
        <v>41</v>
      </c>
      <c r="H64">
        <f>RAW_GAMES!I64</f>
        <v>1</v>
      </c>
    </row>
    <row r="65" spans="1:8" x14ac:dyDescent="0.25">
      <c r="A65" t="str">
        <f>RAW_GAMES!A65</f>
        <v>25/26</v>
      </c>
      <c r="B65" s="3">
        <f>RAW_GAMES!B65</f>
        <v>45919</v>
      </c>
      <c r="C65" t="str">
        <f>RAW_GAMES!E65</f>
        <v>LIB</v>
      </c>
      <c r="D65" t="str">
        <f>RAW_GAMES!R65</f>
        <v>Kváča</v>
      </c>
      <c r="F65">
        <f>RAW_GAMES!K65</f>
        <v>21</v>
      </c>
      <c r="G65" s="7">
        <f>RAW_GAMES!S65</f>
        <v>17</v>
      </c>
      <c r="H65">
        <f>RAW_GAMES!I65</f>
        <v>4</v>
      </c>
    </row>
    <row r="66" spans="1:8" x14ac:dyDescent="0.25">
      <c r="A66" t="str">
        <f>RAW_GAMES!A66</f>
        <v>25/26</v>
      </c>
      <c r="B66" s="3">
        <f>RAW_GAMES!B66</f>
        <v>45919</v>
      </c>
      <c r="C66" t="str">
        <f>RAW_GAMES!E66</f>
        <v>LIT</v>
      </c>
      <c r="D66" t="str">
        <f>RAW_GAMES!R66</f>
        <v>Tomek</v>
      </c>
      <c r="F66">
        <f>RAW_GAMES!K66</f>
        <v>34</v>
      </c>
      <c r="G66" s="7">
        <f>RAW_GAMES!S66</f>
        <v>29</v>
      </c>
      <c r="H66">
        <f>RAW_GAMES!I66</f>
        <v>5</v>
      </c>
    </row>
    <row r="67" spans="1:8" x14ac:dyDescent="0.25">
      <c r="A67" t="str">
        <f>RAW_GAMES!A67</f>
        <v>25/26</v>
      </c>
      <c r="B67" s="3">
        <f>RAW_GAMES!B67</f>
        <v>45919</v>
      </c>
      <c r="C67" t="str">
        <f>RAW_GAMES!E67</f>
        <v>MBL</v>
      </c>
      <c r="D67" t="str">
        <f>RAW_GAMES!R67</f>
        <v>Furch</v>
      </c>
      <c r="F67">
        <f>RAW_GAMES!K67</f>
        <v>27</v>
      </c>
      <c r="G67" s="7">
        <f>RAW_GAMES!S67</f>
        <v>25</v>
      </c>
      <c r="H67">
        <f>RAW_GAMES!I67</f>
        <v>2</v>
      </c>
    </row>
    <row r="68" spans="1:8" x14ac:dyDescent="0.25">
      <c r="A68" t="str">
        <f>RAW_GAMES!A68</f>
        <v>25/26</v>
      </c>
      <c r="B68" s="3">
        <f>RAW_GAMES!B68</f>
        <v>45919</v>
      </c>
      <c r="C68" t="str">
        <f>RAW_GAMES!E68</f>
        <v>MHK</v>
      </c>
      <c r="D68" t="str">
        <f>RAW_GAMES!R68</f>
        <v>Škorvánek</v>
      </c>
      <c r="F68">
        <f>RAW_GAMES!K68</f>
        <v>42</v>
      </c>
      <c r="G68" s="7">
        <f>RAW_GAMES!S68</f>
        <v>22</v>
      </c>
      <c r="H68">
        <f>RAW_GAMES!I68</f>
        <v>3</v>
      </c>
    </row>
    <row r="69" spans="1:8" x14ac:dyDescent="0.25">
      <c r="A69" t="str">
        <f>RAW_GAMES!A69</f>
        <v>25/26</v>
      </c>
      <c r="B69" s="3">
        <f>RAW_GAMES!B69</f>
        <v>45919</v>
      </c>
      <c r="C69" t="str">
        <f>RAW_GAMES!E69</f>
        <v>OLO</v>
      </c>
      <c r="D69" t="str">
        <f>RAW_GAMES!R69</f>
        <v>Machovský</v>
      </c>
      <c r="F69">
        <f>RAW_GAMES!K69</f>
        <v>41</v>
      </c>
      <c r="G69" s="7">
        <f>RAW_GAMES!S69</f>
        <v>38</v>
      </c>
      <c r="H69">
        <f>RAW_GAMES!I69</f>
        <v>3</v>
      </c>
    </row>
    <row r="70" spans="1:8" x14ac:dyDescent="0.25">
      <c r="A70" t="str">
        <f>RAW_GAMES!A70</f>
        <v>25/26</v>
      </c>
      <c r="B70" s="3">
        <f>RAW_GAMES!B70</f>
        <v>45919</v>
      </c>
      <c r="C70" t="str">
        <f>RAW_GAMES!E70</f>
        <v>PLZ</v>
      </c>
      <c r="D70" t="str">
        <f>RAW_GAMES!R70</f>
        <v>Růžička</v>
      </c>
      <c r="F70">
        <f>RAW_GAMES!K70</f>
        <v>31</v>
      </c>
      <c r="G70" s="7">
        <f>RAW_GAMES!S70</f>
        <v>29</v>
      </c>
      <c r="H70">
        <f>RAW_GAMES!I70</f>
        <v>2</v>
      </c>
    </row>
    <row r="71" spans="1:8" x14ac:dyDescent="0.25">
      <c r="A71" t="str">
        <f>RAW_GAMES!A71</f>
        <v>25/26</v>
      </c>
      <c r="B71" s="3">
        <f>RAW_GAMES!B71</f>
        <v>45919</v>
      </c>
      <c r="C71" t="str">
        <f>RAW_GAMES!E71</f>
        <v>VIT</v>
      </c>
      <c r="D71" t="str">
        <f>RAW_GAMES!R71</f>
        <v>Klimeš</v>
      </c>
      <c r="F71">
        <f>RAW_GAMES!K71</f>
        <v>23</v>
      </c>
      <c r="G71" s="7">
        <f>RAW_GAMES!S71</f>
        <v>19</v>
      </c>
      <c r="H71">
        <f>RAW_GAMES!I71</f>
        <v>4</v>
      </c>
    </row>
    <row r="72" spans="1:8" x14ac:dyDescent="0.25">
      <c r="A72" t="str">
        <f>RAW_GAMES!A72</f>
        <v>25/26</v>
      </c>
      <c r="B72" s="3">
        <f>RAW_GAMES!B72</f>
        <v>45921</v>
      </c>
      <c r="C72" t="str">
        <f>RAW_GAMES!E72</f>
        <v>PCE</v>
      </c>
      <c r="D72" t="str">
        <f>RAW_GAMES!R72</f>
        <v>Will</v>
      </c>
      <c r="F72">
        <f>RAW_GAMES!K72</f>
        <v>13</v>
      </c>
      <c r="G72" s="7">
        <f>RAW_GAMES!S72</f>
        <v>11</v>
      </c>
      <c r="H72">
        <f>RAW_GAMES!I72</f>
        <v>2</v>
      </c>
    </row>
    <row r="73" spans="1:8" x14ac:dyDescent="0.25">
      <c r="A73" t="str">
        <f>RAW_GAMES!A73</f>
        <v>25/26</v>
      </c>
      <c r="B73" s="3">
        <f>RAW_GAMES!B73</f>
        <v>45921</v>
      </c>
      <c r="C73" t="str">
        <f>RAW_GAMES!E73</f>
        <v>TRI</v>
      </c>
      <c r="D73" t="str">
        <f>RAW_GAMES!R73</f>
        <v>Mazanec</v>
      </c>
      <c r="F73">
        <f>RAW_GAMES!K73</f>
        <v>43</v>
      </c>
      <c r="G73" s="7">
        <f>RAW_GAMES!S73</f>
        <v>41</v>
      </c>
      <c r="H73">
        <f>RAW_GAMES!I73</f>
        <v>2</v>
      </c>
    </row>
    <row r="74" spans="1:8" x14ac:dyDescent="0.25">
      <c r="A74" t="str">
        <f>RAW_GAMES!A74</f>
        <v>25/26</v>
      </c>
      <c r="B74" s="3">
        <f>RAW_GAMES!B74</f>
        <v>45921</v>
      </c>
      <c r="C74" t="str">
        <f>RAW_GAMES!E74</f>
        <v>SPA</v>
      </c>
      <c r="D74" t="str">
        <f>RAW_GAMES!R74</f>
        <v>Kořenář</v>
      </c>
      <c r="F74">
        <f>RAW_GAMES!K74</f>
        <v>32</v>
      </c>
      <c r="G74" s="7">
        <f>RAW_GAMES!S74</f>
        <v>30</v>
      </c>
      <c r="H74">
        <f>RAW_GAMES!I74</f>
        <v>2</v>
      </c>
    </row>
    <row r="75" spans="1:8" x14ac:dyDescent="0.25">
      <c r="A75" t="str">
        <f>RAW_GAMES!A75</f>
        <v>25/26</v>
      </c>
      <c r="B75" s="3">
        <f>RAW_GAMES!B75</f>
        <v>45921</v>
      </c>
      <c r="C75" t="str">
        <f>RAW_GAMES!E75</f>
        <v>KOM</v>
      </c>
      <c r="D75" t="str">
        <f>RAW_GAMES!R75</f>
        <v>Kavan</v>
      </c>
      <c r="F75">
        <f>RAW_GAMES!K75</f>
        <v>36</v>
      </c>
      <c r="G75" s="7">
        <f>RAW_GAMES!S75</f>
        <v>33</v>
      </c>
      <c r="H75">
        <f>RAW_GAMES!I75</f>
        <v>3</v>
      </c>
    </row>
    <row r="76" spans="1:8" x14ac:dyDescent="0.25">
      <c r="A76" t="str">
        <f>RAW_GAMES!A76</f>
        <v>25/26</v>
      </c>
      <c r="B76" s="3">
        <f>RAW_GAMES!B76</f>
        <v>45921</v>
      </c>
      <c r="C76" t="str">
        <f>RAW_GAMES!E76</f>
        <v>CEB</v>
      </c>
      <c r="D76" t="str">
        <f>RAW_GAMES!R76</f>
        <v>Klouček</v>
      </c>
      <c r="F76">
        <f>RAW_GAMES!K76</f>
        <v>12</v>
      </c>
      <c r="G76" s="7">
        <f>RAW_GAMES!S76</f>
        <v>9</v>
      </c>
      <c r="H76">
        <f>RAW_GAMES!I76</f>
        <v>3</v>
      </c>
    </row>
    <row r="77" spans="1:8" x14ac:dyDescent="0.25">
      <c r="A77" t="str">
        <f>RAW_GAMES!A77</f>
        <v>25/26</v>
      </c>
      <c r="B77" s="3">
        <f>RAW_GAMES!B77</f>
        <v>45921</v>
      </c>
      <c r="C77" t="str">
        <f>RAW_GAMES!E77</f>
        <v>KLA</v>
      </c>
      <c r="D77" t="str">
        <f>RAW_GAMES!R77</f>
        <v>Brízgala</v>
      </c>
      <c r="F77">
        <f>RAW_GAMES!K77</f>
        <v>31</v>
      </c>
      <c r="G77" s="7">
        <f>RAW_GAMES!S77</f>
        <v>27</v>
      </c>
      <c r="H77">
        <f>RAW_GAMES!I77</f>
        <v>4</v>
      </c>
    </row>
    <row r="78" spans="1:8" x14ac:dyDescent="0.25">
      <c r="A78" t="str">
        <f>RAW_GAMES!A78</f>
        <v>25/26</v>
      </c>
      <c r="B78" s="3">
        <f>RAW_GAMES!B78</f>
        <v>45921</v>
      </c>
      <c r="C78" t="str">
        <f>RAW_GAMES!E78</f>
        <v>KVA</v>
      </c>
      <c r="D78" t="str">
        <f>RAW_GAMES!R78</f>
        <v>Král</v>
      </c>
      <c r="F78">
        <f>RAW_GAMES!K78</f>
        <v>33</v>
      </c>
      <c r="G78" s="7">
        <f>RAW_GAMES!S78</f>
        <v>31</v>
      </c>
      <c r="H78">
        <f>RAW_GAMES!I78</f>
        <v>2</v>
      </c>
    </row>
    <row r="79" spans="1:8" x14ac:dyDescent="0.25">
      <c r="A79" t="str">
        <f>RAW_GAMES!A79</f>
        <v>25/26</v>
      </c>
      <c r="B79" s="3">
        <f>RAW_GAMES!B79</f>
        <v>45921</v>
      </c>
      <c r="C79" t="str">
        <f>RAW_GAMES!E79</f>
        <v>LIB</v>
      </c>
      <c r="D79" t="str">
        <f>RAW_GAMES!R79</f>
        <v>Kváča</v>
      </c>
      <c r="F79">
        <f>RAW_GAMES!K79</f>
        <v>31</v>
      </c>
      <c r="G79" s="7">
        <f>RAW_GAMES!S79</f>
        <v>27</v>
      </c>
      <c r="H79">
        <f>RAW_GAMES!I79</f>
        <v>1</v>
      </c>
    </row>
    <row r="80" spans="1:8" x14ac:dyDescent="0.25">
      <c r="A80" t="str">
        <f>RAW_GAMES!A80</f>
        <v>25/26</v>
      </c>
      <c r="B80" s="3">
        <f>RAW_GAMES!B80</f>
        <v>45921</v>
      </c>
      <c r="C80" t="str">
        <f>RAW_GAMES!E80</f>
        <v>MBL</v>
      </c>
      <c r="D80" t="str">
        <f>RAW_GAMES!R80</f>
        <v>Furch</v>
      </c>
      <c r="F80">
        <f>RAW_GAMES!K80</f>
        <v>25</v>
      </c>
      <c r="G80" s="7">
        <f>RAW_GAMES!S80</f>
        <v>22</v>
      </c>
      <c r="H80">
        <f>RAW_GAMES!I80</f>
        <v>3</v>
      </c>
    </row>
    <row r="81" spans="1:8" x14ac:dyDescent="0.25">
      <c r="A81" t="str">
        <f>RAW_GAMES!A81</f>
        <v>25/26</v>
      </c>
      <c r="B81" s="3">
        <f>RAW_GAMES!B81</f>
        <v>45921</v>
      </c>
      <c r="C81" t="str">
        <f>RAW_GAMES!E81</f>
        <v>MHK</v>
      </c>
      <c r="D81" t="str">
        <f>RAW_GAMES!R81</f>
        <v>Novotný</v>
      </c>
      <c r="F81">
        <f>RAW_GAMES!K81</f>
        <v>30</v>
      </c>
      <c r="G81" s="7">
        <f>RAW_GAMES!S81</f>
        <v>25</v>
      </c>
      <c r="H81">
        <f>RAW_GAMES!I81</f>
        <v>5</v>
      </c>
    </row>
    <row r="82" spans="1:8" x14ac:dyDescent="0.25">
      <c r="A82" t="str">
        <f>RAW_GAMES!A82</f>
        <v>25/26</v>
      </c>
      <c r="B82" s="3">
        <f>RAW_GAMES!B82</f>
        <v>45921</v>
      </c>
      <c r="C82" t="str">
        <f>RAW_GAMES!E82</f>
        <v>PLZ</v>
      </c>
      <c r="D82" t="str">
        <f>RAW_GAMES!R82</f>
        <v>Růžička</v>
      </c>
      <c r="F82">
        <f>RAW_GAMES!K82</f>
        <v>27</v>
      </c>
      <c r="G82" s="7">
        <f>RAW_GAMES!S82</f>
        <v>26</v>
      </c>
      <c r="H82">
        <f>RAW_GAMES!I82</f>
        <v>1</v>
      </c>
    </row>
    <row r="83" spans="1:8" x14ac:dyDescent="0.25">
      <c r="A83" t="str">
        <f>RAW_GAMES!A83</f>
        <v>25/26</v>
      </c>
      <c r="B83" s="3">
        <f>RAW_GAMES!B83</f>
        <v>45921</v>
      </c>
      <c r="C83" t="str">
        <f>RAW_GAMES!E83</f>
        <v>VIT</v>
      </c>
      <c r="D83" t="str">
        <f>RAW_GAMES!R83</f>
        <v>Hrachovina</v>
      </c>
      <c r="F83">
        <f>RAW_GAMES!K83</f>
        <v>34</v>
      </c>
      <c r="G83" s="7">
        <f>RAW_GAMES!S83</f>
        <v>32</v>
      </c>
      <c r="H83">
        <f>RAW_GAMES!I83</f>
        <v>3</v>
      </c>
    </row>
    <row r="84" spans="1:8" x14ac:dyDescent="0.25">
      <c r="A84" t="str">
        <f>RAW_GAMES!A84</f>
        <v>25/26</v>
      </c>
      <c r="B84" s="3">
        <f>RAW_GAMES!B84</f>
        <v>45923</v>
      </c>
      <c r="C84" t="str">
        <f>RAW_GAMES!E84</f>
        <v>PCE</v>
      </c>
      <c r="D84" t="str">
        <f>RAW_GAMES!R84</f>
        <v>Vomáčka</v>
      </c>
      <c r="F84">
        <f>RAW_GAMES!K84</f>
        <v>39</v>
      </c>
      <c r="G84" s="7">
        <f>RAW_GAMES!S84</f>
        <v>35</v>
      </c>
      <c r="H84">
        <f>RAW_GAMES!I84</f>
        <v>4</v>
      </c>
    </row>
    <row r="85" spans="1:8" x14ac:dyDescent="0.25">
      <c r="A85" t="str">
        <f>RAW_GAMES!A85</f>
        <v>25/26</v>
      </c>
      <c r="B85" s="3">
        <f>RAW_GAMES!B85</f>
        <v>45923</v>
      </c>
      <c r="C85" t="str">
        <f>RAW_GAMES!E85</f>
        <v>SPA</v>
      </c>
      <c r="D85" t="str">
        <f>RAW_GAMES!R85</f>
        <v>Kovář</v>
      </c>
      <c r="F85">
        <f>RAW_GAMES!K85</f>
        <v>23</v>
      </c>
      <c r="G85" s="7">
        <f>RAW_GAMES!S85</f>
        <v>19</v>
      </c>
      <c r="H85">
        <f>RAW_GAMES!I85</f>
        <v>4</v>
      </c>
    </row>
    <row r="86" spans="1:8" x14ac:dyDescent="0.25">
      <c r="A86" t="str">
        <f>RAW_GAMES!A86</f>
        <v>25/26</v>
      </c>
      <c r="B86" s="3">
        <f>RAW_GAMES!B86</f>
        <v>45923</v>
      </c>
      <c r="C86" t="str">
        <f>RAW_GAMES!E86</f>
        <v>KOM</v>
      </c>
      <c r="D86" t="str">
        <f>RAW_GAMES!R86</f>
        <v>Stezka</v>
      </c>
      <c r="F86">
        <f>RAW_GAMES!K86</f>
        <v>18</v>
      </c>
      <c r="G86" s="7">
        <f>RAW_GAMES!S86</f>
        <v>16</v>
      </c>
      <c r="H86">
        <f>RAW_GAMES!I86</f>
        <v>2</v>
      </c>
    </row>
    <row r="87" spans="1:8" x14ac:dyDescent="0.25">
      <c r="A87" t="str">
        <f>RAW_GAMES!A87</f>
        <v>25/26</v>
      </c>
      <c r="B87" s="3">
        <f>RAW_GAMES!B87</f>
        <v>45923</v>
      </c>
      <c r="C87" t="str">
        <f>RAW_GAMES!E87</f>
        <v>CEB</v>
      </c>
      <c r="D87" t="str">
        <f>RAW_GAMES!R87</f>
        <v>Strmeň</v>
      </c>
      <c r="F87">
        <f>RAW_GAMES!K87</f>
        <v>39</v>
      </c>
      <c r="G87" s="7">
        <f>RAW_GAMES!S87</f>
        <v>36</v>
      </c>
      <c r="H87">
        <f>RAW_GAMES!I87</f>
        <v>3</v>
      </c>
    </row>
    <row r="88" spans="1:8" x14ac:dyDescent="0.25">
      <c r="A88" t="str">
        <f>RAW_GAMES!A88</f>
        <v>25/26</v>
      </c>
      <c r="B88" s="3">
        <f>RAW_GAMES!B88</f>
        <v>45923</v>
      </c>
      <c r="C88" t="str">
        <f>RAW_GAMES!E88</f>
        <v>KLA</v>
      </c>
      <c r="D88" t="str">
        <f>RAW_GAMES!R88</f>
        <v>Brízgala</v>
      </c>
      <c r="F88">
        <f>RAW_GAMES!K88</f>
        <v>22</v>
      </c>
      <c r="G88" s="7">
        <f>RAW_GAMES!S88</f>
        <v>17</v>
      </c>
      <c r="H88">
        <f>RAW_GAMES!I88</f>
        <v>5</v>
      </c>
    </row>
    <row r="89" spans="1:8" x14ac:dyDescent="0.25">
      <c r="A89" t="str">
        <f>RAW_GAMES!A89</f>
        <v>25/26</v>
      </c>
      <c r="B89" s="3">
        <f>RAW_GAMES!B89</f>
        <v>45923</v>
      </c>
      <c r="C89" t="str">
        <f>RAW_GAMES!E89</f>
        <v>KVA</v>
      </c>
      <c r="D89" t="str">
        <f>RAW_GAMES!R89</f>
        <v>Frodl</v>
      </c>
      <c r="F89">
        <f>RAW_GAMES!K89</f>
        <v>22</v>
      </c>
      <c r="G89" s="7">
        <f>RAW_GAMES!S89</f>
        <v>21</v>
      </c>
      <c r="H89">
        <f>RAW_GAMES!I89</f>
        <v>1</v>
      </c>
    </row>
    <row r="90" spans="1:8" x14ac:dyDescent="0.25">
      <c r="A90" t="str">
        <f>RAW_GAMES!A90</f>
        <v>25/26</v>
      </c>
      <c r="B90" s="3">
        <f>RAW_GAMES!B90</f>
        <v>45923</v>
      </c>
      <c r="C90" t="str">
        <f>RAW_GAMES!E90</f>
        <v>LIB</v>
      </c>
      <c r="D90" t="str">
        <f>RAW_GAMES!R90</f>
        <v>Hamalčík</v>
      </c>
      <c r="F90">
        <f>RAW_GAMES!K90</f>
        <v>23</v>
      </c>
      <c r="G90" s="7">
        <f>RAW_GAMES!S90</f>
        <v>19</v>
      </c>
      <c r="H90">
        <f>RAW_GAMES!I90</f>
        <v>4</v>
      </c>
    </row>
    <row r="91" spans="1:8" x14ac:dyDescent="0.25">
      <c r="A91" t="str">
        <f>RAW_GAMES!A91</f>
        <v>25/26</v>
      </c>
      <c r="B91" s="3">
        <f>RAW_GAMES!B91</f>
        <v>45923</v>
      </c>
      <c r="C91" t="str">
        <f>RAW_GAMES!E91</f>
        <v>LIT</v>
      </c>
      <c r="D91" t="str">
        <f>RAW_GAMES!R91</f>
        <v>Čajan</v>
      </c>
      <c r="F91">
        <f>RAW_GAMES!K91</f>
        <v>40</v>
      </c>
      <c r="G91" s="7">
        <f>RAW_GAMES!S91</f>
        <v>38</v>
      </c>
      <c r="H91">
        <f>RAW_GAMES!I91</f>
        <v>2</v>
      </c>
    </row>
    <row r="92" spans="1:8" x14ac:dyDescent="0.25">
      <c r="A92" t="str">
        <f>RAW_GAMES!A92</f>
        <v>25/26</v>
      </c>
      <c r="B92" s="3">
        <f>RAW_GAMES!B92</f>
        <v>45923</v>
      </c>
      <c r="C92" t="str">
        <f>RAW_GAMES!E92</f>
        <v>MBL</v>
      </c>
      <c r="D92" t="str">
        <f>RAW_GAMES!R92</f>
        <v>Westerholm</v>
      </c>
      <c r="F92">
        <f>RAW_GAMES!K92</f>
        <v>29</v>
      </c>
      <c r="G92" s="7">
        <f>RAW_GAMES!S92</f>
        <v>25</v>
      </c>
      <c r="H92">
        <f>RAW_GAMES!I92</f>
        <v>4</v>
      </c>
    </row>
    <row r="93" spans="1:8" x14ac:dyDescent="0.25">
      <c r="A93" t="str">
        <f>RAW_GAMES!A93</f>
        <v>25/26</v>
      </c>
      <c r="B93" s="3">
        <f>RAW_GAMES!B93</f>
        <v>45923</v>
      </c>
      <c r="C93" t="str">
        <f>RAW_GAMES!E93</f>
        <v>OLO</v>
      </c>
      <c r="D93" t="str">
        <f>RAW_GAMES!R93</f>
        <v>Machovský</v>
      </c>
      <c r="F93">
        <f>RAW_GAMES!K93</f>
        <v>33</v>
      </c>
      <c r="G93" s="7">
        <f>RAW_GAMES!S93</f>
        <v>31</v>
      </c>
      <c r="H93">
        <f>RAW_GAMES!I93</f>
        <v>2</v>
      </c>
    </row>
    <row r="94" spans="1:8" x14ac:dyDescent="0.25">
      <c r="A94" t="str">
        <f>RAW_GAMES!A94</f>
        <v>25/26</v>
      </c>
      <c r="B94" s="3">
        <f>RAW_GAMES!B94</f>
        <v>45923</v>
      </c>
      <c r="C94" t="str">
        <f>RAW_GAMES!E94</f>
        <v>PLZ</v>
      </c>
      <c r="D94" t="str">
        <f>RAW_GAMES!R94</f>
        <v>Růžička</v>
      </c>
      <c r="F94">
        <f>RAW_GAMES!K94</f>
        <v>29</v>
      </c>
      <c r="G94" s="7">
        <f>RAW_GAMES!S94</f>
        <v>25</v>
      </c>
      <c r="H94">
        <f>RAW_GAMES!I94</f>
        <v>4</v>
      </c>
    </row>
    <row r="95" spans="1:8" x14ac:dyDescent="0.25">
      <c r="A95" t="str">
        <f>RAW_GAMES!A95</f>
        <v>25/26</v>
      </c>
      <c r="B95" s="3">
        <f>RAW_GAMES!B95</f>
        <v>45923</v>
      </c>
      <c r="C95" t="str">
        <f>RAW_GAMES!E95</f>
        <v>VIT</v>
      </c>
      <c r="D95" t="str">
        <f>RAW_GAMES!R95</f>
        <v>Hrachovina</v>
      </c>
      <c r="F95">
        <f>RAW_GAMES!K95</f>
        <v>30</v>
      </c>
      <c r="G95" s="7">
        <f>RAW_GAMES!S95</f>
        <v>28</v>
      </c>
      <c r="H95">
        <f>RAW_GAMES!I95</f>
        <v>2</v>
      </c>
    </row>
    <row r="96" spans="1:8" x14ac:dyDescent="0.25">
      <c r="A96" t="str">
        <f>RAW_GAMES!A96</f>
        <v>25/26</v>
      </c>
      <c r="B96" s="3">
        <f>RAW_GAMES!B96</f>
        <v>45925</v>
      </c>
      <c r="C96" t="str">
        <f>RAW_GAMES!E96</f>
        <v>PCE</v>
      </c>
      <c r="D96" t="str">
        <f>RAW_GAMES!R96</f>
        <v>Will</v>
      </c>
      <c r="F96">
        <f>RAW_GAMES!K96</f>
        <v>18</v>
      </c>
      <c r="G96" s="7">
        <f>RAW_GAMES!S96</f>
        <v>13</v>
      </c>
      <c r="H96">
        <f>RAW_GAMES!I96</f>
        <v>5</v>
      </c>
    </row>
    <row r="97" spans="1:8" x14ac:dyDescent="0.25">
      <c r="A97" t="str">
        <f>RAW_GAMES!A97</f>
        <v>25/26</v>
      </c>
      <c r="B97" s="3">
        <f>RAW_GAMES!B97</f>
        <v>45925</v>
      </c>
      <c r="C97" t="str">
        <f>RAW_GAMES!E97</f>
        <v>TRI</v>
      </c>
      <c r="D97" t="str">
        <f>RAW_GAMES!R97</f>
        <v>Kacetl</v>
      </c>
      <c r="F97">
        <f>RAW_GAMES!K97</f>
        <v>27</v>
      </c>
      <c r="G97" s="7">
        <f>RAW_GAMES!S97</f>
        <v>23</v>
      </c>
      <c r="H97">
        <f>RAW_GAMES!I97</f>
        <v>4</v>
      </c>
    </row>
    <row r="98" spans="1:8" x14ac:dyDescent="0.25">
      <c r="A98" t="str">
        <f>RAW_GAMES!A98</f>
        <v>25/26</v>
      </c>
      <c r="B98" s="3">
        <f>RAW_GAMES!B98</f>
        <v>45926</v>
      </c>
      <c r="C98" t="str">
        <f>RAW_GAMES!E98</f>
        <v>SPA</v>
      </c>
      <c r="D98" t="str">
        <f>RAW_GAMES!R98</f>
        <v>Michajlov</v>
      </c>
      <c r="F98">
        <f>RAW_GAMES!K98</f>
        <v>21</v>
      </c>
      <c r="G98" s="7">
        <f>RAW_GAMES!S98</f>
        <v>19</v>
      </c>
      <c r="H98">
        <f>RAW_GAMES!I98</f>
        <v>2</v>
      </c>
    </row>
    <row r="99" spans="1:8" x14ac:dyDescent="0.25">
      <c r="A99" t="str">
        <f>RAW_GAMES!A99</f>
        <v>25/26</v>
      </c>
      <c r="B99" s="3">
        <f>RAW_GAMES!B99</f>
        <v>45926</v>
      </c>
      <c r="C99" t="str">
        <f>RAW_GAMES!E99</f>
        <v>KOM</v>
      </c>
      <c r="D99" t="str">
        <f>RAW_GAMES!R99</f>
        <v>Kavan</v>
      </c>
      <c r="F99">
        <f>RAW_GAMES!K99</f>
        <v>35</v>
      </c>
      <c r="G99" s="7">
        <f>RAW_GAMES!S99</f>
        <v>27</v>
      </c>
      <c r="H99">
        <f>RAW_GAMES!I99</f>
        <v>8</v>
      </c>
    </row>
    <row r="100" spans="1:8" x14ac:dyDescent="0.25">
      <c r="A100" t="str">
        <f>RAW_GAMES!A100</f>
        <v>25/26</v>
      </c>
      <c r="B100" s="3">
        <f>RAW_GAMES!B100</f>
        <v>45926</v>
      </c>
      <c r="C100" t="str">
        <f>RAW_GAMES!E100</f>
        <v>CEB</v>
      </c>
      <c r="D100" t="str">
        <f>RAW_GAMES!R100</f>
        <v>Klouček</v>
      </c>
      <c r="F100">
        <f>RAW_GAMES!K100</f>
        <v>21</v>
      </c>
      <c r="G100" s="7">
        <f>RAW_GAMES!S100</f>
        <v>21</v>
      </c>
      <c r="H100">
        <f>RAW_GAMES!I100</f>
        <v>0</v>
      </c>
    </row>
    <row r="101" spans="1:8" x14ac:dyDescent="0.25">
      <c r="A101" t="str">
        <f>RAW_GAMES!A101</f>
        <v>25/26</v>
      </c>
      <c r="B101" s="3">
        <f>RAW_GAMES!B101</f>
        <v>45926</v>
      </c>
      <c r="C101" t="str">
        <f>RAW_GAMES!E101</f>
        <v>KLA</v>
      </c>
      <c r="D101" t="str">
        <f>RAW_GAMES!R101</f>
        <v>Brízgala</v>
      </c>
      <c r="F101">
        <f>RAW_GAMES!K101</f>
        <v>18</v>
      </c>
      <c r="G101" s="7">
        <f>RAW_GAMES!S101</f>
        <v>15</v>
      </c>
      <c r="H101">
        <f>RAW_GAMES!I101</f>
        <v>3</v>
      </c>
    </row>
    <row r="102" spans="1:8" x14ac:dyDescent="0.25">
      <c r="A102" t="str">
        <f>RAW_GAMES!A102</f>
        <v>25/26</v>
      </c>
      <c r="B102" s="3">
        <f>RAW_GAMES!B102</f>
        <v>45926</v>
      </c>
      <c r="C102" t="str">
        <f>RAW_GAMES!E102</f>
        <v>KVA</v>
      </c>
      <c r="D102" t="str">
        <f>RAW_GAMES!R102</f>
        <v>Frodl</v>
      </c>
      <c r="F102">
        <f>RAW_GAMES!K102</f>
        <v>23</v>
      </c>
      <c r="G102" s="7">
        <f>RAW_GAMES!S102</f>
        <v>21</v>
      </c>
      <c r="H102">
        <f>RAW_GAMES!I102</f>
        <v>2</v>
      </c>
    </row>
    <row r="103" spans="1:8" x14ac:dyDescent="0.25">
      <c r="A103" t="str">
        <f>RAW_GAMES!A103</f>
        <v>25/26</v>
      </c>
      <c r="B103" s="3">
        <f>RAW_GAMES!B103</f>
        <v>45926</v>
      </c>
      <c r="C103" t="str">
        <f>RAW_GAMES!E103</f>
        <v>LIB</v>
      </c>
      <c r="D103" t="str">
        <f>RAW_GAMES!R103</f>
        <v>Kváča</v>
      </c>
      <c r="F103">
        <f>RAW_GAMES!K103</f>
        <v>23</v>
      </c>
      <c r="G103" s="7">
        <f>RAW_GAMES!S103</f>
        <v>22</v>
      </c>
      <c r="H103">
        <f>RAW_GAMES!I103</f>
        <v>1</v>
      </c>
    </row>
    <row r="104" spans="1:8" x14ac:dyDescent="0.25">
      <c r="A104" t="str">
        <f>RAW_GAMES!A104</f>
        <v>25/26</v>
      </c>
      <c r="B104" s="3">
        <f>RAW_GAMES!B104</f>
        <v>45926</v>
      </c>
      <c r="C104" t="str">
        <f>RAW_GAMES!E104</f>
        <v>LIT</v>
      </c>
      <c r="D104" t="str">
        <f>RAW_GAMES!R104</f>
        <v>Čajan</v>
      </c>
      <c r="F104">
        <f>RAW_GAMES!K104</f>
        <v>41</v>
      </c>
      <c r="G104" s="7">
        <f>RAW_GAMES!S104</f>
        <v>39</v>
      </c>
      <c r="H104">
        <f>RAW_GAMES!I104</f>
        <v>2</v>
      </c>
    </row>
    <row r="105" spans="1:8" x14ac:dyDescent="0.25">
      <c r="A105" t="str">
        <f>RAW_GAMES!A105</f>
        <v>25/26</v>
      </c>
      <c r="B105" s="3">
        <f>RAW_GAMES!B105</f>
        <v>45926</v>
      </c>
      <c r="C105" t="str">
        <f>RAW_GAMES!E105</f>
        <v>MBL</v>
      </c>
      <c r="D105" t="str">
        <f>RAW_GAMES!R105</f>
        <v>Westerholm</v>
      </c>
      <c r="F105">
        <f>RAW_GAMES!K105</f>
        <v>33</v>
      </c>
      <c r="G105" s="7">
        <f>RAW_GAMES!S105</f>
        <v>26</v>
      </c>
      <c r="H105">
        <f>RAW_GAMES!I105</f>
        <v>7</v>
      </c>
    </row>
    <row r="106" spans="1:8" x14ac:dyDescent="0.25">
      <c r="A106" t="str">
        <f>RAW_GAMES!A106</f>
        <v>25/26</v>
      </c>
      <c r="B106" s="3">
        <f>RAW_GAMES!B106</f>
        <v>45926</v>
      </c>
      <c r="C106" t="str">
        <f>RAW_GAMES!E106</f>
        <v>MHK</v>
      </c>
      <c r="D106" t="str">
        <f>RAW_GAMES!R106</f>
        <v>Škorvánek</v>
      </c>
      <c r="F106">
        <f>RAW_GAMES!K106</f>
        <v>14</v>
      </c>
      <c r="G106" s="7">
        <f>RAW_GAMES!S106</f>
        <v>14</v>
      </c>
      <c r="H106">
        <f>RAW_GAMES!I106</f>
        <v>0</v>
      </c>
    </row>
    <row r="107" spans="1:8" x14ac:dyDescent="0.25">
      <c r="A107" t="str">
        <f>RAW_GAMES!A107</f>
        <v>25/26</v>
      </c>
      <c r="B107" s="3">
        <f>RAW_GAMES!B107</f>
        <v>45926</v>
      </c>
      <c r="C107" t="str">
        <f>RAW_GAMES!E107</f>
        <v>OLO</v>
      </c>
      <c r="D107" t="str">
        <f>RAW_GAMES!R107</f>
        <v>Machovský</v>
      </c>
      <c r="F107">
        <f>RAW_GAMES!K107</f>
        <v>25</v>
      </c>
      <c r="G107" s="7">
        <f>RAW_GAMES!S107</f>
        <v>23</v>
      </c>
      <c r="H107">
        <f>RAW_GAMES!I107</f>
        <v>3</v>
      </c>
    </row>
    <row r="108" spans="1:8" x14ac:dyDescent="0.25">
      <c r="A108" t="str">
        <f>RAW_GAMES!A108</f>
        <v>25/26</v>
      </c>
      <c r="B108" s="3">
        <f>RAW_GAMES!B108</f>
        <v>45926</v>
      </c>
      <c r="C108" t="str">
        <f>RAW_GAMES!E108</f>
        <v>PLZ</v>
      </c>
      <c r="D108" t="str">
        <f>RAW_GAMES!R108</f>
        <v>Malík</v>
      </c>
      <c r="F108">
        <f>RAW_GAMES!K108</f>
        <v>28</v>
      </c>
      <c r="G108" s="7">
        <f>RAW_GAMES!S108</f>
        <v>27</v>
      </c>
      <c r="H108">
        <f>RAW_GAMES!I108</f>
        <v>1</v>
      </c>
    </row>
    <row r="109" spans="1:8" x14ac:dyDescent="0.25">
      <c r="A109" t="str">
        <f>RAW_GAMES!A109</f>
        <v>25/26</v>
      </c>
      <c r="B109" s="3">
        <f>RAW_GAMES!B109</f>
        <v>45926</v>
      </c>
      <c r="C109" t="str">
        <f>RAW_GAMES!E109</f>
        <v>VIT</v>
      </c>
      <c r="D109" t="str">
        <f>RAW_GAMES!R109</f>
        <v>Hrachovina</v>
      </c>
      <c r="F109">
        <f>RAW_GAMES!K109</f>
        <v>29</v>
      </c>
      <c r="G109" s="7">
        <f>RAW_GAMES!S109</f>
        <v>27</v>
      </c>
      <c r="H109">
        <f>RAW_GAMES!I109</f>
        <v>2</v>
      </c>
    </row>
    <row r="110" spans="1:8" x14ac:dyDescent="0.25">
      <c r="A110" t="str">
        <f>RAW_GAMES!A110</f>
        <v>25/26</v>
      </c>
      <c r="B110" s="3">
        <f>RAW_GAMES!B110</f>
        <v>45928</v>
      </c>
      <c r="C110" t="str">
        <f>RAW_GAMES!E110</f>
        <v>PCE</v>
      </c>
      <c r="D110" t="str">
        <f>RAW_GAMES!R110</f>
        <v>Will</v>
      </c>
      <c r="F110">
        <f>RAW_GAMES!K110</f>
        <v>24</v>
      </c>
      <c r="G110" s="7">
        <f>RAW_GAMES!S110</f>
        <v>23</v>
      </c>
      <c r="H110">
        <f>RAW_GAMES!I110</f>
        <v>1</v>
      </c>
    </row>
    <row r="111" spans="1:8" x14ac:dyDescent="0.25">
      <c r="A111" t="str">
        <f>RAW_GAMES!A111</f>
        <v>25/26</v>
      </c>
      <c r="B111" s="3">
        <f>RAW_GAMES!B111</f>
        <v>45928</v>
      </c>
      <c r="C111" t="str">
        <f>RAW_GAMES!E111</f>
        <v>TRI</v>
      </c>
      <c r="D111" t="str">
        <f>RAW_GAMES!R111</f>
        <v>Mazanec</v>
      </c>
      <c r="F111">
        <f>RAW_GAMES!K111</f>
        <v>41</v>
      </c>
      <c r="G111" s="7">
        <f>RAW_GAMES!S111</f>
        <v>39</v>
      </c>
      <c r="H111">
        <f>RAW_GAMES!I111</f>
        <v>2</v>
      </c>
    </row>
    <row r="112" spans="1:8" x14ac:dyDescent="0.25">
      <c r="A112" t="str">
        <f>RAW_GAMES!A112</f>
        <v>25/26</v>
      </c>
      <c r="B112" s="3">
        <f>RAW_GAMES!B112</f>
        <v>45928</v>
      </c>
      <c r="C112" t="str">
        <f>RAW_GAMES!E112</f>
        <v>SPA</v>
      </c>
      <c r="D112" t="str">
        <f>RAW_GAMES!R112</f>
        <v>Michajlov</v>
      </c>
      <c r="F112">
        <f>RAW_GAMES!K112</f>
        <v>17</v>
      </c>
      <c r="G112" s="7">
        <f>RAW_GAMES!S112</f>
        <v>14</v>
      </c>
      <c r="H112">
        <f>RAW_GAMES!I112</f>
        <v>3</v>
      </c>
    </row>
    <row r="113" spans="1:8" x14ac:dyDescent="0.25">
      <c r="A113" t="str">
        <f>RAW_GAMES!A113</f>
        <v>25/26</v>
      </c>
      <c r="B113" s="3">
        <f>RAW_GAMES!B113</f>
        <v>45928</v>
      </c>
      <c r="C113" t="str">
        <f>RAW_GAMES!E113</f>
        <v>KOM</v>
      </c>
      <c r="D113" t="str">
        <f>RAW_GAMES!R113</f>
        <v>Stezka</v>
      </c>
      <c r="F113">
        <f>RAW_GAMES!K113</f>
        <v>21</v>
      </c>
      <c r="G113" s="7">
        <f>RAW_GAMES!S113</f>
        <v>19</v>
      </c>
      <c r="H113">
        <f>RAW_GAMES!I113</f>
        <v>2</v>
      </c>
    </row>
    <row r="114" spans="1:8" x14ac:dyDescent="0.25">
      <c r="A114" t="str">
        <f>RAW_GAMES!A114</f>
        <v>25/26</v>
      </c>
      <c r="B114" s="3">
        <f>RAW_GAMES!B114</f>
        <v>45928</v>
      </c>
      <c r="C114" t="str">
        <f>RAW_GAMES!E114</f>
        <v>CEB</v>
      </c>
      <c r="D114" t="str">
        <f>RAW_GAMES!R114</f>
        <v>Klouček</v>
      </c>
      <c r="F114">
        <f>RAW_GAMES!K114</f>
        <v>26</v>
      </c>
      <c r="G114" s="7">
        <f>RAW_GAMES!S114</f>
        <v>23</v>
      </c>
      <c r="H114">
        <f>RAW_GAMES!I114</f>
        <v>3</v>
      </c>
    </row>
    <row r="115" spans="1:8" x14ac:dyDescent="0.25">
      <c r="A115" t="str">
        <f>RAW_GAMES!A115</f>
        <v>25/26</v>
      </c>
      <c r="B115" s="3">
        <f>RAW_GAMES!B115</f>
        <v>45928</v>
      </c>
      <c r="C115" t="str">
        <f>RAW_GAMES!E115</f>
        <v>KLA</v>
      </c>
      <c r="D115" t="str">
        <f>RAW_GAMES!R115</f>
        <v>Brízgala</v>
      </c>
      <c r="F115">
        <f>RAW_GAMES!K115</f>
        <v>27</v>
      </c>
      <c r="G115" s="7">
        <f>RAW_GAMES!S115</f>
        <v>24</v>
      </c>
      <c r="H115">
        <f>RAW_GAMES!I115</f>
        <v>3</v>
      </c>
    </row>
    <row r="116" spans="1:8" x14ac:dyDescent="0.25">
      <c r="A116" t="str">
        <f>RAW_GAMES!A116</f>
        <v>25/26</v>
      </c>
      <c r="B116" s="3">
        <f>RAW_GAMES!B116</f>
        <v>45928</v>
      </c>
      <c r="C116" t="str">
        <f>RAW_GAMES!E116</f>
        <v>KVA</v>
      </c>
      <c r="D116" t="str">
        <f>RAW_GAMES!R116</f>
        <v>Frodl</v>
      </c>
      <c r="F116">
        <f>RAW_GAMES!K116</f>
        <v>31</v>
      </c>
      <c r="G116" s="7">
        <f>RAW_GAMES!S116</f>
        <v>29</v>
      </c>
      <c r="H116">
        <f>RAW_GAMES!I116</f>
        <v>3</v>
      </c>
    </row>
    <row r="117" spans="1:8" x14ac:dyDescent="0.25">
      <c r="A117" t="str">
        <f>RAW_GAMES!A117</f>
        <v>25/26</v>
      </c>
      <c r="B117" s="3">
        <f>RAW_GAMES!B117</f>
        <v>45928</v>
      </c>
      <c r="C117" t="str">
        <f>RAW_GAMES!E117</f>
        <v>LIB</v>
      </c>
      <c r="D117" t="str">
        <f>RAW_GAMES!R117</f>
        <v>Kváča</v>
      </c>
      <c r="F117">
        <f>RAW_GAMES!K117</f>
        <v>45</v>
      </c>
      <c r="G117" s="7">
        <f>RAW_GAMES!S117</f>
        <v>44</v>
      </c>
      <c r="H117">
        <f>RAW_GAMES!I117</f>
        <v>1</v>
      </c>
    </row>
    <row r="118" spans="1:8" x14ac:dyDescent="0.25">
      <c r="A118" t="str">
        <f>RAW_GAMES!A118</f>
        <v>25/26</v>
      </c>
      <c r="B118" s="3">
        <f>RAW_GAMES!B118</f>
        <v>45928</v>
      </c>
      <c r="C118" t="str">
        <f>RAW_GAMES!E118</f>
        <v>LIT</v>
      </c>
      <c r="D118" t="str">
        <f>RAW_GAMES!R118</f>
        <v>Čajan</v>
      </c>
      <c r="F118">
        <f>RAW_GAMES!K118</f>
        <v>34</v>
      </c>
      <c r="G118" s="7">
        <f>RAW_GAMES!S118</f>
        <v>28</v>
      </c>
      <c r="H118">
        <f>RAW_GAMES!I118</f>
        <v>6</v>
      </c>
    </row>
    <row r="119" spans="1:8" x14ac:dyDescent="0.25">
      <c r="A119" t="str">
        <f>RAW_GAMES!A119</f>
        <v>25/26</v>
      </c>
      <c r="B119" s="3">
        <f>RAW_GAMES!B119</f>
        <v>45928</v>
      </c>
      <c r="C119" t="str">
        <f>RAW_GAMES!E119</f>
        <v>MBL</v>
      </c>
      <c r="D119" t="str">
        <f>RAW_GAMES!R119</f>
        <v>Furch</v>
      </c>
      <c r="F119">
        <f>RAW_GAMES!K119</f>
        <v>25</v>
      </c>
      <c r="G119" s="7">
        <f>RAW_GAMES!S119</f>
        <v>22</v>
      </c>
      <c r="H119">
        <f>RAW_GAMES!I119</f>
        <v>3</v>
      </c>
    </row>
    <row r="120" spans="1:8" x14ac:dyDescent="0.25">
      <c r="A120" t="str">
        <f>RAW_GAMES!A120</f>
        <v>25/26</v>
      </c>
      <c r="B120" s="3">
        <f>RAW_GAMES!B120</f>
        <v>45928</v>
      </c>
      <c r="C120" t="str">
        <f>RAW_GAMES!E120</f>
        <v>MHK</v>
      </c>
      <c r="D120" t="str">
        <f>RAW_GAMES!R120</f>
        <v>Škorvánek</v>
      </c>
      <c r="F120">
        <f>RAW_GAMES!K120</f>
        <v>16</v>
      </c>
      <c r="G120" s="7">
        <f>RAW_GAMES!S120</f>
        <v>16</v>
      </c>
      <c r="H120">
        <f>RAW_GAMES!I120</f>
        <v>0</v>
      </c>
    </row>
    <row r="121" spans="1:8" x14ac:dyDescent="0.25">
      <c r="A121" t="str">
        <f>RAW_GAMES!A121</f>
        <v>25/26</v>
      </c>
      <c r="B121" s="3">
        <f>RAW_GAMES!B121</f>
        <v>45928</v>
      </c>
      <c r="C121" t="str">
        <f>RAW_GAMES!E121</f>
        <v>OLO</v>
      </c>
      <c r="D121" t="str">
        <f>RAW_GAMES!R121</f>
        <v>Machovský</v>
      </c>
      <c r="F121">
        <f>RAW_GAMES!K121</f>
        <v>32</v>
      </c>
      <c r="G121" s="7">
        <f>RAW_GAMES!S121</f>
        <v>31</v>
      </c>
      <c r="H121">
        <f>RAW_GAMES!I121</f>
        <v>1</v>
      </c>
    </row>
    <row r="122" spans="1:8" x14ac:dyDescent="0.25">
      <c r="A122" t="str">
        <f>RAW_GAMES!A122</f>
        <v>25/26</v>
      </c>
      <c r="B122" s="3">
        <f>RAW_GAMES!B122</f>
        <v>45928</v>
      </c>
      <c r="C122" t="str">
        <f>RAW_GAMES!E122</f>
        <v>PLZ</v>
      </c>
      <c r="D122" t="str">
        <f>RAW_GAMES!R122</f>
        <v>Malík</v>
      </c>
      <c r="F122">
        <f>RAW_GAMES!K122</f>
        <v>27</v>
      </c>
      <c r="G122" s="7">
        <f>RAW_GAMES!S122</f>
        <v>25</v>
      </c>
      <c r="H122">
        <f>RAW_GAMES!I122</f>
        <v>2</v>
      </c>
    </row>
    <row r="123" spans="1:8" x14ac:dyDescent="0.25">
      <c r="A123" t="str">
        <f>RAW_GAMES!A123</f>
        <v>25/26</v>
      </c>
      <c r="B123" s="3">
        <f>RAW_GAMES!B123</f>
        <v>45928</v>
      </c>
      <c r="C123" t="str">
        <f>RAW_GAMES!E123</f>
        <v>VIT</v>
      </c>
      <c r="D123" t="str">
        <f>RAW_GAMES!R123</f>
        <v>Klimeš</v>
      </c>
      <c r="F123">
        <f>RAW_GAMES!K123</f>
        <v>37</v>
      </c>
      <c r="G123" s="7">
        <f>RAW_GAMES!S123</f>
        <v>33</v>
      </c>
      <c r="H123">
        <f>RAW_GAMES!I123</f>
        <v>4</v>
      </c>
    </row>
    <row r="124" spans="1:8" x14ac:dyDescent="0.25">
      <c r="A124" t="str">
        <f>RAW_GAMES!A124</f>
        <v>25/26</v>
      </c>
      <c r="B124" s="3">
        <f>RAW_GAMES!B124</f>
        <v>45930</v>
      </c>
      <c r="C124" t="str">
        <f>RAW_GAMES!E124</f>
        <v>PCE</v>
      </c>
      <c r="D124" t="str">
        <f>RAW_GAMES!R124</f>
        <v>Vomáčka</v>
      </c>
      <c r="F124">
        <f>RAW_GAMES!K124</f>
        <v>20</v>
      </c>
      <c r="G124" s="7">
        <f>RAW_GAMES!S124</f>
        <v>19</v>
      </c>
      <c r="H124">
        <f>RAW_GAMES!I124</f>
        <v>1</v>
      </c>
    </row>
    <row r="125" spans="1:8" x14ac:dyDescent="0.25">
      <c r="A125" t="str">
        <f>RAW_GAMES!A125</f>
        <v>25/26</v>
      </c>
      <c r="B125" s="3">
        <f>RAW_GAMES!B125</f>
        <v>45930</v>
      </c>
      <c r="C125" t="str">
        <f>RAW_GAMES!E125</f>
        <v>TRI</v>
      </c>
      <c r="D125" t="str">
        <f>RAW_GAMES!R125</f>
        <v>Mazanec</v>
      </c>
      <c r="F125">
        <f>RAW_GAMES!K125</f>
        <v>23</v>
      </c>
      <c r="G125" s="7">
        <f>RAW_GAMES!S125</f>
        <v>23</v>
      </c>
      <c r="H125">
        <f>RAW_GAMES!I125</f>
        <v>0</v>
      </c>
    </row>
    <row r="126" spans="1:8" x14ac:dyDescent="0.25">
      <c r="A126" t="str">
        <f>RAW_GAMES!A126</f>
        <v>25/26</v>
      </c>
      <c r="B126" s="3">
        <f>RAW_GAMES!B126</f>
        <v>45930</v>
      </c>
      <c r="C126" t="str">
        <f>RAW_GAMES!E126</f>
        <v>SPA</v>
      </c>
      <c r="D126" t="str">
        <f>RAW_GAMES!R126</f>
        <v>Michajlov</v>
      </c>
      <c r="F126">
        <f>RAW_GAMES!K126</f>
        <v>34</v>
      </c>
      <c r="G126" s="7">
        <f>RAW_GAMES!S126</f>
        <v>32</v>
      </c>
      <c r="H126">
        <f>RAW_GAMES!I126</f>
        <v>2</v>
      </c>
    </row>
    <row r="127" spans="1:8" x14ac:dyDescent="0.25">
      <c r="A127" t="str">
        <f>RAW_GAMES!A127</f>
        <v>25/26</v>
      </c>
      <c r="B127" s="3">
        <f>RAW_GAMES!B127</f>
        <v>45930</v>
      </c>
      <c r="C127" t="str">
        <f>RAW_GAMES!E127</f>
        <v>KOM</v>
      </c>
      <c r="D127" t="str">
        <f>RAW_GAMES!R127</f>
        <v>Stezka</v>
      </c>
      <c r="F127">
        <f>RAW_GAMES!K127</f>
        <v>20</v>
      </c>
      <c r="G127" s="7">
        <f>RAW_GAMES!S127</f>
        <v>19</v>
      </c>
      <c r="H127">
        <f>RAW_GAMES!I127</f>
        <v>1</v>
      </c>
    </row>
    <row r="128" spans="1:8" x14ac:dyDescent="0.25">
      <c r="A128" t="str">
        <f>RAW_GAMES!A128</f>
        <v>25/26</v>
      </c>
      <c r="B128" s="3">
        <f>RAW_GAMES!B128</f>
        <v>45930</v>
      </c>
      <c r="C128" t="str">
        <f>RAW_GAMES!E128</f>
        <v>CEB</v>
      </c>
      <c r="D128" t="str">
        <f>RAW_GAMES!R128</f>
        <v>Klouček</v>
      </c>
      <c r="F128">
        <f>RAW_GAMES!K128</f>
        <v>28</v>
      </c>
      <c r="G128" s="7">
        <f>RAW_GAMES!S128</f>
        <v>27</v>
      </c>
      <c r="H128">
        <f>RAW_GAMES!I128</f>
        <v>1</v>
      </c>
    </row>
    <row r="129" spans="1:8" x14ac:dyDescent="0.25">
      <c r="A129" t="str">
        <f>RAW_GAMES!A129</f>
        <v>25/26</v>
      </c>
      <c r="B129" s="3">
        <f>RAW_GAMES!B129</f>
        <v>45930</v>
      </c>
      <c r="C129" t="str">
        <f>RAW_GAMES!E129</f>
        <v>KLA</v>
      </c>
      <c r="D129" t="str">
        <f>RAW_GAMES!R129</f>
        <v>Brízgala</v>
      </c>
      <c r="F129">
        <f>RAW_GAMES!K129</f>
        <v>29</v>
      </c>
      <c r="G129" s="7">
        <f>RAW_GAMES!S129</f>
        <v>26</v>
      </c>
      <c r="H129">
        <f>RAW_GAMES!I129</f>
        <v>3</v>
      </c>
    </row>
    <row r="130" spans="1:8" x14ac:dyDescent="0.25">
      <c r="A130" t="str">
        <f>RAW_GAMES!A130</f>
        <v>25/26</v>
      </c>
      <c r="B130" s="3">
        <f>RAW_GAMES!B130</f>
        <v>45930</v>
      </c>
      <c r="C130" t="str">
        <f>RAW_GAMES!E130</f>
        <v>KVA</v>
      </c>
      <c r="D130" t="str">
        <f>RAW_GAMES!R130</f>
        <v>Frodl</v>
      </c>
      <c r="F130">
        <f>RAW_GAMES!K130</f>
        <v>33</v>
      </c>
      <c r="G130" s="7">
        <f>RAW_GAMES!S130</f>
        <v>32</v>
      </c>
      <c r="H130">
        <f>RAW_GAMES!I130</f>
        <v>1</v>
      </c>
    </row>
    <row r="131" spans="1:8" x14ac:dyDescent="0.25">
      <c r="A131" t="str">
        <f>RAW_GAMES!A131</f>
        <v>25/26</v>
      </c>
      <c r="B131" s="3">
        <f>RAW_GAMES!B131</f>
        <v>45930</v>
      </c>
      <c r="C131" t="str">
        <f>RAW_GAMES!E131</f>
        <v>LIB</v>
      </c>
      <c r="D131" t="str">
        <f>RAW_GAMES!R131</f>
        <v>Kváča</v>
      </c>
      <c r="F131">
        <f>RAW_GAMES!K131</f>
        <v>23</v>
      </c>
      <c r="G131" s="7">
        <f>RAW_GAMES!S131</f>
        <v>20</v>
      </c>
      <c r="H131">
        <f>RAW_GAMES!I131</f>
        <v>3</v>
      </c>
    </row>
    <row r="132" spans="1:8" x14ac:dyDescent="0.25">
      <c r="A132" t="str">
        <f>RAW_GAMES!A132</f>
        <v>25/26</v>
      </c>
      <c r="B132" s="3">
        <f>RAW_GAMES!B132</f>
        <v>45930</v>
      </c>
      <c r="C132" t="str">
        <f>RAW_GAMES!E132</f>
        <v>LIT</v>
      </c>
      <c r="D132" t="str">
        <f>RAW_GAMES!R132</f>
        <v>Tomek</v>
      </c>
      <c r="F132">
        <f>RAW_GAMES!K132</f>
        <v>43</v>
      </c>
      <c r="G132" s="7">
        <f>RAW_GAMES!S132</f>
        <v>41</v>
      </c>
      <c r="H132">
        <f>RAW_GAMES!I132</f>
        <v>2</v>
      </c>
    </row>
    <row r="133" spans="1:8" x14ac:dyDescent="0.25">
      <c r="A133" t="str">
        <f>RAW_GAMES!A133</f>
        <v>25/26</v>
      </c>
      <c r="B133" s="3">
        <f>RAW_GAMES!B133</f>
        <v>45930</v>
      </c>
      <c r="C133" t="str">
        <f>RAW_GAMES!E133</f>
        <v>MBL</v>
      </c>
      <c r="D133" t="str">
        <f>RAW_GAMES!R133</f>
        <v>Furch</v>
      </c>
      <c r="F133">
        <f>RAW_GAMES!K133</f>
        <v>33</v>
      </c>
      <c r="G133" s="7">
        <f>RAW_GAMES!S133</f>
        <v>33</v>
      </c>
      <c r="H133">
        <f>RAW_GAMES!I133</f>
        <v>0</v>
      </c>
    </row>
    <row r="134" spans="1:8" x14ac:dyDescent="0.25">
      <c r="A134" t="str">
        <f>RAW_GAMES!A134</f>
        <v>25/26</v>
      </c>
      <c r="B134" s="3">
        <f>RAW_GAMES!B134</f>
        <v>45930</v>
      </c>
      <c r="C134" t="str">
        <f>RAW_GAMES!E134</f>
        <v>MHK</v>
      </c>
      <c r="D134" t="str">
        <f>RAW_GAMES!R134</f>
        <v>Škorvánek</v>
      </c>
      <c r="F134">
        <f>RAW_GAMES!K134</f>
        <v>20</v>
      </c>
      <c r="G134" s="7">
        <f>RAW_GAMES!S134</f>
        <v>19</v>
      </c>
      <c r="H134">
        <f>RAW_GAMES!I134</f>
        <v>1</v>
      </c>
    </row>
    <row r="135" spans="1:8" x14ac:dyDescent="0.25">
      <c r="A135" t="str">
        <f>RAW_GAMES!A135</f>
        <v>25/26</v>
      </c>
      <c r="B135" s="3">
        <f>RAW_GAMES!B135</f>
        <v>45930</v>
      </c>
      <c r="C135" t="str">
        <f>RAW_GAMES!E135</f>
        <v>OLO</v>
      </c>
      <c r="D135" t="str">
        <f>RAW_GAMES!R135</f>
        <v>Machovský</v>
      </c>
      <c r="F135">
        <f>RAW_GAMES!K135</f>
        <v>31</v>
      </c>
      <c r="G135" s="7">
        <f>RAW_GAMES!S135</f>
        <v>31</v>
      </c>
      <c r="H135">
        <f>RAW_GAMES!I135</f>
        <v>0</v>
      </c>
    </row>
    <row r="136" spans="1:8" x14ac:dyDescent="0.25">
      <c r="A136" t="str">
        <f>RAW_GAMES!A136</f>
        <v>25/26</v>
      </c>
      <c r="B136" s="3">
        <f>RAW_GAMES!B136</f>
        <v>45930</v>
      </c>
      <c r="C136" t="str">
        <f>RAW_GAMES!E136</f>
        <v>PLZ</v>
      </c>
      <c r="D136" t="str">
        <f>RAW_GAMES!R136</f>
        <v>Růžička</v>
      </c>
      <c r="F136">
        <f>RAW_GAMES!K136</f>
        <v>41</v>
      </c>
      <c r="G136" s="7">
        <f>RAW_GAMES!S136</f>
        <v>41</v>
      </c>
      <c r="H136">
        <f>RAW_GAMES!I136</f>
        <v>0</v>
      </c>
    </row>
    <row r="137" spans="1:8" x14ac:dyDescent="0.25">
      <c r="A137" t="str">
        <f>RAW_GAMES!A137</f>
        <v>25/26</v>
      </c>
      <c r="B137" s="3">
        <f>RAW_GAMES!B137</f>
        <v>45930</v>
      </c>
      <c r="C137" t="str">
        <f>RAW_GAMES!E137</f>
        <v>VIT</v>
      </c>
      <c r="D137" t="str">
        <f>RAW_GAMES!R137</f>
        <v>Hrachovina</v>
      </c>
      <c r="F137">
        <f>RAW_GAMES!K137</f>
        <v>29</v>
      </c>
      <c r="G137" s="7">
        <f>RAW_GAMES!S137</f>
        <v>27</v>
      </c>
      <c r="H137">
        <f>RAW_GAMES!I137</f>
        <v>2</v>
      </c>
    </row>
    <row r="138" spans="1:8" x14ac:dyDescent="0.25">
      <c r="A138" t="str">
        <f>RAW_GAMES!A138</f>
        <v>25/26</v>
      </c>
      <c r="B138" s="3">
        <f>RAW_GAMES!B138</f>
        <v>45933</v>
      </c>
      <c r="C138" t="str">
        <f>RAW_GAMES!E138</f>
        <v>PCE</v>
      </c>
      <c r="D138" t="str">
        <f>RAW_GAMES!R138</f>
        <v>Will</v>
      </c>
      <c r="F138">
        <f>RAW_GAMES!K138</f>
        <v>26</v>
      </c>
      <c r="G138" s="7">
        <f>RAW_GAMES!S138</f>
        <v>26</v>
      </c>
      <c r="H138">
        <f>RAW_GAMES!I138</f>
        <v>0</v>
      </c>
    </row>
    <row r="139" spans="1:8" x14ac:dyDescent="0.25">
      <c r="A139" t="str">
        <f>RAW_GAMES!A139</f>
        <v>25/26</v>
      </c>
      <c r="B139" s="3">
        <f>RAW_GAMES!B139</f>
        <v>45933</v>
      </c>
      <c r="C139" t="str">
        <f>RAW_GAMES!E139</f>
        <v>TRI</v>
      </c>
      <c r="D139" t="str">
        <f>RAW_GAMES!R139</f>
        <v>Kacetl</v>
      </c>
      <c r="F139">
        <f>RAW_GAMES!K139</f>
        <v>34</v>
      </c>
      <c r="G139" s="7">
        <f>RAW_GAMES!S139</f>
        <v>30</v>
      </c>
      <c r="H139">
        <f>RAW_GAMES!I139</f>
        <v>5</v>
      </c>
    </row>
    <row r="140" spans="1:8" x14ac:dyDescent="0.25">
      <c r="A140" t="str">
        <f>RAW_GAMES!A140</f>
        <v>25/26</v>
      </c>
      <c r="B140" s="3">
        <f>RAW_GAMES!B140</f>
        <v>45933</v>
      </c>
      <c r="C140" t="str">
        <f>RAW_GAMES!E140</f>
        <v>SPA</v>
      </c>
      <c r="D140" t="str">
        <f>RAW_GAMES!R140</f>
        <v>Michajlov</v>
      </c>
      <c r="F140">
        <f>RAW_GAMES!K140</f>
        <v>29</v>
      </c>
      <c r="G140" s="7">
        <f>RAW_GAMES!S140</f>
        <v>27</v>
      </c>
      <c r="H140">
        <f>RAW_GAMES!I140</f>
        <v>2</v>
      </c>
    </row>
    <row r="141" spans="1:8" x14ac:dyDescent="0.25">
      <c r="A141" t="str">
        <f>RAW_GAMES!A141</f>
        <v>25/26</v>
      </c>
      <c r="B141" s="3">
        <f>RAW_GAMES!B141</f>
        <v>45933</v>
      </c>
      <c r="C141" t="str">
        <f>RAW_GAMES!E141</f>
        <v>KOM</v>
      </c>
      <c r="D141" t="str">
        <f>RAW_GAMES!R141</f>
        <v>Stezka</v>
      </c>
      <c r="F141">
        <f>RAW_GAMES!K141</f>
        <v>37</v>
      </c>
      <c r="G141" s="7">
        <f>RAW_GAMES!S141</f>
        <v>34</v>
      </c>
      <c r="H141">
        <f>RAW_GAMES!I141</f>
        <v>4</v>
      </c>
    </row>
    <row r="142" spans="1:8" x14ac:dyDescent="0.25">
      <c r="A142" t="str">
        <f>RAW_GAMES!A142</f>
        <v>25/26</v>
      </c>
      <c r="B142" s="3">
        <f>RAW_GAMES!B142</f>
        <v>45933</v>
      </c>
      <c r="C142" t="str">
        <f>RAW_GAMES!E142</f>
        <v>CEB</v>
      </c>
      <c r="D142" t="str">
        <f>RAW_GAMES!R142</f>
        <v>Klouček</v>
      </c>
      <c r="F142">
        <f>RAW_GAMES!K142</f>
        <v>27</v>
      </c>
      <c r="G142" s="7">
        <f>RAW_GAMES!S142</f>
        <v>24</v>
      </c>
      <c r="H142">
        <f>RAW_GAMES!I142</f>
        <v>3</v>
      </c>
    </row>
    <row r="143" spans="1:8" x14ac:dyDescent="0.25">
      <c r="A143" t="str">
        <f>RAW_GAMES!A143</f>
        <v>25/26</v>
      </c>
      <c r="B143" s="3">
        <f>RAW_GAMES!B143</f>
        <v>45933</v>
      </c>
      <c r="C143" t="str">
        <f>RAW_GAMES!E143</f>
        <v>KLA</v>
      </c>
      <c r="D143" t="str">
        <f>RAW_GAMES!R143</f>
        <v>Brízgala</v>
      </c>
      <c r="F143">
        <f>RAW_GAMES!K143</f>
        <v>35</v>
      </c>
      <c r="G143" s="7">
        <f>RAW_GAMES!S143</f>
        <v>32</v>
      </c>
      <c r="H143">
        <f>RAW_GAMES!I143</f>
        <v>3</v>
      </c>
    </row>
    <row r="144" spans="1:8" x14ac:dyDescent="0.25">
      <c r="A144" t="str">
        <f>RAW_GAMES!A144</f>
        <v>25/26</v>
      </c>
      <c r="B144" s="3">
        <f>RAW_GAMES!B144</f>
        <v>45933</v>
      </c>
      <c r="C144" t="str">
        <f>RAW_GAMES!E144</f>
        <v>KVA</v>
      </c>
      <c r="D144" t="str">
        <f>RAW_GAMES!R144</f>
        <v>Frodl</v>
      </c>
      <c r="F144">
        <f>RAW_GAMES!K144</f>
        <v>23</v>
      </c>
      <c r="G144" s="7">
        <f>RAW_GAMES!S144</f>
        <v>20</v>
      </c>
      <c r="H144">
        <f>RAW_GAMES!I144</f>
        <v>3</v>
      </c>
    </row>
    <row r="145" spans="1:8" x14ac:dyDescent="0.25">
      <c r="A145" t="str">
        <f>RAW_GAMES!A145</f>
        <v>25/26</v>
      </c>
      <c r="B145" s="3">
        <f>RAW_GAMES!B145</f>
        <v>45933</v>
      </c>
      <c r="C145" t="str">
        <f>RAW_GAMES!E145</f>
        <v>LIB</v>
      </c>
      <c r="D145" t="str">
        <f>RAW_GAMES!R145</f>
        <v>Hamalčík</v>
      </c>
      <c r="F145">
        <f>RAW_GAMES!K145</f>
        <v>30</v>
      </c>
      <c r="G145" s="7">
        <f>RAW_GAMES!S145</f>
        <v>30</v>
      </c>
      <c r="H145">
        <f>RAW_GAMES!I145</f>
        <v>0</v>
      </c>
    </row>
    <row r="146" spans="1:8" x14ac:dyDescent="0.25">
      <c r="A146" t="str">
        <f>RAW_GAMES!A146</f>
        <v>25/26</v>
      </c>
      <c r="B146" s="3">
        <f>RAW_GAMES!B146</f>
        <v>45933</v>
      </c>
      <c r="C146" t="str">
        <f>RAW_GAMES!E146</f>
        <v>LIT</v>
      </c>
      <c r="D146" t="str">
        <f>RAW_GAMES!R146</f>
        <v>Tomek</v>
      </c>
      <c r="F146">
        <f>RAW_GAMES!K146</f>
        <v>21</v>
      </c>
      <c r="G146" s="7">
        <f>RAW_GAMES!S146</f>
        <v>19</v>
      </c>
      <c r="H146">
        <f>RAW_GAMES!I146</f>
        <v>2</v>
      </c>
    </row>
    <row r="147" spans="1:8" x14ac:dyDescent="0.25">
      <c r="A147" t="str">
        <f>RAW_GAMES!A147</f>
        <v>25/26</v>
      </c>
      <c r="B147" s="3">
        <f>RAW_GAMES!B147</f>
        <v>45933</v>
      </c>
      <c r="C147" t="str">
        <f>RAW_GAMES!E147</f>
        <v>MBL</v>
      </c>
      <c r="D147" t="str">
        <f>RAW_GAMES!R147</f>
        <v>Furch</v>
      </c>
      <c r="F147">
        <f>RAW_GAMES!K147</f>
        <v>18</v>
      </c>
      <c r="G147" s="7">
        <f>RAW_GAMES!S147</f>
        <v>14</v>
      </c>
      <c r="H147">
        <f>RAW_GAMES!I147</f>
        <v>4</v>
      </c>
    </row>
    <row r="148" spans="1:8" x14ac:dyDescent="0.25">
      <c r="A148" t="str">
        <f>RAW_GAMES!A148</f>
        <v>25/26</v>
      </c>
      <c r="B148" s="3">
        <f>RAW_GAMES!B148</f>
        <v>45933</v>
      </c>
      <c r="C148" t="str">
        <f>RAW_GAMES!E148</f>
        <v>MHK</v>
      </c>
      <c r="D148" t="str">
        <f>RAW_GAMES!R148</f>
        <v>Škorvánek</v>
      </c>
      <c r="F148">
        <f>RAW_GAMES!K148</f>
        <v>36</v>
      </c>
      <c r="G148" s="7">
        <f>RAW_GAMES!S148</f>
        <v>36</v>
      </c>
      <c r="H148">
        <f>RAW_GAMES!I148</f>
        <v>0</v>
      </c>
    </row>
    <row r="149" spans="1:8" x14ac:dyDescent="0.25">
      <c r="A149" t="str">
        <f>RAW_GAMES!A149</f>
        <v>25/26</v>
      </c>
      <c r="B149" s="3">
        <f>RAW_GAMES!B149</f>
        <v>45933</v>
      </c>
      <c r="C149" t="str">
        <f>RAW_GAMES!E149</f>
        <v>OLO</v>
      </c>
      <c r="D149" t="str">
        <f>RAW_GAMES!R149</f>
        <v>Machovský</v>
      </c>
      <c r="F149">
        <f>RAW_GAMES!K149</f>
        <v>28</v>
      </c>
      <c r="G149" s="7">
        <f>RAW_GAMES!S149</f>
        <v>27</v>
      </c>
      <c r="H149">
        <f>RAW_GAMES!I149</f>
        <v>1</v>
      </c>
    </row>
    <row r="150" spans="1:8" x14ac:dyDescent="0.25">
      <c r="A150" t="str">
        <f>RAW_GAMES!A150</f>
        <v>25/26</v>
      </c>
      <c r="B150" s="3">
        <f>RAW_GAMES!B150</f>
        <v>45933</v>
      </c>
      <c r="C150" t="str">
        <f>RAW_GAMES!E150</f>
        <v>PLZ</v>
      </c>
      <c r="D150" t="str">
        <f>RAW_GAMES!R150</f>
        <v>Malík</v>
      </c>
      <c r="F150">
        <f>RAW_GAMES!K150</f>
        <v>22</v>
      </c>
      <c r="G150" s="7">
        <f>RAW_GAMES!S150</f>
        <v>21</v>
      </c>
      <c r="H150">
        <f>RAW_GAMES!I150</f>
        <v>1</v>
      </c>
    </row>
    <row r="151" spans="1:8" x14ac:dyDescent="0.25">
      <c r="A151" t="str">
        <f>RAW_GAMES!A151</f>
        <v>25/26</v>
      </c>
      <c r="B151" s="3">
        <f>RAW_GAMES!B151</f>
        <v>45933</v>
      </c>
      <c r="C151" t="str">
        <f>RAW_GAMES!E151</f>
        <v>VIT</v>
      </c>
      <c r="D151" t="str">
        <f>RAW_GAMES!R151</f>
        <v>Hrachovina</v>
      </c>
      <c r="F151">
        <f>RAW_GAMES!K151</f>
        <v>44</v>
      </c>
      <c r="G151" s="7">
        <f>RAW_GAMES!S151</f>
        <v>40</v>
      </c>
      <c r="H151">
        <f>RAW_GAMES!I151</f>
        <v>4</v>
      </c>
    </row>
    <row r="152" spans="1:8" x14ac:dyDescent="0.25">
      <c r="A152" t="str">
        <f>RAW_GAMES!A152</f>
        <v>25/26</v>
      </c>
      <c r="B152" s="3">
        <f>RAW_GAMES!B152</f>
        <v>45935</v>
      </c>
      <c r="C152" t="str">
        <f>RAW_GAMES!E152</f>
        <v>PCE</v>
      </c>
      <c r="D152" t="str">
        <f>RAW_GAMES!R152</f>
        <v>Will</v>
      </c>
      <c r="F152">
        <f>RAW_GAMES!K152</f>
        <v>20</v>
      </c>
      <c r="G152" s="7">
        <f>RAW_GAMES!S152</f>
        <v>16</v>
      </c>
      <c r="H152">
        <f>RAW_GAMES!I152</f>
        <v>3</v>
      </c>
    </row>
    <row r="153" spans="1:8" x14ac:dyDescent="0.25">
      <c r="A153" t="str">
        <f>RAW_GAMES!A153</f>
        <v>25/26</v>
      </c>
      <c r="B153" s="3">
        <f>RAW_GAMES!B153</f>
        <v>45935</v>
      </c>
      <c r="C153" t="str">
        <f>RAW_GAMES!E153</f>
        <v>TRI</v>
      </c>
      <c r="D153" t="str">
        <f>RAW_GAMES!R153</f>
        <v>Mazanec</v>
      </c>
      <c r="F153">
        <f>RAW_GAMES!K153</f>
        <v>21</v>
      </c>
      <c r="G153" s="7">
        <f>RAW_GAMES!S153</f>
        <v>20</v>
      </c>
      <c r="H153">
        <f>RAW_GAMES!I153</f>
        <v>1</v>
      </c>
    </row>
    <row r="154" spans="1:8" x14ac:dyDescent="0.25">
      <c r="A154" t="str">
        <f>RAW_GAMES!A154</f>
        <v>25/26</v>
      </c>
      <c r="B154" s="3">
        <f>RAW_GAMES!B154</f>
        <v>45935</v>
      </c>
      <c r="C154" t="str">
        <f>RAW_GAMES!E154</f>
        <v>SPA</v>
      </c>
      <c r="D154" t="str">
        <f>RAW_GAMES!R154</f>
        <v>Kořenář</v>
      </c>
      <c r="F154">
        <f>RAW_GAMES!K154</f>
        <v>26</v>
      </c>
      <c r="G154" s="7">
        <f>RAW_GAMES!S154</f>
        <v>21</v>
      </c>
      <c r="H154">
        <f>RAW_GAMES!I154</f>
        <v>5</v>
      </c>
    </row>
    <row r="155" spans="1:8" x14ac:dyDescent="0.25">
      <c r="A155" t="str">
        <f>RAW_GAMES!A155</f>
        <v>25/26</v>
      </c>
      <c r="B155" s="3">
        <f>RAW_GAMES!B155</f>
        <v>45935</v>
      </c>
      <c r="C155" t="str">
        <f>RAW_GAMES!E155</f>
        <v>KOM</v>
      </c>
      <c r="D155" t="str">
        <f>RAW_GAMES!R155</f>
        <v>Kavan</v>
      </c>
      <c r="F155">
        <f>RAW_GAMES!K155</f>
        <v>30</v>
      </c>
      <c r="G155" s="7">
        <f>RAW_GAMES!S155</f>
        <v>29</v>
      </c>
      <c r="H155">
        <f>RAW_GAMES!I155</f>
        <v>1</v>
      </c>
    </row>
    <row r="156" spans="1:8" x14ac:dyDescent="0.25">
      <c r="A156" t="str">
        <f>RAW_GAMES!A156</f>
        <v>25/26</v>
      </c>
      <c r="B156" s="3">
        <f>RAW_GAMES!B156</f>
        <v>45935</v>
      </c>
      <c r="C156" t="str">
        <f>RAW_GAMES!E156</f>
        <v>CEB</v>
      </c>
      <c r="D156" t="str">
        <f>RAW_GAMES!R156</f>
        <v>Klouček</v>
      </c>
      <c r="F156">
        <f>RAW_GAMES!K156</f>
        <v>14</v>
      </c>
      <c r="G156" s="7">
        <f>RAW_GAMES!S156</f>
        <v>11</v>
      </c>
      <c r="H156">
        <f>RAW_GAMES!I156</f>
        <v>3</v>
      </c>
    </row>
    <row r="157" spans="1:8" x14ac:dyDescent="0.25">
      <c r="A157" t="str">
        <f>RAW_GAMES!A157</f>
        <v>25/26</v>
      </c>
      <c r="B157" s="3">
        <f>RAW_GAMES!B157</f>
        <v>45935</v>
      </c>
      <c r="C157" t="str">
        <f>RAW_GAMES!E157</f>
        <v>KLA</v>
      </c>
      <c r="D157" t="str">
        <f>RAW_GAMES!R157</f>
        <v>Brízgala</v>
      </c>
      <c r="F157">
        <f>RAW_GAMES!K157</f>
        <v>27</v>
      </c>
      <c r="G157" s="7">
        <f>RAW_GAMES!S157</f>
        <v>23</v>
      </c>
      <c r="H157">
        <f>RAW_GAMES!I157</f>
        <v>4</v>
      </c>
    </row>
    <row r="158" spans="1:8" x14ac:dyDescent="0.25">
      <c r="A158" t="str">
        <f>RAW_GAMES!A158</f>
        <v>25/26</v>
      </c>
      <c r="B158" s="3">
        <f>RAW_GAMES!B158</f>
        <v>45935</v>
      </c>
      <c r="C158" t="str">
        <f>RAW_GAMES!E158</f>
        <v>KVA</v>
      </c>
      <c r="D158" t="str">
        <f>RAW_GAMES!R158</f>
        <v>Král</v>
      </c>
      <c r="F158">
        <f>RAW_GAMES!K158</f>
        <v>26</v>
      </c>
      <c r="G158" s="7">
        <f>RAW_GAMES!S158</f>
        <v>23</v>
      </c>
      <c r="H158">
        <f>RAW_GAMES!I158</f>
        <v>3</v>
      </c>
    </row>
    <row r="159" spans="1:8" x14ac:dyDescent="0.25">
      <c r="A159" t="str">
        <f>RAW_GAMES!A159</f>
        <v>25/26</v>
      </c>
      <c r="B159" s="3">
        <f>RAW_GAMES!B159</f>
        <v>45935</v>
      </c>
      <c r="C159" t="str">
        <f>RAW_GAMES!E159</f>
        <v>LIB</v>
      </c>
      <c r="D159" t="str">
        <f>RAW_GAMES!R159</f>
        <v>Kváča</v>
      </c>
      <c r="F159">
        <f>RAW_GAMES!K159</f>
        <v>30</v>
      </c>
      <c r="G159" s="7">
        <f>RAW_GAMES!S159</f>
        <v>26</v>
      </c>
      <c r="H159">
        <f>RAW_GAMES!I159</f>
        <v>4</v>
      </c>
    </row>
    <row r="160" spans="1:8" x14ac:dyDescent="0.25">
      <c r="A160" t="str">
        <f>RAW_GAMES!A160</f>
        <v>25/26</v>
      </c>
      <c r="B160" s="3">
        <f>RAW_GAMES!B160</f>
        <v>45935</v>
      </c>
      <c r="C160" t="str">
        <f>RAW_GAMES!E160</f>
        <v>LIT</v>
      </c>
      <c r="D160" t="str">
        <f>RAW_GAMES!R160</f>
        <v>Čajan</v>
      </c>
      <c r="F160">
        <f>RAW_GAMES!K160</f>
        <v>42</v>
      </c>
      <c r="G160" s="7">
        <f>RAW_GAMES!S160</f>
        <v>39</v>
      </c>
      <c r="H160">
        <f>RAW_GAMES!I160</f>
        <v>3</v>
      </c>
    </row>
    <row r="161" spans="1:8" x14ac:dyDescent="0.25">
      <c r="A161" t="str">
        <f>RAW_GAMES!A161</f>
        <v>25/26</v>
      </c>
      <c r="B161" s="3">
        <f>RAW_GAMES!B161</f>
        <v>45935</v>
      </c>
      <c r="C161" t="str">
        <f>RAW_GAMES!E161</f>
        <v>MHK</v>
      </c>
      <c r="D161" t="str">
        <f>RAW_GAMES!R161</f>
        <v>Škorvánek</v>
      </c>
      <c r="F161">
        <f>RAW_GAMES!K161</f>
        <v>32</v>
      </c>
      <c r="G161" s="7">
        <f>RAW_GAMES!S161</f>
        <v>29</v>
      </c>
      <c r="H161">
        <f>RAW_GAMES!I161</f>
        <v>3</v>
      </c>
    </row>
    <row r="162" spans="1:8" x14ac:dyDescent="0.25">
      <c r="A162" t="str">
        <f>RAW_GAMES!A162</f>
        <v>25/26</v>
      </c>
      <c r="B162" s="3">
        <f>RAW_GAMES!B162</f>
        <v>45935</v>
      </c>
      <c r="C162" t="str">
        <f>RAW_GAMES!E162</f>
        <v>OLO</v>
      </c>
      <c r="D162" t="str">
        <f>RAW_GAMES!R162</f>
        <v>Machovský</v>
      </c>
      <c r="F162">
        <f>RAW_GAMES!K162</f>
        <v>31</v>
      </c>
      <c r="G162" s="7">
        <f>RAW_GAMES!S162</f>
        <v>30</v>
      </c>
      <c r="H162">
        <f>RAW_GAMES!I162</f>
        <v>1</v>
      </c>
    </row>
    <row r="163" spans="1:8" x14ac:dyDescent="0.25">
      <c r="A163" t="str">
        <f>RAW_GAMES!A163</f>
        <v>25/26</v>
      </c>
      <c r="B163" s="3">
        <f>RAW_GAMES!B163</f>
        <v>45935</v>
      </c>
      <c r="C163" t="str">
        <f>RAW_GAMES!E163</f>
        <v>VIT</v>
      </c>
      <c r="D163" t="str">
        <f>RAW_GAMES!R163</f>
        <v>Hrachovina</v>
      </c>
      <c r="F163">
        <f>RAW_GAMES!K163</f>
        <v>49</v>
      </c>
      <c r="G163" s="7">
        <f>RAW_GAMES!S163</f>
        <v>46</v>
      </c>
      <c r="H163">
        <f>RAW_GAMES!I163</f>
        <v>3</v>
      </c>
    </row>
    <row r="164" spans="1:8" x14ac:dyDescent="0.25">
      <c r="A164" t="str">
        <f>RAW_GAMES!A164</f>
        <v>25/26</v>
      </c>
      <c r="B164" s="3">
        <f>RAW_GAMES!B164</f>
        <v>45938</v>
      </c>
      <c r="C164" t="str">
        <f>RAW_GAMES!E164</f>
        <v>MBL</v>
      </c>
      <c r="D164" t="str">
        <f>RAW_GAMES!R164</f>
        <v>Furch</v>
      </c>
      <c r="F164">
        <f>RAW_GAMES!K164</f>
        <v>20</v>
      </c>
      <c r="G164" s="7">
        <f>RAW_GAMES!S164</f>
        <v>18</v>
      </c>
      <c r="H164">
        <f>RAW_GAMES!I164</f>
        <v>2</v>
      </c>
    </row>
    <row r="165" spans="1:8" x14ac:dyDescent="0.25">
      <c r="A165" t="str">
        <f>RAW_GAMES!A165</f>
        <v>25/26</v>
      </c>
      <c r="B165" s="3">
        <f>RAW_GAMES!B165</f>
        <v>45938</v>
      </c>
      <c r="C165" t="str">
        <f>RAW_GAMES!E165</f>
        <v>PLZ</v>
      </c>
      <c r="D165" t="str">
        <f>RAW_GAMES!R165</f>
        <v>Malík</v>
      </c>
      <c r="F165">
        <f>RAW_GAMES!K165</f>
        <v>25</v>
      </c>
      <c r="G165" s="7">
        <f>RAW_GAMES!S165</f>
        <v>25</v>
      </c>
      <c r="H165">
        <f>RAW_GAMES!I165</f>
        <v>0</v>
      </c>
    </row>
    <row r="166" spans="1:8" x14ac:dyDescent="0.25">
      <c r="A166" t="str">
        <f>RAW_GAMES!A166</f>
        <v>25/26</v>
      </c>
      <c r="B166" s="3">
        <f>RAW_GAMES!B166</f>
        <v>45940</v>
      </c>
      <c r="C166" t="str">
        <f>RAW_GAMES!E166</f>
        <v>PCE</v>
      </c>
      <c r="D166" t="str">
        <f>RAW_GAMES!R166</f>
        <v>Will</v>
      </c>
      <c r="F166">
        <f>RAW_GAMES!K166</f>
        <v>27</v>
      </c>
      <c r="G166" s="7">
        <f>RAW_GAMES!S166</f>
        <v>24</v>
      </c>
      <c r="H166">
        <f>RAW_GAMES!I166</f>
        <v>3</v>
      </c>
    </row>
    <row r="167" spans="1:8" x14ac:dyDescent="0.25">
      <c r="A167" t="str">
        <f>RAW_GAMES!A167</f>
        <v>25/26</v>
      </c>
      <c r="B167" s="3">
        <f>RAW_GAMES!B167</f>
        <v>45940</v>
      </c>
      <c r="C167" t="str">
        <f>RAW_GAMES!E167</f>
        <v>TRI</v>
      </c>
      <c r="D167" t="str">
        <f>RAW_GAMES!R167</f>
        <v>Mazanec</v>
      </c>
      <c r="F167">
        <f>RAW_GAMES!K167</f>
        <v>31</v>
      </c>
      <c r="G167" s="7">
        <f>RAW_GAMES!S167</f>
        <v>30</v>
      </c>
      <c r="H167">
        <f>RAW_GAMES!I167</f>
        <v>1</v>
      </c>
    </row>
    <row r="168" spans="1:8" x14ac:dyDescent="0.25">
      <c r="A168" t="str">
        <f>RAW_GAMES!A168</f>
        <v>25/26</v>
      </c>
      <c r="B168" s="3">
        <f>RAW_GAMES!B168</f>
        <v>45940</v>
      </c>
      <c r="C168" t="str">
        <f>RAW_GAMES!E168</f>
        <v>SPA</v>
      </c>
      <c r="D168" t="str">
        <f>RAW_GAMES!R168</f>
        <v>Kořenář</v>
      </c>
      <c r="F168">
        <f>RAW_GAMES!K168</f>
        <v>27</v>
      </c>
      <c r="G168" s="7">
        <f>RAW_GAMES!S168</f>
        <v>26</v>
      </c>
      <c r="H168">
        <f>RAW_GAMES!I168</f>
        <v>6</v>
      </c>
    </row>
    <row r="169" spans="1:8" x14ac:dyDescent="0.25">
      <c r="A169" t="str">
        <f>RAW_GAMES!A169</f>
        <v>25/26</v>
      </c>
      <c r="B169" s="3">
        <f>RAW_GAMES!B169</f>
        <v>45940</v>
      </c>
      <c r="C169" t="str">
        <f>RAW_GAMES!E169</f>
        <v>KOM</v>
      </c>
      <c r="D169" t="str">
        <f>RAW_GAMES!R169</f>
        <v>Kavan</v>
      </c>
      <c r="F169">
        <f>RAW_GAMES!K169</f>
        <v>26</v>
      </c>
      <c r="G169" s="7">
        <f>RAW_GAMES!S169</f>
        <v>25</v>
      </c>
      <c r="H169">
        <f>RAW_GAMES!I169</f>
        <v>1</v>
      </c>
    </row>
    <row r="170" spans="1:8" x14ac:dyDescent="0.25">
      <c r="A170" t="str">
        <f>RAW_GAMES!A170</f>
        <v>25/26</v>
      </c>
      <c r="B170" s="3">
        <f>RAW_GAMES!B170</f>
        <v>45940</v>
      </c>
      <c r="C170" t="str">
        <f>RAW_GAMES!E170</f>
        <v>CEB</v>
      </c>
      <c r="D170" t="str">
        <f>RAW_GAMES!R170</f>
        <v>Strmeň</v>
      </c>
      <c r="F170">
        <f>RAW_GAMES!K170</f>
        <v>42</v>
      </c>
      <c r="G170" s="7">
        <f>RAW_GAMES!S170</f>
        <v>40</v>
      </c>
      <c r="H170">
        <f>RAW_GAMES!I170</f>
        <v>2</v>
      </c>
    </row>
    <row r="171" spans="1:8" x14ac:dyDescent="0.25">
      <c r="A171" t="str">
        <f>RAW_GAMES!A171</f>
        <v>25/26</v>
      </c>
      <c r="B171" s="3">
        <f>RAW_GAMES!B171</f>
        <v>45940</v>
      </c>
      <c r="C171" t="str">
        <f>RAW_GAMES!E171</f>
        <v>KLA</v>
      </c>
      <c r="D171" t="str">
        <f>RAW_GAMES!R171</f>
        <v>Brízgala</v>
      </c>
      <c r="F171">
        <f>RAW_GAMES!K171</f>
        <v>24</v>
      </c>
      <c r="G171" s="7">
        <f>RAW_GAMES!S171</f>
        <v>23</v>
      </c>
      <c r="H171">
        <f>RAW_GAMES!I171</f>
        <v>1</v>
      </c>
    </row>
    <row r="172" spans="1:8" x14ac:dyDescent="0.25">
      <c r="A172" t="str">
        <f>RAW_GAMES!A172</f>
        <v>25/26</v>
      </c>
      <c r="B172" s="3">
        <f>RAW_GAMES!B172</f>
        <v>45940</v>
      </c>
      <c r="C172" t="str">
        <f>RAW_GAMES!E172</f>
        <v>KVA</v>
      </c>
      <c r="D172" t="str">
        <f>RAW_GAMES!R172</f>
        <v>Frodl</v>
      </c>
      <c r="F172">
        <f>RAW_GAMES!K172</f>
        <v>25</v>
      </c>
      <c r="G172" s="7">
        <f>RAW_GAMES!S172</f>
        <v>22</v>
      </c>
      <c r="H172">
        <f>RAW_GAMES!I172</f>
        <v>3</v>
      </c>
    </row>
    <row r="173" spans="1:8" x14ac:dyDescent="0.25">
      <c r="A173" t="str">
        <f>RAW_GAMES!A173</f>
        <v>25/26</v>
      </c>
      <c r="B173" s="3">
        <f>RAW_GAMES!B173</f>
        <v>45940</v>
      </c>
      <c r="C173" t="str">
        <f>RAW_GAMES!E173</f>
        <v>LIB</v>
      </c>
      <c r="D173" t="str">
        <f>RAW_GAMES!R173</f>
        <v>Kváča</v>
      </c>
      <c r="F173">
        <f>RAW_GAMES!K173</f>
        <v>22</v>
      </c>
      <c r="G173" s="7">
        <f>RAW_GAMES!S173</f>
        <v>18</v>
      </c>
      <c r="H173">
        <f>RAW_GAMES!I173</f>
        <v>4</v>
      </c>
    </row>
    <row r="174" spans="1:8" x14ac:dyDescent="0.25">
      <c r="A174" t="str">
        <f>RAW_GAMES!A174</f>
        <v>25/26</v>
      </c>
      <c r="B174" s="3">
        <f>RAW_GAMES!B174</f>
        <v>45940</v>
      </c>
      <c r="C174" t="str">
        <f>RAW_GAMES!E174</f>
        <v>LIT</v>
      </c>
      <c r="D174" t="str">
        <f>RAW_GAMES!R174</f>
        <v>Čajan</v>
      </c>
      <c r="F174">
        <f>RAW_GAMES!K174</f>
        <v>24</v>
      </c>
      <c r="G174" s="7">
        <f>RAW_GAMES!S174</f>
        <v>21</v>
      </c>
      <c r="H174">
        <f>RAW_GAMES!I174</f>
        <v>3</v>
      </c>
    </row>
    <row r="175" spans="1:8" x14ac:dyDescent="0.25">
      <c r="A175" t="str">
        <f>RAW_GAMES!A175</f>
        <v>25/26</v>
      </c>
      <c r="B175" s="3">
        <f>RAW_GAMES!B175</f>
        <v>45940</v>
      </c>
      <c r="C175" t="str">
        <f>RAW_GAMES!E175</f>
        <v>MBL</v>
      </c>
      <c r="D175" t="str">
        <f>RAW_GAMES!R175</f>
        <v>Furch</v>
      </c>
      <c r="F175">
        <f>RAW_GAMES!K175</f>
        <v>32</v>
      </c>
      <c r="G175" s="7">
        <f>RAW_GAMES!S175</f>
        <v>30</v>
      </c>
      <c r="H175">
        <f>RAW_GAMES!I175</f>
        <v>3</v>
      </c>
    </row>
    <row r="176" spans="1:8" x14ac:dyDescent="0.25">
      <c r="A176" t="str">
        <f>RAW_GAMES!A176</f>
        <v>25/26</v>
      </c>
      <c r="B176" s="3">
        <f>RAW_GAMES!B176</f>
        <v>45940</v>
      </c>
      <c r="C176" t="str">
        <f>RAW_GAMES!E176</f>
        <v>MHK</v>
      </c>
      <c r="D176" t="str">
        <f>RAW_GAMES!R176</f>
        <v>Škorvánek</v>
      </c>
      <c r="F176">
        <f>RAW_GAMES!K176</f>
        <v>14</v>
      </c>
      <c r="G176" s="7">
        <f>RAW_GAMES!S176</f>
        <v>12</v>
      </c>
      <c r="H176">
        <f>RAW_GAMES!I176</f>
        <v>2</v>
      </c>
    </row>
    <row r="177" spans="1:8" x14ac:dyDescent="0.25">
      <c r="A177" t="str">
        <f>RAW_GAMES!A177</f>
        <v>25/26</v>
      </c>
      <c r="B177" s="3">
        <f>RAW_GAMES!B177</f>
        <v>45940</v>
      </c>
      <c r="C177" t="str">
        <f>RAW_GAMES!E177</f>
        <v>OLO</v>
      </c>
      <c r="D177" t="str">
        <f>RAW_GAMES!R177</f>
        <v>Machovský</v>
      </c>
      <c r="F177">
        <f>RAW_GAMES!K177</f>
        <v>28</v>
      </c>
      <c r="G177" s="7">
        <f>RAW_GAMES!S177</f>
        <v>26</v>
      </c>
      <c r="H177">
        <f>RAW_GAMES!I177</f>
        <v>2</v>
      </c>
    </row>
    <row r="178" spans="1:8" x14ac:dyDescent="0.25">
      <c r="A178" t="str">
        <f>RAW_GAMES!A178</f>
        <v>25/26</v>
      </c>
      <c r="B178" s="3">
        <f>RAW_GAMES!B178</f>
        <v>45942</v>
      </c>
      <c r="C178" t="str">
        <f>RAW_GAMES!E178</f>
        <v>PCE</v>
      </c>
      <c r="D178" t="str">
        <f>RAW_GAMES!R178</f>
        <v>Vomáčka</v>
      </c>
      <c r="F178">
        <f>RAW_GAMES!K178</f>
        <v>26</v>
      </c>
      <c r="G178" s="7">
        <f>RAW_GAMES!S178</f>
        <v>24</v>
      </c>
      <c r="H178">
        <f>RAW_GAMES!I178</f>
        <v>2</v>
      </c>
    </row>
    <row r="179" spans="1:8" x14ac:dyDescent="0.25">
      <c r="A179" t="str">
        <f>RAW_GAMES!A179</f>
        <v>25/26</v>
      </c>
      <c r="B179" s="3">
        <f>RAW_GAMES!B179</f>
        <v>45942</v>
      </c>
      <c r="C179" t="str">
        <f>RAW_GAMES!E179</f>
        <v>TRI</v>
      </c>
      <c r="D179" t="str">
        <f>RAW_GAMES!R179</f>
        <v>Mazanec</v>
      </c>
      <c r="F179">
        <f>RAW_GAMES!K179</f>
        <v>31</v>
      </c>
      <c r="G179" s="7">
        <f>RAW_GAMES!S179</f>
        <v>28</v>
      </c>
      <c r="H179">
        <f>RAW_GAMES!I179</f>
        <v>3</v>
      </c>
    </row>
    <row r="180" spans="1:8" x14ac:dyDescent="0.25">
      <c r="A180" t="str">
        <f>RAW_GAMES!A180</f>
        <v>25/26</v>
      </c>
      <c r="B180" s="3">
        <f>RAW_GAMES!B180</f>
        <v>45942</v>
      </c>
      <c r="C180" t="str">
        <f>RAW_GAMES!E180</f>
        <v>SPA</v>
      </c>
      <c r="D180" t="str">
        <f>RAW_GAMES!R180</f>
        <v>Kořenář</v>
      </c>
      <c r="F180">
        <f>RAW_GAMES!K180</f>
        <v>27</v>
      </c>
      <c r="G180" s="7">
        <f>RAW_GAMES!S180</f>
        <v>25</v>
      </c>
      <c r="H180">
        <f>RAW_GAMES!I180</f>
        <v>2</v>
      </c>
    </row>
    <row r="181" spans="1:8" x14ac:dyDescent="0.25">
      <c r="A181" t="str">
        <f>RAW_GAMES!A181</f>
        <v>25/26</v>
      </c>
      <c r="B181" s="3">
        <f>RAW_GAMES!B181</f>
        <v>45942</v>
      </c>
      <c r="C181" t="str">
        <f>RAW_GAMES!E181</f>
        <v>KOM</v>
      </c>
      <c r="D181" t="str">
        <f>RAW_GAMES!R181</f>
        <v>Kavan</v>
      </c>
      <c r="F181">
        <f>RAW_GAMES!K181</f>
        <v>16</v>
      </c>
      <c r="G181" s="7">
        <f>RAW_GAMES!S181</f>
        <v>14</v>
      </c>
      <c r="H181">
        <f>RAW_GAMES!I181</f>
        <v>2</v>
      </c>
    </row>
    <row r="182" spans="1:8" x14ac:dyDescent="0.25">
      <c r="A182" t="str">
        <f>RAW_GAMES!A182</f>
        <v>25/26</v>
      </c>
      <c r="B182" s="3">
        <f>RAW_GAMES!B182</f>
        <v>45942</v>
      </c>
      <c r="C182" t="str">
        <f>RAW_GAMES!E182</f>
        <v>CEB</v>
      </c>
      <c r="D182" t="str">
        <f>RAW_GAMES!R182</f>
        <v>Strmeň</v>
      </c>
      <c r="F182">
        <f>RAW_GAMES!K182</f>
        <v>40</v>
      </c>
      <c r="G182" s="7">
        <f>RAW_GAMES!S182</f>
        <v>36</v>
      </c>
      <c r="H182">
        <f>RAW_GAMES!I182</f>
        <v>4</v>
      </c>
    </row>
    <row r="183" spans="1:8" x14ac:dyDescent="0.25">
      <c r="A183" t="str">
        <f>RAW_GAMES!A183</f>
        <v>25/26</v>
      </c>
      <c r="B183" s="3">
        <f>RAW_GAMES!B183</f>
        <v>45942</v>
      </c>
      <c r="C183" t="str">
        <f>RAW_GAMES!E183</f>
        <v>KLA</v>
      </c>
      <c r="D183" t="str">
        <f>RAW_GAMES!R183</f>
        <v>Brízgala</v>
      </c>
      <c r="F183">
        <f>RAW_GAMES!K183</f>
        <v>30</v>
      </c>
      <c r="G183" s="7">
        <f>RAW_GAMES!S183</f>
        <v>29</v>
      </c>
      <c r="H183">
        <f>RAW_GAMES!I183</f>
        <v>2</v>
      </c>
    </row>
    <row r="184" spans="1:8" x14ac:dyDescent="0.25">
      <c r="A184" t="str">
        <f>RAW_GAMES!A184</f>
        <v>25/26</v>
      </c>
      <c r="B184" s="3">
        <f>RAW_GAMES!B184</f>
        <v>45942</v>
      </c>
      <c r="C184" t="str">
        <f>RAW_GAMES!E184</f>
        <v>KVA</v>
      </c>
      <c r="D184" t="str">
        <f>RAW_GAMES!R184</f>
        <v>Frodl</v>
      </c>
      <c r="F184">
        <f>RAW_GAMES!K184</f>
        <v>21</v>
      </c>
      <c r="G184" s="7">
        <f>RAW_GAMES!S184</f>
        <v>18</v>
      </c>
      <c r="H184">
        <f>RAW_GAMES!I184</f>
        <v>3</v>
      </c>
    </row>
    <row r="185" spans="1:8" x14ac:dyDescent="0.25">
      <c r="A185" t="str">
        <f>RAW_GAMES!A185</f>
        <v>25/26</v>
      </c>
      <c r="B185" s="3">
        <f>RAW_GAMES!B185</f>
        <v>45942</v>
      </c>
      <c r="C185" t="str">
        <f>RAW_GAMES!E185</f>
        <v>LIB</v>
      </c>
      <c r="D185" t="str">
        <f>RAW_GAMES!R185</f>
        <v>Kváča</v>
      </c>
      <c r="F185">
        <f>RAW_GAMES!K185</f>
        <v>32</v>
      </c>
      <c r="G185" s="7">
        <f>RAW_GAMES!S185</f>
        <v>32</v>
      </c>
      <c r="H185">
        <f>RAW_GAMES!I185</f>
        <v>0</v>
      </c>
    </row>
    <row r="186" spans="1:8" x14ac:dyDescent="0.25">
      <c r="A186" t="str">
        <f>RAW_GAMES!A186</f>
        <v>25/26</v>
      </c>
      <c r="B186" s="3">
        <f>RAW_GAMES!B186</f>
        <v>45942</v>
      </c>
      <c r="C186" t="str">
        <f>RAW_GAMES!E186</f>
        <v>LIT</v>
      </c>
      <c r="D186" t="str">
        <f>RAW_GAMES!R186</f>
        <v>Tomek</v>
      </c>
      <c r="F186">
        <f>RAW_GAMES!K186</f>
        <v>32</v>
      </c>
      <c r="G186" s="7">
        <f>RAW_GAMES!S186</f>
        <v>27</v>
      </c>
      <c r="H186">
        <f>RAW_GAMES!I186</f>
        <v>5</v>
      </c>
    </row>
    <row r="187" spans="1:8" x14ac:dyDescent="0.25">
      <c r="A187" t="str">
        <f>RAW_GAMES!A187</f>
        <v>25/26</v>
      </c>
      <c r="B187" s="3">
        <f>RAW_GAMES!B187</f>
        <v>45942</v>
      </c>
      <c r="C187" t="str">
        <f>RAW_GAMES!E187</f>
        <v>MBL</v>
      </c>
      <c r="D187" t="str">
        <f>RAW_GAMES!R187</f>
        <v>Furch</v>
      </c>
      <c r="F187">
        <f>RAW_GAMES!K187</f>
        <v>38</v>
      </c>
      <c r="G187" s="7">
        <f>RAW_GAMES!S187</f>
        <v>37</v>
      </c>
      <c r="H187">
        <f>RAW_GAMES!I187</f>
        <v>1</v>
      </c>
    </row>
    <row r="188" spans="1:8" x14ac:dyDescent="0.25">
      <c r="A188" t="str">
        <f>RAW_GAMES!A188</f>
        <v>25/26</v>
      </c>
      <c r="B188" s="3">
        <f>RAW_GAMES!B188</f>
        <v>45942</v>
      </c>
      <c r="C188" t="str">
        <f>RAW_GAMES!E188</f>
        <v>MHK</v>
      </c>
      <c r="D188" t="str">
        <f>RAW_GAMES!R188</f>
        <v>Škorvánek</v>
      </c>
      <c r="F188">
        <f>RAW_GAMES!K188</f>
        <v>18</v>
      </c>
      <c r="G188" s="7">
        <f>RAW_GAMES!S188</f>
        <v>17</v>
      </c>
      <c r="H188">
        <f>RAW_GAMES!I188</f>
        <v>1</v>
      </c>
    </row>
    <row r="189" spans="1:8" x14ac:dyDescent="0.25">
      <c r="A189" t="str">
        <f>RAW_GAMES!A189</f>
        <v>25/26</v>
      </c>
      <c r="B189" s="3">
        <f>RAW_GAMES!B189</f>
        <v>45942</v>
      </c>
      <c r="C189" t="str">
        <f>RAW_GAMES!E189</f>
        <v>OLO</v>
      </c>
      <c r="D189" t="str">
        <f>RAW_GAMES!R189</f>
        <v>Cichoň</v>
      </c>
      <c r="F189">
        <f>RAW_GAMES!K189</f>
        <v>26</v>
      </c>
      <c r="G189" s="7">
        <f>RAW_GAMES!S189</f>
        <v>21</v>
      </c>
      <c r="H189">
        <f>RAW_GAMES!I189</f>
        <v>5</v>
      </c>
    </row>
    <row r="190" spans="1:8" x14ac:dyDescent="0.25">
      <c r="A190" t="str">
        <f>RAW_GAMES!A190</f>
        <v>25/26</v>
      </c>
      <c r="B190" s="3">
        <f>RAW_GAMES!B190</f>
        <v>45942</v>
      </c>
      <c r="C190" t="str">
        <f>RAW_GAMES!E190</f>
        <v>PLZ</v>
      </c>
      <c r="D190" t="str">
        <f>RAW_GAMES!R190</f>
        <v>Malík</v>
      </c>
      <c r="F190">
        <f>RAW_GAMES!K190</f>
        <v>18</v>
      </c>
      <c r="G190" s="7">
        <f>RAW_GAMES!S190</f>
        <v>17</v>
      </c>
      <c r="H190">
        <f>RAW_GAMES!I190</f>
        <v>1</v>
      </c>
    </row>
    <row r="191" spans="1:8" x14ac:dyDescent="0.25">
      <c r="A191" t="str">
        <f>RAW_GAMES!A191</f>
        <v>25/26</v>
      </c>
      <c r="B191" s="3">
        <f>RAW_GAMES!B191</f>
        <v>45942</v>
      </c>
      <c r="C191" t="str">
        <f>RAW_GAMES!E191</f>
        <v>VIT</v>
      </c>
      <c r="D191" t="str">
        <f>RAW_GAMES!R191</f>
        <v>Hrachovina</v>
      </c>
      <c r="F191">
        <f>RAW_GAMES!K191</f>
        <v>26</v>
      </c>
      <c r="G191" s="7">
        <f>RAW_GAMES!S191</f>
        <v>26</v>
      </c>
      <c r="H191">
        <f>RAW_GAMES!I191</f>
        <v>0</v>
      </c>
    </row>
    <row r="192" spans="1:8" x14ac:dyDescent="0.25">
      <c r="A192" t="str">
        <f>RAW_GAMES!A192</f>
        <v>25/26</v>
      </c>
      <c r="B192" s="3">
        <f>RAW_GAMES!B192</f>
        <v>45945</v>
      </c>
      <c r="C192" t="str">
        <f>RAW_GAMES!E192</f>
        <v>LIT</v>
      </c>
      <c r="D192" t="str">
        <f>RAW_GAMES!R192</f>
        <v>Čajan</v>
      </c>
      <c r="F192">
        <f>RAW_GAMES!K192</f>
        <v>37</v>
      </c>
      <c r="G192" s="7">
        <f>RAW_GAMES!S192</f>
        <v>29</v>
      </c>
      <c r="H192">
        <f>RAW_GAMES!I192</f>
        <v>8</v>
      </c>
    </row>
    <row r="193" spans="1:8" x14ac:dyDescent="0.25">
      <c r="A193" t="str">
        <f>RAW_GAMES!A193</f>
        <v>25/26</v>
      </c>
      <c r="B193" s="3">
        <f>RAW_GAMES!B193</f>
        <v>45945</v>
      </c>
      <c r="C193" t="str">
        <f>RAW_GAMES!E193</f>
        <v>VIT</v>
      </c>
      <c r="D193" t="str">
        <f>RAW_GAMES!R193</f>
        <v>Hrachovina</v>
      </c>
      <c r="F193">
        <f>RAW_GAMES!K193</f>
        <v>38</v>
      </c>
      <c r="G193" s="7">
        <f>RAW_GAMES!S193</f>
        <v>36</v>
      </c>
      <c r="H193">
        <f>RAW_GAMES!I193</f>
        <v>2</v>
      </c>
    </row>
    <row r="194" spans="1:8" x14ac:dyDescent="0.25">
      <c r="A194" t="str">
        <f>RAW_GAMES!A194</f>
        <v>25/26</v>
      </c>
      <c r="B194" s="3">
        <f>RAW_GAMES!B194</f>
        <v>45946</v>
      </c>
      <c r="C194" t="str">
        <f>RAW_GAMES!E194</f>
        <v>OLO</v>
      </c>
      <c r="D194" t="str">
        <f>RAW_GAMES!R194</f>
        <v>Cichoň</v>
      </c>
      <c r="F194">
        <f>RAW_GAMES!K194</f>
        <v>28</v>
      </c>
      <c r="G194" s="7">
        <f>RAW_GAMES!S194</f>
        <v>26</v>
      </c>
      <c r="H194">
        <f>RAW_GAMES!I194</f>
        <v>2</v>
      </c>
    </row>
    <row r="195" spans="1:8" x14ac:dyDescent="0.25">
      <c r="A195" t="str">
        <f>RAW_GAMES!A195</f>
        <v>25/26</v>
      </c>
      <c r="B195" s="3">
        <f>RAW_GAMES!B195</f>
        <v>45946</v>
      </c>
      <c r="C195" t="str">
        <f>RAW_GAMES!E195</f>
        <v>PLZ</v>
      </c>
      <c r="D195" t="str">
        <f>RAW_GAMES!R195</f>
        <v>Malík</v>
      </c>
      <c r="F195">
        <f>RAW_GAMES!K195</f>
        <v>20</v>
      </c>
      <c r="G195" s="7">
        <f>RAW_GAMES!S195</f>
        <v>17</v>
      </c>
      <c r="H195">
        <f>RAW_GAMES!I195</f>
        <v>3</v>
      </c>
    </row>
    <row r="196" spans="1:8" x14ac:dyDescent="0.25">
      <c r="A196" t="str">
        <f>RAW_GAMES!A196</f>
        <v>25/26</v>
      </c>
      <c r="B196" s="3">
        <f>RAW_GAMES!B196</f>
        <v>45947</v>
      </c>
      <c r="C196" t="str">
        <f>RAW_GAMES!E196</f>
        <v>PCE</v>
      </c>
      <c r="D196" t="str">
        <f>RAW_GAMES!R196</f>
        <v>Vomáčka</v>
      </c>
      <c r="F196">
        <f>RAW_GAMES!K196</f>
        <v>41</v>
      </c>
      <c r="G196" s="7">
        <f>RAW_GAMES!S196</f>
        <v>36</v>
      </c>
      <c r="H196">
        <f>RAW_GAMES!I196</f>
        <v>5</v>
      </c>
    </row>
    <row r="197" spans="1:8" x14ac:dyDescent="0.25">
      <c r="A197" t="str">
        <f>RAW_GAMES!A197</f>
        <v>25/26</v>
      </c>
      <c r="B197" s="3">
        <f>RAW_GAMES!B197</f>
        <v>45947</v>
      </c>
      <c r="C197" t="str">
        <f>RAW_GAMES!E197</f>
        <v>KOM</v>
      </c>
      <c r="D197" t="str">
        <f>RAW_GAMES!R197</f>
        <v>Stezka</v>
      </c>
      <c r="F197">
        <f>RAW_GAMES!K197</f>
        <v>26</v>
      </c>
      <c r="G197" s="7">
        <f>RAW_GAMES!S197</f>
        <v>22</v>
      </c>
      <c r="H197">
        <f>RAW_GAMES!I197</f>
        <v>4</v>
      </c>
    </row>
    <row r="198" spans="1:8" x14ac:dyDescent="0.25">
      <c r="A198" t="str">
        <f>RAW_GAMES!A198</f>
        <v>25/26</v>
      </c>
      <c r="B198" s="3">
        <f>RAW_GAMES!B198</f>
        <v>45947</v>
      </c>
      <c r="C198" t="str">
        <f>RAW_GAMES!E198</f>
        <v>KLA</v>
      </c>
      <c r="D198" t="str">
        <f>RAW_GAMES!R198</f>
        <v>Dansk</v>
      </c>
      <c r="F198">
        <f>RAW_GAMES!K198</f>
        <v>23</v>
      </c>
      <c r="G198" s="7">
        <f>RAW_GAMES!S198</f>
        <v>22</v>
      </c>
      <c r="H198">
        <f>RAW_GAMES!I198</f>
        <v>1</v>
      </c>
    </row>
    <row r="199" spans="1:8" x14ac:dyDescent="0.25">
      <c r="A199" t="str">
        <f>RAW_GAMES!A199</f>
        <v>25/26</v>
      </c>
      <c r="B199" s="3">
        <f>RAW_GAMES!B199</f>
        <v>45947</v>
      </c>
      <c r="C199" t="str">
        <f>RAW_GAMES!E199</f>
        <v>KVA</v>
      </c>
      <c r="D199" t="str">
        <f>RAW_GAMES!R199</f>
        <v>Frodl</v>
      </c>
      <c r="F199">
        <f>RAW_GAMES!K199</f>
        <v>34</v>
      </c>
      <c r="G199" s="7">
        <f>RAW_GAMES!S199</f>
        <v>34</v>
      </c>
      <c r="H199">
        <f>RAW_GAMES!I199</f>
        <v>0</v>
      </c>
    </row>
    <row r="200" spans="1:8" x14ac:dyDescent="0.25">
      <c r="A200" t="str">
        <f>RAW_GAMES!A200</f>
        <v>25/26</v>
      </c>
      <c r="B200" s="3">
        <f>RAW_GAMES!B200</f>
        <v>45947</v>
      </c>
      <c r="C200" t="str">
        <f>RAW_GAMES!E200</f>
        <v>LIB</v>
      </c>
      <c r="D200" t="str">
        <f>RAW_GAMES!R200</f>
        <v>Kváča</v>
      </c>
      <c r="F200">
        <f>RAW_GAMES!K200</f>
        <v>31</v>
      </c>
      <c r="G200" s="7">
        <f>RAW_GAMES!S200</f>
        <v>31</v>
      </c>
      <c r="H200">
        <f>RAW_GAMES!I200</f>
        <v>0</v>
      </c>
    </row>
    <row r="201" spans="1:8" x14ac:dyDescent="0.25">
      <c r="A201" t="str">
        <f>RAW_GAMES!A201</f>
        <v>25/26</v>
      </c>
      <c r="B201" s="3">
        <f>RAW_GAMES!B201</f>
        <v>45947</v>
      </c>
      <c r="C201" t="str">
        <f>RAW_GAMES!E201</f>
        <v>LIT</v>
      </c>
      <c r="D201" t="str">
        <f>RAW_GAMES!R201</f>
        <v>Čajan</v>
      </c>
      <c r="F201">
        <f>RAW_GAMES!K201</f>
        <v>33</v>
      </c>
      <c r="G201" s="7">
        <f>RAW_GAMES!S201</f>
        <v>30</v>
      </c>
      <c r="H201">
        <f>RAW_GAMES!I201</f>
        <v>3</v>
      </c>
    </row>
    <row r="202" spans="1:8" x14ac:dyDescent="0.25">
      <c r="A202" t="str">
        <f>RAW_GAMES!A202</f>
        <v>25/26</v>
      </c>
      <c r="B202" s="3">
        <f>RAW_GAMES!B202</f>
        <v>45947</v>
      </c>
      <c r="C202" t="str">
        <f>RAW_GAMES!E202</f>
        <v>MBL</v>
      </c>
      <c r="D202" t="str">
        <f>RAW_GAMES!R202</f>
        <v>Furch</v>
      </c>
      <c r="F202">
        <f>RAW_GAMES!K202</f>
        <v>29</v>
      </c>
      <c r="G202" s="7">
        <f>RAW_GAMES!S202</f>
        <v>28</v>
      </c>
      <c r="H202">
        <f>RAW_GAMES!I202</f>
        <v>1</v>
      </c>
    </row>
    <row r="203" spans="1:8" x14ac:dyDescent="0.25">
      <c r="A203" t="str">
        <f>RAW_GAMES!A203</f>
        <v>25/26</v>
      </c>
      <c r="B203" s="3">
        <f>RAW_GAMES!B203</f>
        <v>45947</v>
      </c>
      <c r="C203" t="str">
        <f>RAW_GAMES!E203</f>
        <v>VIT</v>
      </c>
      <c r="D203" t="str">
        <f>RAW_GAMES!R203</f>
        <v>Hrachovina</v>
      </c>
      <c r="F203">
        <f>RAW_GAMES!K203</f>
        <v>35</v>
      </c>
      <c r="G203" s="7">
        <f>RAW_GAMES!S203</f>
        <v>32</v>
      </c>
      <c r="H203">
        <f>RAW_GAMES!I203</f>
        <v>3</v>
      </c>
    </row>
    <row r="204" spans="1:8" x14ac:dyDescent="0.25">
      <c r="A204" t="str">
        <f>RAW_GAMES!A204</f>
        <v>25/26</v>
      </c>
      <c r="B204" s="3">
        <f>RAW_GAMES!B204</f>
        <v>45949</v>
      </c>
      <c r="C204" t="str">
        <f>RAW_GAMES!E204</f>
        <v>PCE</v>
      </c>
      <c r="D204" t="str">
        <f>RAW_GAMES!R204</f>
        <v>Will</v>
      </c>
      <c r="F204">
        <f>RAW_GAMES!K204</f>
        <v>18</v>
      </c>
      <c r="G204" s="7">
        <f>RAW_GAMES!S204</f>
        <v>18</v>
      </c>
      <c r="H204">
        <f>RAW_GAMES!I204</f>
        <v>0</v>
      </c>
    </row>
    <row r="205" spans="1:8" x14ac:dyDescent="0.25">
      <c r="A205" t="str">
        <f>RAW_GAMES!A205</f>
        <v>25/26</v>
      </c>
      <c r="B205" s="3">
        <f>RAW_GAMES!B205</f>
        <v>45949</v>
      </c>
      <c r="C205" t="str">
        <f>RAW_GAMES!E205</f>
        <v>TRI</v>
      </c>
      <c r="D205" t="str">
        <f>RAW_GAMES!R205</f>
        <v>Mazanec</v>
      </c>
      <c r="F205">
        <f>RAW_GAMES!K205</f>
        <v>42</v>
      </c>
      <c r="G205" s="7">
        <f>RAW_GAMES!S205</f>
        <v>42</v>
      </c>
      <c r="H205">
        <f>RAW_GAMES!I205</f>
        <v>0</v>
      </c>
    </row>
    <row r="206" spans="1:8" x14ac:dyDescent="0.25">
      <c r="A206" t="str">
        <f>RAW_GAMES!A206</f>
        <v>25/26</v>
      </c>
      <c r="B206" s="3">
        <f>RAW_GAMES!B206</f>
        <v>45949</v>
      </c>
      <c r="C206" t="str">
        <f>RAW_GAMES!E206</f>
        <v>SPA</v>
      </c>
      <c r="D206" t="str">
        <f>RAW_GAMES!R206</f>
        <v>Kovář</v>
      </c>
      <c r="F206">
        <f>RAW_GAMES!K206</f>
        <v>23</v>
      </c>
      <c r="G206" s="7">
        <f>RAW_GAMES!S206</f>
        <v>22</v>
      </c>
      <c r="H206">
        <f>RAW_GAMES!I206</f>
        <v>1</v>
      </c>
    </row>
    <row r="207" spans="1:8" x14ac:dyDescent="0.25">
      <c r="A207" t="str">
        <f>RAW_GAMES!A207</f>
        <v>25/26</v>
      </c>
      <c r="B207" s="3">
        <f>RAW_GAMES!B207</f>
        <v>45949</v>
      </c>
      <c r="C207" t="str">
        <f>RAW_GAMES!E207</f>
        <v>KOM</v>
      </c>
      <c r="D207" t="str">
        <f>RAW_GAMES!R207</f>
        <v>Kavan</v>
      </c>
      <c r="F207">
        <f>RAW_GAMES!K207</f>
        <v>40</v>
      </c>
      <c r="G207" s="7">
        <f>RAW_GAMES!S207</f>
        <v>36</v>
      </c>
      <c r="H207">
        <f>RAW_GAMES!I207</f>
        <v>4</v>
      </c>
    </row>
    <row r="208" spans="1:8" x14ac:dyDescent="0.25">
      <c r="A208" t="str">
        <f>RAW_GAMES!A208</f>
        <v>25/26</v>
      </c>
      <c r="B208" s="3">
        <f>RAW_GAMES!B208</f>
        <v>45949</v>
      </c>
      <c r="C208" t="str">
        <f>RAW_GAMES!E208</f>
        <v>CEB</v>
      </c>
      <c r="D208" t="str">
        <f>RAW_GAMES!R208</f>
        <v>Strmeň</v>
      </c>
      <c r="F208">
        <f>RAW_GAMES!K208</f>
        <v>27</v>
      </c>
      <c r="G208" s="7">
        <f>RAW_GAMES!S208</f>
        <v>24</v>
      </c>
      <c r="H208">
        <f>RAW_GAMES!I208</f>
        <v>3</v>
      </c>
    </row>
    <row r="209" spans="1:8" x14ac:dyDescent="0.25">
      <c r="A209" t="str">
        <f>RAW_GAMES!A209</f>
        <v>25/26</v>
      </c>
      <c r="B209" s="3">
        <f>RAW_GAMES!B209</f>
        <v>45949</v>
      </c>
      <c r="C209" t="str">
        <f>RAW_GAMES!E209</f>
        <v>KLA</v>
      </c>
      <c r="D209" t="str">
        <f>RAW_GAMES!R209</f>
        <v>Brízgala</v>
      </c>
      <c r="F209">
        <f>RAW_GAMES!K209</f>
        <v>36</v>
      </c>
      <c r="G209" s="7">
        <f>RAW_GAMES!S209</f>
        <v>32</v>
      </c>
      <c r="H209">
        <f>RAW_GAMES!I209</f>
        <v>4</v>
      </c>
    </row>
    <row r="210" spans="1:8" x14ac:dyDescent="0.25">
      <c r="A210" t="str">
        <f>RAW_GAMES!A210</f>
        <v>25/26</v>
      </c>
      <c r="B210" s="3">
        <f>RAW_GAMES!B210</f>
        <v>45949</v>
      </c>
      <c r="C210" t="str">
        <f>RAW_GAMES!E210</f>
        <v>KVA</v>
      </c>
      <c r="D210" t="str">
        <f>RAW_GAMES!R210</f>
        <v>Král</v>
      </c>
      <c r="F210">
        <f>RAW_GAMES!K210</f>
        <v>32</v>
      </c>
      <c r="G210" s="7">
        <f>RAW_GAMES!S210</f>
        <v>27</v>
      </c>
      <c r="H210">
        <f>RAW_GAMES!I210</f>
        <v>5</v>
      </c>
    </row>
    <row r="211" spans="1:8" x14ac:dyDescent="0.25">
      <c r="A211" t="str">
        <f>RAW_GAMES!A211</f>
        <v>25/26</v>
      </c>
      <c r="B211" s="3">
        <f>RAW_GAMES!B211</f>
        <v>45949</v>
      </c>
      <c r="C211" t="str">
        <f>RAW_GAMES!E211</f>
        <v>LIB</v>
      </c>
      <c r="D211" t="str">
        <f>RAW_GAMES!R211</f>
        <v>Kváča</v>
      </c>
      <c r="F211">
        <f>RAW_GAMES!K211</f>
        <v>20</v>
      </c>
      <c r="G211" s="7">
        <f>RAW_GAMES!S211</f>
        <v>19</v>
      </c>
      <c r="H211">
        <f>RAW_GAMES!I211</f>
        <v>1</v>
      </c>
    </row>
    <row r="212" spans="1:8" x14ac:dyDescent="0.25">
      <c r="A212" t="str">
        <f>RAW_GAMES!A212</f>
        <v>25/26</v>
      </c>
      <c r="B212" s="3">
        <f>RAW_GAMES!B212</f>
        <v>45949</v>
      </c>
      <c r="C212" t="str">
        <f>RAW_GAMES!E212</f>
        <v>MBL</v>
      </c>
      <c r="D212" t="str">
        <f>RAW_GAMES!R212</f>
        <v>Furch</v>
      </c>
      <c r="F212">
        <f>RAW_GAMES!K212</f>
        <v>27</v>
      </c>
      <c r="G212" s="7">
        <f>RAW_GAMES!S212</f>
        <v>25</v>
      </c>
      <c r="H212">
        <f>RAW_GAMES!I212</f>
        <v>2</v>
      </c>
    </row>
    <row r="213" spans="1:8" x14ac:dyDescent="0.25">
      <c r="A213" t="str">
        <f>RAW_GAMES!A213</f>
        <v>25/26</v>
      </c>
      <c r="B213" s="3">
        <f>RAW_GAMES!B213</f>
        <v>45949</v>
      </c>
      <c r="C213" t="str">
        <f>RAW_GAMES!E213</f>
        <v>MHK</v>
      </c>
      <c r="D213" t="str">
        <f>RAW_GAMES!R213</f>
        <v>Škorvánek</v>
      </c>
      <c r="F213">
        <f>RAW_GAMES!K213</f>
        <v>25</v>
      </c>
      <c r="G213" s="7">
        <f>RAW_GAMES!S213</f>
        <v>24</v>
      </c>
      <c r="H213">
        <f>RAW_GAMES!I213</f>
        <v>1</v>
      </c>
    </row>
    <row r="214" spans="1:8" x14ac:dyDescent="0.25">
      <c r="A214" t="str">
        <f>RAW_GAMES!A214</f>
        <v>25/26</v>
      </c>
      <c r="B214" s="3">
        <f>RAW_GAMES!B214</f>
        <v>45949</v>
      </c>
      <c r="C214" t="str">
        <f>RAW_GAMES!E214</f>
        <v>OLO</v>
      </c>
      <c r="D214" t="str">
        <f>RAW_GAMES!R214</f>
        <v>Machovský</v>
      </c>
      <c r="F214">
        <f>RAW_GAMES!K214</f>
        <v>37</v>
      </c>
      <c r="G214" s="7">
        <f>RAW_GAMES!S214</f>
        <v>24</v>
      </c>
      <c r="H214">
        <f>RAW_GAMES!I214</f>
        <v>3</v>
      </c>
    </row>
    <row r="215" spans="1:8" x14ac:dyDescent="0.25">
      <c r="A215" t="str">
        <f>RAW_GAMES!A215</f>
        <v>25/26</v>
      </c>
      <c r="B215" s="3">
        <f>RAW_GAMES!B215</f>
        <v>45949</v>
      </c>
      <c r="C215" t="str">
        <f>RAW_GAMES!E215</f>
        <v>PLZ</v>
      </c>
      <c r="D215" t="str">
        <f>RAW_GAMES!R215</f>
        <v>Růžička</v>
      </c>
      <c r="F215">
        <f>RAW_GAMES!K215</f>
        <v>20</v>
      </c>
      <c r="G215" s="7">
        <f>RAW_GAMES!S215</f>
        <v>20</v>
      </c>
      <c r="H215">
        <f>RAW_GAMES!I215</f>
        <v>0</v>
      </c>
    </row>
    <row r="216" spans="1:8" x14ac:dyDescent="0.25">
      <c r="A216" t="str">
        <f>RAW_GAMES!A216</f>
        <v>25/26</v>
      </c>
      <c r="B216" s="3">
        <f>RAW_GAMES!B216</f>
        <v>45951</v>
      </c>
      <c r="C216" t="str">
        <f>RAW_GAMES!E216</f>
        <v>TRI</v>
      </c>
      <c r="D216" t="str">
        <f>RAW_GAMES!R216</f>
        <v>Mazanec</v>
      </c>
      <c r="F216">
        <f>RAW_GAMES!K216</f>
        <v>23</v>
      </c>
      <c r="G216" s="7">
        <f>RAW_GAMES!S216</f>
        <v>22</v>
      </c>
      <c r="H216">
        <f>RAW_GAMES!I216</f>
        <v>1</v>
      </c>
    </row>
    <row r="217" spans="1:8" x14ac:dyDescent="0.25">
      <c r="A217" t="str">
        <f>RAW_GAMES!A217</f>
        <v>25/26</v>
      </c>
      <c r="B217" s="3">
        <f>RAW_GAMES!B217</f>
        <v>45951</v>
      </c>
      <c r="C217" t="str">
        <f>RAW_GAMES!E217</f>
        <v>SPA</v>
      </c>
      <c r="D217" t="str">
        <f>RAW_GAMES!R217</f>
        <v>Kovář</v>
      </c>
      <c r="F217">
        <f>RAW_GAMES!K217</f>
        <v>36</v>
      </c>
      <c r="G217" s="7">
        <f>RAW_GAMES!S217</f>
        <v>32</v>
      </c>
      <c r="H217">
        <f>RAW_GAMES!I217</f>
        <v>4</v>
      </c>
    </row>
    <row r="218" spans="1:8" x14ac:dyDescent="0.25">
      <c r="A218" t="str">
        <f>RAW_GAMES!A218</f>
        <v>25/26</v>
      </c>
      <c r="B218" s="3">
        <f>RAW_GAMES!B218</f>
        <v>45951</v>
      </c>
      <c r="C218" t="str">
        <f>RAW_GAMES!E218</f>
        <v>CEB</v>
      </c>
      <c r="D218" t="str">
        <f>RAW_GAMES!R218</f>
        <v>Strmeň</v>
      </c>
      <c r="F218">
        <f>RAW_GAMES!K218</f>
        <v>26</v>
      </c>
      <c r="G218" s="7">
        <f>RAW_GAMES!S218</f>
        <v>23</v>
      </c>
      <c r="H218">
        <f>RAW_GAMES!I218</f>
        <v>3</v>
      </c>
    </row>
    <row r="219" spans="1:8" x14ac:dyDescent="0.25">
      <c r="A219" t="str">
        <f>RAW_GAMES!A219</f>
        <v>25/26</v>
      </c>
      <c r="B219" s="3">
        <f>RAW_GAMES!B219</f>
        <v>45951</v>
      </c>
      <c r="C219" t="str">
        <f>RAW_GAMES!E219</f>
        <v>LIT</v>
      </c>
      <c r="D219" t="str">
        <f>RAW_GAMES!R219</f>
        <v>Čajan</v>
      </c>
      <c r="F219">
        <f>RAW_GAMES!K219</f>
        <v>40</v>
      </c>
      <c r="G219" s="7">
        <f>RAW_GAMES!S219</f>
        <v>37</v>
      </c>
      <c r="H219">
        <f>RAW_GAMES!I219</f>
        <v>3</v>
      </c>
    </row>
    <row r="220" spans="1:8" x14ac:dyDescent="0.25">
      <c r="A220" t="str">
        <f>RAW_GAMES!A220</f>
        <v>25/26</v>
      </c>
      <c r="B220" s="3">
        <f>RAW_GAMES!B220</f>
        <v>45951</v>
      </c>
      <c r="C220" t="str">
        <f>RAW_GAMES!E220</f>
        <v>MHK</v>
      </c>
      <c r="D220" t="str">
        <f>RAW_GAMES!R220</f>
        <v>Škorvánek</v>
      </c>
      <c r="F220">
        <f>RAW_GAMES!K220</f>
        <v>22</v>
      </c>
      <c r="G220" s="7">
        <f>RAW_GAMES!S220</f>
        <v>22</v>
      </c>
      <c r="H220">
        <f>RAW_GAMES!I220</f>
        <v>0</v>
      </c>
    </row>
    <row r="221" spans="1:8" x14ac:dyDescent="0.25">
      <c r="A221" t="str">
        <f>RAW_GAMES!A221</f>
        <v>25/26</v>
      </c>
      <c r="B221" s="3">
        <f>RAW_GAMES!B221</f>
        <v>45951</v>
      </c>
      <c r="C221" t="str">
        <f>RAW_GAMES!E221</f>
        <v>OLO</v>
      </c>
      <c r="D221" t="str">
        <f>RAW_GAMES!R221</f>
        <v>Machovský</v>
      </c>
      <c r="F221">
        <f>RAW_GAMES!K221</f>
        <v>30</v>
      </c>
      <c r="G221" s="7">
        <f>RAW_GAMES!S221</f>
        <v>28</v>
      </c>
      <c r="H221">
        <f>RAW_GAMES!I221</f>
        <v>2</v>
      </c>
    </row>
    <row r="222" spans="1:8" x14ac:dyDescent="0.25">
      <c r="A222" t="str">
        <f>RAW_GAMES!A222</f>
        <v>25/26</v>
      </c>
      <c r="B222" s="3">
        <f>RAW_GAMES!B222</f>
        <v>45952</v>
      </c>
      <c r="C222" t="str">
        <f>RAW_GAMES!E222</f>
        <v>SPA</v>
      </c>
      <c r="D222" t="str">
        <f>RAW_GAMES!R222</f>
        <v>Kovář</v>
      </c>
      <c r="F222">
        <f>RAW_GAMES!K222</f>
        <v>40</v>
      </c>
      <c r="G222" s="7">
        <f>RAW_GAMES!S222</f>
        <v>36</v>
      </c>
      <c r="H222">
        <f>RAW_GAMES!I222</f>
        <v>4</v>
      </c>
    </row>
    <row r="223" spans="1:8" x14ac:dyDescent="0.25">
      <c r="A223" t="str">
        <f>RAW_GAMES!A223</f>
        <v>25/26</v>
      </c>
      <c r="B223" s="3">
        <f>RAW_GAMES!B223</f>
        <v>45952</v>
      </c>
      <c r="C223" t="str">
        <f>RAW_GAMES!E223</f>
        <v>VIT</v>
      </c>
      <c r="D223" t="str">
        <f>RAW_GAMES!R223</f>
        <v>Hrachovina</v>
      </c>
      <c r="F223">
        <f>RAW_GAMES!K223</f>
        <v>30</v>
      </c>
      <c r="G223" s="7">
        <f>RAW_GAMES!S223</f>
        <v>31</v>
      </c>
      <c r="H223">
        <f>RAW_GAMES!I223</f>
        <v>5</v>
      </c>
    </row>
    <row r="224" spans="1:8" x14ac:dyDescent="0.25">
      <c r="A224" t="str">
        <f>RAW_GAMES!A224</f>
        <v>25/26</v>
      </c>
      <c r="B224" s="3">
        <f>RAW_GAMES!B224</f>
        <v>45953</v>
      </c>
      <c r="C224" t="str">
        <f>RAW_GAMES!E224</f>
        <v>PCE</v>
      </c>
      <c r="D224" t="str">
        <f>RAW_GAMES!R224</f>
        <v>Will</v>
      </c>
      <c r="F224">
        <f>RAW_GAMES!K224</f>
        <v>25</v>
      </c>
      <c r="G224" s="7">
        <f>RAW_GAMES!S224</f>
        <v>23</v>
      </c>
      <c r="H224">
        <f>RAW_GAMES!I224</f>
        <v>2</v>
      </c>
    </row>
    <row r="225" spans="1:8" x14ac:dyDescent="0.25">
      <c r="A225" t="str">
        <f>RAW_GAMES!A225</f>
        <v>25/26</v>
      </c>
      <c r="B225" s="3">
        <f>RAW_GAMES!B225</f>
        <v>45953</v>
      </c>
      <c r="C225" t="str">
        <f>RAW_GAMES!E225</f>
        <v>CEB</v>
      </c>
      <c r="D225" t="str">
        <f>RAW_GAMES!R225</f>
        <v>Strmeň</v>
      </c>
      <c r="F225">
        <f>RAW_GAMES!K225</f>
        <v>25</v>
      </c>
      <c r="G225" s="7">
        <f>RAW_GAMES!S225</f>
        <v>20</v>
      </c>
      <c r="H225">
        <f>RAW_GAMES!I225</f>
        <v>5</v>
      </c>
    </row>
    <row r="226" spans="1:8" x14ac:dyDescent="0.25">
      <c r="A226" t="str">
        <f>RAW_GAMES!A226</f>
        <v>25/26</v>
      </c>
      <c r="B226" s="3">
        <f>RAW_GAMES!B226</f>
        <v>45954</v>
      </c>
      <c r="C226" t="str">
        <f>RAW_GAMES!E226</f>
        <v>TRI</v>
      </c>
      <c r="D226" t="str">
        <f>RAW_GAMES!R226</f>
        <v>Mazanec</v>
      </c>
      <c r="F226">
        <f>RAW_GAMES!K226</f>
        <v>22</v>
      </c>
      <c r="G226" s="7">
        <f>RAW_GAMES!S226</f>
        <v>21</v>
      </c>
      <c r="H226">
        <f>RAW_GAMES!I226</f>
        <v>1</v>
      </c>
    </row>
    <row r="227" spans="1:8" x14ac:dyDescent="0.25">
      <c r="A227" t="str">
        <f>RAW_GAMES!A227</f>
        <v>25/26</v>
      </c>
      <c r="B227" s="3">
        <f>RAW_GAMES!B227</f>
        <v>45954</v>
      </c>
      <c r="C227" t="str">
        <f>RAW_GAMES!E227</f>
        <v>SPA</v>
      </c>
      <c r="D227" t="str">
        <f>RAW_GAMES!R227</f>
        <v>Kořenář</v>
      </c>
      <c r="F227">
        <f>RAW_GAMES!K227</f>
        <v>34</v>
      </c>
      <c r="G227" s="7">
        <f>RAW_GAMES!S227</f>
        <v>31</v>
      </c>
      <c r="H227">
        <f>RAW_GAMES!I227</f>
        <v>4</v>
      </c>
    </row>
    <row r="228" spans="1:8" x14ac:dyDescent="0.25">
      <c r="A228" t="str">
        <f>RAW_GAMES!A228</f>
        <v>25/26</v>
      </c>
      <c r="B228" s="3">
        <f>RAW_GAMES!B228</f>
        <v>45954</v>
      </c>
      <c r="C228" t="str">
        <f>RAW_GAMES!E228</f>
        <v>KVA</v>
      </c>
      <c r="D228" t="str">
        <f>RAW_GAMES!R228</f>
        <v>Frodl</v>
      </c>
      <c r="F228">
        <f>RAW_GAMES!K228</f>
        <v>29</v>
      </c>
      <c r="G228" s="7">
        <f>RAW_GAMES!S228</f>
        <v>26</v>
      </c>
      <c r="H228">
        <f>RAW_GAMES!I228</f>
        <v>3</v>
      </c>
    </row>
    <row r="229" spans="1:8" x14ac:dyDescent="0.25">
      <c r="A229" t="str">
        <f>RAW_GAMES!A229</f>
        <v>25/26</v>
      </c>
      <c r="B229" s="3">
        <f>RAW_GAMES!B229</f>
        <v>45954</v>
      </c>
      <c r="C229" t="str">
        <f>RAW_GAMES!E229</f>
        <v>KOM</v>
      </c>
      <c r="D229" t="str">
        <f>RAW_GAMES!R229</f>
        <v>Stezka</v>
      </c>
      <c r="F229">
        <f>RAW_GAMES!K229</f>
        <v>28</v>
      </c>
      <c r="G229" s="7">
        <f>RAW_GAMES!S229</f>
        <v>27</v>
      </c>
      <c r="H229">
        <f>RAW_GAMES!I229</f>
        <v>1</v>
      </c>
    </row>
    <row r="230" spans="1:8" x14ac:dyDescent="0.25">
      <c r="A230" t="str">
        <f>RAW_GAMES!A230</f>
        <v>25/26</v>
      </c>
      <c r="B230" s="3">
        <f>RAW_GAMES!B230</f>
        <v>45954</v>
      </c>
      <c r="C230" t="str">
        <f>RAW_GAMES!E230</f>
        <v>KLA</v>
      </c>
      <c r="D230" t="str">
        <f>RAW_GAMES!R230</f>
        <v>Dansk</v>
      </c>
      <c r="F230">
        <f>RAW_GAMES!K230</f>
        <v>20</v>
      </c>
      <c r="G230" s="7">
        <f>RAW_GAMES!S230</f>
        <v>18</v>
      </c>
      <c r="H230">
        <f>RAW_GAMES!I230</f>
        <v>2</v>
      </c>
    </row>
    <row r="231" spans="1:8" x14ac:dyDescent="0.25">
      <c r="A231" t="str">
        <f>RAW_GAMES!A231</f>
        <v>25/26</v>
      </c>
      <c r="B231" s="3">
        <f>RAW_GAMES!B231</f>
        <v>45954</v>
      </c>
      <c r="C231" t="str">
        <f>RAW_GAMES!E231</f>
        <v>LIB</v>
      </c>
      <c r="D231" t="str">
        <f>RAW_GAMES!R231</f>
        <v>Kváča</v>
      </c>
      <c r="F231">
        <f>RAW_GAMES!K231</f>
        <v>30</v>
      </c>
      <c r="G231" s="7">
        <f>RAW_GAMES!S231</f>
        <v>26</v>
      </c>
      <c r="H231">
        <f>RAW_GAMES!I231</f>
        <v>4</v>
      </c>
    </row>
    <row r="232" spans="1:8" x14ac:dyDescent="0.25">
      <c r="A232" t="str">
        <f>RAW_GAMES!A232</f>
        <v>25/26</v>
      </c>
      <c r="B232" s="3">
        <f>RAW_GAMES!B232</f>
        <v>45954</v>
      </c>
      <c r="C232" t="str">
        <f>RAW_GAMES!E232</f>
        <v>LIT</v>
      </c>
      <c r="D232" t="str">
        <f>RAW_GAMES!R232</f>
        <v>Tomek</v>
      </c>
      <c r="F232">
        <f>RAW_GAMES!K232</f>
        <v>26</v>
      </c>
      <c r="G232" s="7">
        <f>RAW_GAMES!S232</f>
        <v>23</v>
      </c>
      <c r="H232">
        <f>RAW_GAMES!I232</f>
        <v>3</v>
      </c>
    </row>
    <row r="233" spans="1:8" x14ac:dyDescent="0.25">
      <c r="A233" t="str">
        <f>RAW_GAMES!A233</f>
        <v>25/26</v>
      </c>
      <c r="B233" s="3">
        <f>RAW_GAMES!B233</f>
        <v>45954</v>
      </c>
      <c r="C233" t="str">
        <f>RAW_GAMES!E233</f>
        <v>MBL</v>
      </c>
      <c r="D233" t="str">
        <f>RAW_GAMES!R233</f>
        <v>Mokry</v>
      </c>
      <c r="F233">
        <f>RAW_GAMES!K233</f>
        <v>43</v>
      </c>
      <c r="G233" s="7">
        <f>RAW_GAMES!S233</f>
        <v>41</v>
      </c>
      <c r="H233">
        <f>RAW_GAMES!I233</f>
        <v>2</v>
      </c>
    </row>
    <row r="234" spans="1:8" x14ac:dyDescent="0.25">
      <c r="A234" t="str">
        <f>RAW_GAMES!A234</f>
        <v>25/26</v>
      </c>
      <c r="B234" s="3">
        <f>RAW_GAMES!B234</f>
        <v>45954</v>
      </c>
      <c r="C234" t="str">
        <f>RAW_GAMES!E234</f>
        <v>MHK</v>
      </c>
      <c r="D234" t="str">
        <f>RAW_GAMES!R234</f>
        <v>Škorvánek</v>
      </c>
      <c r="F234">
        <f>RAW_GAMES!K234</f>
        <v>34</v>
      </c>
      <c r="G234" s="7">
        <f>RAW_GAMES!S234</f>
        <v>32</v>
      </c>
      <c r="H234">
        <f>RAW_GAMES!I234</f>
        <v>2</v>
      </c>
    </row>
    <row r="235" spans="1:8" x14ac:dyDescent="0.25">
      <c r="A235" t="str">
        <f>RAW_GAMES!A235</f>
        <v>25/26</v>
      </c>
      <c r="B235" s="3">
        <f>RAW_GAMES!B235</f>
        <v>45954</v>
      </c>
      <c r="C235" t="str">
        <f>RAW_GAMES!E235</f>
        <v>OLO</v>
      </c>
      <c r="D235" t="str">
        <f>RAW_GAMES!R235</f>
        <v>Machovský</v>
      </c>
      <c r="F235">
        <f>RAW_GAMES!K235</f>
        <v>29</v>
      </c>
      <c r="G235" s="7">
        <f>RAW_GAMES!S235</f>
        <v>26</v>
      </c>
      <c r="H235">
        <f>RAW_GAMES!I235</f>
        <v>3</v>
      </c>
    </row>
    <row r="236" spans="1:8" x14ac:dyDescent="0.25">
      <c r="A236" t="str">
        <f>RAW_GAMES!A236</f>
        <v>25/26</v>
      </c>
      <c r="B236" s="3">
        <f>RAW_GAMES!B236</f>
        <v>45954</v>
      </c>
      <c r="C236" t="str">
        <f>RAW_GAMES!E236</f>
        <v>PLZ</v>
      </c>
      <c r="D236" t="str">
        <f>RAW_GAMES!R236</f>
        <v>Malík</v>
      </c>
      <c r="F236">
        <f>RAW_GAMES!K236</f>
        <v>20</v>
      </c>
      <c r="G236" s="7">
        <f>RAW_GAMES!S236</f>
        <v>17</v>
      </c>
      <c r="H236">
        <f>RAW_GAMES!I236</f>
        <v>3</v>
      </c>
    </row>
    <row r="237" spans="1:8" x14ac:dyDescent="0.25">
      <c r="A237" t="str">
        <f>RAW_GAMES!A237</f>
        <v>25/26</v>
      </c>
      <c r="B237" s="3">
        <f>RAW_GAMES!B237</f>
        <v>45954</v>
      </c>
      <c r="C237" t="str">
        <f>RAW_GAMES!E237</f>
        <v>VIT</v>
      </c>
      <c r="D237" t="str">
        <f>RAW_GAMES!R237</f>
        <v>Hrachovina</v>
      </c>
      <c r="F237">
        <f>RAW_GAMES!K237</f>
        <v>31</v>
      </c>
      <c r="G237" s="7">
        <f>RAW_GAMES!S237</f>
        <v>27</v>
      </c>
      <c r="H237">
        <f>RAW_GAMES!I237</f>
        <v>4</v>
      </c>
    </row>
    <row r="238" spans="1:8" x14ac:dyDescent="0.25">
      <c r="A238" t="str">
        <f>RAW_GAMES!A238</f>
        <v>25/26</v>
      </c>
      <c r="B238" s="3">
        <f>RAW_GAMES!B238</f>
        <v>45956</v>
      </c>
      <c r="C238" t="str">
        <f>RAW_GAMES!E238</f>
        <v>PCE</v>
      </c>
      <c r="D238" t="str">
        <f>RAW_GAMES!R238</f>
        <v>Will</v>
      </c>
      <c r="F238">
        <f>RAW_GAMES!K238</f>
        <v>17</v>
      </c>
      <c r="G238" s="7">
        <f>RAW_GAMES!S238</f>
        <v>15</v>
      </c>
      <c r="H238">
        <f>RAW_GAMES!I238</f>
        <v>2</v>
      </c>
    </row>
    <row r="239" spans="1:8" x14ac:dyDescent="0.25">
      <c r="A239" t="str">
        <f>RAW_GAMES!A239</f>
        <v>25/26</v>
      </c>
      <c r="B239" s="3">
        <f>RAW_GAMES!B239</f>
        <v>45956</v>
      </c>
      <c r="C239" t="str">
        <f>RAW_GAMES!E239</f>
        <v>TRI</v>
      </c>
      <c r="D239" t="str">
        <f>RAW_GAMES!R239</f>
        <v>Mazanec</v>
      </c>
      <c r="F239">
        <f>RAW_GAMES!K239</f>
        <v>26</v>
      </c>
      <c r="G239" s="7">
        <f>RAW_GAMES!S239</f>
        <v>25</v>
      </c>
      <c r="H239">
        <f>RAW_GAMES!I239</f>
        <v>1</v>
      </c>
    </row>
    <row r="240" spans="1:8" x14ac:dyDescent="0.25">
      <c r="A240" t="str">
        <f>RAW_GAMES!A240</f>
        <v>25/26</v>
      </c>
      <c r="B240" s="3">
        <f>RAW_GAMES!B240</f>
        <v>45956</v>
      </c>
      <c r="C240" t="str">
        <f>RAW_GAMES!E240</f>
        <v>SPA</v>
      </c>
      <c r="D240" t="str">
        <f>RAW_GAMES!R240</f>
        <v>Kovář</v>
      </c>
      <c r="F240">
        <f>RAW_GAMES!K240</f>
        <v>33</v>
      </c>
      <c r="G240" s="7">
        <f>RAW_GAMES!S240</f>
        <v>32</v>
      </c>
      <c r="H240">
        <f>RAW_GAMES!I240</f>
        <v>1</v>
      </c>
    </row>
    <row r="241" spans="1:8" x14ac:dyDescent="0.25">
      <c r="A241" t="str">
        <f>RAW_GAMES!A241</f>
        <v>25/26</v>
      </c>
      <c r="B241" s="3">
        <f>RAW_GAMES!B241</f>
        <v>45956</v>
      </c>
      <c r="C241" t="str">
        <f>RAW_GAMES!E241</f>
        <v>KOM</v>
      </c>
      <c r="D241" t="str">
        <f>RAW_GAMES!R241</f>
        <v>Stezka</v>
      </c>
      <c r="F241">
        <f>RAW_GAMES!K241</f>
        <v>37</v>
      </c>
      <c r="G241" s="7">
        <f>RAW_GAMES!S241</f>
        <v>33</v>
      </c>
      <c r="H241">
        <f>RAW_GAMES!I241</f>
        <v>4</v>
      </c>
    </row>
    <row r="242" spans="1:8" x14ac:dyDescent="0.25">
      <c r="A242" t="str">
        <f>RAW_GAMES!A242</f>
        <v>25/26</v>
      </c>
      <c r="B242" s="3">
        <f>RAW_GAMES!B242</f>
        <v>45956</v>
      </c>
      <c r="C242" t="str">
        <f>RAW_GAMES!E242</f>
        <v>CEB</v>
      </c>
      <c r="D242" t="str">
        <f>RAW_GAMES!R242</f>
        <v>Mařík</v>
      </c>
      <c r="F242">
        <f>RAW_GAMES!K242</f>
        <v>21</v>
      </c>
      <c r="G242" s="7">
        <f>RAW_GAMES!S242</f>
        <v>18</v>
      </c>
      <c r="H242">
        <f>RAW_GAMES!I242</f>
        <v>3</v>
      </c>
    </row>
    <row r="243" spans="1:8" x14ac:dyDescent="0.25">
      <c r="A243" t="str">
        <f>RAW_GAMES!A243</f>
        <v>25/26</v>
      </c>
      <c r="B243" s="3">
        <f>RAW_GAMES!B243</f>
        <v>45956</v>
      </c>
      <c r="C243" t="str">
        <f>RAW_GAMES!E243</f>
        <v>KLA</v>
      </c>
      <c r="D243" t="str">
        <f>RAW_GAMES!R243</f>
        <v>Dansk</v>
      </c>
      <c r="F243">
        <f>RAW_GAMES!K243</f>
        <v>39</v>
      </c>
      <c r="G243" s="7">
        <f>RAW_GAMES!S243</f>
        <v>35</v>
      </c>
      <c r="H243">
        <f>RAW_GAMES!I243</f>
        <v>4</v>
      </c>
    </row>
    <row r="244" spans="1:8" x14ac:dyDescent="0.25">
      <c r="A244" t="str">
        <f>RAW_GAMES!A244</f>
        <v>25/26</v>
      </c>
      <c r="B244" s="3">
        <f>RAW_GAMES!B244</f>
        <v>45956</v>
      </c>
      <c r="C244" t="str">
        <f>RAW_GAMES!E244</f>
        <v>KVA</v>
      </c>
      <c r="D244" t="str">
        <f>RAW_GAMES!R244</f>
        <v>Frodl</v>
      </c>
      <c r="F244">
        <f>RAW_GAMES!K244</f>
        <v>30</v>
      </c>
      <c r="G244" s="7">
        <f>RAW_GAMES!S244</f>
        <v>26</v>
      </c>
      <c r="H244">
        <f>RAW_GAMES!I244</f>
        <v>4</v>
      </c>
    </row>
    <row r="245" spans="1:8" x14ac:dyDescent="0.25">
      <c r="A245" t="str">
        <f>RAW_GAMES!A245</f>
        <v>25/26</v>
      </c>
      <c r="B245" s="3">
        <f>RAW_GAMES!B245</f>
        <v>45956</v>
      </c>
      <c r="C245" t="str">
        <f>RAW_GAMES!E245</f>
        <v>LIB</v>
      </c>
      <c r="D245" t="str">
        <f>RAW_GAMES!R245</f>
        <v>Kváča</v>
      </c>
      <c r="F245">
        <f>RAW_GAMES!K245</f>
        <v>23</v>
      </c>
      <c r="G245" s="7">
        <f>RAW_GAMES!S245</f>
        <v>20</v>
      </c>
      <c r="H245">
        <f>RAW_GAMES!I245</f>
        <v>3</v>
      </c>
    </row>
    <row r="246" spans="1:8" x14ac:dyDescent="0.25">
      <c r="A246" t="str">
        <f>RAW_GAMES!A246</f>
        <v>25/26</v>
      </c>
      <c r="B246" s="3">
        <f>RAW_GAMES!B246</f>
        <v>45956</v>
      </c>
      <c r="C246" t="str">
        <f>RAW_GAMES!E246</f>
        <v>LIT</v>
      </c>
      <c r="D246" t="str">
        <f>RAW_GAMES!R246</f>
        <v>Tomek</v>
      </c>
      <c r="F246">
        <f>RAW_GAMES!K246</f>
        <v>26</v>
      </c>
      <c r="G246" s="7">
        <f>RAW_GAMES!S246</f>
        <v>24</v>
      </c>
      <c r="H246">
        <f>RAW_GAMES!I246</f>
        <v>2</v>
      </c>
    </row>
    <row r="247" spans="1:8" x14ac:dyDescent="0.25">
      <c r="A247" t="str">
        <f>RAW_GAMES!A247</f>
        <v>25/26</v>
      </c>
      <c r="B247" s="3">
        <f>RAW_GAMES!B247</f>
        <v>45956</v>
      </c>
      <c r="C247" t="str">
        <f>RAW_GAMES!E247</f>
        <v>MBL</v>
      </c>
      <c r="D247" t="str">
        <f>RAW_GAMES!R247</f>
        <v>Furch</v>
      </c>
      <c r="F247">
        <f>RAW_GAMES!K247</f>
        <v>21</v>
      </c>
      <c r="G247" s="7">
        <f>RAW_GAMES!S247</f>
        <v>19</v>
      </c>
      <c r="H247">
        <f>RAW_GAMES!I247</f>
        <v>2</v>
      </c>
    </row>
    <row r="248" spans="1:8" x14ac:dyDescent="0.25">
      <c r="A248" t="str">
        <f>RAW_GAMES!A248</f>
        <v>25/26</v>
      </c>
      <c r="B248" s="3">
        <f>RAW_GAMES!B248</f>
        <v>45956</v>
      </c>
      <c r="C248" t="str">
        <f>RAW_GAMES!E248</f>
        <v>MHK</v>
      </c>
      <c r="D248" t="str">
        <f>RAW_GAMES!R248</f>
        <v>Novotný</v>
      </c>
      <c r="F248">
        <f>RAW_GAMES!K248</f>
        <v>26</v>
      </c>
      <c r="G248" s="7">
        <f>RAW_GAMES!S248</f>
        <v>21</v>
      </c>
      <c r="H248">
        <f>RAW_GAMES!I248</f>
        <v>5</v>
      </c>
    </row>
    <row r="249" spans="1:8" x14ac:dyDescent="0.25">
      <c r="A249" t="str">
        <f>RAW_GAMES!A249</f>
        <v>25/26</v>
      </c>
      <c r="B249" s="3">
        <f>RAW_GAMES!B249</f>
        <v>45956</v>
      </c>
      <c r="C249" t="str">
        <f>RAW_GAMES!E249</f>
        <v>OLO</v>
      </c>
      <c r="D249" t="str">
        <f>RAW_GAMES!R249</f>
        <v>Cichoň</v>
      </c>
      <c r="F249">
        <f>RAW_GAMES!K249</f>
        <v>44</v>
      </c>
      <c r="G249" s="7">
        <f>RAW_GAMES!S249</f>
        <v>43</v>
      </c>
      <c r="H249">
        <f>RAW_GAMES!I249</f>
        <v>1</v>
      </c>
    </row>
    <row r="250" spans="1:8" x14ac:dyDescent="0.25">
      <c r="A250" t="str">
        <f>RAW_GAMES!A250</f>
        <v>25/26</v>
      </c>
      <c r="B250" s="3">
        <f>RAW_GAMES!B250</f>
        <v>45956</v>
      </c>
      <c r="C250" t="str">
        <f>RAW_GAMES!E250</f>
        <v>PLZ</v>
      </c>
      <c r="D250" t="str">
        <f>RAW_GAMES!R250</f>
        <v>Malík</v>
      </c>
      <c r="F250">
        <f>RAW_GAMES!K250</f>
        <v>20</v>
      </c>
      <c r="G250" s="7">
        <f>RAW_GAMES!S250</f>
        <v>19</v>
      </c>
      <c r="H250">
        <f>RAW_GAMES!I250</f>
        <v>2</v>
      </c>
    </row>
    <row r="251" spans="1:8" x14ac:dyDescent="0.25">
      <c r="A251" t="str">
        <f>RAW_GAMES!A251</f>
        <v>25/26</v>
      </c>
      <c r="B251" s="3">
        <f>RAW_GAMES!B251</f>
        <v>45956</v>
      </c>
      <c r="C251" t="str">
        <f>RAW_GAMES!E251</f>
        <v>VIT</v>
      </c>
      <c r="D251" t="str">
        <f>RAW_GAMES!R251</f>
        <v>Hrachovina</v>
      </c>
      <c r="F251">
        <f>RAW_GAMES!K251</f>
        <v>31</v>
      </c>
      <c r="G251" s="7">
        <f>RAW_GAMES!S251</f>
        <v>30</v>
      </c>
      <c r="H251">
        <f>RAW_GAMES!I251</f>
        <v>1</v>
      </c>
    </row>
    <row r="252" spans="1:8" x14ac:dyDescent="0.25">
      <c r="A252" t="str">
        <f>RAW_GAMES!A252</f>
        <v>25/26</v>
      </c>
      <c r="B252" s="3">
        <f>RAW_GAMES!B252</f>
        <v>45958</v>
      </c>
      <c r="C252" t="str">
        <f>RAW_GAMES!E252</f>
        <v>PCE</v>
      </c>
      <c r="D252" t="str">
        <f>RAW_GAMES!R252</f>
        <v>Will</v>
      </c>
      <c r="F252">
        <f>RAW_GAMES!K252</f>
        <v>19</v>
      </c>
      <c r="G252" s="7">
        <f>RAW_GAMES!S252</f>
        <v>16</v>
      </c>
      <c r="H252">
        <f>RAW_GAMES!I252</f>
        <v>3</v>
      </c>
    </row>
    <row r="253" spans="1:8" x14ac:dyDescent="0.25">
      <c r="A253" t="str">
        <f>RAW_GAMES!A253</f>
        <v>25/26</v>
      </c>
      <c r="B253" s="3">
        <f>RAW_GAMES!B253</f>
        <v>45958</v>
      </c>
      <c r="C253" t="str">
        <f>RAW_GAMES!E253</f>
        <v>TRI</v>
      </c>
      <c r="D253" t="str">
        <f>RAW_GAMES!R253</f>
        <v>Mazanec</v>
      </c>
      <c r="F253">
        <f>RAW_GAMES!K253</f>
        <v>25</v>
      </c>
      <c r="G253" s="7">
        <f>RAW_GAMES!S253</f>
        <v>22</v>
      </c>
      <c r="H253">
        <f>RAW_GAMES!I253</f>
        <v>3</v>
      </c>
    </row>
    <row r="254" spans="1:8" x14ac:dyDescent="0.25">
      <c r="A254" t="str">
        <f>RAW_GAMES!A254</f>
        <v>25/26</v>
      </c>
      <c r="B254" s="3">
        <f>RAW_GAMES!B254</f>
        <v>45958</v>
      </c>
      <c r="C254" t="str">
        <f>RAW_GAMES!E254</f>
        <v>KOM</v>
      </c>
      <c r="D254" t="str">
        <f>RAW_GAMES!R254</f>
        <v>Kavan</v>
      </c>
      <c r="F254">
        <f>RAW_GAMES!K254</f>
        <v>22</v>
      </c>
      <c r="G254" s="7">
        <f>RAW_GAMES!S254</f>
        <v>20</v>
      </c>
      <c r="H254">
        <f>RAW_GAMES!I254</f>
        <v>2</v>
      </c>
    </row>
    <row r="255" spans="1:8" x14ac:dyDescent="0.25">
      <c r="A255" t="str">
        <f>RAW_GAMES!A255</f>
        <v>25/26</v>
      </c>
      <c r="B255" s="3">
        <f>RAW_GAMES!B255</f>
        <v>45958</v>
      </c>
      <c r="C255" t="str">
        <f>RAW_GAMES!E255</f>
        <v>CEB</v>
      </c>
      <c r="D255" t="str">
        <f>RAW_GAMES!R255</f>
        <v>Mařík</v>
      </c>
      <c r="F255">
        <f>RAW_GAMES!K255</f>
        <v>23</v>
      </c>
      <c r="G255" s="7">
        <f>RAW_GAMES!S255</f>
        <v>17</v>
      </c>
      <c r="H255">
        <f>RAW_GAMES!I255</f>
        <v>6</v>
      </c>
    </row>
    <row r="256" spans="1:8" x14ac:dyDescent="0.25">
      <c r="A256" t="str">
        <f>RAW_GAMES!A256</f>
        <v>25/26</v>
      </c>
      <c r="B256" s="3">
        <f>RAW_GAMES!B256</f>
        <v>45958</v>
      </c>
      <c r="C256" t="str">
        <f>RAW_GAMES!E256</f>
        <v>KLA</v>
      </c>
      <c r="D256" t="str">
        <f>RAW_GAMES!R256</f>
        <v>Brízgala</v>
      </c>
      <c r="F256">
        <f>RAW_GAMES!K256</f>
        <v>43</v>
      </c>
      <c r="G256" s="7">
        <f>RAW_GAMES!S256</f>
        <v>40</v>
      </c>
      <c r="H256">
        <f>RAW_GAMES!I256</f>
        <v>3</v>
      </c>
    </row>
    <row r="257" spans="1:8" x14ac:dyDescent="0.25">
      <c r="A257" t="str">
        <f>RAW_GAMES!A257</f>
        <v>25/26</v>
      </c>
      <c r="B257" s="3">
        <f>RAW_GAMES!B257</f>
        <v>45958</v>
      </c>
      <c r="C257" t="str">
        <f>RAW_GAMES!E257</f>
        <v>KVA</v>
      </c>
      <c r="D257" t="str">
        <f>RAW_GAMES!R257</f>
        <v>Frodl</v>
      </c>
      <c r="F257">
        <f>RAW_GAMES!K257</f>
        <v>25</v>
      </c>
      <c r="G257" s="7">
        <f>RAW_GAMES!S257</f>
        <v>20</v>
      </c>
      <c r="H257">
        <f>RAW_GAMES!I257</f>
        <v>5</v>
      </c>
    </row>
    <row r="258" spans="1:8" x14ac:dyDescent="0.25">
      <c r="A258" t="str">
        <f>RAW_GAMES!A258</f>
        <v>25/26</v>
      </c>
      <c r="B258" s="3">
        <f>RAW_GAMES!B258</f>
        <v>45958</v>
      </c>
      <c r="C258" t="str">
        <f>RAW_GAMES!E258</f>
        <v>LIB</v>
      </c>
      <c r="D258" t="str">
        <f>RAW_GAMES!R258</f>
        <v>Kváča</v>
      </c>
      <c r="F258">
        <f>RAW_GAMES!K258</f>
        <v>21</v>
      </c>
      <c r="G258" s="7">
        <f>RAW_GAMES!S258</f>
        <v>18</v>
      </c>
      <c r="H258">
        <f>RAW_GAMES!I258</f>
        <v>4</v>
      </c>
    </row>
    <row r="259" spans="1:8" x14ac:dyDescent="0.25">
      <c r="A259" t="str">
        <f>RAW_GAMES!A259</f>
        <v>25/26</v>
      </c>
      <c r="B259" s="3">
        <f>RAW_GAMES!B259</f>
        <v>45958</v>
      </c>
      <c r="C259" t="str">
        <f>RAW_GAMES!E259</f>
        <v>LIT</v>
      </c>
      <c r="D259" t="str">
        <f>RAW_GAMES!R259</f>
        <v>Čajan</v>
      </c>
      <c r="F259">
        <f>RAW_GAMES!K259</f>
        <v>26</v>
      </c>
      <c r="G259" s="7">
        <f>RAW_GAMES!S259</f>
        <v>26</v>
      </c>
      <c r="H259">
        <f>RAW_GAMES!I259</f>
        <v>0</v>
      </c>
    </row>
    <row r="260" spans="1:8" x14ac:dyDescent="0.25">
      <c r="A260" t="str">
        <f>RAW_GAMES!A260</f>
        <v>25/26</v>
      </c>
      <c r="B260" s="3">
        <f>RAW_GAMES!B260</f>
        <v>45958</v>
      </c>
      <c r="C260" t="str">
        <f>RAW_GAMES!E260</f>
        <v>MBL</v>
      </c>
      <c r="D260" t="str">
        <f>RAW_GAMES!R260</f>
        <v>Furch</v>
      </c>
      <c r="F260">
        <f>RAW_GAMES!K260</f>
        <v>36</v>
      </c>
      <c r="G260" s="7">
        <f>RAW_GAMES!S260</f>
        <v>32</v>
      </c>
      <c r="H260">
        <f>RAW_GAMES!I260</f>
        <v>4</v>
      </c>
    </row>
    <row r="261" spans="1:8" x14ac:dyDescent="0.25">
      <c r="A261" t="str">
        <f>RAW_GAMES!A261</f>
        <v>25/26</v>
      </c>
      <c r="B261" s="3">
        <f>RAW_GAMES!B261</f>
        <v>45958</v>
      </c>
      <c r="C261" t="str">
        <f>RAW_GAMES!E261</f>
        <v>MHK</v>
      </c>
      <c r="D261" t="str">
        <f>RAW_GAMES!R261</f>
        <v>Škorvánek</v>
      </c>
      <c r="F261">
        <f>RAW_GAMES!K261</f>
        <v>22</v>
      </c>
      <c r="G261" s="7">
        <f>RAW_GAMES!S261</f>
        <v>17</v>
      </c>
      <c r="H261">
        <f>RAW_GAMES!I261</f>
        <v>1</v>
      </c>
    </row>
    <row r="262" spans="1:8" x14ac:dyDescent="0.25">
      <c r="A262" t="str">
        <f>RAW_GAMES!A262</f>
        <v>25/26</v>
      </c>
      <c r="B262" s="3">
        <f>RAW_GAMES!B262</f>
        <v>45958</v>
      </c>
      <c r="C262" t="str">
        <f>RAW_GAMES!E262</f>
        <v>OLO</v>
      </c>
      <c r="D262" t="str">
        <f>RAW_GAMES!R262</f>
        <v>Cichoň</v>
      </c>
      <c r="F262">
        <f>RAW_GAMES!K262</f>
        <v>32</v>
      </c>
      <c r="G262" s="7">
        <f>RAW_GAMES!S262</f>
        <v>31</v>
      </c>
      <c r="H262">
        <f>RAW_GAMES!I262</f>
        <v>1</v>
      </c>
    </row>
    <row r="263" spans="1:8" x14ac:dyDescent="0.25">
      <c r="A263" t="str">
        <f>RAW_GAMES!A263</f>
        <v>25/26</v>
      </c>
      <c r="B263" s="3">
        <f>RAW_GAMES!B263</f>
        <v>45958</v>
      </c>
      <c r="C263" t="str">
        <f>RAW_GAMES!E263</f>
        <v>PLZ</v>
      </c>
      <c r="D263" t="str">
        <f>RAW_GAMES!R263</f>
        <v>Malík</v>
      </c>
      <c r="F263">
        <f>RAW_GAMES!K263</f>
        <v>23</v>
      </c>
      <c r="G263" s="7">
        <f>RAW_GAMES!S263</f>
        <v>22</v>
      </c>
      <c r="H263">
        <f>RAW_GAMES!I263</f>
        <v>1</v>
      </c>
    </row>
    <row r="264" spans="1:8" x14ac:dyDescent="0.25">
      <c r="A264" t="str">
        <f>RAW_GAMES!A264</f>
        <v>25/26</v>
      </c>
      <c r="B264" s="3">
        <f>RAW_GAMES!B264</f>
        <v>45959</v>
      </c>
      <c r="C264" t="str">
        <f>RAW_GAMES!E264</f>
        <v>SPA</v>
      </c>
      <c r="D264" t="str">
        <f>RAW_GAMES!R264</f>
        <v>Kovář</v>
      </c>
      <c r="F264">
        <f>RAW_GAMES!K264</f>
        <v>22</v>
      </c>
      <c r="G264" s="7">
        <f>RAW_GAMES!S264</f>
        <v>21</v>
      </c>
      <c r="H264">
        <f>RAW_GAMES!I264</f>
        <v>1</v>
      </c>
    </row>
    <row r="265" spans="1:8" x14ac:dyDescent="0.25">
      <c r="A265" t="str">
        <f>RAW_GAMES!A265</f>
        <v>25/26</v>
      </c>
      <c r="B265" s="3">
        <f>RAW_GAMES!B265</f>
        <v>45959</v>
      </c>
      <c r="C265" t="str">
        <f>RAW_GAMES!E265</f>
        <v>VIT</v>
      </c>
      <c r="D265" t="str">
        <f>RAW_GAMES!R265</f>
        <v>Hrachovina</v>
      </c>
      <c r="F265">
        <f>RAW_GAMES!K265</f>
        <v>35</v>
      </c>
      <c r="G265" s="7">
        <f>RAW_GAMES!S265</f>
        <v>31</v>
      </c>
      <c r="H265">
        <f>RAW_GAMES!I265</f>
        <v>4</v>
      </c>
    </row>
    <row r="266" spans="1:8" x14ac:dyDescent="0.25">
      <c r="A266" t="str">
        <f>RAW_GAMES!A266</f>
        <v>25/26</v>
      </c>
      <c r="B266" s="3">
        <f>RAW_GAMES!B266</f>
        <v>45961</v>
      </c>
      <c r="C266" t="str">
        <f>RAW_GAMES!E266</f>
        <v>CEB</v>
      </c>
      <c r="D266" t="str">
        <f>RAW_GAMES!R266</f>
        <v>Mařík</v>
      </c>
      <c r="F266">
        <f>RAW_GAMES!K266</f>
        <v>23</v>
      </c>
      <c r="G266" s="7">
        <f>RAW_GAMES!S266</f>
        <v>24</v>
      </c>
      <c r="H266">
        <f>RAW_GAMES!I266</f>
        <v>2</v>
      </c>
    </row>
    <row r="267" spans="1:8" x14ac:dyDescent="0.25">
      <c r="A267" t="str">
        <f>RAW_GAMES!A267</f>
        <v>25/26</v>
      </c>
      <c r="B267" s="3">
        <f>RAW_GAMES!B267</f>
        <v>45961</v>
      </c>
      <c r="C267" t="str">
        <f>RAW_GAMES!E267</f>
        <v>LIB</v>
      </c>
      <c r="D267" t="str">
        <f>RAW_GAMES!R267</f>
        <v>Kváča</v>
      </c>
      <c r="F267">
        <f>RAW_GAMES!K267</f>
        <v>22</v>
      </c>
      <c r="G267" s="7">
        <f>RAW_GAMES!S267</f>
        <v>19</v>
      </c>
      <c r="H267">
        <f>RAW_GAMES!I267</f>
        <v>3</v>
      </c>
    </row>
    <row r="268" spans="1:8" x14ac:dyDescent="0.25">
      <c r="A268" t="str">
        <f>RAW_GAMES!A268</f>
        <v>25/26</v>
      </c>
      <c r="B268" s="3">
        <f>RAW_GAMES!B268</f>
        <v>45961</v>
      </c>
      <c r="C268" t="str">
        <f>RAW_GAMES!E268</f>
        <v>MBL</v>
      </c>
      <c r="D268" t="str">
        <f>RAW_GAMES!R268</f>
        <v>Furch</v>
      </c>
      <c r="F268">
        <f>RAW_GAMES!K268</f>
        <v>32</v>
      </c>
      <c r="G268" s="7">
        <f>RAW_GAMES!S268</f>
        <v>30</v>
      </c>
      <c r="H268">
        <f>RAW_GAMES!I268</f>
        <v>2</v>
      </c>
    </row>
    <row r="269" spans="1:8" x14ac:dyDescent="0.25">
      <c r="A269" t="str">
        <f>RAW_GAMES!A269</f>
        <v>25/26</v>
      </c>
      <c r="B269" s="3">
        <f>RAW_GAMES!B269</f>
        <v>45961</v>
      </c>
      <c r="C269" t="str">
        <f>RAW_GAMES!E269</f>
        <v>MHK</v>
      </c>
      <c r="D269" t="str">
        <f>RAW_GAMES!R269</f>
        <v>Škorvánek</v>
      </c>
      <c r="F269">
        <f>RAW_GAMES!K269</f>
        <v>17</v>
      </c>
      <c r="G269" s="7">
        <f>RAW_GAMES!S269</f>
        <v>16</v>
      </c>
      <c r="H269">
        <f>RAW_GAMES!I269</f>
        <v>1</v>
      </c>
    </row>
    <row r="270" spans="1:8" x14ac:dyDescent="0.25">
      <c r="A270" t="str">
        <f>RAW_GAMES!A270</f>
        <v>25/26</v>
      </c>
      <c r="B270" s="3">
        <f>RAW_GAMES!B270</f>
        <v>45961</v>
      </c>
      <c r="C270" t="str">
        <f>RAW_GAMES!E270</f>
        <v>OLO</v>
      </c>
      <c r="D270" t="str">
        <f>RAW_GAMES!R270</f>
        <v>Machovský</v>
      </c>
      <c r="F270">
        <f>RAW_GAMES!K270</f>
        <v>43</v>
      </c>
      <c r="G270" s="7">
        <f>RAW_GAMES!S270</f>
        <v>39</v>
      </c>
      <c r="H270">
        <f>RAW_GAMES!I270</f>
        <v>4</v>
      </c>
    </row>
    <row r="271" spans="1:8" x14ac:dyDescent="0.25">
      <c r="A271" t="str">
        <f>RAW_GAMES!A271</f>
        <v>25/26</v>
      </c>
      <c r="B271" s="3">
        <f>RAW_GAMES!B271</f>
        <v>45961</v>
      </c>
      <c r="C271" t="str">
        <f>RAW_GAMES!E271</f>
        <v>PCE</v>
      </c>
      <c r="D271" t="str">
        <f>RAW_GAMES!R271</f>
        <v>Will</v>
      </c>
      <c r="F271">
        <f>RAW_GAMES!K271</f>
        <v>28</v>
      </c>
      <c r="G271" s="7">
        <f>RAW_GAMES!S271</f>
        <v>25</v>
      </c>
      <c r="H271">
        <f>RAW_GAMES!I271</f>
        <v>3</v>
      </c>
    </row>
    <row r="272" spans="1:8" x14ac:dyDescent="0.25">
      <c r="A272" t="str">
        <f>RAW_GAMES!A272</f>
        <v>25/26</v>
      </c>
      <c r="B272" s="3">
        <f>RAW_GAMES!B272</f>
        <v>45961</v>
      </c>
      <c r="C272" t="str">
        <f>RAW_GAMES!E272</f>
        <v>PLZ</v>
      </c>
      <c r="D272" t="str">
        <f>RAW_GAMES!R272</f>
        <v>Malík</v>
      </c>
      <c r="F272">
        <f>RAW_GAMES!K272</f>
        <v>19</v>
      </c>
      <c r="G272" s="7">
        <f>RAW_GAMES!S272</f>
        <v>16</v>
      </c>
      <c r="H272">
        <f>RAW_GAMES!I272</f>
        <v>3</v>
      </c>
    </row>
    <row r="273" spans="1:8" x14ac:dyDescent="0.25">
      <c r="A273" t="str">
        <f>RAW_GAMES!A273</f>
        <v>25/26</v>
      </c>
      <c r="B273" s="3">
        <f>RAW_GAMES!B273</f>
        <v>45961</v>
      </c>
      <c r="C273" t="str">
        <f>RAW_GAMES!E273</f>
        <v>KLA</v>
      </c>
      <c r="D273" t="str">
        <f>RAW_GAMES!R273</f>
        <v>Dansk</v>
      </c>
      <c r="F273">
        <f>RAW_GAMES!K273</f>
        <v>44</v>
      </c>
      <c r="G273" s="7">
        <f>RAW_GAMES!S273</f>
        <v>36</v>
      </c>
      <c r="H273">
        <f>RAW_GAMES!I273</f>
        <v>8</v>
      </c>
    </row>
    <row r="274" spans="1:8" x14ac:dyDescent="0.25">
      <c r="A274" t="str">
        <f>RAW_GAMES!A274</f>
        <v>25/26</v>
      </c>
      <c r="B274" s="3">
        <f>RAW_GAMES!B274</f>
        <v>45961</v>
      </c>
      <c r="C274" t="str">
        <f>RAW_GAMES!E274</f>
        <v>KOM</v>
      </c>
      <c r="D274" t="str">
        <f>RAW_GAMES!R274</f>
        <v>Stezka</v>
      </c>
      <c r="F274">
        <f>RAW_GAMES!K274</f>
        <v>19</v>
      </c>
      <c r="G274" s="7">
        <f>RAW_GAMES!S274</f>
        <v>31</v>
      </c>
      <c r="H274">
        <f>RAW_GAMES!I274</f>
        <v>4</v>
      </c>
    </row>
    <row r="275" spans="1:8" x14ac:dyDescent="0.25">
      <c r="A275" t="str">
        <f>RAW_GAMES!A275</f>
        <v>25/26</v>
      </c>
      <c r="B275" s="3">
        <f>RAW_GAMES!B275</f>
        <v>45961</v>
      </c>
      <c r="C275" t="str">
        <f>RAW_GAMES!E275</f>
        <v>KVA</v>
      </c>
      <c r="D275" t="str">
        <f>RAW_GAMES!R275</f>
        <v>Frodl</v>
      </c>
      <c r="F275">
        <f>RAW_GAMES!K275</f>
        <v>27</v>
      </c>
      <c r="G275" s="7">
        <f>RAW_GAMES!S275</f>
        <v>21</v>
      </c>
      <c r="H275">
        <f>RAW_GAMES!I275</f>
        <v>3</v>
      </c>
    </row>
    <row r="276" spans="1:8" x14ac:dyDescent="0.25">
      <c r="A276" t="str">
        <f>RAW_GAMES!A276</f>
        <v>25/26</v>
      </c>
      <c r="B276" s="3">
        <f>RAW_GAMES!B276</f>
        <v>45961</v>
      </c>
      <c r="C276" t="str">
        <f>RAW_GAMES!E276</f>
        <v>LIT</v>
      </c>
      <c r="D276" t="str">
        <f>RAW_GAMES!R276</f>
        <v>Čajan</v>
      </c>
      <c r="F276">
        <f>RAW_GAMES!K276</f>
        <v>29</v>
      </c>
      <c r="G276" s="7">
        <f>RAW_GAMES!S276</f>
        <v>26</v>
      </c>
      <c r="H276">
        <f>RAW_GAMES!I276</f>
        <v>3</v>
      </c>
    </row>
    <row r="277" spans="1:8" x14ac:dyDescent="0.25">
      <c r="A277" t="str">
        <f>RAW_GAMES!A277</f>
        <v>25/26</v>
      </c>
      <c r="B277" s="3">
        <f>RAW_GAMES!B277</f>
        <v>45961</v>
      </c>
      <c r="C277" t="str">
        <f>RAW_GAMES!E277</f>
        <v>SPA</v>
      </c>
      <c r="D277" t="str">
        <f>RAW_GAMES!R277</f>
        <v>Kořenář</v>
      </c>
      <c r="F277">
        <f>RAW_GAMES!K277</f>
        <v>16</v>
      </c>
      <c r="G277" s="7">
        <f>RAW_GAMES!S277</f>
        <v>15</v>
      </c>
      <c r="H277">
        <f>RAW_GAMES!I277</f>
        <v>1</v>
      </c>
    </row>
    <row r="278" spans="1:8" x14ac:dyDescent="0.25">
      <c r="A278" t="str">
        <f>RAW_GAMES!A278</f>
        <v>25/26</v>
      </c>
      <c r="B278" s="3">
        <f>RAW_GAMES!B278</f>
        <v>45961</v>
      </c>
      <c r="C278" t="str">
        <f>RAW_GAMES!E278</f>
        <v>TRI</v>
      </c>
      <c r="D278" t="str">
        <f>RAW_GAMES!R278</f>
        <v>Mazanec</v>
      </c>
      <c r="F278">
        <f>RAW_GAMES!K278</f>
        <v>30</v>
      </c>
      <c r="G278" s="7">
        <f>RAW_GAMES!S278</f>
        <v>26</v>
      </c>
      <c r="H278">
        <f>RAW_GAMES!I278</f>
        <v>4</v>
      </c>
    </row>
    <row r="279" spans="1:8" x14ac:dyDescent="0.25">
      <c r="A279" t="str">
        <f>RAW_GAMES!A279</f>
        <v>25/26</v>
      </c>
      <c r="B279" s="3">
        <f>RAW_GAMES!B279</f>
        <v>45961</v>
      </c>
      <c r="C279" t="str">
        <f>RAW_GAMES!E279</f>
        <v>VIT</v>
      </c>
      <c r="D279" t="str">
        <f>RAW_GAMES!R279</f>
        <v>Hrachovina</v>
      </c>
      <c r="F279">
        <f>RAW_GAMES!K279</f>
        <v>41</v>
      </c>
      <c r="G279" s="7">
        <f>RAW_GAMES!S279</f>
        <v>39</v>
      </c>
      <c r="H279">
        <f>RAW_GAMES!I279</f>
        <v>2</v>
      </c>
    </row>
    <row r="280" spans="1:8" x14ac:dyDescent="0.25">
      <c r="A280" t="str">
        <f>RAW_GAMES!A280</f>
        <v>25/26</v>
      </c>
      <c r="B280" s="3">
        <f>RAW_GAMES!B280</f>
        <v>45963</v>
      </c>
      <c r="C280" t="str">
        <f>RAW_GAMES!E280</f>
        <v>TRI</v>
      </c>
      <c r="D280" t="str">
        <f>RAW_GAMES!R280</f>
        <v>Kacetl</v>
      </c>
      <c r="F280">
        <f>RAW_GAMES!K280</f>
        <v>21</v>
      </c>
      <c r="G280" s="7">
        <f>RAW_GAMES!S280</f>
        <v>17</v>
      </c>
      <c r="H280">
        <f>RAW_GAMES!I280</f>
        <v>4</v>
      </c>
    </row>
    <row r="281" spans="1:8" x14ac:dyDescent="0.25">
      <c r="A281" t="str">
        <f>RAW_GAMES!A281</f>
        <v>25/26</v>
      </c>
      <c r="B281" s="3">
        <f>RAW_GAMES!B281</f>
        <v>45963</v>
      </c>
      <c r="C281" t="str">
        <f>RAW_GAMES!E281</f>
        <v>SPA</v>
      </c>
      <c r="D281" t="str">
        <f>RAW_GAMES!R281</f>
        <v>Kovář</v>
      </c>
      <c r="F281">
        <f>RAW_GAMES!K281</f>
        <v>24</v>
      </c>
      <c r="G281" s="7">
        <f>RAW_GAMES!S281</f>
        <v>24</v>
      </c>
      <c r="H281">
        <f>RAW_GAMES!I281</f>
        <v>0</v>
      </c>
    </row>
    <row r="282" spans="1:8" x14ac:dyDescent="0.25">
      <c r="A282" t="str">
        <f>RAW_GAMES!A282</f>
        <v>25/26</v>
      </c>
      <c r="B282" s="3">
        <f>RAW_GAMES!B282</f>
        <v>45963</v>
      </c>
      <c r="C282" t="str">
        <f>RAW_GAMES!E282</f>
        <v>KOM</v>
      </c>
      <c r="D282" t="str">
        <f>RAW_GAMES!R282</f>
        <v>Stezka</v>
      </c>
      <c r="F282">
        <f>RAW_GAMES!K282</f>
        <v>26</v>
      </c>
      <c r="G282" s="7">
        <f>RAW_GAMES!S282</f>
        <v>23</v>
      </c>
      <c r="H282">
        <f>RAW_GAMES!I282</f>
        <v>3</v>
      </c>
    </row>
    <row r="283" spans="1:8" x14ac:dyDescent="0.25">
      <c r="A283" t="str">
        <f>RAW_GAMES!A283</f>
        <v>25/26</v>
      </c>
      <c r="B283" s="3">
        <f>RAW_GAMES!B283</f>
        <v>45963</v>
      </c>
      <c r="C283" t="str">
        <f>RAW_GAMES!E283</f>
        <v>KLA</v>
      </c>
      <c r="D283" t="str">
        <f>RAW_GAMES!R283</f>
        <v>Dansk</v>
      </c>
      <c r="F283">
        <f>RAW_GAMES!K283</f>
        <v>25</v>
      </c>
      <c r="G283" s="7">
        <f>RAW_GAMES!S283</f>
        <v>23</v>
      </c>
      <c r="H283">
        <f>RAW_GAMES!I283</f>
        <v>2</v>
      </c>
    </row>
    <row r="284" spans="1:8" x14ac:dyDescent="0.25">
      <c r="A284" t="str">
        <f>RAW_GAMES!A284</f>
        <v>25/26</v>
      </c>
      <c r="B284" s="3">
        <f>RAW_GAMES!B284</f>
        <v>45963</v>
      </c>
      <c r="C284" t="str">
        <f>RAW_GAMES!E284</f>
        <v>LIT</v>
      </c>
      <c r="D284" t="str">
        <f>RAW_GAMES!R284</f>
        <v>Tomek</v>
      </c>
      <c r="F284">
        <f>RAW_GAMES!K284</f>
        <v>33</v>
      </c>
      <c r="G284" s="7">
        <f>RAW_GAMES!S284</f>
        <v>30</v>
      </c>
      <c r="H284">
        <f>RAW_GAMES!I284</f>
        <v>3</v>
      </c>
    </row>
    <row r="285" spans="1:8" x14ac:dyDescent="0.25">
      <c r="A285" t="str">
        <f>RAW_GAMES!A285</f>
        <v>25/26</v>
      </c>
      <c r="B285" s="3">
        <f>RAW_GAMES!B285</f>
        <v>45963</v>
      </c>
      <c r="C285" t="str">
        <f>RAW_GAMES!E285</f>
        <v>VIT</v>
      </c>
      <c r="D285" t="str">
        <f>RAW_GAMES!R285</f>
        <v>Hrachovina</v>
      </c>
      <c r="F285">
        <f>RAW_GAMES!K285</f>
        <v>28</v>
      </c>
      <c r="G285" s="7">
        <f>RAW_GAMES!S285</f>
        <v>25</v>
      </c>
      <c r="H285">
        <f>RAW_GAMES!I285</f>
        <v>3</v>
      </c>
    </row>
    <row r="286" spans="1:8" x14ac:dyDescent="0.25">
      <c r="A286" t="str">
        <f>RAW_GAMES!A286</f>
        <v>25/26</v>
      </c>
      <c r="B286" s="3">
        <f>RAW_GAMES!B286</f>
        <v>45963</v>
      </c>
      <c r="C286" t="str">
        <f>RAW_GAMES!E286</f>
        <v>PCE</v>
      </c>
      <c r="D286" t="str">
        <f>RAW_GAMES!R286</f>
        <v>Will</v>
      </c>
      <c r="F286">
        <f>RAW_GAMES!K286</f>
        <v>25</v>
      </c>
      <c r="G286" s="7">
        <f>RAW_GAMES!S286</f>
        <v>23</v>
      </c>
      <c r="H286">
        <f>RAW_GAMES!I286</f>
        <v>2</v>
      </c>
    </row>
    <row r="287" spans="1:8" x14ac:dyDescent="0.25">
      <c r="A287" t="str">
        <f>RAW_GAMES!A287</f>
        <v>25/26</v>
      </c>
      <c r="B287" s="3">
        <f>RAW_GAMES!B287</f>
        <v>45963</v>
      </c>
      <c r="C287" t="str">
        <f>RAW_GAMES!E287</f>
        <v>CEB</v>
      </c>
      <c r="D287" t="str">
        <f>RAW_GAMES!R287</f>
        <v>Westerholm</v>
      </c>
      <c r="F287">
        <f>RAW_GAMES!K287</f>
        <v>47</v>
      </c>
      <c r="G287" s="7">
        <f>RAW_GAMES!S287</f>
        <v>43</v>
      </c>
      <c r="H287">
        <f>RAW_GAMES!I287</f>
        <v>4</v>
      </c>
    </row>
    <row r="288" spans="1:8" x14ac:dyDescent="0.25">
      <c r="A288" t="str">
        <f>RAW_GAMES!A288</f>
        <v>25/26</v>
      </c>
      <c r="B288" s="3">
        <f>RAW_GAMES!B288</f>
        <v>45963</v>
      </c>
      <c r="C288" t="str">
        <f>RAW_GAMES!E288</f>
        <v>MBL</v>
      </c>
      <c r="D288" t="str">
        <f>RAW_GAMES!R288</f>
        <v>Mokry</v>
      </c>
      <c r="F288">
        <f>RAW_GAMES!K288</f>
        <v>35</v>
      </c>
      <c r="G288" s="7">
        <f>RAW_GAMES!S288</f>
        <v>33</v>
      </c>
      <c r="H288">
        <f>RAW_GAMES!I288</f>
        <v>2</v>
      </c>
    </row>
    <row r="289" spans="1:8" x14ac:dyDescent="0.25">
      <c r="A289" t="str">
        <f>RAW_GAMES!A289</f>
        <v>25/26</v>
      </c>
      <c r="B289" s="3">
        <f>RAW_GAMES!B289</f>
        <v>45963</v>
      </c>
      <c r="C289" t="str">
        <f>RAW_GAMES!E289</f>
        <v>MHK</v>
      </c>
      <c r="D289" t="str">
        <f>RAW_GAMES!R289</f>
        <v>Škorvánek</v>
      </c>
      <c r="F289">
        <f>RAW_GAMES!K289</f>
        <v>22</v>
      </c>
      <c r="G289" s="7">
        <f>RAW_GAMES!S289</f>
        <v>21</v>
      </c>
      <c r="H289">
        <f>RAW_GAMES!I289</f>
        <v>1</v>
      </c>
    </row>
    <row r="290" spans="1:8" x14ac:dyDescent="0.25">
      <c r="A290" t="str">
        <f>RAW_GAMES!A290</f>
        <v>25/26</v>
      </c>
      <c r="B290" s="3">
        <f>RAW_GAMES!B290</f>
        <v>45963</v>
      </c>
      <c r="C290" t="str">
        <f>RAW_GAMES!E290</f>
        <v>OLO</v>
      </c>
      <c r="D290" t="str">
        <f>RAW_GAMES!R290</f>
        <v>Machovský</v>
      </c>
      <c r="F290">
        <f>RAW_GAMES!K290</f>
        <v>29</v>
      </c>
      <c r="G290" s="7">
        <f>RAW_GAMES!S290</f>
        <v>27</v>
      </c>
      <c r="H290">
        <f>RAW_GAMES!I290</f>
        <v>2</v>
      </c>
    </row>
    <row r="291" spans="1:8" x14ac:dyDescent="0.25">
      <c r="A291" t="str">
        <f>RAW_GAMES!A291</f>
        <v>25/26</v>
      </c>
      <c r="B291" s="3">
        <f>RAW_GAMES!B291</f>
        <v>45963</v>
      </c>
      <c r="C291" t="str">
        <f>RAW_GAMES!E291</f>
        <v>PLZ</v>
      </c>
      <c r="D291" t="str">
        <f>RAW_GAMES!R291</f>
        <v>Malík</v>
      </c>
      <c r="F291">
        <f>RAW_GAMES!K291</f>
        <v>35</v>
      </c>
      <c r="G291" s="7">
        <f>RAW_GAMES!S291</f>
        <v>34</v>
      </c>
      <c r="H291">
        <f>RAW_GAMES!I291</f>
        <v>1</v>
      </c>
    </row>
    <row r="292" spans="1:8" x14ac:dyDescent="0.25">
      <c r="A292" t="str">
        <f>RAW_GAMES!A292</f>
        <v>25/26</v>
      </c>
      <c r="B292" s="3">
        <f>RAW_GAMES!B292</f>
        <v>45970</v>
      </c>
      <c r="C292" t="str">
        <f>RAW_GAMES!E292</f>
        <v>SPA</v>
      </c>
      <c r="D292" t="str">
        <f>RAW_GAMES!R292</f>
        <v>Kovář</v>
      </c>
      <c r="F292">
        <f>RAW_GAMES!K292</f>
        <v>30</v>
      </c>
      <c r="G292" s="7">
        <f>RAW_GAMES!S292</f>
        <v>27</v>
      </c>
      <c r="H292">
        <f>RAW_GAMES!I292</f>
        <v>3</v>
      </c>
    </row>
    <row r="293" spans="1:8" x14ac:dyDescent="0.25">
      <c r="A293" t="str">
        <f>RAW_GAMES!A293</f>
        <v>25/26</v>
      </c>
      <c r="B293" s="3">
        <f>RAW_GAMES!B293</f>
        <v>45970</v>
      </c>
      <c r="C293" t="str">
        <f>RAW_GAMES!E293</f>
        <v>LIB</v>
      </c>
      <c r="D293" t="str">
        <f>RAW_GAMES!R293</f>
        <v>Lukeš</v>
      </c>
      <c r="F293">
        <f>RAW_GAMES!K293</f>
        <v>21</v>
      </c>
      <c r="G293" s="7">
        <f>RAW_GAMES!S293</f>
        <v>15</v>
      </c>
      <c r="H293">
        <f>RAW_GAMES!I293</f>
        <v>4</v>
      </c>
    </row>
    <row r="294" spans="1:8" x14ac:dyDescent="0.25">
      <c r="A294" t="str">
        <f>RAW_GAMES!A294</f>
        <v>25/26</v>
      </c>
      <c r="B294" s="3">
        <f>RAW_GAMES!B294</f>
        <v>45973</v>
      </c>
      <c r="C294" t="str">
        <f>RAW_GAMES!E294</f>
        <v>CEB</v>
      </c>
      <c r="D294" t="str">
        <f>RAW_GAMES!R294</f>
        <v>Westerholm</v>
      </c>
      <c r="F294">
        <f>RAW_GAMES!K294</f>
        <v>26</v>
      </c>
      <c r="G294" s="7">
        <f>RAW_GAMES!S294</f>
        <v>22</v>
      </c>
      <c r="H294">
        <f>RAW_GAMES!I294</f>
        <v>4</v>
      </c>
    </row>
    <row r="295" spans="1:8" x14ac:dyDescent="0.25">
      <c r="A295" t="str">
        <f>RAW_GAMES!A295</f>
        <v>25/26</v>
      </c>
      <c r="B295" s="3">
        <f>RAW_GAMES!B295</f>
        <v>45973</v>
      </c>
      <c r="C295" t="str">
        <f>RAW_GAMES!E295</f>
        <v>LIB</v>
      </c>
      <c r="D295" t="str">
        <f>RAW_GAMES!R295</f>
        <v>Kváča</v>
      </c>
      <c r="F295">
        <f>RAW_GAMES!K295</f>
        <v>22</v>
      </c>
      <c r="G295" s="7">
        <f>RAW_GAMES!S295</f>
        <v>20</v>
      </c>
      <c r="H295">
        <f>RAW_GAMES!I295</f>
        <v>2</v>
      </c>
    </row>
    <row r="296" spans="1:8" x14ac:dyDescent="0.25">
      <c r="A296" t="str">
        <f>RAW_GAMES!A296</f>
        <v>25/26</v>
      </c>
      <c r="B296" s="3">
        <f>RAW_GAMES!B296</f>
        <v>45973</v>
      </c>
      <c r="C296" t="str">
        <f>RAW_GAMES!E296</f>
        <v>OLO</v>
      </c>
      <c r="D296" t="str">
        <f>RAW_GAMES!R296</f>
        <v>Machovský</v>
      </c>
      <c r="F296">
        <f>RAW_GAMES!K296</f>
        <v>50</v>
      </c>
      <c r="G296" s="7">
        <f>RAW_GAMES!S296</f>
        <v>46</v>
      </c>
      <c r="H296">
        <f>RAW_GAMES!I296</f>
        <v>4</v>
      </c>
    </row>
    <row r="297" spans="1:8" x14ac:dyDescent="0.25">
      <c r="A297" t="str">
        <f>RAW_GAMES!A297</f>
        <v>25/26</v>
      </c>
      <c r="B297" s="3">
        <f>RAW_GAMES!B297</f>
        <v>45973</v>
      </c>
      <c r="C297" t="str">
        <f>RAW_GAMES!E297</f>
        <v>VIT</v>
      </c>
      <c r="D297" t="str">
        <f>RAW_GAMES!R297</f>
        <v>Hrachovina</v>
      </c>
      <c r="F297">
        <f>RAW_GAMES!K297</f>
        <v>27</v>
      </c>
      <c r="G297" s="7">
        <f>RAW_GAMES!S297</f>
        <v>25</v>
      </c>
      <c r="H297">
        <f>RAW_GAMES!I297</f>
        <v>2</v>
      </c>
    </row>
    <row r="298" spans="1:8" x14ac:dyDescent="0.25">
      <c r="A298" t="str">
        <f>RAW_GAMES!A298</f>
        <v>25/26</v>
      </c>
      <c r="B298" s="3">
        <f>RAW_GAMES!B298</f>
        <v>45975</v>
      </c>
      <c r="C298" t="str">
        <f>RAW_GAMES!E298</f>
        <v>TRI</v>
      </c>
      <c r="D298" t="str">
        <f>RAW_GAMES!R298</f>
        <v>Mazanec</v>
      </c>
      <c r="F298">
        <f>RAW_GAMES!K298</f>
        <v>36</v>
      </c>
      <c r="G298" s="7">
        <f>RAW_GAMES!S298</f>
        <v>31</v>
      </c>
      <c r="H298">
        <f>RAW_GAMES!I298</f>
        <v>5</v>
      </c>
    </row>
    <row r="299" spans="1:8" x14ac:dyDescent="0.25">
      <c r="A299" t="str">
        <f>RAW_GAMES!A299</f>
        <v>25/26</v>
      </c>
      <c r="B299" s="3">
        <f>RAW_GAMES!B299</f>
        <v>45975</v>
      </c>
      <c r="C299" t="str">
        <f>RAW_GAMES!E299</f>
        <v>SPA</v>
      </c>
      <c r="D299" t="str">
        <f>RAW_GAMES!R299</f>
        <v>Kovář</v>
      </c>
      <c r="F299">
        <f>RAW_GAMES!K299</f>
        <v>31</v>
      </c>
      <c r="G299" s="7">
        <f>RAW_GAMES!S299</f>
        <v>28</v>
      </c>
      <c r="H299">
        <f>RAW_GAMES!I299</f>
        <v>3</v>
      </c>
    </row>
    <row r="300" spans="1:8" x14ac:dyDescent="0.25">
      <c r="A300" t="str">
        <f>RAW_GAMES!A300</f>
        <v>25/26</v>
      </c>
      <c r="B300" s="3">
        <f>RAW_GAMES!B300</f>
        <v>45975</v>
      </c>
      <c r="C300" t="str">
        <f>RAW_GAMES!E300</f>
        <v>CEB</v>
      </c>
      <c r="D300" t="str">
        <f>RAW_GAMES!R300</f>
        <v>Mařík</v>
      </c>
      <c r="F300">
        <f>RAW_GAMES!K300</f>
        <v>28</v>
      </c>
      <c r="G300" s="7">
        <f>RAW_GAMES!S300</f>
        <v>25</v>
      </c>
      <c r="H300">
        <f>RAW_GAMES!I300</f>
        <v>3</v>
      </c>
    </row>
    <row r="301" spans="1:8" x14ac:dyDescent="0.25">
      <c r="A301" t="str">
        <f>RAW_GAMES!A301</f>
        <v>25/26</v>
      </c>
      <c r="B301" s="3">
        <f>RAW_GAMES!B301</f>
        <v>45975</v>
      </c>
      <c r="C301" t="str">
        <f>RAW_GAMES!E301</f>
        <v>KLA</v>
      </c>
      <c r="D301" t="str">
        <f>RAW_GAMES!R301</f>
        <v>Brízgala</v>
      </c>
      <c r="F301">
        <f>RAW_GAMES!K301</f>
        <v>21</v>
      </c>
      <c r="G301" s="7">
        <f>RAW_GAMES!S301</f>
        <v>18</v>
      </c>
      <c r="H301">
        <f>RAW_GAMES!I301</f>
        <v>3</v>
      </c>
    </row>
    <row r="302" spans="1:8" x14ac:dyDescent="0.25">
      <c r="A302" t="str">
        <f>RAW_GAMES!A302</f>
        <v>25/26</v>
      </c>
      <c r="B302" s="3">
        <f>RAW_GAMES!B302</f>
        <v>45975</v>
      </c>
      <c r="C302" t="str">
        <f>RAW_GAMES!E302</f>
        <v>KVA</v>
      </c>
      <c r="D302" t="str">
        <f>RAW_GAMES!R302</f>
        <v>Frodl</v>
      </c>
      <c r="F302">
        <f>RAW_GAMES!K302</f>
        <v>39</v>
      </c>
      <c r="G302" s="7">
        <f>RAW_GAMES!S302</f>
        <v>37</v>
      </c>
      <c r="H302">
        <f>RAW_GAMES!I302</f>
        <v>2</v>
      </c>
    </row>
    <row r="303" spans="1:8" x14ac:dyDescent="0.25">
      <c r="A303" t="str">
        <f>RAW_GAMES!A303</f>
        <v>25/26</v>
      </c>
      <c r="B303" s="3">
        <f>RAW_GAMES!B303</f>
        <v>45975</v>
      </c>
      <c r="C303" t="str">
        <f>RAW_GAMES!E303</f>
        <v>LIB</v>
      </c>
      <c r="D303" t="str">
        <f>RAW_GAMES!R303</f>
        <v>Kváča</v>
      </c>
      <c r="F303">
        <f>RAW_GAMES!K303</f>
        <v>17</v>
      </c>
      <c r="G303" s="7">
        <f>RAW_GAMES!S303</f>
        <v>17</v>
      </c>
      <c r="H303">
        <f>RAW_GAMES!I303</f>
        <v>0</v>
      </c>
    </row>
    <row r="304" spans="1:8" x14ac:dyDescent="0.25">
      <c r="A304" t="str">
        <f>RAW_GAMES!A304</f>
        <v>25/26</v>
      </c>
      <c r="B304" s="3">
        <f>RAW_GAMES!B304</f>
        <v>45975</v>
      </c>
      <c r="C304" t="str">
        <f>RAW_GAMES!E304</f>
        <v>LIT</v>
      </c>
      <c r="D304" t="str">
        <f>RAW_GAMES!R304</f>
        <v>Tomek</v>
      </c>
      <c r="F304">
        <f>RAW_GAMES!K304</f>
        <v>37</v>
      </c>
      <c r="G304" s="7">
        <f>RAW_GAMES!S304</f>
        <v>35</v>
      </c>
      <c r="H304">
        <f>RAW_GAMES!I304</f>
        <v>2</v>
      </c>
    </row>
    <row r="305" spans="1:8" x14ac:dyDescent="0.25">
      <c r="A305" t="str">
        <f>RAW_GAMES!A305</f>
        <v>25/26</v>
      </c>
      <c r="B305" s="3">
        <f>RAW_GAMES!B305</f>
        <v>45975</v>
      </c>
      <c r="C305" t="str">
        <f>RAW_GAMES!E305</f>
        <v>MBL</v>
      </c>
      <c r="D305" t="str">
        <f>RAW_GAMES!R305</f>
        <v>Furch</v>
      </c>
      <c r="F305">
        <f>RAW_GAMES!K305</f>
        <v>20</v>
      </c>
      <c r="G305" s="7">
        <f>RAW_GAMES!S305</f>
        <v>18</v>
      </c>
      <c r="H305">
        <f>RAW_GAMES!I305</f>
        <v>1</v>
      </c>
    </row>
    <row r="306" spans="1:8" x14ac:dyDescent="0.25">
      <c r="A306" t="str">
        <f>RAW_GAMES!A306</f>
        <v>25/26</v>
      </c>
      <c r="B306" s="3">
        <f>RAW_GAMES!B306</f>
        <v>45975</v>
      </c>
      <c r="C306" t="str">
        <f>RAW_GAMES!E306</f>
        <v>MHK</v>
      </c>
      <c r="D306" t="str">
        <f>RAW_GAMES!R306</f>
        <v>Škorvánek</v>
      </c>
      <c r="F306">
        <f>RAW_GAMES!K306</f>
        <v>13</v>
      </c>
      <c r="G306" s="7">
        <f>RAW_GAMES!S306</f>
        <v>13</v>
      </c>
      <c r="H306">
        <f>RAW_GAMES!I306</f>
        <v>0</v>
      </c>
    </row>
    <row r="307" spans="1:8" x14ac:dyDescent="0.25">
      <c r="A307" t="str">
        <f>RAW_GAMES!A307</f>
        <v>25/26</v>
      </c>
      <c r="B307" s="3">
        <f>RAW_GAMES!B307</f>
        <v>45975</v>
      </c>
      <c r="C307" t="str">
        <f>RAW_GAMES!E307</f>
        <v>OLO</v>
      </c>
      <c r="D307" t="str">
        <f>RAW_GAMES!R307</f>
        <v>Machovský</v>
      </c>
      <c r="F307">
        <f>RAW_GAMES!K307</f>
        <v>32</v>
      </c>
      <c r="G307" s="7">
        <f>RAW_GAMES!S307</f>
        <v>27</v>
      </c>
      <c r="H307">
        <f>RAW_GAMES!I307</f>
        <v>4</v>
      </c>
    </row>
    <row r="308" spans="1:8" x14ac:dyDescent="0.25">
      <c r="A308" t="str">
        <f>RAW_GAMES!A308</f>
        <v>25/26</v>
      </c>
      <c r="B308" s="3">
        <f>RAW_GAMES!B308</f>
        <v>45975</v>
      </c>
      <c r="C308" t="str">
        <f>RAW_GAMES!E308</f>
        <v>PLZ</v>
      </c>
      <c r="D308" t="str">
        <f>RAW_GAMES!R308</f>
        <v>Malík</v>
      </c>
      <c r="F308">
        <f>RAW_GAMES!K308</f>
        <v>19</v>
      </c>
      <c r="G308" s="7">
        <f>RAW_GAMES!S308</f>
        <v>15</v>
      </c>
      <c r="H308">
        <f>RAW_GAMES!I308</f>
        <v>4</v>
      </c>
    </row>
    <row r="309" spans="1:8" x14ac:dyDescent="0.25">
      <c r="A309" t="str">
        <f>RAW_GAMES!A309</f>
        <v>25/26</v>
      </c>
      <c r="B309" s="3">
        <f>RAW_GAMES!B309</f>
        <v>45975</v>
      </c>
      <c r="C309" t="str">
        <f>RAW_GAMES!E309</f>
        <v>VIT</v>
      </c>
      <c r="D309" t="str">
        <f>RAW_GAMES!R309</f>
        <v>Hrachovina</v>
      </c>
      <c r="F309">
        <f>RAW_GAMES!K309</f>
        <v>36</v>
      </c>
      <c r="G309" s="7">
        <f>RAW_GAMES!S309</f>
        <v>33</v>
      </c>
      <c r="H309">
        <f>RAW_GAMES!I309</f>
        <v>3</v>
      </c>
    </row>
    <row r="310" spans="1:8" x14ac:dyDescent="0.25">
      <c r="A310" t="str">
        <f>RAW_GAMES!A310</f>
        <v>25/26</v>
      </c>
      <c r="B310" s="3">
        <f>RAW_GAMES!B310</f>
        <v>45977</v>
      </c>
      <c r="C310" t="str">
        <f>RAW_GAMES!E310</f>
        <v>PCE</v>
      </c>
      <c r="D310" t="str">
        <f>RAW_GAMES!R310</f>
        <v>Will</v>
      </c>
      <c r="F310">
        <f>RAW_GAMES!K310</f>
        <v>27</v>
      </c>
      <c r="G310" s="7">
        <f>RAW_GAMES!S310</f>
        <v>26</v>
      </c>
      <c r="H310">
        <f>RAW_GAMES!I310</f>
        <v>1</v>
      </c>
    </row>
    <row r="311" spans="1:8" x14ac:dyDescent="0.25">
      <c r="A311" t="str">
        <f>RAW_GAMES!A311</f>
        <v>25/26</v>
      </c>
      <c r="B311" s="3">
        <f>RAW_GAMES!B311</f>
        <v>45977</v>
      </c>
      <c r="C311" t="str">
        <f>RAW_GAMES!E311</f>
        <v>TRI</v>
      </c>
      <c r="D311" t="str">
        <f>RAW_GAMES!R311</f>
        <v>Kacetl</v>
      </c>
      <c r="F311">
        <f>RAW_GAMES!K311</f>
        <v>41</v>
      </c>
      <c r="G311" s="7">
        <f>RAW_GAMES!S311</f>
        <v>37</v>
      </c>
      <c r="H311">
        <f>RAW_GAMES!I311</f>
        <v>4</v>
      </c>
    </row>
    <row r="312" spans="1:8" x14ac:dyDescent="0.25">
      <c r="A312" t="str">
        <f>RAW_GAMES!A312</f>
        <v>25/26</v>
      </c>
      <c r="B312" s="3">
        <f>RAW_GAMES!B312</f>
        <v>45977</v>
      </c>
      <c r="C312" t="str">
        <f>RAW_GAMES!E312</f>
        <v>SPA</v>
      </c>
      <c r="D312" t="str">
        <f>RAW_GAMES!R312</f>
        <v>Kořenář</v>
      </c>
      <c r="F312">
        <f>RAW_GAMES!K312</f>
        <v>31</v>
      </c>
      <c r="G312" s="7">
        <f>RAW_GAMES!S312</f>
        <v>26</v>
      </c>
      <c r="H312">
        <f>RAW_GAMES!I312</f>
        <v>5</v>
      </c>
    </row>
    <row r="313" spans="1:8" x14ac:dyDescent="0.25">
      <c r="A313" t="str">
        <f>RAW_GAMES!A313</f>
        <v>25/26</v>
      </c>
      <c r="B313" s="3">
        <f>RAW_GAMES!B313</f>
        <v>45977</v>
      </c>
      <c r="C313" t="str">
        <f>RAW_GAMES!E313</f>
        <v>KOM</v>
      </c>
      <c r="D313" t="str">
        <f>RAW_GAMES!R313</f>
        <v>Stezka</v>
      </c>
      <c r="F313">
        <f>RAW_GAMES!K313</f>
        <v>32</v>
      </c>
      <c r="G313" s="7">
        <f>RAW_GAMES!S313</f>
        <v>27</v>
      </c>
      <c r="H313">
        <f>RAW_GAMES!I313</f>
        <v>3</v>
      </c>
    </row>
    <row r="314" spans="1:8" x14ac:dyDescent="0.25">
      <c r="A314" t="str">
        <f>RAW_GAMES!A314</f>
        <v>25/26</v>
      </c>
      <c r="B314" s="3">
        <f>RAW_GAMES!B314</f>
        <v>45977</v>
      </c>
      <c r="C314" t="str">
        <f>RAW_GAMES!E314</f>
        <v>KLA</v>
      </c>
      <c r="D314" t="str">
        <f>RAW_GAMES!R314</f>
        <v>Dansk</v>
      </c>
      <c r="F314">
        <f>RAW_GAMES!K314</f>
        <v>33</v>
      </c>
      <c r="G314" s="7">
        <f>RAW_GAMES!S314</f>
        <v>32</v>
      </c>
      <c r="H314">
        <f>RAW_GAMES!I314</f>
        <v>1</v>
      </c>
    </row>
    <row r="315" spans="1:8" x14ac:dyDescent="0.25">
      <c r="A315" t="str">
        <f>RAW_GAMES!A315</f>
        <v>25/26</v>
      </c>
      <c r="B315" s="3">
        <f>RAW_GAMES!B315</f>
        <v>45977</v>
      </c>
      <c r="C315" t="str">
        <f>RAW_GAMES!E315</f>
        <v>KVA</v>
      </c>
      <c r="D315" t="str">
        <f>RAW_GAMES!R315</f>
        <v>Frodl</v>
      </c>
      <c r="F315">
        <f>RAW_GAMES!K315</f>
        <v>14</v>
      </c>
      <c r="G315" s="7">
        <f>RAW_GAMES!S315</f>
        <v>9</v>
      </c>
      <c r="H315">
        <f>RAW_GAMES!I315</f>
        <v>5</v>
      </c>
    </row>
    <row r="316" spans="1:8" x14ac:dyDescent="0.25">
      <c r="A316" t="str">
        <f>RAW_GAMES!A316</f>
        <v>25/26</v>
      </c>
      <c r="B316" s="3">
        <f>RAW_GAMES!B316</f>
        <v>45977</v>
      </c>
      <c r="C316" t="str">
        <f>RAW_GAMES!E316</f>
        <v>LIB</v>
      </c>
      <c r="D316" t="str">
        <f>RAW_GAMES!R316</f>
        <v>Kváča</v>
      </c>
      <c r="F316">
        <f>RAW_GAMES!K316</f>
        <v>26</v>
      </c>
      <c r="G316" s="7">
        <f>RAW_GAMES!S316</f>
        <v>23</v>
      </c>
      <c r="H316">
        <f>RAW_GAMES!I316</f>
        <v>2</v>
      </c>
    </row>
    <row r="317" spans="1:8" x14ac:dyDescent="0.25">
      <c r="A317" t="str">
        <f>RAW_GAMES!A317</f>
        <v>25/26</v>
      </c>
      <c r="B317" s="3">
        <f>RAW_GAMES!B317</f>
        <v>45977</v>
      </c>
      <c r="C317" t="str">
        <f>RAW_GAMES!E317</f>
        <v>LIT</v>
      </c>
      <c r="D317" t="str">
        <f>RAW_GAMES!R317</f>
        <v>Čajan</v>
      </c>
      <c r="F317">
        <f>RAW_GAMES!K317</f>
        <v>42</v>
      </c>
      <c r="G317" s="7">
        <f>RAW_GAMES!S317</f>
        <v>38</v>
      </c>
      <c r="H317">
        <f>RAW_GAMES!I317</f>
        <v>4</v>
      </c>
    </row>
    <row r="318" spans="1:8" x14ac:dyDescent="0.25">
      <c r="A318" t="str">
        <f>RAW_GAMES!A318</f>
        <v>25/26</v>
      </c>
      <c r="B318" s="3">
        <f>RAW_GAMES!B318</f>
        <v>45977</v>
      </c>
      <c r="C318" t="str">
        <f>RAW_GAMES!E318</f>
        <v>MBL</v>
      </c>
      <c r="D318" t="str">
        <f>RAW_GAMES!R318</f>
        <v>Furch</v>
      </c>
      <c r="F318">
        <f>RAW_GAMES!K318</f>
        <v>26</v>
      </c>
      <c r="G318" s="7">
        <f>RAW_GAMES!S318</f>
        <v>27</v>
      </c>
      <c r="H318">
        <f>RAW_GAMES!I318</f>
        <v>0</v>
      </c>
    </row>
    <row r="319" spans="1:8" x14ac:dyDescent="0.25">
      <c r="A319" t="str">
        <f>RAW_GAMES!A319</f>
        <v>25/26</v>
      </c>
      <c r="B319" s="3">
        <f>RAW_GAMES!B319</f>
        <v>45977</v>
      </c>
      <c r="C319" t="str">
        <f>RAW_GAMES!E319</f>
        <v>PLZ</v>
      </c>
      <c r="D319" t="str">
        <f>RAW_GAMES!R319</f>
        <v>Růžička</v>
      </c>
      <c r="F319">
        <f>RAW_GAMES!K319</f>
        <v>27</v>
      </c>
      <c r="G319" s="7">
        <f>RAW_GAMES!S319</f>
        <v>21</v>
      </c>
      <c r="H319">
        <f>RAW_GAMES!I319</f>
        <v>6</v>
      </c>
    </row>
    <row r="320" spans="1:8" x14ac:dyDescent="0.25">
      <c r="A320" t="str">
        <f>RAW_GAMES!A320</f>
        <v>25/26</v>
      </c>
      <c r="B320" s="3">
        <f>RAW_GAMES!B320</f>
        <v>45978</v>
      </c>
      <c r="C320" t="str">
        <f>RAW_GAMES!E320</f>
        <v>MHK</v>
      </c>
      <c r="D320" t="str">
        <f>RAW_GAMES!R320</f>
        <v>Škorvánek</v>
      </c>
      <c r="F320">
        <f>RAW_GAMES!K320</f>
        <v>33</v>
      </c>
      <c r="G320" s="7">
        <f>RAW_GAMES!S320</f>
        <v>32</v>
      </c>
      <c r="H320">
        <f>RAW_GAMES!I320</f>
        <v>1</v>
      </c>
    </row>
    <row r="321" spans="1:8" x14ac:dyDescent="0.25">
      <c r="A321" t="str">
        <f>RAW_GAMES!A321</f>
        <v>25/26</v>
      </c>
      <c r="B321" s="3">
        <f>RAW_GAMES!B321</f>
        <v>45978</v>
      </c>
      <c r="C321" t="str">
        <f>RAW_GAMES!E321</f>
        <v>OLO</v>
      </c>
      <c r="D321" t="str">
        <f>RAW_GAMES!R321</f>
        <v>Cichoň</v>
      </c>
      <c r="F321">
        <f>RAW_GAMES!K321</f>
        <v>37</v>
      </c>
      <c r="G321" s="7">
        <f>RAW_GAMES!S321</f>
        <v>30</v>
      </c>
      <c r="H321">
        <f>RAW_GAMES!I321</f>
        <v>7</v>
      </c>
    </row>
    <row r="322" spans="1:8" x14ac:dyDescent="0.25">
      <c r="A322" t="str">
        <f>RAW_GAMES!A322</f>
        <v>25/26</v>
      </c>
      <c r="B322" s="3">
        <f>RAW_GAMES!B322</f>
        <v>45981</v>
      </c>
      <c r="C322" t="str">
        <f>RAW_GAMES!E322</f>
        <v>PCE</v>
      </c>
      <c r="D322" t="str">
        <f>RAW_GAMES!R322</f>
        <v>Subban</v>
      </c>
      <c r="F322">
        <f>RAW_GAMES!K322</f>
        <v>22</v>
      </c>
      <c r="G322" s="7">
        <f>RAW_GAMES!S322</f>
        <v>21</v>
      </c>
      <c r="H322">
        <f>RAW_GAMES!I322</f>
        <v>1</v>
      </c>
    </row>
    <row r="323" spans="1:8" x14ac:dyDescent="0.25">
      <c r="A323" t="str">
        <f>RAW_GAMES!A323</f>
        <v>25/26</v>
      </c>
      <c r="B323" s="3">
        <f>RAW_GAMES!B323</f>
        <v>45981</v>
      </c>
      <c r="C323" t="str">
        <f>RAW_GAMES!E323</f>
        <v>TRI</v>
      </c>
      <c r="D323" t="str">
        <f>RAW_GAMES!R323</f>
        <v>Mazanec</v>
      </c>
      <c r="F323">
        <f>RAW_GAMES!K323</f>
        <v>25</v>
      </c>
      <c r="G323" s="7">
        <f>RAW_GAMES!S323</f>
        <v>22</v>
      </c>
      <c r="H323">
        <f>RAW_GAMES!I323</f>
        <v>3</v>
      </c>
    </row>
    <row r="324" spans="1:8" x14ac:dyDescent="0.25">
      <c r="A324" t="str">
        <f>RAW_GAMES!A324</f>
        <v>25/26</v>
      </c>
      <c r="B324" s="3">
        <f>RAW_GAMES!B324</f>
        <v>45981</v>
      </c>
      <c r="C324" t="str">
        <f>RAW_GAMES!E324</f>
        <v>KVA</v>
      </c>
      <c r="D324" t="str">
        <f>RAW_GAMES!R324</f>
        <v>Král</v>
      </c>
      <c r="F324">
        <f>RAW_GAMES!K324</f>
        <v>26</v>
      </c>
      <c r="G324" s="7">
        <f>RAW_GAMES!S324</f>
        <v>22</v>
      </c>
      <c r="H324">
        <f>RAW_GAMES!I324</f>
        <v>4</v>
      </c>
    </row>
    <row r="325" spans="1:8" x14ac:dyDescent="0.25">
      <c r="A325" t="str">
        <f>RAW_GAMES!A325</f>
        <v>25/26</v>
      </c>
      <c r="B325" s="3">
        <f>RAW_GAMES!B325</f>
        <v>45981</v>
      </c>
      <c r="C325" t="str">
        <f>RAW_GAMES!E325</f>
        <v>LIT</v>
      </c>
      <c r="D325" t="str">
        <f>RAW_GAMES!R325</f>
        <v>Čajan</v>
      </c>
      <c r="F325">
        <f>RAW_GAMES!K325</f>
        <v>32</v>
      </c>
      <c r="G325" s="7">
        <f>RAW_GAMES!S325</f>
        <v>25</v>
      </c>
      <c r="H325">
        <f>RAW_GAMES!I325</f>
        <v>7</v>
      </c>
    </row>
    <row r="326" spans="1:8" x14ac:dyDescent="0.25">
      <c r="A326" t="str">
        <f>RAW_GAMES!A326</f>
        <v>25/26</v>
      </c>
      <c r="B326" s="3">
        <f>RAW_GAMES!B326</f>
        <v>45981</v>
      </c>
      <c r="C326" t="str">
        <f>RAW_GAMES!E326</f>
        <v>PLZ</v>
      </c>
      <c r="D326" t="str">
        <f>RAW_GAMES!R326</f>
        <v>Malík</v>
      </c>
      <c r="F326">
        <f>RAW_GAMES!K326</f>
        <v>15</v>
      </c>
      <c r="G326" s="7">
        <f>RAW_GAMES!S326</f>
        <v>13</v>
      </c>
      <c r="H326">
        <f>RAW_GAMES!I326</f>
        <v>2</v>
      </c>
    </row>
    <row r="327" spans="1:8" x14ac:dyDescent="0.25">
      <c r="A327" t="str">
        <f>RAW_GAMES!A327</f>
        <v>25/26</v>
      </c>
      <c r="B327" s="3">
        <f>RAW_GAMES!B327</f>
        <v>45981</v>
      </c>
      <c r="C327" t="str">
        <f>RAW_GAMES!E327</f>
        <v>VIT</v>
      </c>
      <c r="D327" t="str">
        <f>RAW_GAMES!R327</f>
        <v>Hrachovina</v>
      </c>
      <c r="F327">
        <f>RAW_GAMES!K327</f>
        <v>35</v>
      </c>
      <c r="G327" s="7">
        <f>RAW_GAMES!S327</f>
        <v>33</v>
      </c>
      <c r="H327">
        <f>RAW_GAMES!I327</f>
        <v>2</v>
      </c>
    </row>
    <row r="328" spans="1:8" x14ac:dyDescent="0.25">
      <c r="A328" t="str">
        <f>RAW_GAMES!A328</f>
        <v>25/26</v>
      </c>
      <c r="B328" s="3">
        <f>RAW_GAMES!B328</f>
        <v>45982</v>
      </c>
      <c r="C328" t="str">
        <f>RAW_GAMES!E328</f>
        <v>SPA</v>
      </c>
      <c r="D328" t="str">
        <f>RAW_GAMES!R328</f>
        <v>Kovář</v>
      </c>
      <c r="F328">
        <f>RAW_GAMES!K328</f>
        <v>31</v>
      </c>
      <c r="G328" s="7">
        <f>RAW_GAMES!S328</f>
        <v>30</v>
      </c>
      <c r="H328">
        <f>RAW_GAMES!I328</f>
        <v>1</v>
      </c>
    </row>
    <row r="329" spans="1:8" x14ac:dyDescent="0.25">
      <c r="A329" t="str">
        <f>RAW_GAMES!A329</f>
        <v>25/26</v>
      </c>
      <c r="B329" s="3">
        <f>RAW_GAMES!B329</f>
        <v>45982</v>
      </c>
      <c r="C329" t="str">
        <f>RAW_GAMES!E329</f>
        <v>KOM</v>
      </c>
      <c r="D329" t="str">
        <f>RAW_GAMES!R329</f>
        <v>Stezka</v>
      </c>
      <c r="F329">
        <f>RAW_GAMES!K329</f>
        <v>22</v>
      </c>
      <c r="G329" s="7">
        <f>RAW_GAMES!S329</f>
        <v>21</v>
      </c>
      <c r="H329">
        <f>RAW_GAMES!I329</f>
        <v>1</v>
      </c>
    </row>
    <row r="330" spans="1:8" x14ac:dyDescent="0.25">
      <c r="A330" t="str">
        <f>RAW_GAMES!A330</f>
        <v>25/26</v>
      </c>
      <c r="B330" s="3">
        <f>RAW_GAMES!B330</f>
        <v>45982</v>
      </c>
      <c r="C330" t="str">
        <f>RAW_GAMES!E330</f>
        <v>CEB</v>
      </c>
      <c r="D330" t="str">
        <f>RAW_GAMES!R330</f>
        <v>Mařík</v>
      </c>
      <c r="F330">
        <f>RAW_GAMES!K330</f>
        <v>30</v>
      </c>
      <c r="G330" s="7">
        <f>RAW_GAMES!S330</f>
        <v>27</v>
      </c>
      <c r="H330">
        <f>RAW_GAMES!I330</f>
        <v>3</v>
      </c>
    </row>
    <row r="331" spans="1:8" x14ac:dyDescent="0.25">
      <c r="A331" t="str">
        <f>RAW_GAMES!A331</f>
        <v>25/26</v>
      </c>
      <c r="B331" s="3">
        <f>RAW_GAMES!B331</f>
        <v>45982</v>
      </c>
      <c r="C331" t="str">
        <f>RAW_GAMES!E331</f>
        <v>KLA</v>
      </c>
      <c r="D331" t="str">
        <f>RAW_GAMES!R331</f>
        <v>Brízgala</v>
      </c>
      <c r="F331">
        <f>RAW_GAMES!K331</f>
        <v>42</v>
      </c>
      <c r="G331" s="7">
        <f>RAW_GAMES!S331</f>
        <v>38</v>
      </c>
      <c r="H331">
        <f>RAW_GAMES!I331</f>
        <v>4</v>
      </c>
    </row>
    <row r="332" spans="1:8" x14ac:dyDescent="0.25">
      <c r="A332" t="str">
        <f>RAW_GAMES!A332</f>
        <v>25/26</v>
      </c>
      <c r="B332" s="3">
        <f>RAW_GAMES!B332</f>
        <v>45982</v>
      </c>
      <c r="C332" t="str">
        <f>RAW_GAMES!E332</f>
        <v>MBL</v>
      </c>
      <c r="D332" t="str">
        <f>RAW_GAMES!R332</f>
        <v>Furch</v>
      </c>
      <c r="F332">
        <f>RAW_GAMES!K332</f>
        <v>32</v>
      </c>
      <c r="G332" s="7">
        <f>RAW_GAMES!S332</f>
        <v>29</v>
      </c>
      <c r="H332">
        <f>RAW_GAMES!I332</f>
        <v>4</v>
      </c>
    </row>
    <row r="333" spans="1:8" x14ac:dyDescent="0.25">
      <c r="A333" t="str">
        <f>RAW_GAMES!A333</f>
        <v>25/26</v>
      </c>
      <c r="B333" s="3">
        <f>RAW_GAMES!B333</f>
        <v>45982</v>
      </c>
      <c r="C333" t="str">
        <f>RAW_GAMES!E333</f>
        <v>MHK</v>
      </c>
      <c r="D333" t="str">
        <f>RAW_GAMES!R333</f>
        <v>Škorvánek</v>
      </c>
      <c r="F333">
        <f>RAW_GAMES!K333</f>
        <v>25</v>
      </c>
      <c r="G333" s="7">
        <f>RAW_GAMES!S333</f>
        <v>21</v>
      </c>
      <c r="H333">
        <f>RAW_GAMES!I333</f>
        <v>4</v>
      </c>
    </row>
    <row r="334" spans="1:8" x14ac:dyDescent="0.25">
      <c r="A334" t="str">
        <f>RAW_GAMES!A334</f>
        <v>25/26</v>
      </c>
      <c r="B334" s="3">
        <f>RAW_GAMES!B334</f>
        <v>45984</v>
      </c>
      <c r="C334" t="str">
        <f>RAW_GAMES!E334</f>
        <v>PCE</v>
      </c>
      <c r="D334" t="str">
        <f>RAW_GAMES!R334</f>
        <v>Subban</v>
      </c>
      <c r="F334">
        <f>RAW_GAMES!K334</f>
        <v>14</v>
      </c>
      <c r="G334" s="7">
        <f>RAW_GAMES!S334</f>
        <v>11</v>
      </c>
      <c r="H334">
        <f>RAW_GAMES!I334</f>
        <v>3</v>
      </c>
    </row>
    <row r="335" spans="1:8" x14ac:dyDescent="0.25">
      <c r="A335" t="str">
        <f>RAW_GAMES!A335</f>
        <v>25/26</v>
      </c>
      <c r="B335" s="3">
        <f>RAW_GAMES!B335</f>
        <v>45984</v>
      </c>
      <c r="C335" t="str">
        <f>RAW_GAMES!E335</f>
        <v>TRI</v>
      </c>
      <c r="D335" t="str">
        <f>RAW_GAMES!R335</f>
        <v>Mazanec</v>
      </c>
      <c r="F335">
        <f>RAW_GAMES!K335</f>
        <v>24</v>
      </c>
      <c r="G335" s="7">
        <f>RAW_GAMES!S335</f>
        <v>19</v>
      </c>
      <c r="H335">
        <f>RAW_GAMES!I335</f>
        <v>5</v>
      </c>
    </row>
    <row r="336" spans="1:8" x14ac:dyDescent="0.25">
      <c r="A336" t="str">
        <f>RAW_GAMES!A336</f>
        <v>25/26</v>
      </c>
      <c r="B336" s="3">
        <f>RAW_GAMES!B336</f>
        <v>45984</v>
      </c>
      <c r="C336" t="str">
        <f>RAW_GAMES!E336</f>
        <v>SPA</v>
      </c>
      <c r="D336" t="str">
        <f>RAW_GAMES!R336</f>
        <v>Kovář</v>
      </c>
      <c r="F336">
        <f>RAW_GAMES!K336</f>
        <v>22</v>
      </c>
      <c r="G336" s="7">
        <f>RAW_GAMES!S336</f>
        <v>19</v>
      </c>
      <c r="H336">
        <f>RAW_GAMES!I336</f>
        <v>3</v>
      </c>
    </row>
    <row r="337" spans="1:8" x14ac:dyDescent="0.25">
      <c r="A337" t="str">
        <f>RAW_GAMES!A337</f>
        <v>25/26</v>
      </c>
      <c r="B337" s="3">
        <f>RAW_GAMES!B337</f>
        <v>45984</v>
      </c>
      <c r="C337" t="str">
        <f>RAW_GAMES!E337</f>
        <v>KOM</v>
      </c>
      <c r="D337" t="str">
        <f>RAW_GAMES!R337</f>
        <v>Stezka</v>
      </c>
      <c r="F337">
        <f>RAW_GAMES!K337</f>
        <v>38</v>
      </c>
      <c r="G337" s="7">
        <f>RAW_GAMES!S337</f>
        <v>35</v>
      </c>
      <c r="H337">
        <f>RAW_GAMES!I337</f>
        <v>3</v>
      </c>
    </row>
    <row r="338" spans="1:8" x14ac:dyDescent="0.25">
      <c r="A338" t="str">
        <f>RAW_GAMES!A338</f>
        <v>25/26</v>
      </c>
      <c r="B338" s="3">
        <f>RAW_GAMES!B338</f>
        <v>45984</v>
      </c>
      <c r="C338" t="str">
        <f>RAW_GAMES!E338</f>
        <v>CEB</v>
      </c>
      <c r="D338" t="str">
        <f>RAW_GAMES!R338</f>
        <v>Westerholm</v>
      </c>
      <c r="F338">
        <f>RAW_GAMES!K338</f>
        <v>25</v>
      </c>
      <c r="G338" s="7">
        <f>RAW_GAMES!S338</f>
        <v>31</v>
      </c>
      <c r="H338">
        <f>RAW_GAMES!I338</f>
        <v>1</v>
      </c>
    </row>
    <row r="339" spans="1:8" x14ac:dyDescent="0.25">
      <c r="A339" t="str">
        <f>RAW_GAMES!A339</f>
        <v>25/26</v>
      </c>
      <c r="B339" s="3">
        <f>RAW_GAMES!B339</f>
        <v>45984</v>
      </c>
      <c r="C339" t="str">
        <f>RAW_GAMES!E339</f>
        <v>KLA</v>
      </c>
      <c r="D339" t="str">
        <f>RAW_GAMES!R339</f>
        <v>Dansk</v>
      </c>
      <c r="F339">
        <f>RAW_GAMES!K339</f>
        <v>27</v>
      </c>
      <c r="G339" s="7">
        <f>RAW_GAMES!S339</f>
        <v>20</v>
      </c>
      <c r="H339">
        <f>RAW_GAMES!I339</f>
        <v>7</v>
      </c>
    </row>
    <row r="340" spans="1:8" x14ac:dyDescent="0.25">
      <c r="A340" t="str">
        <f>RAW_GAMES!A340</f>
        <v>25/26</v>
      </c>
      <c r="B340" s="3">
        <f>RAW_GAMES!B340</f>
        <v>45984</v>
      </c>
      <c r="C340" t="str">
        <f>RAW_GAMES!E340</f>
        <v>KVA</v>
      </c>
      <c r="D340" t="str">
        <f>RAW_GAMES!R340</f>
        <v>Frodl</v>
      </c>
      <c r="F340">
        <f>RAW_GAMES!K340</f>
        <v>16</v>
      </c>
      <c r="G340" s="7">
        <f>RAW_GAMES!S340</f>
        <v>14</v>
      </c>
      <c r="H340">
        <f>RAW_GAMES!I340</f>
        <v>2</v>
      </c>
    </row>
    <row r="341" spans="1:8" x14ac:dyDescent="0.25">
      <c r="A341" t="str">
        <f>RAW_GAMES!A341</f>
        <v>25/26</v>
      </c>
      <c r="B341" s="3">
        <f>RAW_GAMES!B341</f>
        <v>45984</v>
      </c>
      <c r="C341" t="str">
        <f>RAW_GAMES!E341</f>
        <v>LIB</v>
      </c>
      <c r="D341" t="str">
        <f>RAW_GAMES!R341</f>
        <v>Kváča</v>
      </c>
      <c r="F341">
        <f>RAW_GAMES!K341</f>
        <v>27</v>
      </c>
      <c r="G341" s="7">
        <f>RAW_GAMES!S341</f>
        <v>25</v>
      </c>
      <c r="H341">
        <f>RAW_GAMES!I341</f>
        <v>2</v>
      </c>
    </row>
    <row r="342" spans="1:8" x14ac:dyDescent="0.25">
      <c r="A342" t="str">
        <f>RAW_GAMES!A342</f>
        <v>25/26</v>
      </c>
      <c r="B342" s="3">
        <f>RAW_GAMES!B342</f>
        <v>45984</v>
      </c>
      <c r="C342" t="str">
        <f>RAW_GAMES!E342</f>
        <v>LIT</v>
      </c>
      <c r="D342" t="str">
        <f>RAW_GAMES!R342</f>
        <v>Tomek</v>
      </c>
      <c r="F342">
        <f>RAW_GAMES!K342</f>
        <v>46</v>
      </c>
      <c r="G342" s="7">
        <f>RAW_GAMES!S342</f>
        <v>44</v>
      </c>
      <c r="H342">
        <f>RAW_GAMES!I342</f>
        <v>2</v>
      </c>
    </row>
    <row r="343" spans="1:8" x14ac:dyDescent="0.25">
      <c r="A343" t="str">
        <f>RAW_GAMES!A343</f>
        <v>25/26</v>
      </c>
      <c r="B343" s="3">
        <f>RAW_GAMES!B343</f>
        <v>45984</v>
      </c>
      <c r="C343" t="str">
        <f>RAW_GAMES!E343</f>
        <v>MBL</v>
      </c>
      <c r="D343" t="str">
        <f>RAW_GAMES!R343</f>
        <v>Mokry</v>
      </c>
      <c r="F343">
        <f>RAW_GAMES!K343</f>
        <v>25</v>
      </c>
      <c r="G343" s="7">
        <f>RAW_GAMES!S343</f>
        <v>24</v>
      </c>
      <c r="H343">
        <f>RAW_GAMES!I343</f>
        <v>1</v>
      </c>
    </row>
    <row r="344" spans="1:8" x14ac:dyDescent="0.25">
      <c r="A344" t="str">
        <f>RAW_GAMES!A344</f>
        <v>25/26</v>
      </c>
      <c r="B344" s="3">
        <f>RAW_GAMES!B344</f>
        <v>45984</v>
      </c>
      <c r="C344" t="str">
        <f>RAW_GAMES!E344</f>
        <v>MHK</v>
      </c>
      <c r="D344" t="str">
        <f>RAW_GAMES!R344</f>
        <v>Škorvánek</v>
      </c>
      <c r="F344">
        <f>RAW_GAMES!K344</f>
        <v>35</v>
      </c>
      <c r="G344" s="7">
        <f>RAW_GAMES!S344</f>
        <v>32</v>
      </c>
      <c r="H344">
        <f>RAW_GAMES!I344</f>
        <v>3</v>
      </c>
    </row>
    <row r="345" spans="1:8" x14ac:dyDescent="0.25">
      <c r="A345" t="str">
        <f>RAW_GAMES!A345</f>
        <v>25/26</v>
      </c>
      <c r="B345" s="3">
        <f>RAW_GAMES!B345</f>
        <v>45984</v>
      </c>
      <c r="C345" t="str">
        <f>RAW_GAMES!E345</f>
        <v>OLO</v>
      </c>
      <c r="D345" t="str">
        <f>RAW_GAMES!R345</f>
        <v>Machovský</v>
      </c>
      <c r="F345">
        <f>RAW_GAMES!K345</f>
        <v>33</v>
      </c>
      <c r="G345" s="7">
        <f>RAW_GAMES!S345</f>
        <v>31</v>
      </c>
      <c r="H345">
        <f>RAW_GAMES!I345</f>
        <v>2</v>
      </c>
    </row>
    <row r="346" spans="1:8" x14ac:dyDescent="0.25">
      <c r="A346" t="str">
        <f>RAW_GAMES!A346</f>
        <v>25/26</v>
      </c>
      <c r="B346" s="3">
        <f>RAW_GAMES!B346</f>
        <v>45984</v>
      </c>
      <c r="C346" t="str">
        <f>RAW_GAMES!E346</f>
        <v>PLZ</v>
      </c>
      <c r="D346" t="str">
        <f>RAW_GAMES!R346</f>
        <v>Růžička</v>
      </c>
      <c r="F346">
        <f>RAW_GAMES!K346</f>
        <v>19</v>
      </c>
      <c r="G346" s="7">
        <f>RAW_GAMES!S346</f>
        <v>17</v>
      </c>
      <c r="H346">
        <f>RAW_GAMES!I346</f>
        <v>2</v>
      </c>
    </row>
    <row r="347" spans="1:8" x14ac:dyDescent="0.25">
      <c r="A347" t="str">
        <f>RAW_GAMES!A347</f>
        <v>25/26</v>
      </c>
      <c r="B347" s="3">
        <f>RAW_GAMES!B347</f>
        <v>45984</v>
      </c>
      <c r="C347" t="str">
        <f>RAW_GAMES!E347</f>
        <v>VIT</v>
      </c>
      <c r="D347" t="str">
        <f>RAW_GAMES!R347</f>
        <v>Hrachovina</v>
      </c>
      <c r="F347">
        <f>RAW_GAMES!K347</f>
        <v>36</v>
      </c>
      <c r="G347" s="7">
        <f>RAW_GAMES!S347</f>
        <v>34</v>
      </c>
      <c r="H347">
        <f>RAW_GAMES!I347</f>
        <v>2</v>
      </c>
    </row>
    <row r="348" spans="1:8" x14ac:dyDescent="0.25">
      <c r="A348" t="str">
        <f>RAW_GAMES!A348</f>
        <v>25/26</v>
      </c>
      <c r="B348" s="3">
        <f>RAW_GAMES!B348</f>
        <v>45986</v>
      </c>
      <c r="C348" t="str">
        <f>RAW_GAMES!E348</f>
        <v>PCE</v>
      </c>
      <c r="D348" t="str">
        <f>RAW_GAMES!R348</f>
        <v>Will</v>
      </c>
      <c r="F348">
        <f>RAW_GAMES!K348</f>
        <v>19</v>
      </c>
      <c r="G348" s="7">
        <f>RAW_GAMES!S348</f>
        <v>17</v>
      </c>
      <c r="H348">
        <f>RAW_GAMES!I348</f>
        <v>2</v>
      </c>
    </row>
    <row r="349" spans="1:8" x14ac:dyDescent="0.25">
      <c r="A349" t="str">
        <f>RAW_GAMES!A349</f>
        <v>25/26</v>
      </c>
      <c r="B349" s="3">
        <f>RAW_GAMES!B349</f>
        <v>45986</v>
      </c>
      <c r="C349" t="str">
        <f>RAW_GAMES!E349</f>
        <v>TRI</v>
      </c>
      <c r="D349" t="str">
        <f>RAW_GAMES!R349</f>
        <v>Mazanec</v>
      </c>
      <c r="F349">
        <f>RAW_GAMES!K349</f>
        <v>24</v>
      </c>
      <c r="G349" s="7">
        <f>RAW_GAMES!S349</f>
        <v>22</v>
      </c>
      <c r="H349">
        <f>RAW_GAMES!I349</f>
        <v>2</v>
      </c>
    </row>
    <row r="350" spans="1:8" x14ac:dyDescent="0.25">
      <c r="A350" t="str">
        <f>RAW_GAMES!A350</f>
        <v>25/26</v>
      </c>
      <c r="B350" s="3">
        <f>RAW_GAMES!B350</f>
        <v>45986</v>
      </c>
      <c r="C350" t="str">
        <f>RAW_GAMES!E350</f>
        <v>SPA</v>
      </c>
      <c r="D350" t="str">
        <f>RAW_GAMES!R350</f>
        <v>Kořenář</v>
      </c>
      <c r="F350">
        <f>RAW_GAMES!K350</f>
        <v>19</v>
      </c>
      <c r="G350" s="7">
        <f>RAW_GAMES!S350</f>
        <v>36</v>
      </c>
      <c r="H350">
        <f>RAW_GAMES!I350</f>
        <v>1</v>
      </c>
    </row>
    <row r="351" spans="1:8" x14ac:dyDescent="0.25">
      <c r="A351" t="str">
        <f>RAW_GAMES!A351</f>
        <v>25/26</v>
      </c>
      <c r="B351" s="3">
        <f>RAW_GAMES!B351</f>
        <v>45986</v>
      </c>
      <c r="C351" t="str">
        <f>RAW_GAMES!E351</f>
        <v>KOM</v>
      </c>
      <c r="D351" t="str">
        <f>RAW_GAMES!R351</f>
        <v>Kavan</v>
      </c>
      <c r="F351">
        <f>RAW_GAMES!K351</f>
        <v>13</v>
      </c>
      <c r="G351" s="7">
        <f>RAW_GAMES!S351</f>
        <v>11</v>
      </c>
      <c r="H351">
        <f>RAW_GAMES!I351</f>
        <v>2</v>
      </c>
    </row>
    <row r="352" spans="1:8" x14ac:dyDescent="0.25">
      <c r="A352" t="str">
        <f>RAW_GAMES!A352</f>
        <v>25/26</v>
      </c>
      <c r="B352" s="3">
        <f>RAW_GAMES!B352</f>
        <v>45986</v>
      </c>
      <c r="C352" t="str">
        <f>RAW_GAMES!E352</f>
        <v>CEB</v>
      </c>
      <c r="D352" t="str">
        <f>RAW_GAMES!R352</f>
        <v>Westerholm</v>
      </c>
      <c r="F352">
        <f>RAW_GAMES!K352</f>
        <v>34</v>
      </c>
      <c r="G352" s="7">
        <f>RAW_GAMES!S352</f>
        <v>29</v>
      </c>
      <c r="H352">
        <f>RAW_GAMES!I352</f>
        <v>5</v>
      </c>
    </row>
    <row r="353" spans="1:8" x14ac:dyDescent="0.25">
      <c r="A353" t="str">
        <f>RAW_GAMES!A353</f>
        <v>25/26</v>
      </c>
      <c r="B353" s="3">
        <f>RAW_GAMES!B353</f>
        <v>45986</v>
      </c>
      <c r="C353" t="str">
        <f>RAW_GAMES!E353</f>
        <v>KLA</v>
      </c>
      <c r="D353" t="str">
        <f>RAW_GAMES!R353</f>
        <v>Brízgala</v>
      </c>
      <c r="F353">
        <f>RAW_GAMES!K353</f>
        <v>38</v>
      </c>
      <c r="G353" s="7">
        <f>RAW_GAMES!S353</f>
        <v>37</v>
      </c>
      <c r="H353">
        <f>RAW_GAMES!I353</f>
        <v>1</v>
      </c>
    </row>
    <row r="354" spans="1:8" x14ac:dyDescent="0.25">
      <c r="A354" t="str">
        <f>RAW_GAMES!A354</f>
        <v>25/26</v>
      </c>
      <c r="B354" s="3">
        <f>RAW_GAMES!B354</f>
        <v>45986</v>
      </c>
      <c r="C354" t="str">
        <f>RAW_GAMES!E354</f>
        <v>KVA</v>
      </c>
      <c r="D354" t="str">
        <f>RAW_GAMES!R354</f>
        <v>Frodl</v>
      </c>
      <c r="F354">
        <f>RAW_GAMES!K354</f>
        <v>26</v>
      </c>
      <c r="G354" s="7">
        <f>RAW_GAMES!S354</f>
        <v>25</v>
      </c>
      <c r="H354">
        <f>RAW_GAMES!I354</f>
        <v>1</v>
      </c>
    </row>
    <row r="355" spans="1:8" x14ac:dyDescent="0.25">
      <c r="A355" t="str">
        <f>RAW_GAMES!A355</f>
        <v>25/26</v>
      </c>
      <c r="B355" s="3">
        <f>RAW_GAMES!B355</f>
        <v>45986</v>
      </c>
      <c r="C355" t="str">
        <f>RAW_GAMES!E355</f>
        <v>LIB</v>
      </c>
      <c r="D355" t="str">
        <f>RAW_GAMES!R355</f>
        <v>Kváča</v>
      </c>
      <c r="F355">
        <f>RAW_GAMES!K355</f>
        <v>30</v>
      </c>
      <c r="G355" s="7">
        <f>RAW_GAMES!S355</f>
        <v>28</v>
      </c>
      <c r="H355">
        <f>RAW_GAMES!I355</f>
        <v>2</v>
      </c>
    </row>
    <row r="356" spans="1:8" x14ac:dyDescent="0.25">
      <c r="A356" t="str">
        <f>RAW_GAMES!A356</f>
        <v>25/26</v>
      </c>
      <c r="B356" s="3">
        <f>RAW_GAMES!B356</f>
        <v>45986</v>
      </c>
      <c r="C356" t="str">
        <f>RAW_GAMES!E356</f>
        <v>LIT</v>
      </c>
      <c r="D356" t="str">
        <f>RAW_GAMES!R356</f>
        <v>Tomek</v>
      </c>
      <c r="F356">
        <f>RAW_GAMES!K356</f>
        <v>32</v>
      </c>
      <c r="G356" s="7">
        <f>RAW_GAMES!S356</f>
        <v>32</v>
      </c>
      <c r="H356">
        <f>RAW_GAMES!I356</f>
        <v>2</v>
      </c>
    </row>
    <row r="357" spans="1:8" x14ac:dyDescent="0.25">
      <c r="A357" t="str">
        <f>RAW_GAMES!A357</f>
        <v>25/26</v>
      </c>
      <c r="B357" s="3">
        <f>RAW_GAMES!B357</f>
        <v>45986</v>
      </c>
      <c r="C357" t="str">
        <f>RAW_GAMES!E357</f>
        <v>MBL</v>
      </c>
      <c r="D357" t="str">
        <f>RAW_GAMES!R357</f>
        <v>Furch</v>
      </c>
      <c r="F357">
        <f>RAW_GAMES!K357</f>
        <v>23</v>
      </c>
      <c r="G357" s="7">
        <f>RAW_GAMES!S357</f>
        <v>23</v>
      </c>
      <c r="H357">
        <f>RAW_GAMES!I357</f>
        <v>0</v>
      </c>
    </row>
    <row r="358" spans="1:8" x14ac:dyDescent="0.25">
      <c r="A358" t="str">
        <f>RAW_GAMES!A358</f>
        <v>25/26</v>
      </c>
      <c r="B358" s="3">
        <f>RAW_GAMES!B358</f>
        <v>45986</v>
      </c>
      <c r="C358" t="str">
        <f>RAW_GAMES!E358</f>
        <v>MHK</v>
      </c>
      <c r="D358" t="str">
        <f>RAW_GAMES!R358</f>
        <v>Škorvánek</v>
      </c>
      <c r="F358">
        <f>RAW_GAMES!K358</f>
        <v>13</v>
      </c>
      <c r="G358" s="7">
        <f>RAW_GAMES!S358</f>
        <v>13</v>
      </c>
      <c r="H358">
        <f>RAW_GAMES!I358</f>
        <v>1</v>
      </c>
    </row>
    <row r="359" spans="1:8" x14ac:dyDescent="0.25">
      <c r="A359" t="str">
        <f>RAW_GAMES!A359</f>
        <v>25/26</v>
      </c>
      <c r="B359" s="3">
        <f>RAW_GAMES!B359</f>
        <v>45986</v>
      </c>
      <c r="C359" t="str">
        <f>RAW_GAMES!E359</f>
        <v>OLO</v>
      </c>
      <c r="D359" t="str">
        <f>RAW_GAMES!R359</f>
        <v>Machovský</v>
      </c>
      <c r="F359">
        <f>RAW_GAMES!K359</f>
        <v>34</v>
      </c>
      <c r="G359" s="7">
        <f>RAW_GAMES!S359</f>
        <v>33</v>
      </c>
      <c r="H359">
        <f>RAW_GAMES!I359</f>
        <v>1</v>
      </c>
    </row>
    <row r="360" spans="1:8" x14ac:dyDescent="0.25">
      <c r="A360" t="str">
        <f>RAW_GAMES!A360</f>
        <v>25/26</v>
      </c>
      <c r="B360" s="3">
        <f>RAW_GAMES!B360</f>
        <v>45987</v>
      </c>
      <c r="C360" t="str">
        <f>RAW_GAMES!E360</f>
        <v>PLZ</v>
      </c>
      <c r="D360" t="str">
        <f>RAW_GAMES!R360</f>
        <v>Růžička</v>
      </c>
      <c r="F360">
        <f>RAW_GAMES!K360</f>
        <v>26</v>
      </c>
      <c r="G360" s="7">
        <f>RAW_GAMES!S360</f>
        <v>25</v>
      </c>
      <c r="H360">
        <f>RAW_GAMES!I360</f>
        <v>0</v>
      </c>
    </row>
    <row r="361" spans="1:8" x14ac:dyDescent="0.25">
      <c r="A361" t="str">
        <f>RAW_GAMES!A361</f>
        <v>25/26</v>
      </c>
      <c r="B361" s="3">
        <f>RAW_GAMES!B361</f>
        <v>45987</v>
      </c>
      <c r="C361" t="str">
        <f>RAW_GAMES!E361</f>
        <v>VIT</v>
      </c>
      <c r="D361" t="str">
        <f>RAW_GAMES!R361</f>
        <v>Hrachovina</v>
      </c>
      <c r="F361">
        <f>RAW_GAMES!K361</f>
        <v>32</v>
      </c>
      <c r="G361" s="7">
        <f>RAW_GAMES!S361</f>
        <v>29</v>
      </c>
      <c r="H361">
        <f>RAW_GAMES!I361</f>
        <v>7</v>
      </c>
    </row>
    <row r="362" spans="1:8" x14ac:dyDescent="0.25">
      <c r="A362" t="str">
        <f>RAW_GAMES!A362</f>
        <v>25/26</v>
      </c>
      <c r="B362" s="3">
        <f>RAW_GAMES!B362</f>
        <v>45989</v>
      </c>
      <c r="C362" t="str">
        <f>RAW_GAMES!E362</f>
        <v>PCE</v>
      </c>
      <c r="D362" t="str">
        <f>RAW_GAMES!R362</f>
        <v>Will</v>
      </c>
      <c r="F362">
        <f>RAW_GAMES!K362</f>
        <v>21</v>
      </c>
      <c r="G362" s="7">
        <f>RAW_GAMES!S362</f>
        <v>20</v>
      </c>
      <c r="H362">
        <f>RAW_GAMES!I362</f>
        <v>1</v>
      </c>
    </row>
    <row r="363" spans="1:8" x14ac:dyDescent="0.25">
      <c r="A363" t="str">
        <f>RAW_GAMES!A363</f>
        <v>25/26</v>
      </c>
      <c r="B363" s="3">
        <f>RAW_GAMES!B363</f>
        <v>45989</v>
      </c>
      <c r="C363" t="str">
        <f>RAW_GAMES!E363</f>
        <v>TRI</v>
      </c>
      <c r="D363" t="str">
        <f>RAW_GAMES!R363</f>
        <v>Kacetl</v>
      </c>
      <c r="F363">
        <f>RAW_GAMES!K363</f>
        <v>34</v>
      </c>
      <c r="G363" s="7">
        <f>RAW_GAMES!S363</f>
        <v>32</v>
      </c>
      <c r="H363">
        <f>RAW_GAMES!I363</f>
        <v>2</v>
      </c>
    </row>
    <row r="364" spans="1:8" x14ac:dyDescent="0.25">
      <c r="A364" t="str">
        <f>RAW_GAMES!A364</f>
        <v>25/26</v>
      </c>
      <c r="B364" s="3">
        <f>RAW_GAMES!B364</f>
        <v>45989</v>
      </c>
      <c r="C364" t="str">
        <f>RAW_GAMES!E364</f>
        <v>SPA</v>
      </c>
      <c r="D364" t="str">
        <f>RAW_GAMES!R364</f>
        <v>Kořenář</v>
      </c>
      <c r="F364">
        <f>RAW_GAMES!K364</f>
        <v>28</v>
      </c>
      <c r="G364" s="7">
        <f>RAW_GAMES!S364</f>
        <v>25</v>
      </c>
      <c r="H364">
        <f>RAW_GAMES!I364</f>
        <v>3</v>
      </c>
    </row>
    <row r="365" spans="1:8" x14ac:dyDescent="0.25">
      <c r="A365" t="str">
        <f>RAW_GAMES!A365</f>
        <v>25/26</v>
      </c>
      <c r="B365" s="3">
        <f>RAW_GAMES!B365</f>
        <v>45989</v>
      </c>
      <c r="C365" t="str">
        <f>RAW_GAMES!E365</f>
        <v>KOM</v>
      </c>
      <c r="D365" t="str">
        <f>RAW_GAMES!R365</f>
        <v>Stezka</v>
      </c>
      <c r="F365">
        <f>RAW_GAMES!K365</f>
        <v>28</v>
      </c>
      <c r="G365" s="7">
        <f>RAW_GAMES!S365</f>
        <v>22</v>
      </c>
      <c r="H365">
        <f>RAW_GAMES!I365</f>
        <v>6</v>
      </c>
    </row>
    <row r="366" spans="1:8" x14ac:dyDescent="0.25">
      <c r="A366" t="str">
        <f>RAW_GAMES!A366</f>
        <v>25/26</v>
      </c>
      <c r="B366" s="3">
        <f>RAW_GAMES!B366</f>
        <v>45989</v>
      </c>
      <c r="C366" t="str">
        <f>RAW_GAMES!E366</f>
        <v>CEB</v>
      </c>
      <c r="D366" t="str">
        <f>RAW_GAMES!R366</f>
        <v>Westerholm</v>
      </c>
      <c r="F366">
        <f>RAW_GAMES!K366</f>
        <v>34</v>
      </c>
      <c r="G366" s="7">
        <f>RAW_GAMES!S366</f>
        <v>33</v>
      </c>
      <c r="H366">
        <f>RAW_GAMES!I366</f>
        <v>1</v>
      </c>
    </row>
    <row r="367" spans="1:8" x14ac:dyDescent="0.25">
      <c r="A367" t="str">
        <f>RAW_GAMES!A367</f>
        <v>25/26</v>
      </c>
      <c r="B367" s="3">
        <f>RAW_GAMES!B367</f>
        <v>45989</v>
      </c>
      <c r="C367" t="str">
        <f>RAW_GAMES!E367</f>
        <v>KLA</v>
      </c>
      <c r="D367" t="str">
        <f>RAW_GAMES!R367</f>
        <v>Brízgala</v>
      </c>
      <c r="F367">
        <f>RAW_GAMES!K367</f>
        <v>38</v>
      </c>
      <c r="G367" s="7">
        <f>RAW_GAMES!S367</f>
        <v>38</v>
      </c>
      <c r="H367">
        <f>RAW_GAMES!I367</f>
        <v>0</v>
      </c>
    </row>
    <row r="368" spans="1:8" x14ac:dyDescent="0.25">
      <c r="A368" t="str">
        <f>RAW_GAMES!A368</f>
        <v>25/26</v>
      </c>
      <c r="B368" s="3">
        <f>RAW_GAMES!B368</f>
        <v>45989</v>
      </c>
      <c r="C368" t="str">
        <f>RAW_GAMES!E368</f>
        <v>KVA</v>
      </c>
      <c r="D368" t="str">
        <f>RAW_GAMES!R368</f>
        <v>Frodl</v>
      </c>
      <c r="F368">
        <f>RAW_GAMES!K368</f>
        <v>27</v>
      </c>
      <c r="G368" s="7">
        <f>RAW_GAMES!S368</f>
        <v>25</v>
      </c>
      <c r="H368">
        <f>RAW_GAMES!I368</f>
        <v>1</v>
      </c>
    </row>
    <row r="369" spans="1:8" x14ac:dyDescent="0.25">
      <c r="A369" t="str">
        <f>RAW_GAMES!A369</f>
        <v>25/26</v>
      </c>
      <c r="B369" s="3">
        <f>RAW_GAMES!B369</f>
        <v>45989</v>
      </c>
      <c r="C369" t="str">
        <f>RAW_GAMES!E369</f>
        <v>LIB</v>
      </c>
      <c r="D369" t="str">
        <f>RAW_GAMES!R369</f>
        <v>Lukeš</v>
      </c>
      <c r="F369">
        <f>RAW_GAMES!K369</f>
        <v>24</v>
      </c>
      <c r="G369" s="7">
        <f>RAW_GAMES!S369</f>
        <v>22</v>
      </c>
      <c r="H369">
        <f>RAW_GAMES!I369</f>
        <v>2</v>
      </c>
    </row>
    <row r="370" spans="1:8" x14ac:dyDescent="0.25">
      <c r="A370" t="str">
        <f>RAW_GAMES!A370</f>
        <v>25/26</v>
      </c>
      <c r="B370" s="3">
        <f>RAW_GAMES!B370</f>
        <v>45989</v>
      </c>
      <c r="C370" t="str">
        <f>RAW_GAMES!E370</f>
        <v>LIT</v>
      </c>
      <c r="D370" t="str">
        <f>RAW_GAMES!R370</f>
        <v>Tomek</v>
      </c>
      <c r="F370">
        <f>RAW_GAMES!K370</f>
        <v>31</v>
      </c>
      <c r="G370" s="7">
        <f>RAW_GAMES!S370</f>
        <v>29</v>
      </c>
      <c r="H370">
        <f>RAW_GAMES!I370</f>
        <v>2</v>
      </c>
    </row>
    <row r="371" spans="1:8" x14ac:dyDescent="0.25">
      <c r="A371" t="str">
        <f>RAW_GAMES!A371</f>
        <v>25/26</v>
      </c>
      <c r="B371" s="3">
        <f>RAW_GAMES!B371</f>
        <v>45989</v>
      </c>
      <c r="C371" t="str">
        <f>RAW_GAMES!E371</f>
        <v>MBL</v>
      </c>
      <c r="D371" t="str">
        <f>RAW_GAMES!R371</f>
        <v>Furch</v>
      </c>
      <c r="F371">
        <f>RAW_GAMES!K371</f>
        <v>22</v>
      </c>
      <c r="G371" s="7">
        <f>RAW_GAMES!S371</f>
        <v>17</v>
      </c>
      <c r="H371">
        <f>RAW_GAMES!I371</f>
        <v>5</v>
      </c>
    </row>
    <row r="372" spans="1:8" x14ac:dyDescent="0.25">
      <c r="A372" t="str">
        <f>RAW_GAMES!A372</f>
        <v>25/26</v>
      </c>
      <c r="B372" s="3">
        <f>RAW_GAMES!B372</f>
        <v>45989</v>
      </c>
      <c r="C372" t="str">
        <f>RAW_GAMES!E372</f>
        <v>MHK</v>
      </c>
      <c r="D372" t="str">
        <f>RAW_GAMES!R372</f>
        <v>Škorvánek</v>
      </c>
      <c r="F372">
        <f>RAW_GAMES!K372</f>
        <v>33</v>
      </c>
      <c r="G372" s="7">
        <f>RAW_GAMES!S372</f>
        <v>30</v>
      </c>
      <c r="H372">
        <f>RAW_GAMES!I372</f>
        <v>3</v>
      </c>
    </row>
    <row r="373" spans="1:8" x14ac:dyDescent="0.25">
      <c r="A373" t="str">
        <f>RAW_GAMES!A373</f>
        <v>25/26</v>
      </c>
      <c r="B373" s="3">
        <f>RAW_GAMES!B373</f>
        <v>45989</v>
      </c>
      <c r="C373" t="str">
        <f>RAW_GAMES!E373</f>
        <v>OLO</v>
      </c>
      <c r="D373" t="str">
        <f>RAW_GAMES!R373</f>
        <v>Machovský</v>
      </c>
      <c r="F373">
        <f>RAW_GAMES!K373</f>
        <v>33</v>
      </c>
      <c r="G373" s="7">
        <f>RAW_GAMES!S373</f>
        <v>28</v>
      </c>
      <c r="H373">
        <f>RAW_GAMES!I373</f>
        <v>5</v>
      </c>
    </row>
    <row r="374" spans="1:8" x14ac:dyDescent="0.25">
      <c r="A374" t="str">
        <f>RAW_GAMES!A374</f>
        <v>25/26</v>
      </c>
      <c r="B374" s="3">
        <f>RAW_GAMES!B374</f>
        <v>45989</v>
      </c>
      <c r="C374" t="str">
        <f>RAW_GAMES!E374</f>
        <v>PLZ</v>
      </c>
      <c r="D374" t="str">
        <f>RAW_GAMES!R374</f>
        <v>Malík</v>
      </c>
      <c r="F374">
        <f>RAW_GAMES!K374</f>
        <v>19</v>
      </c>
      <c r="G374" s="7">
        <f>RAW_GAMES!S374</f>
        <v>18</v>
      </c>
      <c r="H374">
        <f>RAW_GAMES!I374</f>
        <v>1</v>
      </c>
    </row>
    <row r="375" spans="1:8" x14ac:dyDescent="0.25">
      <c r="A375" t="str">
        <f>RAW_GAMES!A375</f>
        <v>25/26</v>
      </c>
      <c r="B375" s="3">
        <f>RAW_GAMES!B375</f>
        <v>45989</v>
      </c>
      <c r="C375" t="str">
        <f>RAW_GAMES!E375</f>
        <v>VIT</v>
      </c>
      <c r="D375" t="str">
        <f>RAW_GAMES!R375</f>
        <v>Hrachovina</v>
      </c>
      <c r="F375">
        <f>RAW_GAMES!K375</f>
        <v>29</v>
      </c>
      <c r="G375" s="7">
        <f>RAW_GAMES!S375</f>
        <v>25</v>
      </c>
      <c r="H375">
        <f>RAW_GAMES!I375</f>
        <v>4</v>
      </c>
    </row>
    <row r="376" spans="1:8" x14ac:dyDescent="0.25">
      <c r="A376" t="str">
        <f>RAW_GAMES!A376</f>
        <v>25/26</v>
      </c>
      <c r="B376" s="3">
        <f>RAW_GAMES!B376</f>
        <v>45991</v>
      </c>
      <c r="C376" t="str">
        <f>RAW_GAMES!E376</f>
        <v>PCE</v>
      </c>
      <c r="D376" t="str">
        <f>RAW_GAMES!R376</f>
        <v>Subban</v>
      </c>
      <c r="F376">
        <f>RAW_GAMES!K376</f>
        <v>20</v>
      </c>
      <c r="G376" s="7">
        <f>RAW_GAMES!S376</f>
        <v>16</v>
      </c>
      <c r="H376">
        <f>RAW_GAMES!I376</f>
        <v>4</v>
      </c>
    </row>
    <row r="377" spans="1:8" x14ac:dyDescent="0.25">
      <c r="A377" t="str">
        <f>RAW_GAMES!A377</f>
        <v>25/26</v>
      </c>
      <c r="B377" s="3">
        <f>RAW_GAMES!B377</f>
        <v>45991</v>
      </c>
      <c r="C377" t="str">
        <f>RAW_GAMES!E377</f>
        <v>TRI</v>
      </c>
      <c r="D377" t="str">
        <f>RAW_GAMES!R377</f>
        <v>Kacetl</v>
      </c>
      <c r="F377">
        <f>RAW_GAMES!K377</f>
        <v>28</v>
      </c>
      <c r="G377" s="7">
        <f>RAW_GAMES!S377</f>
        <v>26</v>
      </c>
      <c r="H377">
        <f>RAW_GAMES!I377</f>
        <v>2</v>
      </c>
    </row>
    <row r="378" spans="1:8" x14ac:dyDescent="0.25">
      <c r="A378" t="str">
        <f>RAW_GAMES!A378</f>
        <v>25/26</v>
      </c>
      <c r="B378" s="3">
        <f>RAW_GAMES!B378</f>
        <v>45991</v>
      </c>
      <c r="C378" t="str">
        <f>RAW_GAMES!E378</f>
        <v>SPA</v>
      </c>
      <c r="D378" t="str">
        <f>RAW_GAMES!R378</f>
        <v>Kovář</v>
      </c>
      <c r="F378">
        <f>RAW_GAMES!K378</f>
        <v>35</v>
      </c>
      <c r="G378" s="7">
        <f>RAW_GAMES!S378</f>
        <v>34</v>
      </c>
      <c r="H378">
        <f>RAW_GAMES!I378</f>
        <v>1</v>
      </c>
    </row>
    <row r="379" spans="1:8" x14ac:dyDescent="0.25">
      <c r="A379" t="str">
        <f>RAW_GAMES!A379</f>
        <v>25/26</v>
      </c>
      <c r="B379" s="3">
        <f>RAW_GAMES!B379</f>
        <v>45991</v>
      </c>
      <c r="C379" t="str">
        <f>RAW_GAMES!E379</f>
        <v>KOM</v>
      </c>
      <c r="D379" t="str">
        <f>RAW_GAMES!R379</f>
        <v>Krošelj</v>
      </c>
      <c r="F379">
        <f>RAW_GAMES!K379</f>
        <v>35</v>
      </c>
      <c r="G379" s="7">
        <f>RAW_GAMES!S379</f>
        <v>32</v>
      </c>
      <c r="H379">
        <f>RAW_GAMES!I379</f>
        <v>3</v>
      </c>
    </row>
    <row r="380" spans="1:8" x14ac:dyDescent="0.25">
      <c r="A380" t="str">
        <f>RAW_GAMES!A380</f>
        <v>25/26</v>
      </c>
      <c r="B380" s="3">
        <f>RAW_GAMES!B380</f>
        <v>45991</v>
      </c>
      <c r="C380" t="str">
        <f>RAW_GAMES!E380</f>
        <v>CEB</v>
      </c>
      <c r="D380" t="str">
        <f>RAW_GAMES!R380</f>
        <v>Westerholm</v>
      </c>
      <c r="F380">
        <f>RAW_GAMES!K380</f>
        <v>30</v>
      </c>
      <c r="G380" s="7">
        <f>RAW_GAMES!S380</f>
        <v>26</v>
      </c>
      <c r="H380">
        <f>RAW_GAMES!I380</f>
        <v>4</v>
      </c>
    </row>
    <row r="381" spans="1:8" x14ac:dyDescent="0.25">
      <c r="A381" t="str">
        <f>RAW_GAMES!A381</f>
        <v>25/26</v>
      </c>
      <c r="B381" s="3">
        <f>RAW_GAMES!B381</f>
        <v>45991</v>
      </c>
      <c r="C381" t="str">
        <f>RAW_GAMES!E381</f>
        <v>KLA</v>
      </c>
      <c r="D381" t="str">
        <f>RAW_GAMES!R381</f>
        <v>Brízgala</v>
      </c>
      <c r="F381">
        <f>RAW_GAMES!K381</f>
        <v>39</v>
      </c>
      <c r="G381" s="7">
        <f>RAW_GAMES!S381</f>
        <v>39</v>
      </c>
      <c r="H381">
        <f>RAW_GAMES!I381</f>
        <v>0</v>
      </c>
    </row>
    <row r="382" spans="1:8" x14ac:dyDescent="0.25">
      <c r="A382" t="str">
        <f>RAW_GAMES!A382</f>
        <v>25/26</v>
      </c>
      <c r="B382" s="3">
        <f>RAW_GAMES!B382</f>
        <v>45991</v>
      </c>
      <c r="C382" t="str">
        <f>RAW_GAMES!E382</f>
        <v>KVA</v>
      </c>
      <c r="D382" t="str">
        <f>RAW_GAMES!R382</f>
        <v>Frodl</v>
      </c>
      <c r="F382">
        <f>RAW_GAMES!K382</f>
        <v>25</v>
      </c>
      <c r="G382" s="7">
        <f>RAW_GAMES!S382</f>
        <v>24</v>
      </c>
      <c r="H382">
        <f>RAW_GAMES!I382</f>
        <v>1</v>
      </c>
    </row>
    <row r="383" spans="1:8" x14ac:dyDescent="0.25">
      <c r="A383" t="str">
        <f>RAW_GAMES!A383</f>
        <v>25/26</v>
      </c>
      <c r="B383" s="3">
        <f>RAW_GAMES!B383</f>
        <v>45991</v>
      </c>
      <c r="C383" t="str">
        <f>RAW_GAMES!E383</f>
        <v>LIB</v>
      </c>
      <c r="D383" t="str">
        <f>RAW_GAMES!R383</f>
        <v>Kváča</v>
      </c>
      <c r="F383">
        <f>RAW_GAMES!K383</f>
        <v>40</v>
      </c>
      <c r="G383" s="7">
        <f>RAW_GAMES!S383</f>
        <v>38</v>
      </c>
      <c r="H383">
        <f>RAW_GAMES!I383</f>
        <v>2</v>
      </c>
    </row>
    <row r="384" spans="1:8" x14ac:dyDescent="0.25">
      <c r="A384" t="str">
        <f>RAW_GAMES!A384</f>
        <v>25/26</v>
      </c>
      <c r="B384" s="3">
        <f>RAW_GAMES!B384</f>
        <v>45991</v>
      </c>
      <c r="C384" t="str">
        <f>RAW_GAMES!E384</f>
        <v>LIT</v>
      </c>
      <c r="D384" t="str">
        <f>RAW_GAMES!R384</f>
        <v>Tomek</v>
      </c>
      <c r="F384">
        <f>RAW_GAMES!K384</f>
        <v>27</v>
      </c>
      <c r="G384" s="7">
        <f>RAW_GAMES!S384</f>
        <v>25</v>
      </c>
      <c r="H384">
        <f>RAW_GAMES!I384</f>
        <v>2</v>
      </c>
    </row>
    <row r="385" spans="1:8" x14ac:dyDescent="0.25">
      <c r="A385" t="str">
        <f>RAW_GAMES!A385</f>
        <v>25/26</v>
      </c>
      <c r="B385" s="3">
        <f>RAW_GAMES!B385</f>
        <v>45991</v>
      </c>
      <c r="C385" t="str">
        <f>RAW_GAMES!E385</f>
        <v>MBL</v>
      </c>
      <c r="D385" t="str">
        <f>RAW_GAMES!R385</f>
        <v>Mokry</v>
      </c>
      <c r="F385">
        <f>RAW_GAMES!K385</f>
        <v>44</v>
      </c>
      <c r="G385" s="7">
        <f>RAW_GAMES!S385</f>
        <v>40</v>
      </c>
      <c r="H385">
        <f>RAW_GAMES!I385</f>
        <v>4</v>
      </c>
    </row>
    <row r="386" spans="1:8" x14ac:dyDescent="0.25">
      <c r="A386" t="str">
        <f>RAW_GAMES!A386</f>
        <v>25/26</v>
      </c>
      <c r="B386" s="3">
        <f>RAW_GAMES!B386</f>
        <v>45991</v>
      </c>
      <c r="C386" t="str">
        <f>RAW_GAMES!E386</f>
        <v>MHK</v>
      </c>
      <c r="D386" t="str">
        <f>RAW_GAMES!R386</f>
        <v>Novotný</v>
      </c>
      <c r="F386">
        <f>RAW_GAMES!K386</f>
        <v>17</v>
      </c>
      <c r="G386" s="7">
        <f>RAW_GAMES!S386</f>
        <v>15</v>
      </c>
      <c r="H386">
        <f>RAW_GAMES!I386</f>
        <v>2</v>
      </c>
    </row>
    <row r="387" spans="1:8" x14ac:dyDescent="0.25">
      <c r="A387" t="str">
        <f>RAW_GAMES!A387</f>
        <v>25/26</v>
      </c>
      <c r="B387" s="3">
        <f>RAW_GAMES!B387</f>
        <v>45991</v>
      </c>
      <c r="C387" t="str">
        <f>RAW_GAMES!E387</f>
        <v>OLO</v>
      </c>
      <c r="D387" t="str">
        <f>RAW_GAMES!R387</f>
        <v>Machovský</v>
      </c>
      <c r="F387">
        <f>RAW_GAMES!K387</f>
        <v>23</v>
      </c>
      <c r="G387" s="7">
        <f>RAW_GAMES!S387</f>
        <v>22</v>
      </c>
      <c r="H387">
        <f>RAW_GAMES!I387</f>
        <v>0</v>
      </c>
    </row>
    <row r="388" spans="1:8" x14ac:dyDescent="0.25">
      <c r="A388" t="str">
        <f>RAW_GAMES!A388</f>
        <v>25/26</v>
      </c>
      <c r="B388" s="3">
        <f>RAW_GAMES!B388</f>
        <v>45991</v>
      </c>
      <c r="C388" t="str">
        <f>RAW_GAMES!E388</f>
        <v>PLZ</v>
      </c>
      <c r="D388" t="str">
        <f>RAW_GAMES!R388</f>
        <v>Malík</v>
      </c>
      <c r="F388">
        <f>RAW_GAMES!K388</f>
        <v>25</v>
      </c>
      <c r="G388" s="7">
        <f>RAW_GAMES!S388</f>
        <v>24</v>
      </c>
      <c r="H388">
        <f>RAW_GAMES!I388</f>
        <v>1</v>
      </c>
    </row>
    <row r="389" spans="1:8" x14ac:dyDescent="0.25">
      <c r="A389" t="str">
        <f>RAW_GAMES!A389</f>
        <v>25/26</v>
      </c>
      <c r="B389" s="3">
        <f>RAW_GAMES!B389</f>
        <v>45991</v>
      </c>
      <c r="C389" t="str">
        <f>RAW_GAMES!E389</f>
        <v>VIT</v>
      </c>
      <c r="D389" t="str">
        <f>RAW_GAMES!R389</f>
        <v>Hrachovina</v>
      </c>
      <c r="F389">
        <f>RAW_GAMES!K389</f>
        <v>22</v>
      </c>
      <c r="G389" s="7">
        <f>RAW_GAMES!S389</f>
        <v>19</v>
      </c>
      <c r="H389">
        <f>RAW_GAMES!I389</f>
        <v>3</v>
      </c>
    </row>
    <row r="390" spans="1:8" x14ac:dyDescent="0.25">
      <c r="A390" t="str">
        <f>RAW_GAMES!A390</f>
        <v>25/26</v>
      </c>
      <c r="B390" s="3">
        <f>RAW_GAMES!B390</f>
        <v>45994</v>
      </c>
      <c r="C390" t="str">
        <f>RAW_GAMES!E390</f>
        <v>TRI</v>
      </c>
      <c r="D390" t="str">
        <f>RAW_GAMES!R390</f>
        <v>Kacetl</v>
      </c>
      <c r="F390">
        <f>RAW_GAMES!K390</f>
        <v>23</v>
      </c>
      <c r="G390" s="7">
        <f>RAW_GAMES!S390</f>
        <v>22</v>
      </c>
      <c r="H390">
        <f>RAW_GAMES!I390</f>
        <v>1</v>
      </c>
    </row>
    <row r="391" spans="1:8" x14ac:dyDescent="0.25">
      <c r="A391" t="str">
        <f>RAW_GAMES!A391</f>
        <v>25/26</v>
      </c>
      <c r="B391" s="3">
        <f>RAW_GAMES!B391</f>
        <v>45994</v>
      </c>
      <c r="C391" t="str">
        <f>RAW_GAMES!E391</f>
        <v>MHK</v>
      </c>
      <c r="D391" t="str">
        <f>RAW_GAMES!R391</f>
        <v>Novotný</v>
      </c>
      <c r="F391">
        <f>RAW_GAMES!K391</f>
        <v>37</v>
      </c>
      <c r="G391" s="7">
        <f>RAW_GAMES!S391</f>
        <v>31</v>
      </c>
      <c r="H391">
        <f>RAW_GAMES!I391</f>
        <v>6</v>
      </c>
    </row>
    <row r="392" spans="1:8" x14ac:dyDescent="0.25">
      <c r="A392" t="str">
        <f>RAW_GAMES!A392</f>
        <v>25/26</v>
      </c>
      <c r="B392" s="3">
        <f>RAW_GAMES!B392</f>
        <v>45994</v>
      </c>
      <c r="C392" t="str">
        <f>RAW_GAMES!E392</f>
        <v>OLO</v>
      </c>
      <c r="D392" t="str">
        <f>RAW_GAMES!R392</f>
        <v>Machovský</v>
      </c>
      <c r="F392">
        <f>RAW_GAMES!K392</f>
        <v>41</v>
      </c>
      <c r="G392" s="7">
        <f>RAW_GAMES!S392</f>
        <v>40</v>
      </c>
      <c r="H392">
        <f>RAW_GAMES!I392</f>
        <v>1</v>
      </c>
    </row>
    <row r="393" spans="1:8" x14ac:dyDescent="0.25">
      <c r="A393" t="str">
        <f>RAW_GAMES!A393</f>
        <v>25/26</v>
      </c>
      <c r="B393" s="3">
        <f>RAW_GAMES!B393</f>
        <v>45994</v>
      </c>
      <c r="C393" t="str">
        <f>RAW_GAMES!E393</f>
        <v>VIT</v>
      </c>
      <c r="D393" t="str">
        <f>RAW_GAMES!R393</f>
        <v>Klimeš</v>
      </c>
      <c r="F393">
        <f>RAW_GAMES!K393</f>
        <v>23</v>
      </c>
      <c r="G393" s="7">
        <f>RAW_GAMES!S393</f>
        <v>18</v>
      </c>
      <c r="H393">
        <f>RAW_GAMES!I393</f>
        <v>5</v>
      </c>
    </row>
    <row r="394" spans="1:8" x14ac:dyDescent="0.25">
      <c r="A394" t="str">
        <f>RAW_GAMES!A394</f>
        <v>25/26</v>
      </c>
      <c r="B394" s="3">
        <f>RAW_GAMES!B394</f>
        <v>45996</v>
      </c>
      <c r="C394" t="str">
        <f>RAW_GAMES!E394</f>
        <v>PCE</v>
      </c>
      <c r="D394" t="str">
        <f>RAW_GAMES!R394</f>
        <v>Will</v>
      </c>
      <c r="F394">
        <f>RAW_GAMES!K394</f>
        <v>17</v>
      </c>
      <c r="G394" s="7">
        <f>RAW_GAMES!S394</f>
        <v>15</v>
      </c>
      <c r="H394">
        <f>RAW_GAMES!I394</f>
        <v>2</v>
      </c>
    </row>
    <row r="395" spans="1:8" x14ac:dyDescent="0.25">
      <c r="A395" t="str">
        <f>RAW_GAMES!A395</f>
        <v>25/26</v>
      </c>
      <c r="B395" s="3">
        <f>RAW_GAMES!B395</f>
        <v>45996</v>
      </c>
      <c r="C395" t="str">
        <f>RAW_GAMES!E395</f>
        <v>TRI</v>
      </c>
      <c r="D395" t="str">
        <f>RAW_GAMES!R395</f>
        <v>Kacetl</v>
      </c>
      <c r="F395">
        <f>RAW_GAMES!K395</f>
        <v>34</v>
      </c>
      <c r="G395" s="7">
        <f>RAW_GAMES!S395</f>
        <v>29</v>
      </c>
      <c r="H395">
        <f>RAW_GAMES!I395</f>
        <v>5</v>
      </c>
    </row>
    <row r="396" spans="1:8" x14ac:dyDescent="0.25">
      <c r="A396" t="str">
        <f>RAW_GAMES!A396</f>
        <v>25/26</v>
      </c>
      <c r="B396" s="3">
        <f>RAW_GAMES!B396</f>
        <v>45996</v>
      </c>
      <c r="C396" t="str">
        <f>RAW_GAMES!E396</f>
        <v>SPA</v>
      </c>
      <c r="D396" t="str">
        <f>RAW_GAMES!R396</f>
        <v>Kovář</v>
      </c>
      <c r="F396">
        <f>RAW_GAMES!K396</f>
        <v>29</v>
      </c>
      <c r="G396" s="7">
        <f>RAW_GAMES!S396</f>
        <v>26</v>
      </c>
      <c r="H396">
        <f>RAW_GAMES!I396</f>
        <v>3</v>
      </c>
    </row>
    <row r="397" spans="1:8" x14ac:dyDescent="0.25">
      <c r="A397" t="str">
        <f>RAW_GAMES!A397</f>
        <v>25/26</v>
      </c>
      <c r="B397" s="3">
        <f>RAW_GAMES!B397</f>
        <v>45996</v>
      </c>
      <c r="C397" t="str">
        <f>RAW_GAMES!E397</f>
        <v>KOM</v>
      </c>
      <c r="D397" t="str">
        <f>RAW_GAMES!R397</f>
        <v>Stezka</v>
      </c>
      <c r="F397">
        <f>RAW_GAMES!K397</f>
        <v>27</v>
      </c>
      <c r="G397" s="7">
        <f>RAW_GAMES!S397</f>
        <v>26</v>
      </c>
      <c r="H397">
        <f>RAW_GAMES!I397</f>
        <v>1</v>
      </c>
    </row>
    <row r="398" spans="1:8" x14ac:dyDescent="0.25">
      <c r="A398" t="str">
        <f>RAW_GAMES!A398</f>
        <v>25/26</v>
      </c>
      <c r="B398" s="3">
        <f>RAW_GAMES!B398</f>
        <v>45996</v>
      </c>
      <c r="C398" t="str">
        <f>RAW_GAMES!E398</f>
        <v>CEB</v>
      </c>
      <c r="D398" t="str">
        <f>RAW_GAMES!R398</f>
        <v>Westerholm</v>
      </c>
      <c r="F398">
        <f>RAW_GAMES!K398</f>
        <v>22</v>
      </c>
      <c r="G398" s="7">
        <f>RAW_GAMES!S398</f>
        <v>32</v>
      </c>
      <c r="H398">
        <f>RAW_GAMES!I398</f>
        <v>2</v>
      </c>
    </row>
    <row r="399" spans="1:8" x14ac:dyDescent="0.25">
      <c r="A399" t="str">
        <f>RAW_GAMES!A399</f>
        <v>25/26</v>
      </c>
      <c r="B399" s="3">
        <f>RAW_GAMES!B399</f>
        <v>45996</v>
      </c>
      <c r="C399" t="str">
        <f>RAW_GAMES!E399</f>
        <v>KLA</v>
      </c>
      <c r="D399" t="str">
        <f>RAW_GAMES!R399</f>
        <v>Brízgala</v>
      </c>
      <c r="F399">
        <f>RAW_GAMES!K399</f>
        <v>22</v>
      </c>
      <c r="G399" s="7">
        <f>RAW_GAMES!S399</f>
        <v>19</v>
      </c>
      <c r="H399">
        <f>RAW_GAMES!I399</f>
        <v>3</v>
      </c>
    </row>
    <row r="400" spans="1:8" x14ac:dyDescent="0.25">
      <c r="A400" t="str">
        <f>RAW_GAMES!A400</f>
        <v>25/26</v>
      </c>
      <c r="B400" s="3">
        <f>RAW_GAMES!B400</f>
        <v>45996</v>
      </c>
      <c r="C400" t="str">
        <f>RAW_GAMES!E400</f>
        <v>KVA</v>
      </c>
      <c r="D400" t="str">
        <f>RAW_GAMES!R400</f>
        <v>Frodl</v>
      </c>
      <c r="F400">
        <f>RAW_GAMES!K400</f>
        <v>19</v>
      </c>
      <c r="G400" s="7">
        <f>RAW_GAMES!S400</f>
        <v>17</v>
      </c>
      <c r="H400">
        <f>RAW_GAMES!I400</f>
        <v>2</v>
      </c>
    </row>
    <row r="401" spans="1:8" x14ac:dyDescent="0.25">
      <c r="A401" t="str">
        <f>RAW_GAMES!A401</f>
        <v>25/26</v>
      </c>
      <c r="B401" s="3">
        <f>RAW_GAMES!B401</f>
        <v>45996</v>
      </c>
      <c r="C401" t="str">
        <f>RAW_GAMES!E401</f>
        <v>LIB</v>
      </c>
      <c r="D401" t="str">
        <f>RAW_GAMES!R401</f>
        <v>Kváča</v>
      </c>
      <c r="F401">
        <f>RAW_GAMES!K401</f>
        <v>38</v>
      </c>
      <c r="G401" s="7">
        <f>RAW_GAMES!S401</f>
        <v>35</v>
      </c>
      <c r="H401">
        <f>RAW_GAMES!I401</f>
        <v>3</v>
      </c>
    </row>
    <row r="402" spans="1:8" x14ac:dyDescent="0.25">
      <c r="A402" t="str">
        <f>RAW_GAMES!A402</f>
        <v>25/26</v>
      </c>
      <c r="B402" s="3">
        <f>RAW_GAMES!B402</f>
        <v>45996</v>
      </c>
      <c r="C402" t="str">
        <f>RAW_GAMES!E402</f>
        <v>LIT</v>
      </c>
      <c r="D402" t="str">
        <f>RAW_GAMES!R408</f>
        <v>Will</v>
      </c>
      <c r="F402">
        <f>RAW_GAMES!K408</f>
        <v>29</v>
      </c>
      <c r="G402" s="7">
        <f>RAW_GAMES!S408</f>
        <v>26</v>
      </c>
      <c r="H402">
        <f>RAW_GAMES!I402</f>
        <v>5</v>
      </c>
    </row>
    <row r="403" spans="1:8" x14ac:dyDescent="0.25">
      <c r="A403" t="str">
        <f>RAW_GAMES!A403</f>
        <v>25/26</v>
      </c>
      <c r="B403" s="3">
        <f>RAW_GAMES!B403</f>
        <v>45996</v>
      </c>
      <c r="C403" t="str">
        <f>RAW_GAMES!E403</f>
        <v>MBL</v>
      </c>
      <c r="D403" t="str">
        <f>RAW_GAMES!R403</f>
        <v>Furch</v>
      </c>
      <c r="F403">
        <f>RAW_GAMES!K403</f>
        <v>33</v>
      </c>
      <c r="G403" s="7">
        <f>RAW_GAMES!S403</f>
        <v>28</v>
      </c>
      <c r="H403">
        <f>RAW_GAMES!I403</f>
        <v>5</v>
      </c>
    </row>
    <row r="404" spans="1:8" x14ac:dyDescent="0.25">
      <c r="A404" t="str">
        <f>RAW_GAMES!A404</f>
        <v>25/26</v>
      </c>
      <c r="B404" s="3">
        <f>RAW_GAMES!B404</f>
        <v>45996</v>
      </c>
      <c r="C404" t="str">
        <f>RAW_GAMES!E404</f>
        <v>MHK</v>
      </c>
      <c r="D404" t="str">
        <f>RAW_GAMES!R404</f>
        <v>Soukup</v>
      </c>
      <c r="F404">
        <f>RAW_GAMES!K404</f>
        <v>33</v>
      </c>
      <c r="G404" s="7">
        <f>RAW_GAMES!S404</f>
        <v>31</v>
      </c>
      <c r="H404">
        <f>RAW_GAMES!I404</f>
        <v>2</v>
      </c>
    </row>
    <row r="405" spans="1:8" x14ac:dyDescent="0.25">
      <c r="A405" t="str">
        <f>RAW_GAMES!A405</f>
        <v>25/26</v>
      </c>
      <c r="B405" s="3">
        <f>RAW_GAMES!B405</f>
        <v>45996</v>
      </c>
      <c r="C405" t="str">
        <f>RAW_GAMES!E405</f>
        <v>OLO</v>
      </c>
      <c r="D405" t="str">
        <f>RAW_GAMES!R405</f>
        <v>Cichoň</v>
      </c>
      <c r="F405">
        <f>RAW_GAMES!K405</f>
        <v>26</v>
      </c>
      <c r="G405" s="7">
        <f>RAW_GAMES!S405</f>
        <v>22</v>
      </c>
      <c r="H405">
        <f>RAW_GAMES!I405</f>
        <v>4</v>
      </c>
    </row>
    <row r="406" spans="1:8" x14ac:dyDescent="0.25">
      <c r="A406" t="str">
        <f>RAW_GAMES!A406</f>
        <v>25/26</v>
      </c>
      <c r="B406" s="3">
        <f>RAW_GAMES!B406</f>
        <v>45996</v>
      </c>
      <c r="C406" t="str">
        <f>RAW_GAMES!E406</f>
        <v>PLZ</v>
      </c>
      <c r="D406" t="str">
        <f>RAW_GAMES!R406</f>
        <v>Malík</v>
      </c>
      <c r="F406">
        <f>RAW_GAMES!K406</f>
        <v>35</v>
      </c>
      <c r="G406" s="7">
        <f>RAW_GAMES!S406</f>
        <v>20</v>
      </c>
      <c r="H406">
        <f>RAW_GAMES!I406</f>
        <v>3</v>
      </c>
    </row>
    <row r="407" spans="1:8" x14ac:dyDescent="0.25">
      <c r="A407" t="str">
        <f>RAW_GAMES!A407</f>
        <v>25/26</v>
      </c>
      <c r="B407" s="3">
        <f>RAW_GAMES!B407</f>
        <v>45996</v>
      </c>
      <c r="C407" t="str">
        <f>RAW_GAMES!E407</f>
        <v>VIT</v>
      </c>
      <c r="D407" t="str">
        <f>RAW_GAMES!R407</f>
        <v>Hrachovina</v>
      </c>
      <c r="F407">
        <f>RAW_GAMES!K407</f>
        <v>23</v>
      </c>
      <c r="G407" s="7">
        <f>RAW_GAMES!S407</f>
        <v>21</v>
      </c>
      <c r="H407">
        <f>RAW_GAMES!I407</f>
        <v>2</v>
      </c>
    </row>
    <row r="408" spans="1:8" x14ac:dyDescent="0.25">
      <c r="A408" t="str">
        <f>RAW_GAMES!A408</f>
        <v>25/26</v>
      </c>
      <c r="B408" s="3">
        <f>RAW_GAMES!B408</f>
        <v>45998</v>
      </c>
      <c r="C408" t="str">
        <f>RAW_GAMES!E408</f>
        <v>PCE</v>
      </c>
      <c r="D408" t="str">
        <f>RAW_GAMES!R408</f>
        <v>Will</v>
      </c>
      <c r="F408">
        <f>RAW_GAMES!K408</f>
        <v>29</v>
      </c>
      <c r="G408" s="7">
        <f>RAW_GAMES!S408</f>
        <v>26</v>
      </c>
      <c r="H408">
        <f>RAW_GAMES!I408</f>
        <v>3</v>
      </c>
    </row>
    <row r="409" spans="1:8" x14ac:dyDescent="0.25">
      <c r="A409" t="str">
        <f>RAW_GAMES!A409</f>
        <v>25/26</v>
      </c>
      <c r="B409" s="3">
        <f>RAW_GAMES!B409</f>
        <v>45998</v>
      </c>
      <c r="C409" t="str">
        <f>RAW_GAMES!E409</f>
        <v>TRI</v>
      </c>
      <c r="D409" t="str">
        <f>RAW_GAMES!R409</f>
        <v>Mazanec</v>
      </c>
      <c r="F409">
        <f>RAW_GAMES!K409</f>
        <v>31</v>
      </c>
      <c r="G409" s="7">
        <f>RAW_GAMES!S409</f>
        <v>29</v>
      </c>
      <c r="H409">
        <f>RAW_GAMES!I409</f>
        <v>2</v>
      </c>
    </row>
    <row r="410" spans="1:8" x14ac:dyDescent="0.25">
      <c r="A410" t="str">
        <f>RAW_GAMES!A410</f>
        <v>25/26</v>
      </c>
      <c r="B410" s="3">
        <f>RAW_GAMES!B410</f>
        <v>45998</v>
      </c>
      <c r="C410" t="str">
        <f>RAW_GAMES!E410</f>
        <v>KOM</v>
      </c>
      <c r="D410" t="str">
        <f>RAW_GAMES!R410</f>
        <v>Stezka</v>
      </c>
      <c r="F410">
        <f>RAW_GAMES!K410</f>
        <v>28</v>
      </c>
      <c r="G410" s="7">
        <f>RAW_GAMES!S410</f>
        <v>21</v>
      </c>
      <c r="H410">
        <f>RAW_GAMES!I410</f>
        <v>4</v>
      </c>
    </row>
    <row r="411" spans="1:8" x14ac:dyDescent="0.25">
      <c r="A411" t="str">
        <f>RAW_GAMES!A411</f>
        <v>25/26</v>
      </c>
      <c r="B411" s="3">
        <f>RAW_GAMES!B411</f>
        <v>45998</v>
      </c>
      <c r="C411" t="str">
        <f>RAW_GAMES!E411</f>
        <v>CEB</v>
      </c>
      <c r="D411" t="str">
        <f>RAW_GAMES!R411</f>
        <v>Westerholm</v>
      </c>
      <c r="F411">
        <f>RAW_GAMES!K411</f>
        <v>28</v>
      </c>
      <c r="G411" s="7">
        <f>RAW_GAMES!S411</f>
        <v>22</v>
      </c>
      <c r="H411">
        <f>RAW_GAMES!I411</f>
        <v>6</v>
      </c>
    </row>
    <row r="412" spans="1:8" x14ac:dyDescent="0.25">
      <c r="A412" t="str">
        <f>RAW_GAMES!A412</f>
        <v>25/26</v>
      </c>
      <c r="B412" s="3">
        <f>RAW_GAMES!B412</f>
        <v>45998</v>
      </c>
      <c r="C412" t="str">
        <f>RAW_GAMES!E412</f>
        <v>KLA</v>
      </c>
      <c r="D412" t="str">
        <f>RAW_GAMES!R412</f>
        <v>Dansk</v>
      </c>
      <c r="F412">
        <f>RAW_GAMES!K412</f>
        <v>25</v>
      </c>
      <c r="G412" s="7">
        <f>RAW_GAMES!S412</f>
        <v>21</v>
      </c>
      <c r="H412">
        <f>RAW_GAMES!I412</f>
        <v>4</v>
      </c>
    </row>
    <row r="413" spans="1:8" x14ac:dyDescent="0.25">
      <c r="A413" t="str">
        <f>RAW_GAMES!A413</f>
        <v>25/26</v>
      </c>
      <c r="B413" s="3">
        <f>RAW_GAMES!B413</f>
        <v>45998</v>
      </c>
      <c r="C413" t="str">
        <f>RAW_GAMES!E413</f>
        <v>SPA</v>
      </c>
      <c r="D413" t="str">
        <f>RAW_GAMES!R413</f>
        <v>Kořenář</v>
      </c>
      <c r="F413">
        <f>RAW_GAMES!K413</f>
        <v>16</v>
      </c>
      <c r="G413" s="7">
        <f>RAW_GAMES!S413</f>
        <v>15</v>
      </c>
      <c r="H413">
        <f>RAW_GAMES!I413</f>
        <v>1</v>
      </c>
    </row>
    <row r="414" spans="1:8" x14ac:dyDescent="0.25">
      <c r="A414" t="str">
        <f>RAW_GAMES!A414</f>
        <v>25/26</v>
      </c>
      <c r="B414" s="3">
        <f>RAW_GAMES!B414</f>
        <v>45998</v>
      </c>
      <c r="C414" t="str">
        <f>RAW_GAMES!E414</f>
        <v>KVA</v>
      </c>
      <c r="D414" t="str">
        <f>RAW_GAMES!R414</f>
        <v>Frodl</v>
      </c>
      <c r="F414">
        <f>RAW_GAMES!K414</f>
        <v>30</v>
      </c>
      <c r="G414" s="7">
        <f>RAW_GAMES!S414</f>
        <v>24</v>
      </c>
      <c r="H414">
        <f>RAW_GAMES!I414</f>
        <v>6</v>
      </c>
    </row>
    <row r="415" spans="1:8" x14ac:dyDescent="0.25">
      <c r="A415" t="str">
        <f>RAW_GAMES!A415</f>
        <v>25/26</v>
      </c>
      <c r="B415" s="3">
        <f>RAW_GAMES!B415</f>
        <v>45998</v>
      </c>
      <c r="C415" t="str">
        <f>RAW_GAMES!E415</f>
        <v>LIB</v>
      </c>
      <c r="D415" t="str">
        <f>RAW_GAMES!R415</f>
        <v>Kváča</v>
      </c>
      <c r="F415">
        <f>RAW_GAMES!K415</f>
        <v>29</v>
      </c>
      <c r="G415" s="7">
        <f>RAW_GAMES!S415</f>
        <v>20</v>
      </c>
      <c r="H415">
        <f>RAW_GAMES!I415</f>
        <v>3</v>
      </c>
    </row>
    <row r="416" spans="1:8" x14ac:dyDescent="0.25">
      <c r="A416" t="str">
        <f>RAW_GAMES!A416</f>
        <v>25/26</v>
      </c>
      <c r="B416" s="3">
        <f>RAW_GAMES!B416</f>
        <v>45998</v>
      </c>
      <c r="C416" t="str">
        <f>RAW_GAMES!E416</f>
        <v>LIT</v>
      </c>
      <c r="D416" t="str">
        <f>RAW_GAMES!R416</f>
        <v>Čajan</v>
      </c>
      <c r="F416">
        <f>RAW_GAMES!K416</f>
        <v>31</v>
      </c>
      <c r="G416" s="7">
        <f>RAW_GAMES!S416</f>
        <v>30</v>
      </c>
      <c r="H416">
        <f>RAW_GAMES!I416</f>
        <v>2</v>
      </c>
    </row>
    <row r="417" spans="1:8" x14ac:dyDescent="0.25">
      <c r="A417" t="str">
        <f>RAW_GAMES!A417</f>
        <v>25/26</v>
      </c>
      <c r="B417" s="3">
        <f>RAW_GAMES!B417</f>
        <v>45998</v>
      </c>
      <c r="C417" t="str">
        <f>RAW_GAMES!E417</f>
        <v>MBL</v>
      </c>
      <c r="D417" t="str">
        <f>RAW_GAMES!R417</f>
        <v>Furch</v>
      </c>
      <c r="F417">
        <f>RAW_GAMES!K417</f>
        <v>24</v>
      </c>
      <c r="G417" s="7">
        <f>RAW_GAMES!S417</f>
        <v>20</v>
      </c>
      <c r="H417">
        <f>RAW_GAMES!I417</f>
        <v>5</v>
      </c>
    </row>
    <row r="418" spans="1:8" x14ac:dyDescent="0.25">
      <c r="A418" t="str">
        <f>RAW_GAMES!A418</f>
        <v>25/26</v>
      </c>
      <c r="B418" s="3">
        <f>RAW_GAMES!B418</f>
        <v>45998</v>
      </c>
      <c r="C418" t="str">
        <f>RAW_GAMES!E418</f>
        <v>MHK</v>
      </c>
      <c r="D418" t="str">
        <f>RAW_GAMES!R418</f>
        <v>Soukup</v>
      </c>
      <c r="F418">
        <f>RAW_GAMES!K418</f>
        <v>29</v>
      </c>
      <c r="G418" s="7">
        <f>RAW_GAMES!S418</f>
        <v>25</v>
      </c>
      <c r="H418">
        <f>RAW_GAMES!I418</f>
        <v>4</v>
      </c>
    </row>
    <row r="419" spans="1:8" x14ac:dyDescent="0.25">
      <c r="A419" t="str">
        <f>RAW_GAMES!A419</f>
        <v>25/26</v>
      </c>
      <c r="B419" s="3">
        <f>RAW_GAMES!B419</f>
        <v>45998</v>
      </c>
      <c r="C419" t="str">
        <f>RAW_GAMES!E419</f>
        <v>OLO</v>
      </c>
      <c r="D419" t="str">
        <f>RAW_GAMES!R419</f>
        <v>Machovský</v>
      </c>
      <c r="F419">
        <f>RAW_GAMES!K419</f>
        <v>28</v>
      </c>
      <c r="G419" s="7">
        <f>RAW_GAMES!S419</f>
        <v>29</v>
      </c>
      <c r="H419">
        <f>RAW_GAMES!I419</f>
        <v>1</v>
      </c>
    </row>
    <row r="420" spans="1:8" x14ac:dyDescent="0.25">
      <c r="A420" t="str">
        <f>RAW_GAMES!A420</f>
        <v>25/26</v>
      </c>
      <c r="B420" s="3">
        <f>RAW_GAMES!B420</f>
        <v>45998</v>
      </c>
      <c r="C420" t="str">
        <f>RAW_GAMES!E420</f>
        <v>PLZ</v>
      </c>
      <c r="D420" t="str">
        <f>RAW_GAMES!R420</f>
        <v>Růžička</v>
      </c>
      <c r="F420">
        <f>RAW_GAMES!K420</f>
        <v>32</v>
      </c>
      <c r="G420" s="7">
        <f>RAW_GAMES!S420</f>
        <v>26</v>
      </c>
      <c r="H420">
        <f>RAW_GAMES!I420</f>
        <v>5</v>
      </c>
    </row>
    <row r="421" spans="1:8" x14ac:dyDescent="0.25">
      <c r="A421" t="str">
        <f>RAW_GAMES!A421</f>
        <v>25/26</v>
      </c>
      <c r="B421" s="3">
        <f>RAW_GAMES!B421</f>
        <v>45998</v>
      </c>
      <c r="C421" t="str">
        <f>RAW_GAMES!E421</f>
        <v>VIT</v>
      </c>
      <c r="D421" t="str">
        <f>RAW_GAMES!R421</f>
        <v>Hrachovina</v>
      </c>
      <c r="F421">
        <f>RAW_GAMES!K421</f>
        <v>28</v>
      </c>
      <c r="G421" s="7">
        <f>RAW_GAMES!S421</f>
        <v>23</v>
      </c>
      <c r="H421">
        <f>RAW_GAMES!I421</f>
        <v>3</v>
      </c>
    </row>
    <row r="422" spans="1:8" x14ac:dyDescent="0.25">
      <c r="A422" t="str">
        <f>RAW_GAMES!A422</f>
        <v>25/26</v>
      </c>
      <c r="B422" s="3">
        <f>RAW_GAMES!B422</f>
        <v>46008</v>
      </c>
      <c r="C422" t="str">
        <f>RAW_GAMES!E422</f>
        <v>PCE</v>
      </c>
      <c r="D422" t="str">
        <f>RAW_GAMES!R422</f>
        <v>Subban</v>
      </c>
      <c r="F422">
        <f>RAW_GAMES!K422</f>
        <v>29</v>
      </c>
      <c r="G422" s="7">
        <f>RAW_GAMES!S422</f>
        <v>24</v>
      </c>
      <c r="H422">
        <f>RAW_GAMES!I422</f>
        <v>5</v>
      </c>
    </row>
    <row r="423" spans="1:8" x14ac:dyDescent="0.25">
      <c r="A423" t="str">
        <f>RAW_GAMES!A423</f>
        <v>25/26</v>
      </c>
      <c r="B423" s="3">
        <f>RAW_GAMES!B423</f>
        <v>46008</v>
      </c>
      <c r="C423" t="str">
        <f>RAW_GAMES!E423</f>
        <v>TRI</v>
      </c>
      <c r="D423" t="str">
        <f>RAW_GAMES!R423</f>
        <v>Kacetl</v>
      </c>
      <c r="F423">
        <f>RAW_GAMES!K423</f>
        <v>30</v>
      </c>
      <c r="G423" s="7">
        <f>RAW_GAMES!S423</f>
        <v>25</v>
      </c>
      <c r="H423">
        <f>RAW_GAMES!I423</f>
        <v>5</v>
      </c>
    </row>
    <row r="424" spans="1:8" x14ac:dyDescent="0.25">
      <c r="A424" t="str">
        <f>RAW_GAMES!A424</f>
        <v>25/26</v>
      </c>
      <c r="B424" s="3">
        <f>RAW_GAMES!B424</f>
        <v>46008</v>
      </c>
      <c r="C424" t="str">
        <f>RAW_GAMES!E424</f>
        <v>MHK</v>
      </c>
      <c r="D424" t="str">
        <f>RAW_GAMES!R424</f>
        <v>Škorvánek</v>
      </c>
      <c r="F424">
        <f>RAW_GAMES!K424</f>
        <v>28</v>
      </c>
      <c r="G424" s="7">
        <f>RAW_GAMES!S424</f>
        <v>26</v>
      </c>
      <c r="H424">
        <f>RAW_GAMES!I424</f>
        <v>2</v>
      </c>
    </row>
    <row r="425" spans="1:8" x14ac:dyDescent="0.25">
      <c r="A425" t="str">
        <f>RAW_GAMES!A425</f>
        <v>25/26</v>
      </c>
      <c r="B425" s="3">
        <f>RAW_GAMES!B425</f>
        <v>46008</v>
      </c>
      <c r="C425" t="str">
        <f>RAW_GAMES!E425</f>
        <v>OLO</v>
      </c>
      <c r="D425" t="str">
        <f>RAW_GAMES!R425</f>
        <v>Machovský</v>
      </c>
      <c r="F425">
        <f>RAW_GAMES!K425</f>
        <v>37</v>
      </c>
      <c r="G425" s="7">
        <f>RAW_GAMES!S425</f>
        <v>33</v>
      </c>
      <c r="H425">
        <f>RAW_GAMES!I425</f>
        <v>4</v>
      </c>
    </row>
    <row r="426" spans="1:8" x14ac:dyDescent="0.25">
      <c r="A426" t="str">
        <f>RAW_GAMES!A426</f>
        <v>25/26</v>
      </c>
      <c r="B426" s="3">
        <f>RAW_GAMES!B426</f>
        <v>46008</v>
      </c>
      <c r="C426" t="str">
        <f>RAW_GAMES!E426</f>
        <v>PLZ</v>
      </c>
      <c r="D426" t="str">
        <f>RAW_GAMES!R426</f>
        <v>Růžička</v>
      </c>
      <c r="F426">
        <f>RAW_GAMES!K426</f>
        <v>26</v>
      </c>
      <c r="G426" s="7">
        <f>RAW_GAMES!S426</f>
        <v>25</v>
      </c>
      <c r="H426">
        <f>RAW_GAMES!I426</f>
        <v>1</v>
      </c>
    </row>
    <row r="427" spans="1:8" x14ac:dyDescent="0.25">
      <c r="A427" t="str">
        <f>RAW_GAMES!A427</f>
        <v>25/26</v>
      </c>
      <c r="B427" s="3">
        <f>RAW_GAMES!B427</f>
        <v>46008</v>
      </c>
      <c r="C427" t="str">
        <f>RAW_GAMES!E427</f>
        <v>VIT</v>
      </c>
      <c r="D427" t="str">
        <f>RAW_GAMES!R427</f>
        <v>Hrachovina</v>
      </c>
      <c r="F427">
        <f>RAW_GAMES!K427</f>
        <v>32</v>
      </c>
      <c r="G427" s="7">
        <f>RAW_GAMES!S427</f>
        <v>30</v>
      </c>
      <c r="H427">
        <f>RAW_GAMES!I427</f>
        <v>3</v>
      </c>
    </row>
    <row r="428" spans="1:8" x14ac:dyDescent="0.25">
      <c r="A428" t="str">
        <f>RAW_GAMES!A428</f>
        <v>25/26</v>
      </c>
      <c r="B428" s="3">
        <f>RAW_GAMES!B428</f>
        <v>46010</v>
      </c>
      <c r="C428" t="str">
        <f>RAW_GAMES!E428</f>
        <v>TRI</v>
      </c>
      <c r="D428" t="str">
        <f>RAW_GAMES!R428</f>
        <v>Mazanec</v>
      </c>
      <c r="F428">
        <f>RAW_GAMES!K428</f>
        <v>26</v>
      </c>
      <c r="G428" s="7">
        <f>RAW_GAMES!S428</f>
        <v>25</v>
      </c>
      <c r="H428">
        <f>RAW_GAMES!I428</f>
        <v>1</v>
      </c>
    </row>
    <row r="429" spans="1:8" x14ac:dyDescent="0.25">
      <c r="A429" t="str">
        <f>RAW_GAMES!A429</f>
        <v>25/26</v>
      </c>
      <c r="B429" s="3">
        <f>RAW_GAMES!B429</f>
        <v>46010</v>
      </c>
      <c r="C429" t="str">
        <f>RAW_GAMES!E429</f>
        <v>SPA</v>
      </c>
      <c r="D429" t="str">
        <f>RAW_GAMES!R429</f>
        <v>Kovář</v>
      </c>
      <c r="F429">
        <f>RAW_GAMES!K429</f>
        <v>26</v>
      </c>
      <c r="G429" s="7">
        <f>RAW_GAMES!S429</f>
        <v>23</v>
      </c>
      <c r="H429">
        <f>RAW_GAMES!I429</f>
        <v>3</v>
      </c>
    </row>
    <row r="430" spans="1:8" x14ac:dyDescent="0.25">
      <c r="A430" t="str">
        <f>RAW_GAMES!A430</f>
        <v>25/26</v>
      </c>
      <c r="B430" s="3">
        <f>RAW_GAMES!B430</f>
        <v>46010</v>
      </c>
      <c r="C430" t="str">
        <f>RAW_GAMES!E430</f>
        <v>KOM</v>
      </c>
      <c r="D430" t="str">
        <f>RAW_GAMES!R430</f>
        <v>Stezka</v>
      </c>
      <c r="F430">
        <f>RAW_GAMES!K430</f>
        <v>34</v>
      </c>
      <c r="G430" s="7">
        <f>RAW_GAMES!S430</f>
        <v>32</v>
      </c>
      <c r="H430">
        <f>RAW_GAMES!I430</f>
        <v>1</v>
      </c>
    </row>
    <row r="431" spans="1:8" x14ac:dyDescent="0.25">
      <c r="A431" t="str">
        <f>RAW_GAMES!A431</f>
        <v>25/26</v>
      </c>
      <c r="B431" s="3">
        <f>RAW_GAMES!B431</f>
        <v>46010</v>
      </c>
      <c r="C431" t="str">
        <f>RAW_GAMES!E431</f>
        <v>CEB</v>
      </c>
      <c r="D431" t="str">
        <f>RAW_GAMES!R431</f>
        <v>Klouček</v>
      </c>
      <c r="F431">
        <f>RAW_GAMES!K431</f>
        <v>20</v>
      </c>
      <c r="G431" s="7">
        <f>RAW_GAMES!S431</f>
        <v>18</v>
      </c>
      <c r="H431">
        <f>RAW_GAMES!I431</f>
        <v>2</v>
      </c>
    </row>
    <row r="432" spans="1:8" x14ac:dyDescent="0.25">
      <c r="A432" t="str">
        <f>RAW_GAMES!A432</f>
        <v>25/26</v>
      </c>
      <c r="B432" s="3">
        <f>RAW_GAMES!B432</f>
        <v>46010</v>
      </c>
      <c r="C432" t="str">
        <f>RAW_GAMES!E432</f>
        <v>KLA</v>
      </c>
      <c r="D432" t="str">
        <f>RAW_GAMES!R432</f>
        <v>Brízgala</v>
      </c>
      <c r="F432">
        <f>RAW_GAMES!K432</f>
        <v>37</v>
      </c>
      <c r="G432" s="7">
        <f>RAW_GAMES!S432</f>
        <v>34</v>
      </c>
      <c r="H432">
        <f>RAW_GAMES!I432</f>
        <v>3</v>
      </c>
    </row>
    <row r="433" spans="1:8" x14ac:dyDescent="0.25">
      <c r="A433" t="str">
        <f>RAW_GAMES!A433</f>
        <v>25/26</v>
      </c>
      <c r="B433" s="3">
        <f>RAW_GAMES!B433</f>
        <v>46010</v>
      </c>
      <c r="C433" t="str">
        <f>RAW_GAMES!E433</f>
        <v>KVA</v>
      </c>
      <c r="D433" t="str">
        <f>RAW_GAMES!R433</f>
        <v>Frodl</v>
      </c>
      <c r="F433">
        <f>RAW_GAMES!K433</f>
        <v>24</v>
      </c>
      <c r="G433" s="7">
        <f>RAW_GAMES!S433</f>
        <v>22</v>
      </c>
      <c r="H433">
        <f>RAW_GAMES!I433</f>
        <v>1</v>
      </c>
    </row>
    <row r="434" spans="1:8" x14ac:dyDescent="0.25">
      <c r="A434" t="str">
        <f>RAW_GAMES!A434</f>
        <v>25/26</v>
      </c>
      <c r="B434" s="3">
        <f>RAW_GAMES!B434</f>
        <v>46010</v>
      </c>
      <c r="C434" t="str">
        <f>RAW_GAMES!E434</f>
        <v>LIB</v>
      </c>
      <c r="D434" t="str">
        <f>RAW_GAMES!R434</f>
        <v>Kváča</v>
      </c>
      <c r="F434">
        <f>RAW_GAMES!K434</f>
        <v>35</v>
      </c>
      <c r="G434" s="7">
        <f>RAW_GAMES!S434</f>
        <v>32</v>
      </c>
      <c r="H434">
        <f>RAW_GAMES!I434</f>
        <v>3</v>
      </c>
    </row>
    <row r="435" spans="1:8" x14ac:dyDescent="0.25">
      <c r="A435" t="str">
        <f>RAW_GAMES!A435</f>
        <v>25/26</v>
      </c>
      <c r="B435" s="3">
        <f>RAW_GAMES!B435</f>
        <v>46010</v>
      </c>
      <c r="C435" t="str">
        <f>RAW_GAMES!E435</f>
        <v>LIT</v>
      </c>
      <c r="D435" t="str">
        <f>RAW_GAMES!R435</f>
        <v>Čajan</v>
      </c>
      <c r="F435">
        <f>RAW_GAMES!K435</f>
        <v>26</v>
      </c>
      <c r="G435" s="7">
        <f>RAW_GAMES!S435</f>
        <v>22</v>
      </c>
      <c r="H435">
        <f>RAW_GAMES!I435</f>
        <v>2</v>
      </c>
    </row>
    <row r="436" spans="1:8" x14ac:dyDescent="0.25">
      <c r="A436" t="str">
        <f>RAW_GAMES!A436</f>
        <v>25/26</v>
      </c>
      <c r="B436" s="3">
        <f>RAW_GAMES!B436</f>
        <v>46010</v>
      </c>
      <c r="C436" t="str">
        <f>RAW_GAMES!E436</f>
        <v>MBL</v>
      </c>
      <c r="D436" t="str">
        <f>RAW_GAMES!R436</f>
        <v>Furch</v>
      </c>
      <c r="F436">
        <f>RAW_GAMES!K436</f>
        <v>16</v>
      </c>
      <c r="G436" s="7">
        <f>RAW_GAMES!S436</f>
        <v>15</v>
      </c>
      <c r="H436">
        <f>RAW_GAMES!I436</f>
        <v>1</v>
      </c>
    </row>
    <row r="437" spans="1:8" x14ac:dyDescent="0.25">
      <c r="A437" t="str">
        <f>RAW_GAMES!A437</f>
        <v>25/26</v>
      </c>
      <c r="B437" s="3">
        <f>RAW_GAMES!B437</f>
        <v>46010</v>
      </c>
      <c r="C437" t="str">
        <f>RAW_GAMES!E437</f>
        <v>MHK</v>
      </c>
      <c r="D437" t="str">
        <f>RAW_GAMES!R437</f>
        <v>Škorvánek</v>
      </c>
      <c r="F437">
        <f>RAW_GAMES!K437</f>
        <v>32</v>
      </c>
      <c r="G437" s="7">
        <f>RAW_GAMES!S437</f>
        <v>28</v>
      </c>
      <c r="H437">
        <f>RAW_GAMES!I437</f>
        <v>4</v>
      </c>
    </row>
    <row r="438" spans="1:8" x14ac:dyDescent="0.25">
      <c r="A438" t="str">
        <f>RAW_GAMES!A438</f>
        <v>25/26</v>
      </c>
      <c r="B438" s="3">
        <f>RAW_GAMES!B438</f>
        <v>46010</v>
      </c>
      <c r="C438" t="str">
        <f>RAW_GAMES!E438</f>
        <v>PLZ</v>
      </c>
      <c r="D438" t="str">
        <f>RAW_GAMES!R438</f>
        <v>Růžička</v>
      </c>
      <c r="F438">
        <f>RAW_GAMES!K438</f>
        <v>32</v>
      </c>
      <c r="G438" s="7">
        <f>RAW_GAMES!S438</f>
        <v>28</v>
      </c>
      <c r="H438">
        <f>RAW_GAMES!I438</f>
        <v>2</v>
      </c>
    </row>
    <row r="439" spans="1:8" x14ac:dyDescent="0.25">
      <c r="A439" t="str">
        <f>RAW_GAMES!A439</f>
        <v>25/26</v>
      </c>
      <c r="B439" s="3">
        <f>RAW_GAMES!B439</f>
        <v>46010</v>
      </c>
      <c r="C439" t="str">
        <f>RAW_GAMES!E439</f>
        <v>VIT</v>
      </c>
      <c r="D439" t="str">
        <f>RAW_GAMES!R439</f>
        <v>Hrachovina</v>
      </c>
      <c r="F439">
        <f>RAW_GAMES!K439</f>
        <v>24</v>
      </c>
      <c r="G439" s="7">
        <f>RAW_GAMES!S439</f>
        <v>22</v>
      </c>
      <c r="H439">
        <f>RAW_GAMES!I439</f>
        <v>2</v>
      </c>
    </row>
    <row r="440" spans="1:8" x14ac:dyDescent="0.25">
      <c r="A440" t="str">
        <f>RAW_GAMES!A440</f>
        <v>25/26</v>
      </c>
      <c r="B440" s="3">
        <f>RAW_GAMES!B440</f>
        <v>46012</v>
      </c>
      <c r="C440" t="str">
        <f>RAW_GAMES!E440</f>
        <v>PCE</v>
      </c>
      <c r="D440" t="str">
        <f>RAW_GAMES!R440</f>
        <v>Will</v>
      </c>
      <c r="F440">
        <f>RAW_GAMES!K440</f>
        <v>22</v>
      </c>
      <c r="G440" s="7">
        <f>RAW_GAMES!S440</f>
        <v>21</v>
      </c>
      <c r="H440">
        <f>RAW_GAMES!I440</f>
        <v>1</v>
      </c>
    </row>
    <row r="441" spans="1:8" x14ac:dyDescent="0.25">
      <c r="A441" t="str">
        <f>RAW_GAMES!A441</f>
        <v>25/26</v>
      </c>
      <c r="B441" s="3">
        <f>RAW_GAMES!B441</f>
        <v>46012</v>
      </c>
      <c r="C441" t="str">
        <f>RAW_GAMES!E441</f>
        <v>TRI</v>
      </c>
      <c r="D441" t="str">
        <f>RAW_GAMES!R441</f>
        <v>Mazanec</v>
      </c>
      <c r="F441">
        <f>RAW_GAMES!K441</f>
        <v>18</v>
      </c>
      <c r="G441" s="7">
        <f>RAW_GAMES!S441</f>
        <v>17</v>
      </c>
      <c r="H441">
        <f>RAW_GAMES!I441</f>
        <v>1</v>
      </c>
    </row>
    <row r="442" spans="1:8" x14ac:dyDescent="0.25">
      <c r="A442" t="str">
        <f>RAW_GAMES!A442</f>
        <v>25/26</v>
      </c>
      <c r="B442" s="3">
        <f>RAW_GAMES!B442</f>
        <v>46012</v>
      </c>
      <c r="C442" t="str">
        <f>RAW_GAMES!E442</f>
        <v>SPA</v>
      </c>
      <c r="D442" t="str">
        <f>RAW_GAMES!R442</f>
        <v>Kovář</v>
      </c>
      <c r="F442">
        <f>RAW_GAMES!K442</f>
        <v>21</v>
      </c>
      <c r="G442" s="7">
        <f>RAW_GAMES!S442</f>
        <v>15</v>
      </c>
      <c r="H442">
        <f>RAW_GAMES!I442</f>
        <v>6</v>
      </c>
    </row>
    <row r="443" spans="1:8" x14ac:dyDescent="0.25">
      <c r="A443" t="str">
        <f>RAW_GAMES!A443</f>
        <v>25/26</v>
      </c>
      <c r="B443" s="3">
        <f>RAW_GAMES!B443</f>
        <v>46012</v>
      </c>
      <c r="C443" t="str">
        <f>RAW_GAMES!E443</f>
        <v>KOM</v>
      </c>
      <c r="D443" t="str">
        <f>RAW_GAMES!R443</f>
        <v>Stezka</v>
      </c>
      <c r="F443">
        <f>RAW_GAMES!K443</f>
        <v>45</v>
      </c>
      <c r="G443" s="7">
        <f>RAW_GAMES!S443</f>
        <v>43</v>
      </c>
      <c r="H443">
        <f>RAW_GAMES!I443</f>
        <v>2</v>
      </c>
    </row>
    <row r="444" spans="1:8" x14ac:dyDescent="0.25">
      <c r="A444" t="str">
        <f>RAW_GAMES!A444</f>
        <v>25/26</v>
      </c>
      <c r="B444" s="3">
        <f>RAW_GAMES!B444</f>
        <v>46012</v>
      </c>
      <c r="C444" t="str">
        <f>RAW_GAMES!E444</f>
        <v>CEB</v>
      </c>
      <c r="D444" t="str">
        <f>RAW_GAMES!R444</f>
        <v>Strmeň</v>
      </c>
      <c r="F444">
        <f>RAW_GAMES!K444</f>
        <v>25</v>
      </c>
      <c r="G444" s="7">
        <f>RAW_GAMES!S444</f>
        <v>25</v>
      </c>
      <c r="H444">
        <f>RAW_GAMES!I444</f>
        <v>0</v>
      </c>
    </row>
    <row r="445" spans="1:8" x14ac:dyDescent="0.25">
      <c r="A445" t="str">
        <f>RAW_GAMES!A445</f>
        <v>25/26</v>
      </c>
      <c r="B445" s="3">
        <f>RAW_GAMES!B445</f>
        <v>46012</v>
      </c>
      <c r="C445" t="str">
        <f>RAW_GAMES!E445</f>
        <v>KLA</v>
      </c>
      <c r="D445" t="str">
        <f>RAW_GAMES!R445</f>
        <v>Dansk</v>
      </c>
      <c r="F445">
        <f>RAW_GAMES!K445</f>
        <v>39</v>
      </c>
      <c r="G445" s="7">
        <f>RAW_GAMES!S445</f>
        <v>35</v>
      </c>
      <c r="H445">
        <f>RAW_GAMES!I445</f>
        <v>4</v>
      </c>
    </row>
    <row r="446" spans="1:8" x14ac:dyDescent="0.25">
      <c r="A446" t="str">
        <f>RAW_GAMES!A446</f>
        <v>25/26</v>
      </c>
      <c r="B446" s="3">
        <f>RAW_GAMES!B446</f>
        <v>46012</v>
      </c>
      <c r="C446" t="str">
        <f>RAW_GAMES!E446</f>
        <v>KVA</v>
      </c>
      <c r="D446" t="str">
        <f>RAW_GAMES!R446</f>
        <v>Frodl</v>
      </c>
      <c r="F446">
        <f>RAW_GAMES!K446</f>
        <v>35</v>
      </c>
      <c r="G446" s="7">
        <f>RAW_GAMES!S446</f>
        <v>35</v>
      </c>
      <c r="H446">
        <f>RAW_GAMES!I446</f>
        <v>0</v>
      </c>
    </row>
    <row r="447" spans="1:8" x14ac:dyDescent="0.25">
      <c r="A447" t="str">
        <f>RAW_GAMES!A447</f>
        <v>25/26</v>
      </c>
      <c r="B447" s="3">
        <f>RAW_GAMES!B447</f>
        <v>46012</v>
      </c>
      <c r="C447" t="str">
        <f>RAW_GAMES!E447</f>
        <v>LIB</v>
      </c>
      <c r="D447" t="str">
        <f>RAW_GAMES!R447</f>
        <v>Kváča</v>
      </c>
      <c r="F447">
        <f>RAW_GAMES!K447</f>
        <v>23</v>
      </c>
      <c r="G447" s="7">
        <f>RAW_GAMES!S447</f>
        <v>21</v>
      </c>
      <c r="H447">
        <f>RAW_GAMES!I447</f>
        <v>1</v>
      </c>
    </row>
    <row r="448" spans="1:8" x14ac:dyDescent="0.25">
      <c r="A448" t="str">
        <f>RAW_GAMES!A448</f>
        <v>25/26</v>
      </c>
      <c r="B448" s="3">
        <f>RAW_GAMES!B448</f>
        <v>46012</v>
      </c>
      <c r="C448" t="str">
        <f>RAW_GAMES!E448</f>
        <v>LIT</v>
      </c>
      <c r="D448" t="str">
        <f>RAW_GAMES!R448</f>
        <v>Čajan</v>
      </c>
      <c r="F448">
        <f>RAW_GAMES!K448</f>
        <v>37</v>
      </c>
      <c r="G448" s="7">
        <f>RAW_GAMES!S448</f>
        <v>34</v>
      </c>
      <c r="H448">
        <f>RAW_GAMES!I448</f>
        <v>4</v>
      </c>
    </row>
    <row r="449" spans="1:8" x14ac:dyDescent="0.25">
      <c r="A449" t="str">
        <f>RAW_GAMES!A449</f>
        <v>25/26</v>
      </c>
      <c r="B449" s="3">
        <f>RAW_GAMES!B449</f>
        <v>46012</v>
      </c>
      <c r="C449" t="str">
        <f>RAW_GAMES!E449</f>
        <v>MBL</v>
      </c>
      <c r="D449" t="str">
        <f>RAW_GAMES!R449</f>
        <v>Furch</v>
      </c>
      <c r="F449">
        <f>RAW_GAMES!K449</f>
        <v>23</v>
      </c>
      <c r="G449" s="7">
        <f>RAW_GAMES!S449</f>
        <v>20</v>
      </c>
      <c r="H449">
        <f>RAW_GAMES!I449</f>
        <v>3</v>
      </c>
    </row>
    <row r="450" spans="1:8" x14ac:dyDescent="0.25">
      <c r="A450" t="str">
        <f>RAW_GAMES!A450</f>
        <v>25/26</v>
      </c>
      <c r="B450" s="3">
        <f>RAW_GAMES!B450</f>
        <v>46012</v>
      </c>
      <c r="C450" t="str">
        <f>RAW_GAMES!E450</f>
        <v>MHK</v>
      </c>
      <c r="D450" t="str">
        <f>RAW_GAMES!R450</f>
        <v>Škorvánek</v>
      </c>
      <c r="F450">
        <f>RAW_GAMES!K450</f>
        <v>22</v>
      </c>
      <c r="G450" s="7">
        <f>RAW_GAMES!S450</f>
        <v>20</v>
      </c>
      <c r="H450">
        <f>RAW_GAMES!I450</f>
        <v>1</v>
      </c>
    </row>
    <row r="451" spans="1:8" x14ac:dyDescent="0.25">
      <c r="A451" t="str">
        <f>RAW_GAMES!A451</f>
        <v>25/26</v>
      </c>
      <c r="B451" s="3">
        <f>RAW_GAMES!B451</f>
        <v>46012</v>
      </c>
      <c r="C451" t="str">
        <f>RAW_GAMES!E451</f>
        <v>OLO</v>
      </c>
      <c r="D451" t="str">
        <f>RAW_GAMES!R451</f>
        <v>Machovský</v>
      </c>
      <c r="F451">
        <f>RAW_GAMES!K451</f>
        <v>32</v>
      </c>
      <c r="G451" s="7">
        <f>RAW_GAMES!S451</f>
        <v>27</v>
      </c>
      <c r="H451">
        <f>RAW_GAMES!I451</f>
        <v>3</v>
      </c>
    </row>
    <row r="452" spans="1:8" x14ac:dyDescent="0.25">
      <c r="A452" t="str">
        <f>RAW_GAMES!A452</f>
        <v>25/26</v>
      </c>
      <c r="B452" s="3">
        <f>RAW_GAMES!B452</f>
        <v>46012</v>
      </c>
      <c r="C452" t="str">
        <f>RAW_GAMES!E452</f>
        <v>PLZ</v>
      </c>
      <c r="D452" t="str">
        <f>RAW_GAMES!R452</f>
        <v>Malík</v>
      </c>
      <c r="F452">
        <f>RAW_GAMES!K452</f>
        <v>31</v>
      </c>
      <c r="G452" s="7">
        <f>RAW_GAMES!S452</f>
        <v>28</v>
      </c>
      <c r="H452">
        <f>RAW_GAMES!I452</f>
        <v>2</v>
      </c>
    </row>
    <row r="453" spans="1:8" x14ac:dyDescent="0.25">
      <c r="A453" t="str">
        <f>RAW_GAMES!A453</f>
        <v>25/26</v>
      </c>
      <c r="B453" s="3">
        <f>RAW_GAMES!B453</f>
        <v>46012</v>
      </c>
      <c r="C453" t="str">
        <f>RAW_GAMES!E453</f>
        <v>VIT</v>
      </c>
      <c r="D453" t="str">
        <f>RAW_GAMES!R453</f>
        <v>Hrachovina</v>
      </c>
      <c r="F453">
        <f>RAW_GAMES!K453</f>
        <v>43</v>
      </c>
      <c r="G453" s="7">
        <f>RAW_GAMES!S453</f>
        <v>39</v>
      </c>
      <c r="H453">
        <f>RAW_GAMES!I453</f>
        <v>3</v>
      </c>
    </row>
    <row r="454" spans="1:8" x14ac:dyDescent="0.25">
      <c r="A454" t="str">
        <f>RAW_GAMES!A454</f>
        <v>25/26</v>
      </c>
      <c r="B454" s="3">
        <f>RAW_GAMES!B454</f>
        <v>46014</v>
      </c>
      <c r="C454" t="str">
        <f>RAW_GAMES!E454</f>
        <v>PCE</v>
      </c>
      <c r="D454" t="str">
        <f>RAW_GAMES!R454</f>
        <v>Subban</v>
      </c>
      <c r="F454">
        <f>RAW_GAMES!K454</f>
        <v>27</v>
      </c>
      <c r="G454" s="7">
        <f>RAW_GAMES!S454</f>
        <v>27</v>
      </c>
      <c r="H454">
        <f>RAW_GAMES!I454</f>
        <v>0</v>
      </c>
    </row>
    <row r="455" spans="1:8" x14ac:dyDescent="0.25">
      <c r="A455" t="str">
        <f>RAW_GAMES!A455</f>
        <v>25/26</v>
      </c>
      <c r="B455" s="3">
        <f>RAW_GAMES!B455</f>
        <v>46014</v>
      </c>
      <c r="C455" t="str">
        <f>RAW_GAMES!E455</f>
        <v>SPA</v>
      </c>
      <c r="D455" t="str">
        <f>RAW_GAMES!R455</f>
        <v>Kořenář</v>
      </c>
      <c r="F455">
        <f>RAW_GAMES!K455</f>
        <v>21</v>
      </c>
      <c r="G455" s="7">
        <f>RAW_GAMES!S455</f>
        <v>19</v>
      </c>
      <c r="H455">
        <f>RAW_GAMES!I455</f>
        <v>2</v>
      </c>
    </row>
    <row r="456" spans="1:8" x14ac:dyDescent="0.25">
      <c r="A456" t="str">
        <f>RAW_GAMES!A456</f>
        <v>25/26</v>
      </c>
      <c r="B456" s="3">
        <f>RAW_GAMES!B456</f>
        <v>46014</v>
      </c>
      <c r="C456" t="str">
        <f>RAW_GAMES!E456</f>
        <v>KOM</v>
      </c>
      <c r="D456" t="str">
        <f>RAW_GAMES!R456</f>
        <v>Stezka</v>
      </c>
      <c r="F456">
        <f>RAW_GAMES!K456</f>
        <v>31</v>
      </c>
      <c r="G456" s="7">
        <f>RAW_GAMES!S456</f>
        <v>29</v>
      </c>
      <c r="H456">
        <f>RAW_GAMES!I456</f>
        <v>2</v>
      </c>
    </row>
    <row r="457" spans="1:8" x14ac:dyDescent="0.25">
      <c r="A457" t="str">
        <f>RAW_GAMES!A457</f>
        <v>25/26</v>
      </c>
      <c r="B457" s="3">
        <f>RAW_GAMES!B457</f>
        <v>46014</v>
      </c>
      <c r="C457" t="str">
        <f>RAW_GAMES!E457</f>
        <v>CEB</v>
      </c>
      <c r="D457" t="str">
        <f>RAW_GAMES!R457</f>
        <v>Strmeň</v>
      </c>
      <c r="F457">
        <f>RAW_GAMES!K457</f>
        <v>25</v>
      </c>
      <c r="G457" s="7">
        <f>RAW_GAMES!S457</f>
        <v>24</v>
      </c>
      <c r="H457">
        <f>RAW_GAMES!I457</f>
        <v>1</v>
      </c>
    </row>
    <row r="458" spans="1:8" x14ac:dyDescent="0.25">
      <c r="A458" t="str">
        <f>RAW_GAMES!A458</f>
        <v>25/26</v>
      </c>
      <c r="B458" s="3">
        <f>RAW_GAMES!B458</f>
        <v>46014</v>
      </c>
      <c r="C458" t="str">
        <f>RAW_GAMES!E458</f>
        <v>KLA</v>
      </c>
      <c r="D458" t="str">
        <f>RAW_GAMES!R458</f>
        <v>Dansk</v>
      </c>
      <c r="F458">
        <f>RAW_GAMES!K458</f>
        <v>25</v>
      </c>
      <c r="G458" s="7">
        <f>RAW_GAMES!S458</f>
        <v>24</v>
      </c>
      <c r="H458">
        <f>RAW_GAMES!I458</f>
        <v>1</v>
      </c>
    </row>
    <row r="459" spans="1:8" x14ac:dyDescent="0.25">
      <c r="A459" t="str">
        <f>RAW_GAMES!A459</f>
        <v>25/26</v>
      </c>
      <c r="B459" s="3">
        <f>RAW_GAMES!B459</f>
        <v>46014</v>
      </c>
      <c r="C459" t="str">
        <f>RAW_GAMES!E459</f>
        <v>KVA</v>
      </c>
      <c r="D459" t="str">
        <f>RAW_GAMES!R459</f>
        <v>Frodl</v>
      </c>
      <c r="F459">
        <f>RAW_GAMES!K459</f>
        <v>25</v>
      </c>
      <c r="G459" s="7">
        <f>RAW_GAMES!S459</f>
        <v>25</v>
      </c>
      <c r="H459">
        <f>RAW_GAMES!I459</f>
        <v>0</v>
      </c>
    </row>
    <row r="460" spans="1:8" x14ac:dyDescent="0.25">
      <c r="A460" t="str">
        <f>RAW_GAMES!A460</f>
        <v>25/26</v>
      </c>
      <c r="B460" s="3">
        <f>RAW_GAMES!B460</f>
        <v>46014</v>
      </c>
      <c r="C460" t="str">
        <f>RAW_GAMES!E460</f>
        <v>LIB</v>
      </c>
      <c r="D460" t="str">
        <f>RAW_GAMES!R460</f>
        <v>Lukeš</v>
      </c>
      <c r="F460">
        <f>RAW_GAMES!K460</f>
        <v>18</v>
      </c>
      <c r="G460" s="7">
        <f>RAW_GAMES!S460</f>
        <v>14</v>
      </c>
      <c r="H460">
        <f>RAW_GAMES!I460</f>
        <v>4</v>
      </c>
    </row>
    <row r="461" spans="1:8" x14ac:dyDescent="0.25">
      <c r="A461" t="str">
        <f>RAW_GAMES!A461</f>
        <v>25/26</v>
      </c>
      <c r="B461" s="3">
        <f>RAW_GAMES!B461</f>
        <v>46014</v>
      </c>
      <c r="C461" t="str">
        <f>RAW_GAMES!E461</f>
        <v>LIT</v>
      </c>
      <c r="D461" t="str">
        <f>RAW_GAMES!R461</f>
        <v>Tomek</v>
      </c>
      <c r="F461">
        <f>RAW_GAMES!K461</f>
        <v>25</v>
      </c>
      <c r="G461" s="7">
        <f>RAW_GAMES!S461</f>
        <v>24</v>
      </c>
      <c r="H461">
        <f>RAW_GAMES!I461</f>
        <v>1</v>
      </c>
    </row>
    <row r="462" spans="1:8" x14ac:dyDescent="0.25">
      <c r="A462" t="str">
        <f>RAW_GAMES!A462</f>
        <v>25/26</v>
      </c>
      <c r="B462" s="3">
        <f>RAW_GAMES!B462</f>
        <v>46014</v>
      </c>
      <c r="C462" t="str">
        <f>RAW_GAMES!E462</f>
        <v>MBL</v>
      </c>
      <c r="D462" t="str">
        <f>RAW_GAMES!R462</f>
        <v>Furch</v>
      </c>
      <c r="F462">
        <f>RAW_GAMES!K462</f>
        <v>26</v>
      </c>
      <c r="G462" s="7">
        <f>RAW_GAMES!S462</f>
        <v>20</v>
      </c>
      <c r="H462">
        <f>RAW_GAMES!I462</f>
        <v>6</v>
      </c>
    </row>
    <row r="463" spans="1:8" x14ac:dyDescent="0.25">
      <c r="A463" t="str">
        <f>RAW_GAMES!A463</f>
        <v>25/26</v>
      </c>
      <c r="B463" s="3">
        <f>RAW_GAMES!B463</f>
        <v>46014</v>
      </c>
      <c r="C463" t="str">
        <f>RAW_GAMES!E463</f>
        <v>OLO</v>
      </c>
      <c r="D463" t="str">
        <f>RAW_GAMES!R463</f>
        <v>Cichoň</v>
      </c>
      <c r="F463">
        <f>RAW_GAMES!K463</f>
        <v>44</v>
      </c>
      <c r="G463" s="7">
        <f>RAW_GAMES!S463</f>
        <v>37</v>
      </c>
      <c r="H463">
        <f>RAW_GAMES!I463</f>
        <v>7</v>
      </c>
    </row>
    <row r="464" spans="1:8" x14ac:dyDescent="0.25">
      <c r="A464" t="str">
        <f>RAW_GAMES!A464</f>
        <v>25/26</v>
      </c>
      <c r="B464" s="3">
        <f>RAW_GAMES!B464</f>
        <v>46014</v>
      </c>
      <c r="C464" t="str">
        <f>RAW_GAMES!E464</f>
        <v>PLZ</v>
      </c>
      <c r="D464" t="str">
        <f>RAW_GAMES!R464</f>
        <v>Malík</v>
      </c>
      <c r="F464">
        <f>RAW_GAMES!K464</f>
        <v>25</v>
      </c>
      <c r="G464" s="7">
        <f>RAW_GAMES!S464</f>
        <v>22</v>
      </c>
      <c r="H464">
        <f>RAW_GAMES!I464</f>
        <v>3</v>
      </c>
    </row>
    <row r="465" spans="1:8" x14ac:dyDescent="0.25">
      <c r="A465" t="str">
        <f>RAW_GAMES!A465</f>
        <v>25/26</v>
      </c>
      <c r="B465" s="3">
        <f>RAW_GAMES!B465</f>
        <v>46014</v>
      </c>
      <c r="C465" t="str">
        <f>RAW_GAMES!E465</f>
        <v>VIT</v>
      </c>
      <c r="D465" t="str">
        <f>RAW_GAMES!R465</f>
        <v>Hrachovina</v>
      </c>
      <c r="F465">
        <f>RAW_GAMES!K465</f>
        <v>30</v>
      </c>
      <c r="G465" s="7">
        <f>RAW_GAMES!S465</f>
        <v>29</v>
      </c>
      <c r="H465">
        <f>RAW_GAMES!I465</f>
        <v>1</v>
      </c>
    </row>
    <row r="466" spans="1:8" x14ac:dyDescent="0.25">
      <c r="A466" t="str">
        <f>RAW_GAMES!A466</f>
        <v>25/26</v>
      </c>
      <c r="B466" s="3">
        <f>RAW_GAMES!B466</f>
        <v>46017</v>
      </c>
      <c r="C466" t="str">
        <f>RAW_GAMES!E466</f>
        <v>PCE</v>
      </c>
      <c r="D466" t="str">
        <f>RAW_GAMES!R466</f>
        <v>Will</v>
      </c>
      <c r="F466">
        <f>RAW_GAMES!K466</f>
        <v>17</v>
      </c>
      <c r="G466" s="7">
        <f>RAW_GAMES!S466</f>
        <v>14</v>
      </c>
      <c r="H466">
        <f>RAW_GAMES!I466</f>
        <v>3</v>
      </c>
    </row>
    <row r="467" spans="1:8" x14ac:dyDescent="0.25">
      <c r="A467" t="str">
        <f>RAW_GAMES!A467</f>
        <v>25/26</v>
      </c>
      <c r="B467" s="3">
        <f>RAW_GAMES!B467</f>
        <v>46017</v>
      </c>
      <c r="C467" t="str">
        <f>RAW_GAMES!E467</f>
        <v>TRI</v>
      </c>
      <c r="D467" t="str">
        <f>RAW_GAMES!R467</f>
        <v>Mazanec</v>
      </c>
      <c r="F467">
        <f>RAW_GAMES!K467</f>
        <v>52</v>
      </c>
      <c r="G467" s="7">
        <f>RAW_GAMES!S467</f>
        <v>47</v>
      </c>
      <c r="H467">
        <f>RAW_GAMES!I467</f>
        <v>5</v>
      </c>
    </row>
    <row r="468" spans="1:8" x14ac:dyDescent="0.25">
      <c r="A468" t="str">
        <f>RAW_GAMES!A468</f>
        <v>25/26</v>
      </c>
      <c r="B468" s="3">
        <f>RAW_GAMES!B468</f>
        <v>46017</v>
      </c>
      <c r="C468" t="str">
        <f>RAW_GAMES!E468</f>
        <v>KOM</v>
      </c>
      <c r="D468" t="str">
        <f>RAW_GAMES!R468</f>
        <v>Stezka</v>
      </c>
      <c r="F468">
        <f>RAW_GAMES!K468</f>
        <v>35</v>
      </c>
      <c r="G468" s="7">
        <f>RAW_GAMES!S468</f>
        <v>25</v>
      </c>
      <c r="H468">
        <f>RAW_GAMES!I468</f>
        <v>3</v>
      </c>
    </row>
    <row r="469" spans="1:8" x14ac:dyDescent="0.25">
      <c r="A469" t="str">
        <f>RAW_GAMES!A469</f>
        <v>25/26</v>
      </c>
      <c r="B469" s="3">
        <f>RAW_GAMES!B469</f>
        <v>46017</v>
      </c>
      <c r="C469" t="str">
        <f>RAW_GAMES!E469</f>
        <v>CEB</v>
      </c>
      <c r="D469" t="str">
        <f>RAW_GAMES!R469</f>
        <v>Strmeň</v>
      </c>
      <c r="F469">
        <f>RAW_GAMES!K469</f>
        <v>27</v>
      </c>
      <c r="G469" s="7">
        <f>RAW_GAMES!S469</f>
        <v>33</v>
      </c>
      <c r="H469">
        <f>RAW_GAMES!I469</f>
        <v>2</v>
      </c>
    </row>
    <row r="470" spans="1:8" x14ac:dyDescent="0.25">
      <c r="A470" t="str">
        <f>RAW_GAMES!A470</f>
        <v>25/26</v>
      </c>
      <c r="B470" s="3">
        <f>RAW_GAMES!B470</f>
        <v>46017</v>
      </c>
      <c r="C470" t="str">
        <f>RAW_GAMES!E470</f>
        <v>KLA</v>
      </c>
      <c r="D470" t="str">
        <f>RAW_GAMES!R470</f>
        <v>Dansk</v>
      </c>
      <c r="F470">
        <f>RAW_GAMES!K470</f>
        <v>29</v>
      </c>
      <c r="G470" s="7">
        <f>RAW_GAMES!S470</f>
        <v>26</v>
      </c>
      <c r="H470">
        <f>RAW_GAMES!I470</f>
        <v>3</v>
      </c>
    </row>
    <row r="471" spans="1:8" x14ac:dyDescent="0.25">
      <c r="A471" t="str">
        <f>RAW_GAMES!A471</f>
        <v>25/26</v>
      </c>
      <c r="B471" s="3">
        <f>RAW_GAMES!B471</f>
        <v>46017</v>
      </c>
      <c r="C471" t="str">
        <f>RAW_GAMES!E471</f>
        <v>KVA</v>
      </c>
      <c r="D471" t="str">
        <f>RAW_GAMES!R471</f>
        <v>Král</v>
      </c>
      <c r="F471">
        <f>RAW_GAMES!K471</f>
        <v>37</v>
      </c>
      <c r="G471" s="7">
        <f>RAW_GAMES!S471</f>
        <v>35</v>
      </c>
      <c r="H471">
        <f>RAW_GAMES!I471</f>
        <v>2</v>
      </c>
    </row>
    <row r="472" spans="1:8" x14ac:dyDescent="0.25">
      <c r="A472" t="str">
        <f>RAW_GAMES!A472</f>
        <v>25/26</v>
      </c>
      <c r="B472" s="3">
        <f>RAW_GAMES!B472</f>
        <v>46017</v>
      </c>
      <c r="C472" t="str">
        <f>RAW_GAMES!E472</f>
        <v>LIB</v>
      </c>
      <c r="D472" t="str">
        <f>RAW_GAMES!R472</f>
        <v>Kváča</v>
      </c>
      <c r="F472">
        <f>RAW_GAMES!K472</f>
        <v>32</v>
      </c>
      <c r="G472" s="7">
        <f>RAW_GAMES!S472</f>
        <v>29</v>
      </c>
      <c r="H472">
        <f>RAW_GAMES!I472</f>
        <v>3</v>
      </c>
    </row>
    <row r="473" spans="1:8" x14ac:dyDescent="0.25">
      <c r="A473" t="str">
        <f>RAW_GAMES!A473</f>
        <v>25/26</v>
      </c>
      <c r="B473" s="3">
        <f>RAW_GAMES!B473</f>
        <v>46017</v>
      </c>
      <c r="C473" t="str">
        <f>RAW_GAMES!E473</f>
        <v>LIT</v>
      </c>
      <c r="D473" t="str">
        <f>RAW_GAMES!R473</f>
        <v>Tomek</v>
      </c>
      <c r="F473">
        <f>RAW_GAMES!K473</f>
        <v>26</v>
      </c>
      <c r="G473" s="7">
        <f>RAW_GAMES!S473</f>
        <v>24</v>
      </c>
      <c r="H473">
        <f>RAW_GAMES!I473</f>
        <v>2</v>
      </c>
    </row>
    <row r="474" spans="1:8" x14ac:dyDescent="0.25">
      <c r="A474" t="str">
        <f>RAW_GAMES!A474</f>
        <v>25/26</v>
      </c>
      <c r="B474" s="3">
        <f>RAW_GAMES!B474</f>
        <v>46017</v>
      </c>
      <c r="C474" t="str">
        <f>RAW_GAMES!E474</f>
        <v>MHK</v>
      </c>
      <c r="D474" t="str">
        <f>RAW_GAMES!R474</f>
        <v>Škorvánek</v>
      </c>
      <c r="F474">
        <f>RAW_GAMES!K474</f>
        <v>23</v>
      </c>
      <c r="G474" s="7">
        <f>RAW_GAMES!S474</f>
        <v>20</v>
      </c>
      <c r="H474">
        <f>RAW_GAMES!I474</f>
        <v>3</v>
      </c>
    </row>
    <row r="475" spans="1:8" x14ac:dyDescent="0.25">
      <c r="A475" t="str">
        <f>RAW_GAMES!A475</f>
        <v>25/26</v>
      </c>
      <c r="B475" s="3">
        <f>RAW_GAMES!B475</f>
        <v>46017</v>
      </c>
      <c r="C475" t="str">
        <f>RAW_GAMES!E475</f>
        <v>OLO</v>
      </c>
      <c r="D475" t="str">
        <f>RAW_GAMES!R475</f>
        <v>Machovský</v>
      </c>
      <c r="F475">
        <f>RAW_GAMES!K475</f>
        <v>33</v>
      </c>
      <c r="G475" s="7">
        <f>RAW_GAMES!S475</f>
        <v>27</v>
      </c>
      <c r="H475">
        <f>RAW_GAMES!I475</f>
        <v>6</v>
      </c>
    </row>
    <row r="476" spans="1:8" x14ac:dyDescent="0.25">
      <c r="A476" t="str">
        <f>RAW_GAMES!A476</f>
        <v>25/26</v>
      </c>
      <c r="B476" s="3">
        <f>RAW_GAMES!B476</f>
        <v>46017</v>
      </c>
      <c r="C476" t="str">
        <f>RAW_GAMES!E476</f>
        <v>PLZ</v>
      </c>
      <c r="D476" t="str">
        <f>RAW_GAMES!R476</f>
        <v>Malík</v>
      </c>
      <c r="F476">
        <f>RAW_GAMES!K476</f>
        <v>21</v>
      </c>
      <c r="G476" s="7">
        <f>RAW_GAMES!S476</f>
        <v>21</v>
      </c>
      <c r="H476">
        <f>RAW_GAMES!I476</f>
        <v>0</v>
      </c>
    </row>
    <row r="477" spans="1:8" x14ac:dyDescent="0.25">
      <c r="A477" t="str">
        <f>RAW_GAMES!A477</f>
        <v>25/26</v>
      </c>
      <c r="B477" s="3">
        <f>RAW_GAMES!B477</f>
        <v>46017</v>
      </c>
      <c r="C477" t="str">
        <f>RAW_GAMES!E477</f>
        <v>VIT</v>
      </c>
      <c r="D477" t="str">
        <f>RAW_GAMES!R477</f>
        <v>Hrachovina</v>
      </c>
      <c r="F477">
        <f>RAW_GAMES!K477</f>
        <v>25</v>
      </c>
      <c r="G477" s="7">
        <f>RAW_GAMES!S477</f>
        <v>25</v>
      </c>
      <c r="H477">
        <f>RAW_GAMES!I477</f>
        <v>0</v>
      </c>
    </row>
    <row r="478" spans="1:8" x14ac:dyDescent="0.25">
      <c r="A478" t="str">
        <f>RAW_GAMES!A478</f>
        <v>25/26</v>
      </c>
      <c r="B478" s="3">
        <f>RAW_GAMES!B478</f>
        <v>46019</v>
      </c>
      <c r="C478" t="str">
        <f>RAW_GAMES!E478</f>
        <v>PCE</v>
      </c>
      <c r="D478" t="str">
        <f>RAW_GAMES!R478</f>
        <v>Will</v>
      </c>
      <c r="F478">
        <f>RAW_GAMES!K478</f>
        <v>32</v>
      </c>
      <c r="G478" s="7">
        <f>RAW_GAMES!S478</f>
        <v>31</v>
      </c>
      <c r="H478">
        <f>RAW_GAMES!I478</f>
        <v>1</v>
      </c>
    </row>
    <row r="479" spans="1:8" x14ac:dyDescent="0.25">
      <c r="A479" t="str">
        <f>RAW_GAMES!A479</f>
        <v>25/26</v>
      </c>
      <c r="B479" s="3">
        <f>RAW_GAMES!B479</f>
        <v>46019</v>
      </c>
      <c r="C479" t="str">
        <f>RAW_GAMES!E479</f>
        <v>TRI</v>
      </c>
      <c r="D479" t="str">
        <f>RAW_GAMES!R479</f>
        <v>Mazanec</v>
      </c>
      <c r="F479">
        <f>RAW_GAMES!K479</f>
        <v>29</v>
      </c>
      <c r="G479" s="7">
        <f>RAW_GAMES!S479</f>
        <v>28</v>
      </c>
      <c r="H479">
        <f>RAW_GAMES!I479</f>
        <v>1</v>
      </c>
    </row>
    <row r="480" spans="1:8" x14ac:dyDescent="0.25">
      <c r="A480" t="str">
        <f>RAW_GAMES!A480</f>
        <v>25/26</v>
      </c>
      <c r="B480" s="3">
        <f>RAW_GAMES!B480</f>
        <v>46019</v>
      </c>
      <c r="C480" t="str">
        <f>RAW_GAMES!E480</f>
        <v>KOM</v>
      </c>
      <c r="D480" t="str">
        <f>RAW_GAMES!R480</f>
        <v>Stezka</v>
      </c>
      <c r="F480">
        <f>RAW_GAMES!K480</f>
        <v>27</v>
      </c>
      <c r="G480" s="7">
        <f>RAW_GAMES!S480</f>
        <v>23</v>
      </c>
      <c r="H480">
        <f>RAW_GAMES!I480</f>
        <v>4</v>
      </c>
    </row>
    <row r="481" spans="1:8" x14ac:dyDescent="0.25">
      <c r="A481" t="str">
        <f>RAW_GAMES!A481</f>
        <v>25/26</v>
      </c>
      <c r="B481" s="3">
        <f>RAW_GAMES!B481</f>
        <v>46019</v>
      </c>
      <c r="C481" t="str">
        <f>RAW_GAMES!E481</f>
        <v>CEB</v>
      </c>
      <c r="D481" t="str">
        <f>RAW_GAMES!R481</f>
        <v>Strmeň</v>
      </c>
      <c r="F481">
        <f>RAW_GAMES!K481</f>
        <v>29</v>
      </c>
      <c r="G481" s="7">
        <f>RAW_GAMES!S481</f>
        <v>25</v>
      </c>
      <c r="H481">
        <f>RAW_GAMES!I481</f>
        <v>4</v>
      </c>
    </row>
    <row r="482" spans="1:8" x14ac:dyDescent="0.25">
      <c r="A482" t="str">
        <f>RAW_GAMES!A482</f>
        <v>25/26</v>
      </c>
      <c r="B482" s="3">
        <f>RAW_GAMES!B482</f>
        <v>46019</v>
      </c>
      <c r="C482" t="str">
        <f>RAW_GAMES!E482</f>
        <v>KLA</v>
      </c>
      <c r="D482" t="str">
        <f>RAW_GAMES!R482</f>
        <v>Brízgala</v>
      </c>
      <c r="F482">
        <f>RAW_GAMES!K482</f>
        <v>37</v>
      </c>
      <c r="G482" s="7">
        <f>RAW_GAMES!S482</f>
        <v>34</v>
      </c>
      <c r="H482">
        <f>RAW_GAMES!I482</f>
        <v>3</v>
      </c>
    </row>
    <row r="483" spans="1:8" x14ac:dyDescent="0.25">
      <c r="A483" t="str">
        <f>RAW_GAMES!A483</f>
        <v>25/26</v>
      </c>
      <c r="B483" s="3">
        <f>RAW_GAMES!B483</f>
        <v>46019</v>
      </c>
      <c r="C483" t="str">
        <f>RAW_GAMES!E483</f>
        <v>KVA</v>
      </c>
      <c r="D483" t="str">
        <f>RAW_GAMES!R483</f>
        <v>Frodl</v>
      </c>
      <c r="F483">
        <f>RAW_GAMES!K483</f>
        <v>21</v>
      </c>
      <c r="G483" s="7">
        <f>RAW_GAMES!S483</f>
        <v>19</v>
      </c>
      <c r="H483">
        <f>RAW_GAMES!I483</f>
        <v>2</v>
      </c>
    </row>
    <row r="484" spans="1:8" x14ac:dyDescent="0.25">
      <c r="A484" t="str">
        <f>RAW_GAMES!A484</f>
        <v>25/26</v>
      </c>
      <c r="B484" s="3">
        <f>RAW_GAMES!B484</f>
        <v>46019</v>
      </c>
      <c r="C484" t="str">
        <f>RAW_GAMES!E484</f>
        <v>LIT</v>
      </c>
      <c r="D484" t="str">
        <f>RAW_GAMES!R484</f>
        <v>Tomek</v>
      </c>
      <c r="F484">
        <f>RAW_GAMES!K484</f>
        <v>34</v>
      </c>
      <c r="G484" s="7">
        <f>RAW_GAMES!S484</f>
        <v>33</v>
      </c>
      <c r="H484">
        <f>RAW_GAMES!I484</f>
        <v>1</v>
      </c>
    </row>
    <row r="485" spans="1:8" x14ac:dyDescent="0.25">
      <c r="A485" t="str">
        <f>RAW_GAMES!A485</f>
        <v>25/26</v>
      </c>
      <c r="B485" s="3">
        <f>RAW_GAMES!B485</f>
        <v>46019</v>
      </c>
      <c r="C485" t="str">
        <f>RAW_GAMES!E485</f>
        <v>MBL</v>
      </c>
      <c r="D485" t="str">
        <f>RAW_GAMES!R485</f>
        <v>Mokry</v>
      </c>
      <c r="F485">
        <f>RAW_GAMES!K485</f>
        <v>28</v>
      </c>
      <c r="G485" s="7">
        <f>RAW_GAMES!S485</f>
        <v>26</v>
      </c>
      <c r="H485">
        <f>RAW_GAMES!I485</f>
        <v>2</v>
      </c>
    </row>
    <row r="486" spans="1:8" x14ac:dyDescent="0.25">
      <c r="A486" t="str">
        <f>RAW_GAMES!A486</f>
        <v>25/26</v>
      </c>
      <c r="B486" s="3">
        <f>RAW_GAMES!B486</f>
        <v>46019</v>
      </c>
      <c r="C486" t="str">
        <f>RAW_GAMES!E486</f>
        <v>MHK</v>
      </c>
      <c r="D486" t="str">
        <f>RAW_GAMES!R486</f>
        <v>Škorvánek</v>
      </c>
      <c r="F486">
        <f>RAW_GAMES!K486</f>
        <v>28</v>
      </c>
      <c r="G486" s="7">
        <f>RAW_GAMES!S486</f>
        <v>26</v>
      </c>
      <c r="H486">
        <f>RAW_GAMES!I486</f>
        <v>3</v>
      </c>
    </row>
    <row r="487" spans="1:8" x14ac:dyDescent="0.25">
      <c r="A487" t="str">
        <f>RAW_GAMES!A487</f>
        <v>25/26</v>
      </c>
      <c r="B487" s="3">
        <f>RAW_GAMES!B487</f>
        <v>46019</v>
      </c>
      <c r="C487" t="str">
        <f>RAW_GAMES!E487</f>
        <v>OLO</v>
      </c>
      <c r="D487" t="str">
        <f>RAW_GAMES!R487</f>
        <v>Machovský</v>
      </c>
      <c r="F487">
        <f>RAW_GAMES!K487</f>
        <v>29</v>
      </c>
      <c r="G487" s="7">
        <f>RAW_GAMES!S487</f>
        <v>24</v>
      </c>
      <c r="H487">
        <f>RAW_GAMES!I487</f>
        <v>5</v>
      </c>
    </row>
    <row r="488" spans="1:8" x14ac:dyDescent="0.25">
      <c r="A488" t="str">
        <f>RAW_GAMES!A488</f>
        <v>25/26</v>
      </c>
      <c r="B488" s="3">
        <f>RAW_GAMES!B488</f>
        <v>46019</v>
      </c>
      <c r="C488" t="str">
        <f>RAW_GAMES!E488</f>
        <v>PLZ</v>
      </c>
      <c r="D488" t="str">
        <f>RAW_GAMES!R488</f>
        <v>Malík</v>
      </c>
      <c r="F488">
        <f>RAW_GAMES!K488</f>
        <v>24</v>
      </c>
      <c r="G488" s="7">
        <f>RAW_GAMES!S488</f>
        <v>23</v>
      </c>
      <c r="H488">
        <f>RAW_GAMES!I488</f>
        <v>1</v>
      </c>
    </row>
    <row r="489" spans="1:8" x14ac:dyDescent="0.25">
      <c r="A489" t="str">
        <f>RAW_GAMES!A489</f>
        <v>25/26</v>
      </c>
      <c r="B489" s="3">
        <f>RAW_GAMES!B489</f>
        <v>46019</v>
      </c>
      <c r="C489" t="str">
        <f>RAW_GAMES!E489</f>
        <v>VIT</v>
      </c>
      <c r="D489" t="str">
        <f>RAW_GAMES!R489</f>
        <v>Hrachovina</v>
      </c>
      <c r="F489">
        <f>RAW_GAMES!K489</f>
        <v>26</v>
      </c>
      <c r="G489" s="7">
        <f>RAW_GAMES!S489</f>
        <v>21</v>
      </c>
      <c r="H489">
        <f>RAW_GAMES!I489</f>
        <v>5</v>
      </c>
    </row>
    <row r="490" spans="1:8" x14ac:dyDescent="0.25">
      <c r="A490" t="str">
        <f>RAW_GAMES!A490</f>
        <v>25/26</v>
      </c>
      <c r="B490" s="3">
        <f>RAW_GAMES!B490</f>
        <v>46021</v>
      </c>
      <c r="C490" t="str">
        <f>RAW_GAMES!E490</f>
        <v>PCE</v>
      </c>
      <c r="D490" t="str">
        <f>RAW_GAMES!R490</f>
        <v>Will</v>
      </c>
      <c r="F490">
        <f>RAW_GAMES!K490</f>
        <v>27</v>
      </c>
      <c r="G490" s="7">
        <f>RAW_GAMES!S490</f>
        <v>25</v>
      </c>
      <c r="H490">
        <f>RAW_GAMES!I490</f>
        <v>2</v>
      </c>
    </row>
    <row r="491" spans="1:8" x14ac:dyDescent="0.25">
      <c r="A491" t="str">
        <f>RAW_GAMES!A491</f>
        <v>25/26</v>
      </c>
      <c r="B491" s="3">
        <f>RAW_GAMES!B491</f>
        <v>46021</v>
      </c>
      <c r="C491" t="str">
        <f>RAW_GAMES!E491</f>
        <v>TRI</v>
      </c>
      <c r="D491" t="str">
        <f>RAW_GAMES!R491</f>
        <v>Mazanec</v>
      </c>
      <c r="F491">
        <f>RAW_GAMES!K491</f>
        <v>32</v>
      </c>
      <c r="G491" s="7">
        <f>RAW_GAMES!S491</f>
        <v>29</v>
      </c>
      <c r="H491">
        <f>RAW_GAMES!I491</f>
        <v>3</v>
      </c>
    </row>
    <row r="492" spans="1:8" x14ac:dyDescent="0.25">
      <c r="A492" t="str">
        <f>RAW_GAMES!A492</f>
        <v>25/26</v>
      </c>
      <c r="B492" s="3">
        <f>RAW_GAMES!B492</f>
        <v>46021</v>
      </c>
      <c r="C492" t="str">
        <f>RAW_GAMES!E492</f>
        <v>KOM</v>
      </c>
      <c r="D492" t="str">
        <f>RAW_GAMES!R492</f>
        <v>Stezka</v>
      </c>
      <c r="F492">
        <f>RAW_GAMES!K492</f>
        <v>20</v>
      </c>
      <c r="G492" s="7">
        <f>RAW_GAMES!S492</f>
        <v>17</v>
      </c>
      <c r="H492">
        <f>RAW_GAMES!I492</f>
        <v>4</v>
      </c>
    </row>
    <row r="493" spans="1:8" x14ac:dyDescent="0.25">
      <c r="A493" t="str">
        <f>RAW_GAMES!A493</f>
        <v>25/26</v>
      </c>
      <c r="B493" s="3">
        <f>RAW_GAMES!B493</f>
        <v>46021</v>
      </c>
      <c r="C493" t="str">
        <f>RAW_GAMES!E493</f>
        <v>CEB</v>
      </c>
      <c r="D493" t="str">
        <f>RAW_GAMES!R493</f>
        <v>Strmeň</v>
      </c>
      <c r="F493">
        <f>RAW_GAMES!K493</f>
        <v>21</v>
      </c>
      <c r="G493" s="7">
        <f>RAW_GAMES!S493</f>
        <v>19</v>
      </c>
      <c r="H493">
        <f>RAW_GAMES!I493</f>
        <v>3</v>
      </c>
    </row>
    <row r="494" spans="1:8" x14ac:dyDescent="0.25">
      <c r="A494" t="str">
        <f>RAW_GAMES!A494</f>
        <v>25/26</v>
      </c>
      <c r="B494" s="3">
        <f>RAW_GAMES!B494</f>
        <v>46021</v>
      </c>
      <c r="C494" t="str">
        <f>RAW_GAMES!E494</f>
        <v>KLA</v>
      </c>
      <c r="D494" t="str">
        <f>RAW_GAMES!R494</f>
        <v>Brízgala</v>
      </c>
      <c r="F494">
        <f>RAW_GAMES!K494</f>
        <v>26</v>
      </c>
      <c r="G494" s="7">
        <f>RAW_GAMES!S494</f>
        <v>25</v>
      </c>
      <c r="H494">
        <f>RAW_GAMES!I494</f>
        <v>1</v>
      </c>
    </row>
    <row r="495" spans="1:8" x14ac:dyDescent="0.25">
      <c r="A495" t="str">
        <f>RAW_GAMES!A495</f>
        <v>25/26</v>
      </c>
      <c r="B495" s="3">
        <f>RAW_GAMES!B495</f>
        <v>46021</v>
      </c>
      <c r="C495" t="str">
        <f>RAW_GAMES!E495</f>
        <v>KVA</v>
      </c>
      <c r="D495" t="str">
        <f>RAW_GAMES!R495</f>
        <v>Frodl</v>
      </c>
      <c r="F495">
        <f>RAW_GAMES!K495</f>
        <v>26</v>
      </c>
      <c r="G495" s="7">
        <f>RAW_GAMES!S495</f>
        <v>33</v>
      </c>
      <c r="H495">
        <f>RAW_GAMES!I495</f>
        <v>3</v>
      </c>
    </row>
    <row r="496" spans="1:8" x14ac:dyDescent="0.25">
      <c r="A496" t="str">
        <f>RAW_GAMES!A496</f>
        <v>25/26</v>
      </c>
      <c r="B496" s="3">
        <f>RAW_GAMES!B496</f>
        <v>46021</v>
      </c>
      <c r="C496" t="str">
        <f>RAW_GAMES!E496</f>
        <v>LIB</v>
      </c>
      <c r="D496" t="str">
        <f>RAW_GAMES!R496</f>
        <v>Kváča</v>
      </c>
      <c r="F496">
        <f>RAW_GAMES!K496</f>
        <v>38</v>
      </c>
      <c r="G496" s="7">
        <f>RAW_GAMES!S496</f>
        <v>37</v>
      </c>
      <c r="H496">
        <f>RAW_GAMES!I496</f>
        <v>1</v>
      </c>
    </row>
    <row r="497" spans="1:8" x14ac:dyDescent="0.25">
      <c r="A497" t="str">
        <f>RAW_GAMES!A497</f>
        <v>25/26</v>
      </c>
      <c r="B497" s="3">
        <f>RAW_GAMES!B497</f>
        <v>46021</v>
      </c>
      <c r="C497" t="str">
        <f>RAW_GAMES!E497</f>
        <v>LIT</v>
      </c>
      <c r="D497" t="str">
        <f>RAW_GAMES!R497</f>
        <v>Čajan</v>
      </c>
      <c r="F497">
        <f>RAW_GAMES!K497</f>
        <v>42</v>
      </c>
      <c r="G497" s="7">
        <f>RAW_GAMES!S497</f>
        <v>39</v>
      </c>
      <c r="H497">
        <f>RAW_GAMES!I497</f>
        <v>3</v>
      </c>
    </row>
    <row r="498" spans="1:8" x14ac:dyDescent="0.25">
      <c r="A498" t="str">
        <f>RAW_GAMES!A498</f>
        <v>25/26</v>
      </c>
      <c r="B498" s="3">
        <f>RAW_GAMES!B498</f>
        <v>46021</v>
      </c>
      <c r="C498" t="str">
        <f>RAW_GAMES!E498</f>
        <v>MBL</v>
      </c>
      <c r="D498" t="str">
        <f>RAW_GAMES!R498</f>
        <v>Mokry</v>
      </c>
      <c r="F498">
        <f>RAW_GAMES!K498</f>
        <v>35</v>
      </c>
      <c r="G498" s="7">
        <f>RAW_GAMES!S498</f>
        <v>34</v>
      </c>
      <c r="H498">
        <f>RAW_GAMES!I498</f>
        <v>2</v>
      </c>
    </row>
    <row r="499" spans="1:8" x14ac:dyDescent="0.25">
      <c r="A499" t="str">
        <f>RAW_GAMES!A499</f>
        <v>25/26</v>
      </c>
      <c r="B499" s="3">
        <f>RAW_GAMES!B499</f>
        <v>46021</v>
      </c>
      <c r="C499" t="str">
        <f>RAW_GAMES!E499</f>
        <v>MHK</v>
      </c>
      <c r="D499" t="str">
        <f>RAW_GAMES!R499</f>
        <v>Novotný</v>
      </c>
      <c r="F499">
        <f>RAW_GAMES!K499</f>
        <v>25</v>
      </c>
      <c r="G499" s="7">
        <f>RAW_GAMES!S499</f>
        <v>23</v>
      </c>
      <c r="H499">
        <f>RAW_GAMES!I499</f>
        <v>2</v>
      </c>
    </row>
    <row r="500" spans="1:8" x14ac:dyDescent="0.25">
      <c r="A500" t="str">
        <f>RAW_GAMES!A500</f>
        <v>25/26</v>
      </c>
      <c r="B500" s="3">
        <f>RAW_GAMES!B500</f>
        <v>46021</v>
      </c>
      <c r="C500" t="str">
        <f>RAW_GAMES!E500</f>
        <v>OLO</v>
      </c>
      <c r="D500" t="str">
        <f>RAW_GAMES!R500</f>
        <v>Cichoň</v>
      </c>
      <c r="F500">
        <f>RAW_GAMES!K500</f>
        <v>30</v>
      </c>
      <c r="G500" s="7">
        <f>RAW_GAMES!S500</f>
        <v>27</v>
      </c>
      <c r="H500">
        <f>RAW_GAMES!I500</f>
        <v>3</v>
      </c>
    </row>
    <row r="501" spans="1:8" x14ac:dyDescent="0.25">
      <c r="A501" t="str">
        <f>RAW_GAMES!A501</f>
        <v>25/26</v>
      </c>
      <c r="B501" s="3">
        <f>RAW_GAMES!B501</f>
        <v>46021</v>
      </c>
      <c r="C501" t="str">
        <f>RAW_GAMES!E501</f>
        <v>VIT</v>
      </c>
      <c r="D501" t="str">
        <f>RAW_GAMES!R501</f>
        <v>Hrachovina</v>
      </c>
      <c r="F501">
        <f>RAW_GAMES!K501</f>
        <v>41</v>
      </c>
      <c r="G501" s="7">
        <f>RAW_GAMES!S501</f>
        <v>39</v>
      </c>
      <c r="H501">
        <f>RAW_GAMES!I501</f>
        <v>2</v>
      </c>
    </row>
    <row r="502" spans="1:8" x14ac:dyDescent="0.25">
      <c r="A502" t="str">
        <f>RAW_GAMES!A502</f>
        <v>25/26</v>
      </c>
      <c r="B502" s="3">
        <f>RAW_GAMES!B502</f>
        <v>46024</v>
      </c>
      <c r="C502" t="str">
        <f>RAW_GAMES!E502</f>
        <v>PCE</v>
      </c>
      <c r="D502" t="str">
        <f>RAW_GAMES!R502</f>
        <v>Will</v>
      </c>
      <c r="F502">
        <f>RAW_GAMES!K502</f>
        <v>25</v>
      </c>
      <c r="G502" s="7">
        <f>RAW_GAMES!S502</f>
        <v>22</v>
      </c>
      <c r="H502">
        <f>RAW_GAMES!I502</f>
        <v>3</v>
      </c>
    </row>
    <row r="503" spans="1:8" x14ac:dyDescent="0.25">
      <c r="A503" t="str">
        <f>RAW_GAMES!A503</f>
        <v>25/26</v>
      </c>
      <c r="B503" s="3">
        <f>RAW_GAMES!B503</f>
        <v>46024</v>
      </c>
      <c r="C503" t="str">
        <f>RAW_GAMES!E503</f>
        <v>TRI</v>
      </c>
      <c r="D503" t="str">
        <f>RAW_GAMES!R503</f>
        <v>Mazanec</v>
      </c>
      <c r="F503">
        <f>RAW_GAMES!K503</f>
        <v>32</v>
      </c>
      <c r="G503" s="7">
        <f>RAW_GAMES!S503</f>
        <v>32</v>
      </c>
      <c r="H503">
        <f>RAW_GAMES!I503</f>
        <v>0</v>
      </c>
    </row>
    <row r="504" spans="1:8" x14ac:dyDescent="0.25">
      <c r="A504" t="str">
        <f>RAW_GAMES!A504</f>
        <v>25/26</v>
      </c>
      <c r="B504" s="3">
        <f>RAW_GAMES!B504</f>
        <v>46024</v>
      </c>
      <c r="C504" t="str">
        <f>RAW_GAMES!E504</f>
        <v>KOM</v>
      </c>
      <c r="D504" t="str">
        <f>RAW_GAMES!R504</f>
        <v>Kavan</v>
      </c>
      <c r="F504">
        <f>RAW_GAMES!K504</f>
        <v>28</v>
      </c>
      <c r="G504" s="7">
        <f>RAW_GAMES!S504</f>
        <v>24</v>
      </c>
      <c r="H504">
        <f>RAW_GAMES!I504</f>
        <v>4</v>
      </c>
    </row>
    <row r="505" spans="1:8" x14ac:dyDescent="0.25">
      <c r="A505" t="str">
        <f>RAW_GAMES!A505</f>
        <v>25/26</v>
      </c>
      <c r="B505" s="3">
        <f>RAW_GAMES!B505</f>
        <v>46024</v>
      </c>
      <c r="C505" t="str">
        <f>RAW_GAMES!E505</f>
        <v>CEB</v>
      </c>
      <c r="D505" t="str">
        <f>RAW_GAMES!R505</f>
        <v>Strmeň</v>
      </c>
      <c r="F505">
        <f>RAW_GAMES!K505</f>
        <v>29</v>
      </c>
      <c r="G505" s="7">
        <f>RAW_GAMES!S505</f>
        <v>25</v>
      </c>
      <c r="H505">
        <f>RAW_GAMES!I505</f>
        <v>4</v>
      </c>
    </row>
    <row r="506" spans="1:8" x14ac:dyDescent="0.25">
      <c r="A506" t="str">
        <f>RAW_GAMES!A506</f>
        <v>25/26</v>
      </c>
      <c r="B506" s="3">
        <f>RAW_GAMES!B506</f>
        <v>46024</v>
      </c>
      <c r="C506" t="str">
        <f>RAW_GAMES!E506</f>
        <v>KLA</v>
      </c>
      <c r="D506" t="str">
        <f>RAW_GAMES!R506</f>
        <v>Brízgala</v>
      </c>
      <c r="F506">
        <f>RAW_GAMES!K506</f>
        <v>30</v>
      </c>
      <c r="G506" s="7">
        <f>RAW_GAMES!S506</f>
        <v>28</v>
      </c>
      <c r="H506">
        <f>RAW_GAMES!I506</f>
        <v>2</v>
      </c>
    </row>
    <row r="507" spans="1:8" x14ac:dyDescent="0.25">
      <c r="A507" t="str">
        <f>RAW_GAMES!A507</f>
        <v>25/26</v>
      </c>
      <c r="B507" s="3">
        <f>RAW_GAMES!B507</f>
        <v>46024</v>
      </c>
      <c r="C507" t="str">
        <f>RAW_GAMES!E507</f>
        <v>KVA</v>
      </c>
      <c r="D507" t="str">
        <f>RAW_GAMES!R507</f>
        <v>Král</v>
      </c>
      <c r="F507">
        <f>RAW_GAMES!K507</f>
        <v>31</v>
      </c>
      <c r="G507" s="7">
        <f>RAW_GAMES!S507</f>
        <v>29</v>
      </c>
      <c r="H507">
        <f>RAW_GAMES!I507</f>
        <v>2</v>
      </c>
    </row>
    <row r="508" spans="1:8" x14ac:dyDescent="0.25">
      <c r="A508" t="str">
        <f>RAW_GAMES!A508</f>
        <v>25/26</v>
      </c>
      <c r="B508" s="3">
        <f>RAW_GAMES!B508</f>
        <v>46024</v>
      </c>
      <c r="C508" t="str">
        <f>RAW_GAMES!E508</f>
        <v>LIB</v>
      </c>
      <c r="D508" t="str">
        <f>RAW_GAMES!R508</f>
        <v>Kváča</v>
      </c>
      <c r="F508">
        <f>RAW_GAMES!K508</f>
        <v>40</v>
      </c>
      <c r="G508" s="7">
        <f>RAW_GAMES!S508</f>
        <v>35</v>
      </c>
      <c r="H508">
        <f>RAW_GAMES!I508</f>
        <v>5</v>
      </c>
    </row>
    <row r="509" spans="1:8" x14ac:dyDescent="0.25">
      <c r="A509" t="str">
        <f>RAW_GAMES!A509</f>
        <v>25/26</v>
      </c>
      <c r="B509" s="3">
        <f>RAW_GAMES!B509</f>
        <v>46024</v>
      </c>
      <c r="C509" t="str">
        <f>RAW_GAMES!E509</f>
        <v>LIT</v>
      </c>
      <c r="D509" t="str">
        <f>RAW_GAMES!R509</f>
        <v>Tomek</v>
      </c>
      <c r="F509">
        <f>RAW_GAMES!K509</f>
        <v>34</v>
      </c>
      <c r="G509" s="7">
        <f>RAW_GAMES!S509</f>
        <v>26</v>
      </c>
      <c r="H509">
        <f>RAW_GAMES!I509</f>
        <v>8</v>
      </c>
    </row>
    <row r="510" spans="1:8" x14ac:dyDescent="0.25">
      <c r="A510" t="str">
        <f>RAW_GAMES!A510</f>
        <v>25/26</v>
      </c>
      <c r="B510" s="3">
        <f>RAW_GAMES!B510</f>
        <v>46024</v>
      </c>
      <c r="C510" t="str">
        <f>RAW_GAMES!E510</f>
        <v>MBL</v>
      </c>
      <c r="D510" t="str">
        <f>RAW_GAMES!R510</f>
        <v>Furch</v>
      </c>
      <c r="F510">
        <f>RAW_GAMES!K510</f>
        <v>35</v>
      </c>
      <c r="G510" s="7">
        <f>RAW_GAMES!S510</f>
        <v>33</v>
      </c>
      <c r="H510">
        <f>RAW_GAMES!I510</f>
        <v>2</v>
      </c>
    </row>
    <row r="511" spans="1:8" x14ac:dyDescent="0.25">
      <c r="A511" t="str">
        <f>RAW_GAMES!A511</f>
        <v>25/26</v>
      </c>
      <c r="B511" s="3">
        <f>RAW_GAMES!B511</f>
        <v>46024</v>
      </c>
      <c r="C511" t="str">
        <f>RAW_GAMES!E511</f>
        <v>OLO</v>
      </c>
      <c r="D511" t="str">
        <f>RAW_GAMES!R511</f>
        <v>Cichoň</v>
      </c>
      <c r="F511">
        <f>RAW_GAMES!K511</f>
        <v>30</v>
      </c>
      <c r="G511" s="7">
        <f>RAW_GAMES!S511</f>
        <v>27</v>
      </c>
      <c r="H511">
        <f>RAW_GAMES!I511</f>
        <v>3</v>
      </c>
    </row>
    <row r="512" spans="1:8" x14ac:dyDescent="0.25">
      <c r="A512" t="str">
        <f>RAW_GAMES!A512</f>
        <v>25/26</v>
      </c>
      <c r="B512" s="3">
        <f>RAW_GAMES!B512</f>
        <v>46024</v>
      </c>
      <c r="C512" t="str">
        <f>RAW_GAMES!E512</f>
        <v>PLZ</v>
      </c>
      <c r="D512" t="str">
        <f>RAW_GAMES!R512</f>
        <v>Malík</v>
      </c>
      <c r="F512">
        <f>RAW_GAMES!K512</f>
        <v>23</v>
      </c>
      <c r="G512" s="7">
        <f>RAW_GAMES!S512</f>
        <v>22</v>
      </c>
      <c r="H512">
        <f>RAW_GAMES!I512</f>
        <v>1</v>
      </c>
    </row>
    <row r="513" spans="1:8" x14ac:dyDescent="0.25">
      <c r="A513" t="str">
        <f>RAW_GAMES!A513</f>
        <v>25/26</v>
      </c>
      <c r="B513" s="3">
        <f>RAW_GAMES!B513</f>
        <v>46024</v>
      </c>
      <c r="C513" t="str">
        <f>RAW_GAMES!E513</f>
        <v>VIT</v>
      </c>
      <c r="D513" t="str">
        <f>RAW_GAMES!R513</f>
        <v>Hrachovina</v>
      </c>
      <c r="F513">
        <f>RAW_GAMES!K513</f>
        <v>26</v>
      </c>
      <c r="G513" s="7">
        <f>RAW_GAMES!S513</f>
        <v>26</v>
      </c>
      <c r="H513">
        <f>RAW_GAMES!I513</f>
        <v>2</v>
      </c>
    </row>
    <row r="514" spans="1:8" x14ac:dyDescent="0.25">
      <c r="A514" t="str">
        <f>RAW_GAMES!A514</f>
        <v>25/26</v>
      </c>
      <c r="B514" s="3">
        <f>RAW_GAMES!B514</f>
        <v>46026</v>
      </c>
      <c r="C514" t="str">
        <f>RAW_GAMES!E514</f>
        <v>PCE</v>
      </c>
      <c r="D514" t="str">
        <f>RAW_GAMES!R514</f>
        <v>Will</v>
      </c>
      <c r="F514">
        <f>RAW_GAMES!K514</f>
        <v>21</v>
      </c>
      <c r="G514" s="7">
        <f>RAW_GAMES!S514</f>
        <v>20</v>
      </c>
      <c r="H514">
        <f>RAW_GAMES!I514</f>
        <v>1</v>
      </c>
    </row>
    <row r="515" spans="1:8" x14ac:dyDescent="0.25">
      <c r="A515" t="str">
        <f>RAW_GAMES!A515</f>
        <v>25/26</v>
      </c>
      <c r="B515" s="3">
        <f>RAW_GAMES!B515</f>
        <v>46026</v>
      </c>
      <c r="C515" t="str">
        <f>RAW_GAMES!E515</f>
        <v>TRI</v>
      </c>
      <c r="D515" t="str">
        <f>RAW_GAMES!R515</f>
        <v>Mazanec</v>
      </c>
      <c r="F515">
        <f>RAW_GAMES!K515</f>
        <v>24</v>
      </c>
      <c r="G515" s="7">
        <f>RAW_GAMES!S515</f>
        <v>22</v>
      </c>
      <c r="H515">
        <f>RAW_GAMES!I515</f>
        <v>2</v>
      </c>
    </row>
    <row r="516" spans="1:8" x14ac:dyDescent="0.25">
      <c r="A516" t="str">
        <f>RAW_GAMES!A516</f>
        <v>25/26</v>
      </c>
      <c r="B516" s="3">
        <f>RAW_GAMES!B516</f>
        <v>46026</v>
      </c>
      <c r="C516" t="str">
        <f>RAW_GAMES!E516</f>
        <v>SPA</v>
      </c>
      <c r="D516" t="str">
        <f>RAW_GAMES!R516</f>
        <v>Kořenář</v>
      </c>
      <c r="F516">
        <f>RAW_GAMES!K516</f>
        <v>33</v>
      </c>
      <c r="G516" s="7">
        <f>RAW_GAMES!S516</f>
        <v>28</v>
      </c>
      <c r="H516">
        <f>RAW_GAMES!I516</f>
        <v>5</v>
      </c>
    </row>
    <row r="517" spans="1:8" x14ac:dyDescent="0.25">
      <c r="A517" t="str">
        <f>RAW_GAMES!A517</f>
        <v>25/26</v>
      </c>
      <c r="B517" s="3">
        <f>RAW_GAMES!B517</f>
        <v>46026</v>
      </c>
      <c r="C517" t="str">
        <f>RAW_GAMES!E517</f>
        <v>KOM</v>
      </c>
      <c r="D517" t="str">
        <f>RAW_GAMES!R517</f>
        <v>Kavan</v>
      </c>
      <c r="F517">
        <f>RAW_GAMES!K517</f>
        <v>25</v>
      </c>
      <c r="G517" s="7">
        <f>RAW_GAMES!S517</f>
        <v>22</v>
      </c>
      <c r="H517">
        <f>RAW_GAMES!I517</f>
        <v>3</v>
      </c>
    </row>
    <row r="518" spans="1:8" x14ac:dyDescent="0.25">
      <c r="A518" t="str">
        <f>RAW_GAMES!A518</f>
        <v>25/26</v>
      </c>
      <c r="B518" s="3">
        <f>RAW_GAMES!B518</f>
        <v>46026</v>
      </c>
      <c r="C518" t="str">
        <f>RAW_GAMES!E518</f>
        <v>CEB</v>
      </c>
      <c r="D518" t="str">
        <f>RAW_GAMES!R518</f>
        <v>Klouček</v>
      </c>
      <c r="F518">
        <f>RAW_GAMES!K518</f>
        <v>30</v>
      </c>
      <c r="G518" s="7">
        <f>RAW_GAMES!S518</f>
        <v>29</v>
      </c>
      <c r="H518">
        <f>RAW_GAMES!I518</f>
        <v>1</v>
      </c>
    </row>
    <row r="519" spans="1:8" x14ac:dyDescent="0.25">
      <c r="A519" t="str">
        <f>RAW_GAMES!A519</f>
        <v>25/26</v>
      </c>
      <c r="B519" s="3">
        <f>RAW_GAMES!B519</f>
        <v>46026</v>
      </c>
      <c r="C519" t="str">
        <f>RAW_GAMES!E519</f>
        <v>KLA</v>
      </c>
      <c r="D519" t="str">
        <f>RAW_GAMES!R519</f>
        <v>Brízgala</v>
      </c>
      <c r="F519">
        <f>RAW_GAMES!K519</f>
        <v>38</v>
      </c>
      <c r="G519" s="7">
        <f>RAW_GAMES!S519</f>
        <v>34</v>
      </c>
      <c r="H519">
        <f>RAW_GAMES!I519</f>
        <v>4</v>
      </c>
    </row>
    <row r="520" spans="1:8" x14ac:dyDescent="0.25">
      <c r="A520" t="str">
        <f>RAW_GAMES!A520</f>
        <v>25/26</v>
      </c>
      <c r="B520" s="3">
        <f>RAW_GAMES!B520</f>
        <v>46026</v>
      </c>
      <c r="C520" t="str">
        <f>RAW_GAMES!E520</f>
        <v>KVA</v>
      </c>
      <c r="D520" t="str">
        <f>RAW_GAMES!R520</f>
        <v>Frodl</v>
      </c>
      <c r="F520">
        <f>RAW_GAMES!K520</f>
        <v>38</v>
      </c>
      <c r="G520" s="7">
        <f>RAW_GAMES!S520</f>
        <v>36</v>
      </c>
      <c r="H520">
        <f>RAW_GAMES!I520</f>
        <v>2</v>
      </c>
    </row>
    <row r="521" spans="1:8" x14ac:dyDescent="0.25">
      <c r="A521" t="str">
        <f>RAW_GAMES!A521</f>
        <v>25/26</v>
      </c>
      <c r="B521" s="3">
        <f>RAW_GAMES!B521</f>
        <v>46026</v>
      </c>
      <c r="C521" t="str">
        <f>RAW_GAMES!E521</f>
        <v>LIB</v>
      </c>
      <c r="D521" t="str">
        <f>RAW_GAMES!R521</f>
        <v>Lukeš</v>
      </c>
      <c r="F521">
        <f>RAW_GAMES!K521</f>
        <v>23</v>
      </c>
      <c r="G521" s="7">
        <f>RAW_GAMES!S521</f>
        <v>23</v>
      </c>
      <c r="H521">
        <f>RAW_GAMES!I521</f>
        <v>0</v>
      </c>
    </row>
    <row r="522" spans="1:8" x14ac:dyDescent="0.25">
      <c r="A522" t="str">
        <f>RAW_GAMES!A522</f>
        <v>25/26</v>
      </c>
      <c r="B522" s="3">
        <f>RAW_GAMES!B522</f>
        <v>46026</v>
      </c>
      <c r="C522" t="str">
        <f>RAW_GAMES!E522</f>
        <v>LIT</v>
      </c>
      <c r="D522" t="str">
        <f>RAW_GAMES!R522</f>
        <v>Čajan</v>
      </c>
      <c r="F522">
        <f>RAW_GAMES!K522</f>
        <v>26</v>
      </c>
      <c r="G522" s="7">
        <f>RAW_GAMES!S522</f>
        <v>23</v>
      </c>
      <c r="H522">
        <f>RAW_GAMES!I522</f>
        <v>3</v>
      </c>
    </row>
    <row r="523" spans="1:8" x14ac:dyDescent="0.25">
      <c r="A523" t="str">
        <f>RAW_GAMES!A523</f>
        <v>25/26</v>
      </c>
      <c r="B523" s="3">
        <f>RAW_GAMES!B523</f>
        <v>46026</v>
      </c>
      <c r="C523" t="str">
        <f>RAW_GAMES!E523</f>
        <v>MBL</v>
      </c>
      <c r="D523" t="str">
        <f>RAW_GAMES!R523</f>
        <v>Furch</v>
      </c>
      <c r="F523">
        <f>RAW_GAMES!K523</f>
        <v>38</v>
      </c>
      <c r="G523" s="7">
        <f>RAW_GAMES!S523</f>
        <v>32</v>
      </c>
      <c r="H523">
        <f>RAW_GAMES!I523</f>
        <v>6</v>
      </c>
    </row>
    <row r="524" spans="1:8" x14ac:dyDescent="0.25">
      <c r="A524" t="str">
        <f>RAW_GAMES!A524</f>
        <v>25/26</v>
      </c>
      <c r="B524" s="3">
        <f>RAW_GAMES!B524</f>
        <v>46026</v>
      </c>
      <c r="C524" t="str">
        <f>RAW_GAMES!E524</f>
        <v>MHK</v>
      </c>
      <c r="D524" t="str">
        <f>RAW_GAMES!R524</f>
        <v>Škorvánek</v>
      </c>
      <c r="F524">
        <f>RAW_GAMES!K524</f>
        <v>24</v>
      </c>
      <c r="G524" s="7">
        <f>RAW_GAMES!S524</f>
        <v>22</v>
      </c>
      <c r="H524">
        <f>RAW_GAMES!I524</f>
        <v>2</v>
      </c>
    </row>
    <row r="525" spans="1:8" x14ac:dyDescent="0.25">
      <c r="A525" t="str">
        <f>RAW_GAMES!A525</f>
        <v>25/26</v>
      </c>
      <c r="B525" s="3">
        <f>RAW_GAMES!B525</f>
        <v>46026</v>
      </c>
      <c r="C525" t="str">
        <f>RAW_GAMES!E525</f>
        <v>OLO</v>
      </c>
      <c r="D525" t="str">
        <f>RAW_GAMES!R525</f>
        <v>Cichoň</v>
      </c>
      <c r="F525">
        <f>RAW_GAMES!K525</f>
        <v>26</v>
      </c>
      <c r="G525" s="7">
        <f>RAW_GAMES!S525</f>
        <v>24</v>
      </c>
      <c r="H525">
        <f>RAW_GAMES!I525</f>
        <v>2</v>
      </c>
    </row>
    <row r="526" spans="1:8" x14ac:dyDescent="0.25">
      <c r="A526" t="str">
        <f>RAW_GAMES!A526</f>
        <v>25/26</v>
      </c>
      <c r="B526" s="3">
        <f>RAW_GAMES!B526</f>
        <v>46026</v>
      </c>
      <c r="C526" t="str">
        <f>RAW_GAMES!E526</f>
        <v>PLZ</v>
      </c>
      <c r="D526" t="str">
        <f>RAW_GAMES!R526</f>
        <v>Malík</v>
      </c>
      <c r="F526">
        <f>RAW_GAMES!K526</f>
        <v>16</v>
      </c>
      <c r="G526" s="7">
        <f>RAW_GAMES!S526</f>
        <v>14</v>
      </c>
      <c r="H526">
        <f>RAW_GAMES!I526</f>
        <v>2</v>
      </c>
    </row>
    <row r="527" spans="1:8" x14ac:dyDescent="0.25">
      <c r="A527" t="str">
        <f>RAW_GAMES!A527</f>
        <v>25/26</v>
      </c>
      <c r="B527" s="3">
        <f>RAW_GAMES!B527</f>
        <v>46026</v>
      </c>
      <c r="C527" t="str">
        <f>RAW_GAMES!E527</f>
        <v>VIT</v>
      </c>
      <c r="D527" t="str">
        <f>RAW_GAMES!R527</f>
        <v>Hrachovina</v>
      </c>
      <c r="F527">
        <f>RAW_GAMES!K527</f>
        <v>38</v>
      </c>
      <c r="G527" s="7">
        <f>RAW_GAMES!S527</f>
        <v>34</v>
      </c>
      <c r="H527">
        <f>RAW_GAMES!I527</f>
        <v>4</v>
      </c>
    </row>
    <row r="528" spans="1:8" x14ac:dyDescent="0.25">
      <c r="A528" t="str">
        <f>RAW_GAMES!A528</f>
        <v>25/26</v>
      </c>
      <c r="B528" s="3">
        <f>RAW_GAMES!B528</f>
        <v>46028</v>
      </c>
      <c r="C528" t="str">
        <f>RAW_GAMES!E528</f>
        <v>PCE</v>
      </c>
      <c r="D528" t="str">
        <f>RAW_GAMES!R528</f>
        <v>Will</v>
      </c>
      <c r="F528">
        <f>RAW_GAMES!K528</f>
        <v>31</v>
      </c>
      <c r="G528" s="7">
        <f>RAW_GAMES!S528</f>
        <v>29</v>
      </c>
      <c r="H528">
        <f>RAW_GAMES!I528</f>
        <v>2</v>
      </c>
    </row>
    <row r="529" spans="1:8" x14ac:dyDescent="0.25">
      <c r="A529" t="str">
        <f>RAW_GAMES!A529</f>
        <v>25/26</v>
      </c>
      <c r="B529" s="3">
        <f>RAW_GAMES!B529</f>
        <v>46028</v>
      </c>
      <c r="C529" t="str">
        <f>RAW_GAMES!E529</f>
        <v>SPA</v>
      </c>
      <c r="D529" t="str">
        <f>RAW_GAMES!R529</f>
        <v>Kovář</v>
      </c>
      <c r="F529">
        <f>RAW_GAMES!K529</f>
        <v>33</v>
      </c>
      <c r="G529" s="7">
        <f>RAW_GAMES!S529</f>
        <v>30</v>
      </c>
      <c r="H529">
        <f>RAW_GAMES!I529</f>
        <v>3</v>
      </c>
    </row>
    <row r="530" spans="1:8" x14ac:dyDescent="0.25">
      <c r="A530" t="str">
        <f>RAW_GAMES!A530</f>
        <v>25/26</v>
      </c>
      <c r="B530" s="3">
        <f>RAW_GAMES!B530</f>
        <v>46028</v>
      </c>
      <c r="C530" t="str">
        <f>RAW_GAMES!E530</f>
        <v>KOM</v>
      </c>
      <c r="D530" t="str">
        <f>RAW_GAMES!R530</f>
        <v>Stezka</v>
      </c>
      <c r="F530">
        <f>RAW_GAMES!K530</f>
        <v>23</v>
      </c>
      <c r="G530" s="7">
        <f>RAW_GAMES!S530</f>
        <v>20</v>
      </c>
      <c r="H530">
        <f>RAW_GAMES!I530</f>
        <v>3</v>
      </c>
    </row>
    <row r="531" spans="1:8" x14ac:dyDescent="0.25">
      <c r="A531" t="str">
        <f>RAW_GAMES!A531</f>
        <v>25/26</v>
      </c>
      <c r="B531" s="3">
        <f>RAW_GAMES!B531</f>
        <v>46028</v>
      </c>
      <c r="C531" t="str">
        <f>RAW_GAMES!E531</f>
        <v>KLA</v>
      </c>
      <c r="D531" t="str">
        <f>RAW_GAMES!R531</f>
        <v>Brízgala</v>
      </c>
      <c r="F531">
        <f>RAW_GAMES!K531</f>
        <v>26</v>
      </c>
      <c r="G531" s="7">
        <f>RAW_GAMES!S531</f>
        <v>22</v>
      </c>
      <c r="H531">
        <f>RAW_GAMES!I531</f>
        <v>4</v>
      </c>
    </row>
    <row r="532" spans="1:8" x14ac:dyDescent="0.25">
      <c r="A532" t="str">
        <f>RAW_GAMES!A532</f>
        <v>25/26</v>
      </c>
      <c r="B532" s="3">
        <f>RAW_GAMES!B532</f>
        <v>46028</v>
      </c>
      <c r="C532" t="str">
        <f>RAW_GAMES!E532</f>
        <v>LIT</v>
      </c>
      <c r="D532" t="str">
        <f>RAW_GAMES!R532</f>
        <v>Čajan</v>
      </c>
      <c r="F532">
        <f>RAW_GAMES!K532</f>
        <v>31</v>
      </c>
      <c r="G532" s="7">
        <f>RAW_GAMES!S532</f>
        <v>30</v>
      </c>
      <c r="H532">
        <f>RAW_GAMES!I532</f>
        <v>1</v>
      </c>
    </row>
    <row r="533" spans="1:8" x14ac:dyDescent="0.25">
      <c r="A533" t="str">
        <f>RAW_GAMES!A533</f>
        <v>25/26</v>
      </c>
      <c r="B533" s="3">
        <f>RAW_GAMES!B533</f>
        <v>46028</v>
      </c>
      <c r="C533" t="str">
        <f>RAW_GAMES!E533</f>
        <v>OLO</v>
      </c>
      <c r="D533" t="str">
        <f>RAW_GAMES!R533</f>
        <v>Cichoň</v>
      </c>
      <c r="F533">
        <f>RAW_GAMES!K533</f>
        <v>35</v>
      </c>
      <c r="G533" s="7">
        <f>RAW_GAMES!S533</f>
        <v>33</v>
      </c>
      <c r="H533">
        <f>RAW_GAMES!I533</f>
        <v>2</v>
      </c>
    </row>
    <row r="534" spans="1:8" x14ac:dyDescent="0.25">
      <c r="A534" t="str">
        <f>RAW_GAMES!A534</f>
        <v>25/26</v>
      </c>
      <c r="B534" s="3">
        <f>RAW_GAMES!B534</f>
        <v>46028</v>
      </c>
      <c r="C534" t="str">
        <f>RAW_GAMES!E534</f>
        <v>PLZ</v>
      </c>
      <c r="D534" t="str">
        <f>RAW_GAMES!R534</f>
        <v>Růžička</v>
      </c>
      <c r="F534">
        <f>RAW_GAMES!K534</f>
        <v>24</v>
      </c>
      <c r="G534" s="7">
        <f>RAW_GAMES!S534</f>
        <v>20</v>
      </c>
      <c r="H534">
        <f>RAW_GAMES!I534</f>
        <v>4</v>
      </c>
    </row>
    <row r="535" spans="1:8" x14ac:dyDescent="0.25">
      <c r="A535" t="str">
        <f>RAW_GAMES!A535</f>
        <v>25/26</v>
      </c>
      <c r="B535" s="3">
        <f>RAW_GAMES!B535</f>
        <v>46028</v>
      </c>
      <c r="C535" t="str">
        <f>RAW_GAMES!E535</f>
        <v>VIT</v>
      </c>
      <c r="D535" t="str">
        <f>RAW_GAMES!R535</f>
        <v>Hrachovina</v>
      </c>
      <c r="F535">
        <f>RAW_GAMES!K535</f>
        <v>32</v>
      </c>
      <c r="G535" s="7">
        <f>RAW_GAMES!S535</f>
        <v>26</v>
      </c>
      <c r="H535">
        <f>RAW_GAMES!I535</f>
        <v>6</v>
      </c>
    </row>
    <row r="536" spans="1:8" x14ac:dyDescent="0.25">
      <c r="A536" t="str">
        <f>RAW_GAMES!A536</f>
        <v>25/26</v>
      </c>
      <c r="B536" s="3">
        <f>RAW_GAMES!B536</f>
        <v>46029</v>
      </c>
      <c r="C536" t="str">
        <f>RAW_GAMES!E536</f>
        <v>TRI</v>
      </c>
      <c r="D536" t="str">
        <f>RAW_GAMES!R536</f>
        <v>Mazanec</v>
      </c>
      <c r="F536">
        <f>RAW_GAMES!K536</f>
        <v>26</v>
      </c>
      <c r="G536" s="7">
        <f>RAW_GAMES!S536</f>
        <v>23</v>
      </c>
      <c r="H536">
        <f>RAW_GAMES!I536</f>
        <v>3</v>
      </c>
    </row>
    <row r="537" spans="1:8" x14ac:dyDescent="0.25">
      <c r="A537" t="str">
        <f>RAW_GAMES!A537</f>
        <v>25/26</v>
      </c>
      <c r="B537" s="3">
        <f>RAW_GAMES!B537</f>
        <v>46029</v>
      </c>
      <c r="C537" t="str">
        <f>RAW_GAMES!E537</f>
        <v>KVA</v>
      </c>
      <c r="D537" t="str">
        <f>RAW_GAMES!R537</f>
        <v>Frodl</v>
      </c>
      <c r="F537">
        <f>RAW_GAMES!K537</f>
        <v>30</v>
      </c>
      <c r="G537" s="7">
        <f>RAW_GAMES!S537</f>
        <v>24</v>
      </c>
      <c r="H537">
        <f>RAW_GAMES!I537</f>
        <v>6</v>
      </c>
    </row>
    <row r="538" spans="1:8" x14ac:dyDescent="0.25">
      <c r="A538" t="str">
        <f>RAW_GAMES!A538</f>
        <v>25/26</v>
      </c>
      <c r="B538" s="3">
        <f>RAW_GAMES!B538</f>
        <v>46031</v>
      </c>
      <c r="C538" t="str">
        <f>RAW_GAMES!E538</f>
        <v>PCE</v>
      </c>
      <c r="D538" t="str">
        <f>RAW_GAMES!R538</f>
        <v>Will</v>
      </c>
      <c r="F538">
        <f>RAW_GAMES!K538</f>
        <v>34</v>
      </c>
      <c r="G538" s="7">
        <f>RAW_GAMES!S538</f>
        <v>31</v>
      </c>
      <c r="H538">
        <f>RAW_GAMES!I538</f>
        <v>4</v>
      </c>
    </row>
    <row r="539" spans="1:8" x14ac:dyDescent="0.25">
      <c r="A539" t="str">
        <f>RAW_GAMES!A539</f>
        <v>25/26</v>
      </c>
      <c r="B539" s="3">
        <f>RAW_GAMES!B539</f>
        <v>46031</v>
      </c>
      <c r="C539" t="str">
        <f>RAW_GAMES!E539</f>
        <v>TRI</v>
      </c>
      <c r="D539" t="str">
        <f>RAW_GAMES!R539</f>
        <v>Mazanec</v>
      </c>
      <c r="F539">
        <f>RAW_GAMES!K539</f>
        <v>23</v>
      </c>
      <c r="G539" s="7">
        <f>RAW_GAMES!S539</f>
        <v>19</v>
      </c>
      <c r="H539">
        <f>RAW_GAMES!I539</f>
        <v>4</v>
      </c>
    </row>
    <row r="540" spans="1:8" x14ac:dyDescent="0.25">
      <c r="A540" t="str">
        <f>RAW_GAMES!A540</f>
        <v>25/26</v>
      </c>
      <c r="B540" s="3">
        <f>RAW_GAMES!B540</f>
        <v>46031</v>
      </c>
      <c r="C540" t="str">
        <f>RAW_GAMES!E540</f>
        <v>KOM</v>
      </c>
      <c r="D540" t="str">
        <f>RAW_GAMES!R540</f>
        <v>Stezka</v>
      </c>
      <c r="F540">
        <f>RAW_GAMES!K540</f>
        <v>22</v>
      </c>
      <c r="G540" s="7">
        <f>RAW_GAMES!S540</f>
        <v>20</v>
      </c>
      <c r="H540">
        <f>RAW_GAMES!I540</f>
        <v>2</v>
      </c>
    </row>
    <row r="541" spans="1:8" x14ac:dyDescent="0.25">
      <c r="A541" t="str">
        <f>RAW_GAMES!A541</f>
        <v>25/26</v>
      </c>
      <c r="B541" s="3">
        <f>RAW_GAMES!B541</f>
        <v>46031</v>
      </c>
      <c r="C541" t="str">
        <f>RAW_GAMES!E541</f>
        <v>KLA</v>
      </c>
      <c r="D541" t="str">
        <f>RAW_GAMES!R541</f>
        <v>Brízgala</v>
      </c>
      <c r="F541">
        <f>RAW_GAMES!K541</f>
        <v>21</v>
      </c>
      <c r="G541" s="7">
        <f>RAW_GAMES!S541</f>
        <v>20</v>
      </c>
      <c r="H541">
        <f>RAW_GAMES!I541</f>
        <v>1</v>
      </c>
    </row>
    <row r="542" spans="1:8" x14ac:dyDescent="0.25">
      <c r="A542" t="str">
        <f>RAW_GAMES!A542</f>
        <v>25/26</v>
      </c>
      <c r="B542" s="3">
        <f>RAW_GAMES!B542</f>
        <v>46031</v>
      </c>
      <c r="C542" t="str">
        <f>RAW_GAMES!E542</f>
        <v>KVA</v>
      </c>
      <c r="D542" t="str">
        <f>RAW_GAMES!R542</f>
        <v>Král</v>
      </c>
      <c r="F542">
        <f>RAW_GAMES!K542</f>
        <v>30</v>
      </c>
      <c r="G542" s="7">
        <f>RAW_GAMES!S542</f>
        <v>27</v>
      </c>
      <c r="H542">
        <f>RAW_GAMES!I542</f>
        <v>3</v>
      </c>
    </row>
    <row r="543" spans="1:8" x14ac:dyDescent="0.25">
      <c r="A543" t="str">
        <f>RAW_GAMES!A543</f>
        <v>25/26</v>
      </c>
      <c r="B543" s="3">
        <f>RAW_GAMES!B543</f>
        <v>46031</v>
      </c>
      <c r="C543" t="str">
        <f>RAW_GAMES!E543</f>
        <v>LIB</v>
      </c>
      <c r="D543" t="str">
        <f>RAW_GAMES!R543</f>
        <v>Kváča</v>
      </c>
      <c r="F543">
        <f>RAW_GAMES!K543</f>
        <v>26</v>
      </c>
      <c r="G543" s="7">
        <f>RAW_GAMES!S543</f>
        <v>24</v>
      </c>
      <c r="H543">
        <f>RAW_GAMES!I543</f>
        <v>2</v>
      </c>
    </row>
    <row r="544" spans="1:8" x14ac:dyDescent="0.25">
      <c r="A544" t="str">
        <f>RAW_GAMES!A544</f>
        <v>25/26</v>
      </c>
      <c r="B544" s="3">
        <f>RAW_GAMES!B544</f>
        <v>46031</v>
      </c>
      <c r="C544" t="str">
        <f>RAW_GAMES!E544</f>
        <v>LIT</v>
      </c>
      <c r="D544" t="str">
        <f>RAW_GAMES!R544</f>
        <v>Tomek</v>
      </c>
      <c r="F544">
        <f>RAW_GAMES!K544</f>
        <v>41</v>
      </c>
      <c r="G544" s="7">
        <f>RAW_GAMES!S544</f>
        <v>34</v>
      </c>
      <c r="H544">
        <f>RAW_GAMES!I544</f>
        <v>7</v>
      </c>
    </row>
    <row r="545" spans="1:8" x14ac:dyDescent="0.25">
      <c r="A545" t="str">
        <f>RAW_GAMES!A545</f>
        <v>25/26</v>
      </c>
      <c r="B545" s="3">
        <f>RAW_GAMES!B545</f>
        <v>46031</v>
      </c>
      <c r="C545" t="str">
        <f>RAW_GAMES!E545</f>
        <v>MBL</v>
      </c>
      <c r="D545" t="str">
        <f>RAW_GAMES!R545</f>
        <v>Furch</v>
      </c>
      <c r="F545">
        <f>RAW_GAMES!K545</f>
        <v>19</v>
      </c>
      <c r="G545" s="7">
        <f>RAW_GAMES!S545</f>
        <v>14</v>
      </c>
      <c r="H545">
        <f>RAW_GAMES!I545</f>
        <v>5</v>
      </c>
    </row>
    <row r="546" spans="1:8" x14ac:dyDescent="0.25">
      <c r="A546" t="str">
        <f>RAW_GAMES!A546</f>
        <v>25/26</v>
      </c>
      <c r="B546" s="3">
        <f>RAW_GAMES!B546</f>
        <v>46031</v>
      </c>
      <c r="C546" t="str">
        <f>RAW_GAMES!E546</f>
        <v>MHK</v>
      </c>
      <c r="D546" t="str">
        <f>RAW_GAMES!R546</f>
        <v>Škorvánek</v>
      </c>
      <c r="F546">
        <f>RAW_GAMES!K546</f>
        <v>29</v>
      </c>
      <c r="G546" s="7">
        <f>RAW_GAMES!S546</f>
        <v>26</v>
      </c>
      <c r="H546">
        <f>RAW_GAMES!I546</f>
        <v>3</v>
      </c>
    </row>
    <row r="547" spans="1:8" x14ac:dyDescent="0.25">
      <c r="A547" t="str">
        <f>RAW_GAMES!A547</f>
        <v>25/26</v>
      </c>
      <c r="B547" s="3">
        <f>RAW_GAMES!B547</f>
        <v>46031</v>
      </c>
      <c r="C547" t="str">
        <f>RAW_GAMES!E547</f>
        <v>OLO</v>
      </c>
      <c r="D547" t="str">
        <f>RAW_GAMES!R547</f>
        <v>Machovský</v>
      </c>
      <c r="F547">
        <f>RAW_GAMES!K547</f>
        <v>18</v>
      </c>
      <c r="G547" s="7">
        <f>RAW_GAMES!S547</f>
        <v>17</v>
      </c>
      <c r="H547">
        <f>RAW_GAMES!I547</f>
        <v>1</v>
      </c>
    </row>
    <row r="548" spans="1:8" x14ac:dyDescent="0.25">
      <c r="A548" t="str">
        <f>RAW_GAMES!A548</f>
        <v>25/26</v>
      </c>
      <c r="B548" s="3">
        <f>RAW_GAMES!B548</f>
        <v>46031</v>
      </c>
      <c r="C548" t="str">
        <f>RAW_GAMES!E548</f>
        <v>PLZ</v>
      </c>
      <c r="D548" t="str">
        <f>RAW_GAMES!R548</f>
        <v>Malík</v>
      </c>
      <c r="F548">
        <f>RAW_GAMES!K548</f>
        <v>28</v>
      </c>
      <c r="G548" s="7">
        <f>RAW_GAMES!S548</f>
        <v>26</v>
      </c>
      <c r="H548">
        <f>RAW_GAMES!I548</f>
        <v>3</v>
      </c>
    </row>
    <row r="549" spans="1:8" x14ac:dyDescent="0.25">
      <c r="A549" t="str">
        <f>RAW_GAMES!A549</f>
        <v>25/26</v>
      </c>
      <c r="B549" s="3">
        <f>RAW_GAMES!B549</f>
        <v>46031</v>
      </c>
      <c r="C549" t="str">
        <f>RAW_GAMES!E549</f>
        <v>VIT</v>
      </c>
      <c r="D549" t="str">
        <f>RAW_GAMES!R549</f>
        <v>Hrachovina</v>
      </c>
      <c r="F549">
        <f>RAW_GAMES!K549</f>
        <v>27</v>
      </c>
      <c r="G549" s="7">
        <f>RAW_GAMES!S549</f>
        <v>23</v>
      </c>
      <c r="H549">
        <f>RAW_GAMES!I549</f>
        <v>4</v>
      </c>
    </row>
    <row r="550" spans="1:8" x14ac:dyDescent="0.25">
      <c r="A550" t="str">
        <f>RAW_GAMES!A550</f>
        <v>25/26</v>
      </c>
      <c r="B550" s="3">
        <f>RAW_GAMES!B550</f>
        <v>46033</v>
      </c>
      <c r="C550" t="str">
        <f>RAW_GAMES!E550</f>
        <v>PCE</v>
      </c>
      <c r="D550" t="str">
        <f>RAW_GAMES!R550</f>
        <v>Will</v>
      </c>
      <c r="F550">
        <f>RAW_GAMES!K550</f>
        <v>26</v>
      </c>
      <c r="G550" s="7">
        <f>RAW_GAMES!S550</f>
        <v>25</v>
      </c>
      <c r="H550">
        <f>RAW_GAMES!I550</f>
        <v>1</v>
      </c>
    </row>
    <row r="551" spans="1:8" x14ac:dyDescent="0.25">
      <c r="A551" t="str">
        <f>RAW_GAMES!A551</f>
        <v>25/26</v>
      </c>
      <c r="B551" s="3">
        <f>RAW_GAMES!B551</f>
        <v>46033</v>
      </c>
      <c r="C551" t="str">
        <f>RAW_GAMES!E551</f>
        <v>TRI</v>
      </c>
      <c r="D551" t="str">
        <f>RAW_GAMES!R551</f>
        <v>Kacetl</v>
      </c>
      <c r="F551">
        <f>RAW_GAMES!K551</f>
        <v>32</v>
      </c>
      <c r="G551" s="7">
        <f>RAW_GAMES!S551</f>
        <v>29</v>
      </c>
      <c r="H551">
        <f>RAW_GAMES!I551</f>
        <v>3</v>
      </c>
    </row>
    <row r="552" spans="1:8" x14ac:dyDescent="0.25">
      <c r="A552" t="str">
        <f>RAW_GAMES!A552</f>
        <v>25/26</v>
      </c>
      <c r="B552" s="3">
        <f>RAW_GAMES!B552</f>
        <v>46033</v>
      </c>
      <c r="C552" t="str">
        <f>RAW_GAMES!E552</f>
        <v>SPA</v>
      </c>
      <c r="D552" t="str">
        <f>RAW_GAMES!R552</f>
        <v>Kovář</v>
      </c>
      <c r="F552">
        <f>RAW_GAMES!K552</f>
        <v>33</v>
      </c>
      <c r="G552" s="7">
        <f>RAW_GAMES!S552</f>
        <v>28</v>
      </c>
      <c r="H552">
        <f>RAW_GAMES!I552</f>
        <v>5</v>
      </c>
    </row>
    <row r="553" spans="1:8" x14ac:dyDescent="0.25">
      <c r="A553" t="str">
        <f>RAW_GAMES!A553</f>
        <v>25/26</v>
      </c>
      <c r="B553" s="3">
        <f>RAW_GAMES!B553</f>
        <v>46033</v>
      </c>
      <c r="C553" t="str">
        <f>RAW_GAMES!E553</f>
        <v>KOM</v>
      </c>
      <c r="D553" t="str">
        <f>RAW_GAMES!R553</f>
        <v>Stezka</v>
      </c>
      <c r="F553">
        <f>RAW_GAMES!K553</f>
        <v>22</v>
      </c>
      <c r="G553" s="7">
        <f>RAW_GAMES!S553</f>
        <v>20</v>
      </c>
      <c r="H553">
        <f>RAW_GAMES!I553</f>
        <v>2</v>
      </c>
    </row>
    <row r="554" spans="1:8" x14ac:dyDescent="0.25">
      <c r="A554" t="str">
        <f>RAW_GAMES!A554</f>
        <v>25/26</v>
      </c>
      <c r="B554" s="3">
        <f>RAW_GAMES!B554</f>
        <v>46033</v>
      </c>
      <c r="C554" t="str">
        <f>RAW_GAMES!E554</f>
        <v>CEB</v>
      </c>
      <c r="D554" t="str">
        <f>RAW_GAMES!R554</f>
        <v>Klouček</v>
      </c>
      <c r="F554">
        <f>RAW_GAMES!K554</f>
        <v>18</v>
      </c>
      <c r="G554" s="7">
        <f>RAW_GAMES!S554</f>
        <v>17</v>
      </c>
      <c r="H554">
        <f>RAW_GAMES!I554</f>
        <v>1</v>
      </c>
    </row>
    <row r="555" spans="1:8" x14ac:dyDescent="0.25">
      <c r="A555" t="str">
        <f>RAW_GAMES!A555</f>
        <v>25/26</v>
      </c>
      <c r="B555" s="3">
        <f>RAW_GAMES!B555</f>
        <v>46033</v>
      </c>
      <c r="C555" t="str">
        <f>RAW_GAMES!E555</f>
        <v>KLA</v>
      </c>
      <c r="D555" t="str">
        <f>RAW_GAMES!R555</f>
        <v>Brízgala</v>
      </c>
      <c r="F555">
        <f>RAW_GAMES!K555</f>
        <v>24</v>
      </c>
      <c r="G555" s="7">
        <f>RAW_GAMES!S555</f>
        <v>23</v>
      </c>
      <c r="H555">
        <f>RAW_GAMES!I555</f>
        <v>1</v>
      </c>
    </row>
    <row r="556" spans="1:8" x14ac:dyDescent="0.25">
      <c r="A556" t="str">
        <f>RAW_GAMES!A556</f>
        <v>25/26</v>
      </c>
      <c r="B556" s="3">
        <f>RAW_GAMES!B556</f>
        <v>46033</v>
      </c>
      <c r="C556" t="str">
        <f>RAW_GAMES!E556</f>
        <v>KVA</v>
      </c>
      <c r="D556" t="str">
        <f>RAW_GAMES!R556</f>
        <v>Frodl</v>
      </c>
      <c r="F556">
        <f>RAW_GAMES!K556</f>
        <v>18</v>
      </c>
      <c r="G556" s="7">
        <f>RAW_GAMES!S556</f>
        <v>15</v>
      </c>
      <c r="H556">
        <f>RAW_GAMES!I556</f>
        <v>4</v>
      </c>
    </row>
    <row r="557" spans="1:8" x14ac:dyDescent="0.25">
      <c r="A557" t="str">
        <f>RAW_GAMES!A557</f>
        <v>25/26</v>
      </c>
      <c r="B557" s="3">
        <f>RAW_GAMES!B557</f>
        <v>46033</v>
      </c>
      <c r="C557" t="str">
        <f>RAW_GAMES!E557</f>
        <v>LIB</v>
      </c>
      <c r="D557" t="str">
        <f>RAW_GAMES!R557</f>
        <v>Kváča</v>
      </c>
      <c r="F557">
        <f>RAW_GAMES!K557</f>
        <v>22</v>
      </c>
      <c r="G557" s="7">
        <f>RAW_GAMES!S557</f>
        <v>21</v>
      </c>
      <c r="H557">
        <f>RAW_GAMES!I557</f>
        <v>2</v>
      </c>
    </row>
    <row r="558" spans="1:8" x14ac:dyDescent="0.25">
      <c r="A558" t="str">
        <f>RAW_GAMES!A558</f>
        <v>25/26</v>
      </c>
      <c r="B558" s="3">
        <f>RAW_GAMES!B558</f>
        <v>46033</v>
      </c>
      <c r="C558" t="str">
        <f>RAW_GAMES!E558</f>
        <v>LIT</v>
      </c>
      <c r="D558" t="str">
        <f>RAW_GAMES!R558</f>
        <v>Čajan</v>
      </c>
      <c r="F558">
        <f>RAW_GAMES!K558</f>
        <v>41</v>
      </c>
      <c r="G558" s="7">
        <f>RAW_GAMES!S558</f>
        <v>41</v>
      </c>
      <c r="H558">
        <f>RAW_GAMES!I558</f>
        <v>3</v>
      </c>
    </row>
    <row r="559" spans="1:8" x14ac:dyDescent="0.25">
      <c r="A559" t="str">
        <f>RAW_GAMES!A559</f>
        <v>25/26</v>
      </c>
      <c r="B559" s="3">
        <f>RAW_GAMES!B559</f>
        <v>46033</v>
      </c>
      <c r="C559" t="str">
        <f>RAW_GAMES!E559</f>
        <v>MBL</v>
      </c>
      <c r="D559" t="str">
        <f>RAW_GAMES!R559</f>
        <v>Mokry</v>
      </c>
      <c r="F559">
        <f>RAW_GAMES!K559</f>
        <v>32</v>
      </c>
      <c r="G559" s="7">
        <f>RAW_GAMES!S559</f>
        <v>29</v>
      </c>
      <c r="H559">
        <f>RAW_GAMES!I559</f>
        <v>3</v>
      </c>
    </row>
    <row r="560" spans="1:8" x14ac:dyDescent="0.25">
      <c r="A560" t="str">
        <f>RAW_GAMES!A560</f>
        <v>25/26</v>
      </c>
      <c r="B560" s="3">
        <f>RAW_GAMES!B560</f>
        <v>46033</v>
      </c>
      <c r="C560" t="str">
        <f>RAW_GAMES!E560</f>
        <v>MHK</v>
      </c>
      <c r="D560" t="str">
        <f>RAW_GAMES!R560</f>
        <v>Škorvánek</v>
      </c>
      <c r="F560">
        <f>RAW_GAMES!K560</f>
        <v>29</v>
      </c>
      <c r="G560" s="7">
        <f>RAW_GAMES!S560</f>
        <v>24</v>
      </c>
      <c r="H560">
        <f>RAW_GAMES!I560</f>
        <v>5</v>
      </c>
    </row>
    <row r="561" spans="1:8" x14ac:dyDescent="0.25">
      <c r="A561" t="str">
        <f>RAW_GAMES!A561</f>
        <v>25/26</v>
      </c>
      <c r="B561" s="3">
        <f>RAW_GAMES!B561</f>
        <v>46033</v>
      </c>
      <c r="C561" t="str">
        <f>RAW_GAMES!E561</f>
        <v>VIT</v>
      </c>
      <c r="D561" t="str">
        <f>RAW_GAMES!R561</f>
        <v>Klimeš</v>
      </c>
      <c r="F561">
        <f>RAW_GAMES!K561</f>
        <v>43</v>
      </c>
      <c r="G561" s="7">
        <f>RAW_GAMES!S561</f>
        <v>35</v>
      </c>
      <c r="H561">
        <f>RAW_GAMES!I561</f>
        <v>8</v>
      </c>
    </row>
    <row r="562" spans="1:8" x14ac:dyDescent="0.25">
      <c r="A562" t="str">
        <f>RAW_GAMES!A562</f>
        <v>25/26</v>
      </c>
      <c r="B562" s="3">
        <f>RAW_GAMES!B562</f>
        <v>46034</v>
      </c>
      <c r="C562" t="str">
        <f>RAW_GAMES!E562</f>
        <v>OLO</v>
      </c>
      <c r="D562" t="str">
        <f>RAW_GAMES!R562</f>
        <v>Machovský</v>
      </c>
      <c r="F562">
        <f>RAW_GAMES!K562</f>
        <v>24</v>
      </c>
      <c r="G562" s="7">
        <f>RAW_GAMES!S562</f>
        <v>21</v>
      </c>
      <c r="H562">
        <f>RAW_GAMES!I562</f>
        <v>3</v>
      </c>
    </row>
    <row r="563" spans="1:8" x14ac:dyDescent="0.25">
      <c r="A563" t="str">
        <f>RAW_GAMES!A563</f>
        <v>25/26</v>
      </c>
      <c r="B563" s="3">
        <f>RAW_GAMES!B563</f>
        <v>46034</v>
      </c>
      <c r="C563" t="str">
        <f>RAW_GAMES!E563</f>
        <v>PLZ</v>
      </c>
      <c r="D563" t="str">
        <f>RAW_GAMES!R563</f>
        <v>Malík</v>
      </c>
      <c r="F563">
        <f>RAW_GAMES!K563</f>
        <v>18</v>
      </c>
      <c r="G563" s="7">
        <f>RAW_GAMES!S563</f>
        <v>16</v>
      </c>
      <c r="H563">
        <f>RAW_GAMES!I563</f>
        <v>2</v>
      </c>
    </row>
    <row r="564" spans="1:8" x14ac:dyDescent="0.25">
      <c r="A564" t="str">
        <f>RAW_GAMES!A564</f>
        <v>25/26</v>
      </c>
      <c r="B564" s="3">
        <f>RAW_GAMES!B564</f>
        <v>46035</v>
      </c>
      <c r="C564" t="str">
        <f>RAW_GAMES!E564</f>
        <v>SPA</v>
      </c>
      <c r="D564" t="str">
        <f>RAW_GAMES!R564</f>
        <v>Kořenář</v>
      </c>
      <c r="F564">
        <f>RAW_GAMES!K564</f>
        <v>19</v>
      </c>
      <c r="G564" s="7">
        <f>RAW_GAMES!S564</f>
        <v>18</v>
      </c>
      <c r="H564">
        <f>RAW_GAMES!I564</f>
        <v>1</v>
      </c>
    </row>
    <row r="565" spans="1:8" x14ac:dyDescent="0.25">
      <c r="A565" t="str">
        <f>RAW_GAMES!A565</f>
        <v>25/26</v>
      </c>
      <c r="B565" s="3">
        <f>RAW_GAMES!B565</f>
        <v>46035</v>
      </c>
      <c r="C565" t="str">
        <f>RAW_GAMES!E565</f>
        <v>CEB</v>
      </c>
      <c r="D565" t="str">
        <f>RAW_GAMES!R565</f>
        <v>Klouček</v>
      </c>
      <c r="F565">
        <f>RAW_GAMES!K565</f>
        <v>35</v>
      </c>
      <c r="G565" s="7">
        <f>RAW_GAMES!S565</f>
        <v>29</v>
      </c>
      <c r="H565">
        <f>RAW_GAMES!I565</f>
        <v>6</v>
      </c>
    </row>
    <row r="566" spans="1:8" x14ac:dyDescent="0.25">
      <c r="A566" t="str">
        <f>RAW_GAMES!A566</f>
        <v>25/26</v>
      </c>
      <c r="B566" s="3">
        <f>RAW_GAMES!B566</f>
        <v>46035</v>
      </c>
      <c r="C566" t="str">
        <f>RAW_GAMES!E566</f>
        <v>LIB</v>
      </c>
      <c r="D566" t="str">
        <f>RAW_GAMES!R566</f>
        <v>Lukeš</v>
      </c>
      <c r="F566">
        <f>RAW_GAMES!K566</f>
        <v>29</v>
      </c>
      <c r="G566" s="7">
        <f>RAW_GAMES!S566</f>
        <v>26</v>
      </c>
      <c r="H566">
        <f>RAW_GAMES!I566</f>
        <v>3</v>
      </c>
    </row>
    <row r="567" spans="1:8" x14ac:dyDescent="0.25">
      <c r="A567" t="str">
        <f>RAW_GAMES!A567</f>
        <v>25/26</v>
      </c>
      <c r="B567" s="3">
        <f>RAW_GAMES!B567</f>
        <v>46035</v>
      </c>
      <c r="C567" t="str">
        <f>RAW_GAMES!E567</f>
        <v>LIT</v>
      </c>
      <c r="D567" t="str">
        <f>RAW_GAMES!R567</f>
        <v>Čajan</v>
      </c>
      <c r="F567">
        <f>RAW_GAMES!K567</f>
        <v>29</v>
      </c>
      <c r="G567" s="7">
        <f>RAW_GAMES!S567</f>
        <v>24</v>
      </c>
      <c r="H567">
        <f>RAW_GAMES!I567</f>
        <v>5</v>
      </c>
    </row>
    <row r="568" spans="1:8" x14ac:dyDescent="0.25">
      <c r="A568" t="str">
        <f>RAW_GAMES!A568</f>
        <v>25/26</v>
      </c>
      <c r="B568" s="3">
        <f>RAW_GAMES!B568</f>
        <v>46035</v>
      </c>
      <c r="C568" t="str">
        <f>RAW_GAMES!E568</f>
        <v>MBL</v>
      </c>
      <c r="D568" t="str">
        <f>RAW_GAMES!R568</f>
        <v>Mokry</v>
      </c>
      <c r="F568">
        <f>RAW_GAMES!K568</f>
        <v>26</v>
      </c>
      <c r="G568" s="7">
        <f>RAW_GAMES!S568</f>
        <v>26</v>
      </c>
      <c r="H568">
        <f>RAW_GAMES!I568</f>
        <v>0</v>
      </c>
    </row>
    <row r="569" spans="1:8" x14ac:dyDescent="0.25">
      <c r="A569" t="str">
        <f>RAW_GAMES!A569</f>
        <v>25/26</v>
      </c>
      <c r="B569" s="3">
        <f>RAW_GAMES!B569</f>
        <v>46035</v>
      </c>
      <c r="C569" t="str">
        <f>RAW_GAMES!E569</f>
        <v>MHK</v>
      </c>
      <c r="D569" t="str">
        <f>RAW_GAMES!R569</f>
        <v>Novotný</v>
      </c>
      <c r="F569">
        <f>RAW_GAMES!K569</f>
        <v>29</v>
      </c>
      <c r="G569" s="7">
        <f>RAW_GAMES!S569</f>
        <v>27</v>
      </c>
      <c r="H569">
        <f>RAW_GAMES!I569</f>
        <v>2</v>
      </c>
    </row>
    <row r="570" spans="1:8" x14ac:dyDescent="0.25">
      <c r="A570" t="str">
        <f>RAW_GAMES!A570</f>
        <v>25/26</v>
      </c>
      <c r="B570" s="3">
        <f>RAW_GAMES!B570</f>
        <v>46037</v>
      </c>
      <c r="C570" t="str">
        <f>RAW_GAMES!E570</f>
        <v>SPA</v>
      </c>
      <c r="D570" t="str">
        <f>RAW_GAMES!R570</f>
        <v>Kořenář</v>
      </c>
      <c r="F570">
        <f>RAW_GAMES!K570</f>
        <v>24</v>
      </c>
      <c r="G570" s="7">
        <f>RAW_GAMES!S570</f>
        <v>21</v>
      </c>
      <c r="H570">
        <f>RAW_GAMES!I570</f>
        <v>3</v>
      </c>
    </row>
    <row r="571" spans="1:8" x14ac:dyDescent="0.25">
      <c r="A571" t="str">
        <f>RAW_GAMES!A571</f>
        <v>25/26</v>
      </c>
      <c r="B571" s="3">
        <f>RAW_GAMES!B571</f>
        <v>46037</v>
      </c>
      <c r="C571" t="str">
        <f>RAW_GAMES!E571</f>
        <v>KOM</v>
      </c>
      <c r="D571" t="str">
        <f>RAW_GAMES!R571</f>
        <v>Stezka</v>
      </c>
      <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Descent="0.25">
      <c r="A572" t="str">
        <f>RAW_GAMES!A572</f>
        <v>25/26</v>
      </c>
      <c r="B572" s="3">
        <f>RAW_GAMES!B572</f>
        <v>46038</v>
      </c>
      <c r="C572" t="str">
        <f>RAW_GAMES!E572</f>
        <v>PCE</v>
      </c>
      <c r="D572" t="str">
        <f>RAW_GAMES!R572</f>
        <v>Will</v>
      </c>
      <c r="F572">
        <f>RAW_GAMES!K572</f>
        <v>15</v>
      </c>
      <c r="G572" s="7">
        <f>RAW_GAMES!S572</f>
        <v>11</v>
      </c>
      <c r="H572">
        <f>RAW_GAMES!I572</f>
        <v>4</v>
      </c>
    </row>
    <row r="573" spans="1:8" x14ac:dyDescent="0.25">
      <c r="A573" t="str">
        <f>RAW_GAMES!A573</f>
        <v>25/26</v>
      </c>
      <c r="B573" s="3">
        <f>RAW_GAMES!B573</f>
        <v>46038</v>
      </c>
      <c r="C573" t="str">
        <f>RAW_GAMES!E573</f>
        <v>TRI</v>
      </c>
      <c r="D573" t="str">
        <f>RAW_GAMES!R573</f>
        <v>Kacetl</v>
      </c>
      <c r="F573">
        <f>RAW_GAMES!K573</f>
        <v>23</v>
      </c>
      <c r="G573" s="7">
        <f>RAW_GAMES!S573</f>
        <v>18</v>
      </c>
      <c r="H573">
        <f>RAW_GAMES!I573</f>
        <v>5</v>
      </c>
    </row>
    <row r="574" spans="1:8" x14ac:dyDescent="0.25">
      <c r="A574" t="str">
        <f>RAW_GAMES!A574</f>
        <v>25/26</v>
      </c>
      <c r="B574" s="3">
        <f>RAW_GAMES!B574</f>
        <v>46038</v>
      </c>
      <c r="C574" t="str">
        <f>RAW_GAMES!E574</f>
        <v>CEB</v>
      </c>
      <c r="D574" t="str">
        <f>RAW_GAMES!R574</f>
        <v>Klouček</v>
      </c>
      <c r="F574">
        <f>RAW_GAMES!K574</f>
        <v>29</v>
      </c>
      <c r="G574" s="7">
        <f>RAW_GAMES!S574</f>
        <v>28</v>
      </c>
      <c r="H574">
        <f>RAW_GAMES!I574</f>
        <v>1</v>
      </c>
    </row>
    <row r="575" spans="1:8" x14ac:dyDescent="0.25">
      <c r="A575" t="str">
        <f>RAW_GAMES!A575</f>
        <v>25/26</v>
      </c>
      <c r="B575" s="3">
        <f>RAW_GAMES!B575</f>
        <v>46038</v>
      </c>
      <c r="C575" t="str">
        <f>RAW_GAMES!E575</f>
        <v>KLA</v>
      </c>
      <c r="D575" t="str">
        <f>RAW_GAMES!R575</f>
        <v>Brízgala</v>
      </c>
      <c r="F575">
        <f>RAW_GAMES!K575</f>
        <v>31</v>
      </c>
      <c r="G575" s="7">
        <f>RAW_GAMES!S575</f>
        <v>30</v>
      </c>
      <c r="H575">
        <f>RAW_GAMES!I575</f>
        <v>1</v>
      </c>
    </row>
    <row r="576" spans="1:8" x14ac:dyDescent="0.25">
      <c r="A576" t="str">
        <f>RAW_GAMES!A576</f>
        <v>25/26</v>
      </c>
      <c r="B576" s="3">
        <f>RAW_GAMES!B576</f>
        <v>46038</v>
      </c>
      <c r="C576" t="str">
        <f>RAW_GAMES!E576</f>
        <v>KVA</v>
      </c>
      <c r="D576" t="str">
        <f>RAW_GAMES!R576</f>
        <v>Král</v>
      </c>
      <c r="F576">
        <f>RAW_GAMES!K576</f>
        <v>24</v>
      </c>
      <c r="G576" s="7">
        <f>RAW_GAMES!S576</f>
        <v>23</v>
      </c>
      <c r="H576">
        <f>RAW_GAMES!I576</f>
        <v>1</v>
      </c>
    </row>
    <row r="577" spans="1:8" x14ac:dyDescent="0.25">
      <c r="A577" t="str">
        <f>RAW_GAMES!A577</f>
        <v>25/26</v>
      </c>
      <c r="B577" s="3">
        <f>RAW_GAMES!B577</f>
        <v>46038</v>
      </c>
      <c r="C577" t="str">
        <f>RAW_GAMES!E577</f>
        <v>LIB</v>
      </c>
      <c r="D577" t="str">
        <f>RAW_GAMES!R577</f>
        <v>Kváča</v>
      </c>
      <c r="F577">
        <f>RAW_GAMES!K577</f>
        <v>35</v>
      </c>
      <c r="G577" s="7">
        <f>RAW_GAMES!S577</f>
        <v>32</v>
      </c>
      <c r="H577">
        <f>RAW_GAMES!I577</f>
        <v>3</v>
      </c>
    </row>
    <row r="578" spans="1:8" x14ac:dyDescent="0.25">
      <c r="A578" t="str">
        <f>RAW_GAMES!A578</f>
        <v>25/26</v>
      </c>
      <c r="B578" s="3">
        <f>RAW_GAMES!B578</f>
        <v>46038</v>
      </c>
      <c r="C578" t="str">
        <f>RAW_GAMES!E578</f>
        <v>LIT</v>
      </c>
      <c r="D578" t="str">
        <f>RAW_GAMES!R578</f>
        <v>Tomek</v>
      </c>
      <c r="F578">
        <f>RAW_GAMES!K578</f>
        <v>29</v>
      </c>
      <c r="G578" s="7">
        <f>RAW_GAMES!S578</f>
        <v>25</v>
      </c>
      <c r="H578">
        <f>RAW_GAMES!I578</f>
        <v>4</v>
      </c>
    </row>
    <row r="579" spans="1:8" x14ac:dyDescent="0.25">
      <c r="A579" t="str">
        <f>RAW_GAMES!A579</f>
        <v>25/26</v>
      </c>
      <c r="B579" s="3">
        <f>RAW_GAMES!B579</f>
        <v>46038</v>
      </c>
      <c r="C579" t="str">
        <f>RAW_GAMES!E579</f>
        <v>MBL</v>
      </c>
      <c r="D579" t="str">
        <f>RAW_GAMES!R579</f>
        <v>Furch</v>
      </c>
      <c r="F579">
        <f>RAW_GAMES!K579</f>
        <v>32</v>
      </c>
      <c r="G579" s="7">
        <f>RAW_GAMES!S579</f>
        <v>31</v>
      </c>
      <c r="H579">
        <f>RAW_GAMES!I579</f>
        <v>2</v>
      </c>
    </row>
    <row r="580" spans="1:8" x14ac:dyDescent="0.25">
      <c r="A580" t="str">
        <f>RAW_GAMES!A580</f>
        <v>25/26</v>
      </c>
      <c r="B580" s="3">
        <f>RAW_GAMES!B580</f>
        <v>46038</v>
      </c>
      <c r="C580" t="str">
        <f>RAW_GAMES!E580</f>
        <v>MHK</v>
      </c>
      <c r="D580" t="str">
        <f>RAW_GAMES!R580</f>
        <v>Škorvánek</v>
      </c>
      <c r="F580">
        <f>RAW_GAMES!K580</f>
        <v>26</v>
      </c>
      <c r="G580" s="7">
        <f>RAW_GAMES!S580</f>
        <v>26</v>
      </c>
      <c r="H580">
        <f>RAW_GAMES!I580</f>
        <v>0</v>
      </c>
    </row>
    <row r="581" spans="1:8" x14ac:dyDescent="0.25">
      <c r="A581" t="str">
        <f>RAW_GAMES!A581</f>
        <v>25/26</v>
      </c>
      <c r="B581" s="3">
        <f>RAW_GAMES!B581</f>
        <v>46038</v>
      </c>
      <c r="C581" t="str">
        <f>RAW_GAMES!E581</f>
        <v>OLO</v>
      </c>
      <c r="D581" t="str">
        <f>RAW_GAMES!R581</f>
        <v>Machovský</v>
      </c>
      <c r="F581">
        <f>RAW_GAMES!K581</f>
        <v>35</v>
      </c>
      <c r="G581" s="7">
        <f>RAW_GAMES!S581</f>
        <v>30</v>
      </c>
      <c r="H581">
        <f>RAW_GAMES!I581</f>
        <v>5</v>
      </c>
    </row>
    <row r="582" spans="1:8" x14ac:dyDescent="0.25">
      <c r="A582" t="str">
        <f>RAW_GAMES!A582</f>
        <v>25/26</v>
      </c>
      <c r="B582" s="3">
        <f>RAW_GAMES!B582</f>
        <v>46038</v>
      </c>
      <c r="C582" t="str">
        <f>RAW_GAMES!E582</f>
        <v>PLZ</v>
      </c>
      <c r="D582" t="str">
        <f>RAW_GAMES!R582</f>
        <v>Růžička</v>
      </c>
      <c r="F582">
        <f>RAW_GAMES!K582</f>
        <v>22</v>
      </c>
      <c r="G582" s="7">
        <f>RAW_GAMES!S582</f>
        <v>17</v>
      </c>
      <c r="H582">
        <f>RAW_GAMES!I582</f>
        <v>5</v>
      </c>
    </row>
    <row r="583" spans="1:8" x14ac:dyDescent="0.25">
      <c r="A583" t="str">
        <f>RAW_GAMES!A583</f>
        <v>25/26</v>
      </c>
      <c r="B583" s="3">
        <f>RAW_GAMES!B583</f>
        <v>46038</v>
      </c>
      <c r="C583" t="str">
        <f>RAW_GAMES!E583</f>
        <v>VIT</v>
      </c>
      <c r="D583" t="str">
        <f>RAW_GAMES!R583</f>
        <v>Hrachovina</v>
      </c>
      <c r="F583">
        <f>RAW_GAMES!K583</f>
        <v>28</v>
      </c>
      <c r="G583" s="7">
        <f>RAW_GAMES!S583</f>
        <v>27</v>
      </c>
      <c r="H583">
        <f>RAW_GAMES!I583</f>
        <v>1</v>
      </c>
    </row>
    <row r="584" spans="1:8" x14ac:dyDescent="0.25">
      <c r="A584" t="str">
        <f>RAW_GAMES!A584</f>
        <v>25/26</v>
      </c>
      <c r="B584" s="3">
        <f>RAW_GAMES!B584</f>
        <v>46040</v>
      </c>
      <c r="C584" t="str">
        <f>RAW_GAMES!E584</f>
        <v>PCE</v>
      </c>
      <c r="D584" t="str">
        <f>RAW_GAMES!R584</f>
        <v>Will</v>
      </c>
      <c r="F584">
        <f>RAW_GAMES!K584</f>
        <v>29</v>
      </c>
      <c r="G584" s="7">
        <f>RAW_GAMES!S584</f>
        <v>28</v>
      </c>
      <c r="H584">
        <f>RAW_GAMES!I584</f>
        <v>1</v>
      </c>
    </row>
    <row r="585" spans="1:8" x14ac:dyDescent="0.25">
      <c r="A585" t="str">
        <f>RAW_GAMES!A585</f>
        <v>25/26</v>
      </c>
      <c r="B585" s="3">
        <f>RAW_GAMES!B585</f>
        <v>46040</v>
      </c>
      <c r="C585" t="str">
        <f>RAW_GAMES!E585</f>
        <v>TRI</v>
      </c>
      <c r="D585" t="str">
        <f>RAW_GAMES!R585</f>
        <v>Mazanec</v>
      </c>
      <c r="F585">
        <f>RAW_GAMES!K585</f>
        <v>25</v>
      </c>
      <c r="G585" s="7">
        <f>RAW_GAMES!S585</f>
        <v>22</v>
      </c>
      <c r="H585">
        <f>RAW_GAMES!I585</f>
        <v>4</v>
      </c>
    </row>
    <row r="586" spans="1:8" x14ac:dyDescent="0.25">
      <c r="A586" t="str">
        <f>RAW_GAMES!A586</f>
        <v>25/26</v>
      </c>
      <c r="B586" s="3">
        <f>RAW_GAMES!B586</f>
        <v>46040</v>
      </c>
      <c r="C586" t="str">
        <f>RAW_GAMES!E586</f>
        <v>KOM</v>
      </c>
      <c r="D586" t="str">
        <f>RAW_GAMES!R586</f>
        <v>Stezka</v>
      </c>
      <c r="F586">
        <f>RAW_GAMES!K586</f>
        <v>27</v>
      </c>
      <c r="G586" s="7">
        <f>RAW_GAMES!S586</f>
        <v>25</v>
      </c>
      <c r="H586">
        <f>RAW_GAMES!I586</f>
        <v>2</v>
      </c>
    </row>
    <row r="587" spans="1:8" x14ac:dyDescent="0.25">
      <c r="A587" t="str">
        <f>RAW_GAMES!A587</f>
        <v>25/26</v>
      </c>
      <c r="B587" s="3">
        <f>RAW_GAMES!B587</f>
        <v>46040</v>
      </c>
      <c r="C587" t="str">
        <f>RAW_GAMES!E587</f>
        <v>CEB</v>
      </c>
      <c r="D587" t="str">
        <f>RAW_GAMES!R587</f>
        <v>Klouček</v>
      </c>
      <c r="F587">
        <f>RAW_GAMES!K587</f>
        <v>24</v>
      </c>
      <c r="G587" s="7">
        <f>RAW_GAMES!S587</f>
        <v>19</v>
      </c>
      <c r="H587">
        <f>RAW_GAMES!I587</f>
        <v>5</v>
      </c>
    </row>
    <row r="588" spans="1:8" x14ac:dyDescent="0.25">
      <c r="A588" t="str">
        <f>RAW_GAMES!A588</f>
        <v>25/26</v>
      </c>
      <c r="B588" s="3">
        <f>RAW_GAMES!B588</f>
        <v>46040</v>
      </c>
      <c r="C588" t="str">
        <f>RAW_GAMES!E588</f>
        <v>KLA</v>
      </c>
      <c r="D588" t="str">
        <f>RAW_GAMES!R588</f>
        <v>Brízgala</v>
      </c>
      <c r="F588">
        <f>RAW_GAMES!K588</f>
        <v>17</v>
      </c>
      <c r="G588" s="7">
        <f>RAW_GAMES!S588</f>
        <v>17</v>
      </c>
      <c r="H588">
        <f>RAW_GAMES!I588</f>
        <v>0</v>
      </c>
    </row>
    <row r="589" spans="1:8" x14ac:dyDescent="0.25">
      <c r="A589" t="str">
        <f>RAW_GAMES!A589</f>
        <v>25/26</v>
      </c>
      <c r="B589" s="3">
        <f>RAW_GAMES!B589</f>
        <v>46040</v>
      </c>
      <c r="C589" t="str">
        <f>RAW_GAMES!E589</f>
        <v>SPA</v>
      </c>
      <c r="D589" t="str">
        <f>RAW_GAMES!R589</f>
        <v>Kovář</v>
      </c>
      <c r="F589">
        <f>RAW_GAMES!K589</f>
        <v>33</v>
      </c>
      <c r="G589" s="7">
        <f>RAW_GAMES!S589</f>
        <v>30</v>
      </c>
      <c r="H589">
        <f>RAW_GAMES!I589</f>
        <v>3</v>
      </c>
    </row>
    <row r="590" spans="1:8" x14ac:dyDescent="0.25">
      <c r="A590" t="str">
        <f>RAW_GAMES!A590</f>
        <v>25/26</v>
      </c>
      <c r="B590" s="3">
        <f>RAW_GAMES!B590</f>
        <v>46040</v>
      </c>
      <c r="C590" t="str">
        <f>RAW_GAMES!E590</f>
        <v>KVA</v>
      </c>
      <c r="D590" t="str">
        <f>RAW_GAMES!R590</f>
        <v>Král</v>
      </c>
      <c r="F590">
        <f>RAW_GAMES!K590</f>
        <v>34</v>
      </c>
      <c r="G590" s="7">
        <f>RAW_GAMES!S590</f>
        <v>31</v>
      </c>
      <c r="H590">
        <f>RAW_GAMES!I590</f>
        <v>4</v>
      </c>
    </row>
    <row r="591" spans="1:8" x14ac:dyDescent="0.25">
      <c r="A591" t="str">
        <f>RAW_GAMES!A591</f>
        <v>25/26</v>
      </c>
      <c r="B591" s="3">
        <f>RAW_GAMES!B591</f>
        <v>46040</v>
      </c>
      <c r="C591" t="str">
        <f>RAW_GAMES!E591</f>
        <v>LIB</v>
      </c>
      <c r="D591" t="str">
        <f>RAW_GAMES!R591</f>
        <v>Kváča</v>
      </c>
      <c r="F591">
        <f>RAW_GAMES!K591</f>
        <v>24</v>
      </c>
      <c r="G591" s="7">
        <f>RAW_GAMES!S591</f>
        <v>23</v>
      </c>
      <c r="H591">
        <f>RAW_GAMES!I591</f>
        <v>1</v>
      </c>
    </row>
    <row r="592" spans="1:8" x14ac:dyDescent="0.25">
      <c r="A592" t="str">
        <f>RAW_GAMES!A592</f>
        <v>25/26</v>
      </c>
      <c r="B592" s="3">
        <f>RAW_GAMES!B592</f>
        <v>46040</v>
      </c>
      <c r="C592" t="str">
        <f>RAW_GAMES!E592</f>
        <v>LIT</v>
      </c>
      <c r="D592" t="str">
        <f>RAW_GAMES!R592</f>
        <v>Tomek</v>
      </c>
      <c r="F592">
        <f>RAW_GAMES!K592</f>
        <v>28</v>
      </c>
      <c r="G592" s="7">
        <f>RAW_GAMES!S592</f>
        <v>24</v>
      </c>
      <c r="H592">
        <f>RAW_GAMES!I592</f>
        <v>4</v>
      </c>
    </row>
    <row r="593" spans="1:8" x14ac:dyDescent="0.25">
      <c r="A593" t="str">
        <f>RAW_GAMES!A593</f>
        <v>25/26</v>
      </c>
      <c r="B593" s="3">
        <f>RAW_GAMES!B593</f>
        <v>46040</v>
      </c>
      <c r="C593" t="str">
        <f>RAW_GAMES!E593</f>
        <v>MBL</v>
      </c>
      <c r="D593" t="str">
        <f>RAW_GAMES!R593</f>
        <v>Furch</v>
      </c>
      <c r="F593">
        <f>RAW_GAMES!K593</f>
        <v>29</v>
      </c>
      <c r="G593" s="7">
        <f>RAW_GAMES!S593</f>
        <v>26</v>
      </c>
      <c r="H593">
        <f>RAW_GAMES!I593</f>
        <v>3</v>
      </c>
    </row>
    <row r="594" spans="1:8" x14ac:dyDescent="0.25">
      <c r="A594" t="str">
        <f>RAW_GAMES!A594</f>
        <v>25/26</v>
      </c>
      <c r="B594" s="3">
        <f>RAW_GAMES!B594</f>
        <v>46040</v>
      </c>
      <c r="C594" t="str">
        <f>RAW_GAMES!E594</f>
        <v>MHK</v>
      </c>
      <c r="D594" t="str">
        <f>RAW_GAMES!R594</f>
        <v>Škorvánek</v>
      </c>
      <c r="F594">
        <f>RAW_GAMES!K594</f>
        <v>30</v>
      </c>
      <c r="G594" s="7">
        <f>RAW_GAMES!S594</f>
        <v>28</v>
      </c>
      <c r="H594">
        <f>RAW_GAMES!I594</f>
        <v>2</v>
      </c>
    </row>
    <row r="595" spans="1:8" x14ac:dyDescent="0.25">
      <c r="A595" t="str">
        <f>RAW_GAMES!A595</f>
        <v>25/26</v>
      </c>
      <c r="B595" s="3">
        <f>RAW_GAMES!B595</f>
        <v>46040</v>
      </c>
      <c r="C595" t="str">
        <f>RAW_GAMES!E595</f>
        <v>OLO</v>
      </c>
      <c r="D595" t="str">
        <f>RAW_GAMES!R595</f>
        <v>Machovský</v>
      </c>
      <c r="F595">
        <f>RAW_GAMES!K595</f>
        <v>36</v>
      </c>
      <c r="G595" s="7">
        <f>RAW_GAMES!S595</f>
        <v>34</v>
      </c>
      <c r="H595">
        <f>RAW_GAMES!I595</f>
        <v>2</v>
      </c>
    </row>
    <row r="596" spans="1:8" x14ac:dyDescent="0.25">
      <c r="A596" t="str">
        <f>RAW_GAMES!A596</f>
        <v>25/26</v>
      </c>
      <c r="B596" s="3">
        <f>RAW_GAMES!B596</f>
        <v>46040</v>
      </c>
      <c r="C596" t="str">
        <f>RAW_GAMES!E596</f>
        <v>PLZ</v>
      </c>
      <c r="D596" t="str">
        <f>RAW_GAMES!R596</f>
        <v>Malík</v>
      </c>
      <c r="F596">
        <f>RAW_GAMES!K596</f>
        <v>26</v>
      </c>
      <c r="G596" s="7">
        <f>RAW_GAMES!S596</f>
        <v>24</v>
      </c>
      <c r="H596">
        <f>RAW_GAMES!I596</f>
        <v>3</v>
      </c>
    </row>
    <row r="597" spans="1:8" x14ac:dyDescent="0.25">
      <c r="A597" t="str">
        <f>RAW_GAMES!A597</f>
        <v>25/26</v>
      </c>
      <c r="B597" s="3">
        <f>RAW_GAMES!B597</f>
        <v>46040</v>
      </c>
      <c r="C597" t="str">
        <f>RAW_GAMES!E597</f>
        <v>VIT</v>
      </c>
      <c r="D597" t="str">
        <f>RAW_GAMES!R597</f>
        <v>Hrachovina</v>
      </c>
      <c r="F597">
        <f>RAW_GAMES!K597</f>
        <v>24</v>
      </c>
      <c r="G597" s="7">
        <f>RAW_GAMES!S597</f>
        <v>21</v>
      </c>
      <c r="H597">
        <f>RAW_GAMES!I597</f>
        <v>3</v>
      </c>
    </row>
    <row r="598" spans="1:8" x14ac:dyDescent="0.25">
      <c r="A598" t="str">
        <f>RAW_GAMES!A598</f>
        <v>25/26</v>
      </c>
      <c r="B598" s="3">
        <f>RAW_GAMES!B598</f>
        <v>46042</v>
      </c>
      <c r="C598" t="str">
        <f>RAW_GAMES!E598</f>
        <v>TRI</v>
      </c>
      <c r="D598" t="str">
        <f>RAW_GAMES!R598</f>
        <v>Mazanec</v>
      </c>
      <c r="F598">
        <f>RAW_GAMES!K598</f>
        <v>22</v>
      </c>
      <c r="G598" s="7">
        <f>RAW_GAMES!S598</f>
        <v>21</v>
      </c>
      <c r="H598">
        <f>RAW_GAMES!I598</f>
        <v>2</v>
      </c>
    </row>
    <row r="599" spans="1:8" x14ac:dyDescent="0.25">
      <c r="A599" t="str">
        <f>RAW_GAMES!A599</f>
        <v>25/26</v>
      </c>
      <c r="B599" s="3">
        <f>RAW_GAMES!B599</f>
        <v>46042</v>
      </c>
      <c r="C599" t="str">
        <f>RAW_GAMES!E599</f>
        <v>SPA</v>
      </c>
      <c r="D599" t="str">
        <f>RAW_GAMES!R599</f>
        <v>Kovář</v>
      </c>
      <c r="F599">
        <f>RAW_GAMES!K599</f>
        <v>34</v>
      </c>
      <c r="G599" s="7">
        <f>RAW_GAMES!S599</f>
        <v>33</v>
      </c>
      <c r="H599">
        <f>RAW_GAMES!I599</f>
        <v>2</v>
      </c>
    </row>
    <row r="600" spans="1:8" x14ac:dyDescent="0.25">
      <c r="A600" t="str">
        <f>RAW_GAMES!A600</f>
        <v>25/26</v>
      </c>
      <c r="B600" s="3">
        <f>RAW_GAMES!B600</f>
        <v>46042</v>
      </c>
      <c r="C600" t="str">
        <f>RAW_GAMES!E600</f>
        <v>MHK</v>
      </c>
      <c r="D600" t="str">
        <f>RAW_GAMES!R600</f>
        <v>Škorvánek</v>
      </c>
      <c r="F600">
        <f>RAW_GAMES!K600</f>
        <v>42</v>
      </c>
      <c r="G600" s="7">
        <f>RAW_GAMES!S600</f>
        <v>41</v>
      </c>
      <c r="H600">
        <f>RAW_GAMES!I600</f>
        <v>1</v>
      </c>
    </row>
    <row r="601" spans="1:8" x14ac:dyDescent="0.25">
      <c r="A601" t="str">
        <f>RAW_GAMES!A601</f>
        <v>25/26</v>
      </c>
      <c r="B601" s="3">
        <f>RAW_GAMES!B601</f>
        <v>46042</v>
      </c>
      <c r="C601" t="str">
        <f>RAW_GAMES!E601</f>
        <v>PLZ</v>
      </c>
      <c r="D601" t="str">
        <f>RAW_GAMES!R601</f>
        <v>Malík</v>
      </c>
      <c r="F601">
        <f>RAW_GAMES!K601</f>
        <v>23</v>
      </c>
      <c r="G601" s="7">
        <f>RAW_GAMES!S601</f>
        <v>22</v>
      </c>
      <c r="H601">
        <f>RAW_GAMES!I601</f>
        <v>1</v>
      </c>
    </row>
    <row r="602" spans="1:8" x14ac:dyDescent="0.25">
      <c r="A602" t="str">
        <f>RAW_GAMES!A602</f>
        <v>25/26</v>
      </c>
      <c r="B602" s="3">
        <f>RAW_GAMES!B602</f>
        <v>46043</v>
      </c>
      <c r="C602" t="str">
        <f>RAW_GAMES!E602</f>
        <v>PCE</v>
      </c>
      <c r="D602" t="str">
        <f>RAW_GAMES!R602</f>
        <v>Will</v>
      </c>
      <c r="F602">
        <f>RAW_GAMES!K602</f>
        <v>19</v>
      </c>
      <c r="G602" s="7">
        <f>RAW_GAMES!S602</f>
        <v>18</v>
      </c>
      <c r="H602">
        <f>RAW_GAMES!I602</f>
        <v>1</v>
      </c>
    </row>
    <row r="603" spans="1:8" x14ac:dyDescent="0.25">
      <c r="A603" t="str">
        <f>RAW_GAMES!A603</f>
        <v>25/26</v>
      </c>
      <c r="B603" s="3">
        <f>RAW_GAMES!B603</f>
        <v>46043</v>
      </c>
      <c r="C603" t="str">
        <f>RAW_GAMES!E603</f>
        <v>KOM</v>
      </c>
      <c r="D603" t="str">
        <f>RAW_GAMES!R603</f>
        <v>Krošelj</v>
      </c>
      <c r="F603">
        <f>RAW_GAMES!K603</f>
        <v>44</v>
      </c>
      <c r="G603" s="7">
        <f>RAW_GAMES!S603</f>
        <v>37</v>
      </c>
      <c r="H603">
        <f>RAW_GAMES!I603</f>
        <v>7</v>
      </c>
    </row>
    <row r="604" spans="1:8" x14ac:dyDescent="0.25">
      <c r="A604" t="str">
        <f>RAW_GAMES!A604</f>
        <v>25/26</v>
      </c>
      <c r="B604" s="3">
        <f>RAW_GAMES!B604</f>
        <v>46045</v>
      </c>
      <c r="C604" t="str">
        <f>RAW_GAMES!E604</f>
        <v>PCE</v>
      </c>
      <c r="D604" t="str">
        <f>RAW_GAMES!R604</f>
        <v>Vomáčka</v>
      </c>
      <c r="F604">
        <f>RAW_GAMES!K604</f>
        <v>30</v>
      </c>
      <c r="G604" s="7">
        <f>RAW_GAMES!S604</f>
        <v>28</v>
      </c>
      <c r="H604">
        <f>RAW_GAMES!I604</f>
        <v>2</v>
      </c>
    </row>
    <row r="605" spans="1:8" x14ac:dyDescent="0.25">
      <c r="A605" t="str">
        <f>RAW_GAMES!A605</f>
        <v>25/26</v>
      </c>
      <c r="B605" s="3">
        <f>RAW_GAMES!B605</f>
        <v>46045</v>
      </c>
      <c r="C605" t="str">
        <f>RAW_GAMES!E605</f>
        <v>KOM</v>
      </c>
      <c r="D605" t="str">
        <f>RAW_GAMES!R605</f>
        <v>Stezka</v>
      </c>
      <c r="F605">
        <f>RAW_GAMES!K605</f>
        <v>30</v>
      </c>
      <c r="G605" s="7">
        <f>RAW_GAMES!S605</f>
        <v>26</v>
      </c>
      <c r="H605">
        <f>RAW_GAMES!I605</f>
        <v>4</v>
      </c>
    </row>
    <row r="606" spans="1:8" x14ac:dyDescent="0.25">
      <c r="A606" t="str">
        <f>RAW_GAMES!A606</f>
        <v>25/26</v>
      </c>
      <c r="B606" s="3">
        <f>RAW_GAMES!B606</f>
        <v>46045</v>
      </c>
      <c r="C606" t="str">
        <f>RAW_GAMES!E606</f>
        <v>CEB</v>
      </c>
      <c r="D606" t="str">
        <f>RAW_GAMES!R606</f>
        <v>Klouček</v>
      </c>
      <c r="F606">
        <f>RAW_GAMES!K606</f>
        <v>37</v>
      </c>
      <c r="G606" s="7">
        <f>RAW_GAMES!S606</f>
        <v>34</v>
      </c>
      <c r="H606">
        <f>RAW_GAMES!I606</f>
        <v>3</v>
      </c>
    </row>
    <row r="607" spans="1:8" x14ac:dyDescent="0.25">
      <c r="A607" t="str">
        <f>RAW_GAMES!A607</f>
        <v>25/26</v>
      </c>
      <c r="B607" s="3">
        <f>RAW_GAMES!B607</f>
        <v>46045</v>
      </c>
      <c r="C607" t="str">
        <f>RAW_GAMES!E607</f>
        <v>KLA</v>
      </c>
      <c r="D607" t="str">
        <f>RAW_GAMES!R607</f>
        <v>Brízgala</v>
      </c>
      <c r="F607">
        <f>RAW_GAMES!K607</f>
        <v>28</v>
      </c>
      <c r="G607" s="7">
        <f>RAW_GAMES!S607</f>
        <v>34</v>
      </c>
      <c r="H607">
        <f>RAW_GAMES!I607</f>
        <v>2</v>
      </c>
    </row>
    <row r="608" spans="1:8" x14ac:dyDescent="0.25">
      <c r="A608" t="str">
        <f>RAW_GAMES!A608</f>
        <v>25/26</v>
      </c>
      <c r="B608" s="3">
        <f>RAW_GAMES!B608</f>
        <v>46045</v>
      </c>
      <c r="C608" t="str">
        <f>RAW_GAMES!E608</f>
        <v>KVA</v>
      </c>
      <c r="D608" t="str">
        <f>RAW_GAMES!R608</f>
        <v>Král</v>
      </c>
      <c r="F608">
        <f>RAW_GAMES!K608</f>
        <v>21</v>
      </c>
      <c r="G608" s="7">
        <f>RAW_GAMES!S608</f>
        <v>19</v>
      </c>
      <c r="H608">
        <f>RAW_GAMES!I608</f>
        <v>2</v>
      </c>
    </row>
    <row r="609" spans="1:8" x14ac:dyDescent="0.25">
      <c r="A609" t="str">
        <f>RAW_GAMES!A609</f>
        <v>25/26</v>
      </c>
      <c r="B609" s="3">
        <f>RAW_GAMES!B609</f>
        <v>46045</v>
      </c>
      <c r="C609" t="str">
        <f>RAW_GAMES!E609</f>
        <v>LIB</v>
      </c>
      <c r="D609" t="str">
        <f>RAW_GAMES!R609</f>
        <v>Kváča</v>
      </c>
      <c r="F609">
        <f>RAW_GAMES!K609</f>
        <v>18</v>
      </c>
      <c r="G609" s="7">
        <f>RAW_GAMES!S609</f>
        <v>18</v>
      </c>
      <c r="H609">
        <f>RAW_GAMES!I609</f>
        <v>0</v>
      </c>
    </row>
    <row r="610" spans="1:8" x14ac:dyDescent="0.25">
      <c r="A610" t="str">
        <f>RAW_GAMES!A610</f>
        <v>25/26</v>
      </c>
      <c r="B610" s="3">
        <f>RAW_GAMES!B610</f>
        <v>46045</v>
      </c>
      <c r="C610" t="str">
        <f>RAW_GAMES!E610</f>
        <v>MBL</v>
      </c>
      <c r="D610" t="str">
        <f>RAW_GAMES!R610</f>
        <v>Furch</v>
      </c>
      <c r="F610">
        <f>RAW_GAMES!K610</f>
        <v>18</v>
      </c>
      <c r="G610" s="7">
        <f>RAW_GAMES!S610</f>
        <v>17</v>
      </c>
      <c r="H610">
        <f>RAW_GAMES!I610</f>
        <v>1</v>
      </c>
    </row>
    <row r="611" spans="1:8" x14ac:dyDescent="0.25">
      <c r="A611" t="str">
        <f>RAW_GAMES!A611</f>
        <v>25/26</v>
      </c>
      <c r="B611" s="3">
        <f>RAW_GAMES!B611</f>
        <v>46045</v>
      </c>
      <c r="C611" t="str">
        <f>RAW_GAMES!E611</f>
        <v>MHK</v>
      </c>
      <c r="D611" t="str">
        <f>RAW_GAMES!R611</f>
        <v>Škorvánek</v>
      </c>
      <c r="F611">
        <f>RAW_GAMES!K611</f>
        <v>22</v>
      </c>
      <c r="G611" s="7">
        <f>RAW_GAMES!S611</f>
        <v>19</v>
      </c>
      <c r="H611">
        <f>RAW_GAMES!I611</f>
        <v>3</v>
      </c>
    </row>
    <row r="612" spans="1:8" x14ac:dyDescent="0.25">
      <c r="A612" t="str">
        <f>RAW_GAMES!A612</f>
        <v>25/26</v>
      </c>
      <c r="B612" s="3">
        <f>RAW_GAMES!B612</f>
        <v>46045</v>
      </c>
      <c r="C612" t="str">
        <f>RAW_GAMES!E612</f>
        <v>OLO</v>
      </c>
      <c r="D612" t="str">
        <f>RAW_GAMES!R612</f>
        <v>Cichoň</v>
      </c>
      <c r="F612">
        <f>RAW_GAMES!K612</f>
        <v>33</v>
      </c>
      <c r="G612" s="7">
        <f>RAW_GAMES!S612</f>
        <v>30</v>
      </c>
      <c r="H612">
        <f>RAW_GAMES!I612</f>
        <v>3</v>
      </c>
    </row>
    <row r="613" spans="1:8" x14ac:dyDescent="0.25">
      <c r="A613" t="str">
        <f>RAW_GAMES!A613</f>
        <v>25/26</v>
      </c>
      <c r="B613" s="3">
        <f>RAW_GAMES!B613</f>
        <v>46045</v>
      </c>
      <c r="C613" t="str">
        <f>RAW_GAMES!E613</f>
        <v>VIT</v>
      </c>
      <c r="D613" t="str">
        <f>RAW_GAMES!R613</f>
        <v>Hrachovina</v>
      </c>
      <c r="F613">
        <f>RAW_GAMES!K613</f>
        <v>30</v>
      </c>
      <c r="G613" s="7">
        <f>RAW_GAMES!S613</f>
        <v>28</v>
      </c>
      <c r="H613">
        <f>RAW_GAMES!I613</f>
        <v>2</v>
      </c>
    </row>
    <row r="614" spans="1:8" x14ac:dyDescent="0.25">
      <c r="A614" t="str">
        <f>RAW_GAMES!A614</f>
        <v>25/26</v>
      </c>
      <c r="B614" s="3">
        <f>RAW_GAMES!B614</f>
        <v>46047</v>
      </c>
      <c r="C614" t="str">
        <f>RAW_GAMES!E614</f>
        <v>PCE</v>
      </c>
      <c r="D614" t="str">
        <f>RAW_GAMES!R614</f>
        <v>Will</v>
      </c>
      <c r="F614">
        <f>RAW_GAMES!K614</f>
        <v>23</v>
      </c>
      <c r="G614" s="7">
        <f>RAW_GAMES!S614</f>
        <v>19</v>
      </c>
      <c r="H614">
        <f>RAW_GAMES!I614</f>
        <v>4</v>
      </c>
    </row>
    <row r="615" spans="1:8" x14ac:dyDescent="0.25">
      <c r="A615" t="str">
        <f>RAW_GAMES!A615</f>
        <v>25/26</v>
      </c>
      <c r="B615" s="3">
        <f>RAW_GAMES!B615</f>
        <v>46047</v>
      </c>
      <c r="C615" t="str">
        <f>RAW_GAMES!E615</f>
        <v>TRI</v>
      </c>
      <c r="D615" t="str">
        <f>RAW_GAMES!R615</f>
        <v>Mazanec</v>
      </c>
      <c r="F615">
        <f>RAW_GAMES!K615</f>
        <v>19</v>
      </c>
      <c r="G615" s="7">
        <f>RAW_GAMES!S615</f>
        <v>18</v>
      </c>
      <c r="H615">
        <f>RAW_GAMES!I615</f>
        <v>1</v>
      </c>
    </row>
    <row r="616" spans="1:8" x14ac:dyDescent="0.25">
      <c r="A616" t="str">
        <f>RAW_GAMES!A616</f>
        <v>25/26</v>
      </c>
      <c r="B616" s="3">
        <f>RAW_GAMES!B616</f>
        <v>46047</v>
      </c>
      <c r="C616" t="str">
        <f>RAW_GAMES!E616</f>
        <v>KOM</v>
      </c>
      <c r="D616" t="str">
        <f>RAW_GAMES!R616</f>
        <v>Stezka</v>
      </c>
      <c r="F616">
        <f>RAW_GAMES!K616</f>
        <v>33</v>
      </c>
      <c r="G616" s="7">
        <f>RAW_GAMES!S616</f>
        <v>30</v>
      </c>
      <c r="H616">
        <f>RAW_GAMES!I616</f>
        <v>3</v>
      </c>
    </row>
    <row r="617" spans="1:8" x14ac:dyDescent="0.25">
      <c r="A617" t="str">
        <f>RAW_GAMES!A617</f>
        <v>25/26</v>
      </c>
      <c r="B617" s="3">
        <f>RAW_GAMES!B617</f>
        <v>46047</v>
      </c>
      <c r="C617" t="str">
        <f>RAW_GAMES!E617</f>
        <v>CEB</v>
      </c>
      <c r="D617" t="str">
        <f>RAW_GAMES!R617</f>
        <v>Klouček</v>
      </c>
      <c r="F617">
        <f>RAW_GAMES!K617</f>
        <v>26</v>
      </c>
      <c r="G617" s="7">
        <f>RAW_GAMES!S617</f>
        <v>24</v>
      </c>
      <c r="H617">
        <f>RAW_GAMES!I617</f>
        <v>2</v>
      </c>
    </row>
    <row r="618" spans="1:8" x14ac:dyDescent="0.25">
      <c r="A618" t="str">
        <f>RAW_GAMES!A618</f>
        <v>25/26</v>
      </c>
      <c r="B618" s="3">
        <f>RAW_GAMES!B618</f>
        <v>46047</v>
      </c>
      <c r="C618" t="str">
        <f>RAW_GAMES!E618</f>
        <v>KLA</v>
      </c>
      <c r="D618" t="str">
        <f>RAW_GAMES!R618</f>
        <v>Dansk</v>
      </c>
      <c r="F618">
        <f>RAW_GAMES!K618</f>
        <v>38</v>
      </c>
      <c r="G618" s="7">
        <f>RAW_GAMES!S618</f>
        <v>35</v>
      </c>
      <c r="H618">
        <f>RAW_GAMES!I618</f>
        <v>2</v>
      </c>
    </row>
    <row r="619" spans="1:8" x14ac:dyDescent="0.25">
      <c r="A619" t="str">
        <f>RAW_GAMES!A619</f>
        <v>25/26</v>
      </c>
      <c r="B619" s="3">
        <f>RAW_GAMES!B619</f>
        <v>46047</v>
      </c>
      <c r="C619" t="str">
        <f>RAW_GAMES!E619</f>
        <v>KVA</v>
      </c>
      <c r="D619" t="str">
        <f>RAW_GAMES!R619</f>
        <v>Frodl</v>
      </c>
      <c r="F619">
        <f>RAW_GAMES!K619</f>
        <v>12</v>
      </c>
      <c r="G619" s="7">
        <f>RAW_GAMES!S619</f>
        <v>12</v>
      </c>
      <c r="H619">
        <f>RAW_GAMES!I619</f>
        <v>0</v>
      </c>
    </row>
    <row r="620" spans="1:8" x14ac:dyDescent="0.25">
      <c r="A620" t="str">
        <f>RAW_GAMES!A620</f>
        <v>25/26</v>
      </c>
      <c r="B620" s="3">
        <f>RAW_GAMES!B620</f>
        <v>46047</v>
      </c>
      <c r="C620" t="str">
        <f>RAW_GAMES!E620</f>
        <v>LIB</v>
      </c>
      <c r="D620" t="str">
        <f>RAW_GAMES!R620</f>
        <v>Kváča</v>
      </c>
      <c r="F620">
        <f>RAW_GAMES!K620</f>
        <v>37</v>
      </c>
      <c r="G620" s="7">
        <f>RAW_GAMES!S620</f>
        <v>37</v>
      </c>
      <c r="H620">
        <f>RAW_GAMES!I620</f>
        <v>0</v>
      </c>
    </row>
    <row r="621" spans="1:8" x14ac:dyDescent="0.25">
      <c r="A621" t="str">
        <f>RAW_GAMES!A621</f>
        <v>25/26</v>
      </c>
      <c r="B621" s="3">
        <f>RAW_GAMES!B621</f>
        <v>46047</v>
      </c>
      <c r="C621" t="str">
        <f>RAW_GAMES!E621</f>
        <v>LIT</v>
      </c>
      <c r="D621" t="str">
        <f>RAW_GAMES!R621</f>
        <v>Čajan</v>
      </c>
      <c r="F621">
        <f>RAW_GAMES!K621</f>
        <v>34</v>
      </c>
      <c r="G621" s="7">
        <f>RAW_GAMES!S621</f>
        <v>29</v>
      </c>
      <c r="H621">
        <f>RAW_GAMES!I621</f>
        <v>5</v>
      </c>
    </row>
    <row r="622" spans="1:8" x14ac:dyDescent="0.25">
      <c r="A622" t="str">
        <f>RAW_GAMES!A622</f>
        <v>25/26</v>
      </c>
      <c r="B622" s="3">
        <f>RAW_GAMES!B622</f>
        <v>46047</v>
      </c>
      <c r="C622" t="str">
        <f>RAW_GAMES!E622</f>
        <v>MBL</v>
      </c>
      <c r="D622" t="str">
        <f>RAW_GAMES!R622</f>
        <v>Mokry</v>
      </c>
      <c r="F622">
        <f>RAW_GAMES!K622</f>
        <v>43</v>
      </c>
      <c r="G622" s="7">
        <f>RAW_GAMES!S622</f>
        <v>39</v>
      </c>
      <c r="H622">
        <f>RAW_GAMES!I622</f>
        <v>4</v>
      </c>
    </row>
    <row r="623" spans="1:8" x14ac:dyDescent="0.25">
      <c r="A623" t="str">
        <f>RAW_GAMES!A623</f>
        <v>25/26</v>
      </c>
      <c r="B623" s="3">
        <f>RAW_GAMES!B623</f>
        <v>46047</v>
      </c>
      <c r="C623" t="str">
        <f>RAW_GAMES!E623</f>
        <v>MHK</v>
      </c>
      <c r="D623" t="str">
        <f>RAW_GAMES!R623</f>
        <v>Novotný</v>
      </c>
      <c r="F623">
        <f>RAW_GAMES!K623</f>
        <v>22</v>
      </c>
      <c r="G623" s="7">
        <f>RAW_GAMES!S623</f>
        <v>18</v>
      </c>
      <c r="H623">
        <f>RAW_GAMES!I623</f>
        <v>4</v>
      </c>
    </row>
    <row r="624" spans="1:8" x14ac:dyDescent="0.25">
      <c r="A624" t="str">
        <f>RAW_GAMES!A624</f>
        <v>25/26</v>
      </c>
      <c r="B624" s="3">
        <f>RAW_GAMES!B624</f>
        <v>46047</v>
      </c>
      <c r="C624" t="str">
        <f>RAW_GAMES!E624</f>
        <v>OLO</v>
      </c>
      <c r="D624" t="str">
        <f>RAW_GAMES!R624</f>
        <v>Machovský</v>
      </c>
      <c r="F624">
        <f>RAW_GAMES!K624</f>
        <v>25</v>
      </c>
      <c r="G624" s="7">
        <f>RAW_GAMES!S624</f>
        <v>21</v>
      </c>
      <c r="H624">
        <f>RAW_GAMES!I624</f>
        <v>3</v>
      </c>
    </row>
    <row r="625" spans="1:8" x14ac:dyDescent="0.25">
      <c r="A625" t="str">
        <f>RAW_GAMES!A625</f>
        <v>25/26</v>
      </c>
      <c r="B625" s="3">
        <f>RAW_GAMES!B625</f>
        <v>46047</v>
      </c>
      <c r="C625" t="str">
        <f>RAW_GAMES!E625</f>
        <v>PLZ</v>
      </c>
      <c r="D625" t="str">
        <f>RAW_GAMES!R625</f>
        <v>Malík</v>
      </c>
      <c r="F625">
        <f>RAW_GAMES!K625</f>
        <v>52</v>
      </c>
      <c r="G625" s="7">
        <f>RAW_GAMES!S625</f>
        <v>49</v>
      </c>
      <c r="H625">
        <f>RAW_GAMES!I625</f>
        <v>3</v>
      </c>
    </row>
    <row r="626" spans="1:8" x14ac:dyDescent="0.25">
      <c r="A626" t="str">
        <f>RAW_GAMES!A626</f>
        <v>25/26</v>
      </c>
      <c r="B626" s="3">
        <f>RAW_GAMES!B626</f>
        <v>46048</v>
      </c>
      <c r="C626" t="str">
        <f>RAW_GAMES!E626</f>
        <v>SPA</v>
      </c>
      <c r="D626" t="str">
        <f>RAW_GAMES!R626</f>
        <v>Kovář</v>
      </c>
      <c r="F626">
        <f>RAW_GAMES!K626</f>
        <v>29</v>
      </c>
      <c r="G626" s="7">
        <f>RAW_GAMES!S626</f>
        <v>26</v>
      </c>
      <c r="H626">
        <f>RAW_GAMES!I626</f>
        <v>3</v>
      </c>
    </row>
    <row r="627" spans="1:8" x14ac:dyDescent="0.25">
      <c r="A627" t="str">
        <f>RAW_GAMES!A627</f>
        <v>25/26</v>
      </c>
      <c r="B627" s="3">
        <f>RAW_GAMES!B627</f>
        <v>46048</v>
      </c>
      <c r="C627" t="str">
        <f>RAW_GAMES!E627</f>
        <v>OLO</v>
      </c>
      <c r="D627" t="str">
        <f>RAW_GAMES!R627</f>
        <v>Machovský</v>
      </c>
      <c r="F627">
        <f>RAW_GAMES!K627</f>
        <v>39</v>
      </c>
      <c r="G627" s="7">
        <f>RAW_GAMES!S627</f>
        <v>33</v>
      </c>
      <c r="H627">
        <f>RAW_GAMES!I627</f>
        <v>6</v>
      </c>
    </row>
    <row r="628" spans="1:8" x14ac:dyDescent="0.25">
      <c r="A628" t="str">
        <f>RAW_GAMES!A628</f>
        <v>25/26</v>
      </c>
      <c r="B628" s="3">
        <f>RAW_GAMES!B628</f>
        <v>46049</v>
      </c>
      <c r="C628" t="str">
        <f>RAW_GAMES!E628</f>
        <v>PCE</v>
      </c>
      <c r="D628" t="str">
        <f>RAW_GAMES!R628</f>
        <v>Will</v>
      </c>
      <c r="F628">
        <f>RAW_GAMES!K628</f>
        <v>22</v>
      </c>
      <c r="G628" s="7">
        <f>RAW_GAMES!S628</f>
        <v>21</v>
      </c>
      <c r="H628">
        <f>RAW_GAMES!I628</f>
        <v>1</v>
      </c>
    </row>
    <row r="629" spans="1:8" x14ac:dyDescent="0.25">
      <c r="A629" t="str">
        <f>RAW_GAMES!A629</f>
        <v>25/26</v>
      </c>
      <c r="B629" s="3">
        <f>RAW_GAMES!B629</f>
        <v>46049</v>
      </c>
      <c r="C629" t="str">
        <f>RAW_GAMES!E629</f>
        <v>TRI</v>
      </c>
      <c r="D629" t="str">
        <f>RAW_GAMES!R629</f>
        <v>Mazanec</v>
      </c>
      <c r="F629">
        <f>RAW_GAMES!K629</f>
        <v>22</v>
      </c>
      <c r="G629" s="7">
        <f>RAW_GAMES!S629</f>
        <v>19</v>
      </c>
      <c r="H629">
        <f>RAW_GAMES!I629</f>
        <v>3</v>
      </c>
    </row>
    <row r="630" spans="1:8" x14ac:dyDescent="0.25">
      <c r="A630" t="str">
        <f>RAW_GAMES!A630</f>
        <v>25/26</v>
      </c>
      <c r="B630" s="3">
        <f>RAW_GAMES!B630</f>
        <v>46049</v>
      </c>
      <c r="C630" t="str">
        <f>RAW_GAMES!E630</f>
        <v>KOM</v>
      </c>
      <c r="D630" t="str">
        <f>RAW_GAMES!R630</f>
        <v>Stezka</v>
      </c>
      <c r="F630">
        <f>RAW_GAMES!K630</f>
        <v>26</v>
      </c>
      <c r="G630" s="7">
        <f>RAW_GAMES!S630</f>
        <v>22</v>
      </c>
      <c r="H630">
        <f>RAW_GAMES!I630</f>
        <v>4</v>
      </c>
    </row>
    <row r="631" spans="1:8" x14ac:dyDescent="0.25">
      <c r="A631" t="str">
        <f>RAW_GAMES!A631</f>
        <v>25/26</v>
      </c>
      <c r="B631" s="3">
        <f>RAW_GAMES!B631</f>
        <v>46049</v>
      </c>
      <c r="C631" t="str">
        <f>RAW_GAMES!E631</f>
        <v>CEB</v>
      </c>
      <c r="D631" t="str">
        <f>RAW_GAMES!R631</f>
        <v>Strmeň</v>
      </c>
      <c r="F631">
        <f>RAW_GAMES!K631</f>
        <v>33</v>
      </c>
      <c r="G631" s="7">
        <f>RAW_GAMES!S631</f>
        <v>27</v>
      </c>
      <c r="H631">
        <f>RAW_GAMES!I631</f>
        <v>6</v>
      </c>
    </row>
    <row r="632" spans="1:8" x14ac:dyDescent="0.25">
      <c r="A632" t="str">
        <f>RAW_GAMES!A632</f>
        <v>25/26</v>
      </c>
      <c r="B632" s="3">
        <f>RAW_GAMES!B632</f>
        <v>46049</v>
      </c>
      <c r="C632" t="str">
        <f>RAW_GAMES!E632</f>
        <v>KLA</v>
      </c>
      <c r="D632" t="str">
        <f>RAW_GAMES!R632</f>
        <v>Brízgala</v>
      </c>
      <c r="F632">
        <f>RAW_GAMES!K632</f>
        <v>32</v>
      </c>
      <c r="G632" s="7">
        <f>RAW_GAMES!S632</f>
        <v>30</v>
      </c>
      <c r="H632">
        <f>RAW_GAMES!I632</f>
        <v>2</v>
      </c>
    </row>
    <row r="633" spans="1:8" x14ac:dyDescent="0.25">
      <c r="A633" t="str">
        <f>RAW_GAMES!A633</f>
        <v>25/26</v>
      </c>
      <c r="B633" s="3">
        <f>RAW_GAMES!B633</f>
        <v>46049</v>
      </c>
      <c r="C633" t="str">
        <f>RAW_GAMES!E633</f>
        <v>KVA</v>
      </c>
      <c r="D633" t="str">
        <f>RAW_GAMES!R633</f>
        <v>Král</v>
      </c>
      <c r="F633">
        <f>RAW_GAMES!K633</f>
        <v>22</v>
      </c>
      <c r="G633" s="7">
        <f>RAW_GAMES!S633</f>
        <v>19</v>
      </c>
      <c r="H633">
        <f>RAW_GAMES!I633</f>
        <v>3</v>
      </c>
    </row>
    <row r="634" spans="1:8" x14ac:dyDescent="0.25">
      <c r="A634" t="str">
        <f>RAW_GAMES!A634</f>
        <v>25/26</v>
      </c>
      <c r="B634" s="3">
        <f>RAW_GAMES!B634</f>
        <v>46049</v>
      </c>
      <c r="C634" t="str">
        <f>RAW_GAMES!E634</f>
        <v>LIB</v>
      </c>
      <c r="D634" t="str">
        <f>RAW_GAMES!R634</f>
        <v>Lukeš</v>
      </c>
      <c r="F634">
        <f>RAW_GAMES!K634</f>
        <v>32</v>
      </c>
      <c r="G634" s="7">
        <f>RAW_GAMES!S634</f>
        <v>30</v>
      </c>
      <c r="H634">
        <f>RAW_GAMES!I634</f>
        <v>2</v>
      </c>
    </row>
    <row r="635" spans="1:8" x14ac:dyDescent="0.25">
      <c r="A635" t="str">
        <f>RAW_GAMES!A635</f>
        <v>25/26</v>
      </c>
      <c r="B635" s="3">
        <f>RAW_GAMES!B635</f>
        <v>46049</v>
      </c>
      <c r="C635" t="str">
        <f>RAW_GAMES!E635</f>
        <v>LIT</v>
      </c>
      <c r="D635" t="str">
        <f>RAW_GAMES!R635</f>
        <v>Tomek</v>
      </c>
      <c r="F635">
        <f>RAW_GAMES!K635</f>
        <v>33</v>
      </c>
      <c r="G635" s="7">
        <f>RAW_GAMES!S635</f>
        <v>32</v>
      </c>
      <c r="H635">
        <f>RAW_GAMES!I635</f>
        <v>1</v>
      </c>
    </row>
    <row r="636" spans="1:8" x14ac:dyDescent="0.25">
      <c r="A636" t="str">
        <f>RAW_GAMES!A636</f>
        <v>25/26</v>
      </c>
      <c r="B636" s="3">
        <f>RAW_GAMES!B636</f>
        <v>46049</v>
      </c>
      <c r="C636" t="str">
        <f>RAW_GAMES!E636</f>
        <v>MBL</v>
      </c>
      <c r="D636" t="str">
        <f>RAW_GAMES!R636</f>
        <v>Furch</v>
      </c>
      <c r="F636">
        <f>RAW_GAMES!K636</f>
        <v>20</v>
      </c>
      <c r="G636" s="7">
        <f>RAW_GAMES!S636</f>
        <v>20</v>
      </c>
      <c r="H636">
        <f>RAW_GAMES!I636</f>
        <v>0</v>
      </c>
    </row>
    <row r="637" spans="1:8" x14ac:dyDescent="0.25">
      <c r="A637" t="str">
        <f>RAW_GAMES!A637</f>
        <v>25/26</v>
      </c>
      <c r="B637" s="3">
        <f>RAW_GAMES!B637</f>
        <v>46049</v>
      </c>
      <c r="C637" t="str">
        <f>RAW_GAMES!E637</f>
        <v>MHK</v>
      </c>
      <c r="D637" t="str">
        <f>RAW_GAMES!R637</f>
        <v>Škorvánek</v>
      </c>
      <c r="F637">
        <f>RAW_GAMES!K637</f>
        <v>22</v>
      </c>
      <c r="G637" s="7">
        <f>RAW_GAMES!S637</f>
        <v>21</v>
      </c>
      <c r="H637">
        <f>RAW_GAMES!I637</f>
        <v>0</v>
      </c>
    </row>
    <row r="638" spans="1:8" x14ac:dyDescent="0.25">
      <c r="A638" t="str">
        <f>RAW_GAMES!A638</f>
        <v>25/26</v>
      </c>
      <c r="B638" s="3">
        <f>RAW_GAMES!B638</f>
        <v>46049</v>
      </c>
      <c r="C638" t="str">
        <f>RAW_GAMES!E638</f>
        <v>PLZ</v>
      </c>
      <c r="D638" t="str">
        <f>RAW_GAMES!R638</f>
        <v>Malík</v>
      </c>
      <c r="F638">
        <f>RAW_GAMES!K638</f>
        <v>19</v>
      </c>
      <c r="G638" s="7">
        <f>RAW_GAMES!S638</f>
        <v>19</v>
      </c>
      <c r="H638">
        <f>RAW_GAMES!I638</f>
        <v>0</v>
      </c>
    </row>
    <row r="639" spans="1:8" x14ac:dyDescent="0.25">
      <c r="A639" t="str">
        <f>RAW_GAMES!A639</f>
        <v>25/26</v>
      </c>
      <c r="B639" s="3">
        <f>RAW_GAMES!B639</f>
        <v>46049</v>
      </c>
      <c r="C639" t="str">
        <f>RAW_GAMES!E639</f>
        <v>VIT</v>
      </c>
      <c r="D639" t="str">
        <f>RAW_GAMES!R639</f>
        <v>Hrachovina</v>
      </c>
      <c r="F639">
        <f>RAW_GAMES!K639</f>
        <v>38</v>
      </c>
      <c r="G639" s="7">
        <f>RAW_GAMES!S639</f>
        <v>32</v>
      </c>
      <c r="H639">
        <f>RAW_GAMES!I639</f>
        <v>6</v>
      </c>
    </row>
    <row r="640" spans="1:8" x14ac:dyDescent="0.25">
      <c r="A640" t="str">
        <f>RAW_GAMES!A640</f>
        <v>25/26</v>
      </c>
      <c r="B640" s="3">
        <f>RAW_GAMES!B640</f>
        <v>46051</v>
      </c>
      <c r="C640" t="str">
        <f>RAW_GAMES!E640</f>
        <v>PCE</v>
      </c>
      <c r="D640" t="str">
        <f>RAW_GAMES!R640</f>
        <v>Subban</v>
      </c>
      <c r="F640">
        <f>RAW_GAMES!K640</f>
        <v>32</v>
      </c>
      <c r="G640" s="7">
        <f>RAW_GAMES!S640</f>
        <v>29</v>
      </c>
      <c r="H640">
        <f>RAW_GAMES!I640</f>
        <v>3</v>
      </c>
    </row>
    <row r="641" spans="1:8" x14ac:dyDescent="0.25">
      <c r="A641" t="str">
        <f>RAW_GAMES!A641</f>
        <v>25/26</v>
      </c>
      <c r="B641" s="3">
        <f>RAW_GAMES!B641</f>
        <v>46051</v>
      </c>
      <c r="C641" t="str">
        <f>RAW_GAMES!E641</f>
        <v>TRI</v>
      </c>
      <c r="D641" t="str">
        <f>RAW_GAMES!R641</f>
        <v>Mazanec</v>
      </c>
      <c r="F641">
        <f>RAW_GAMES!K641</f>
        <v>31</v>
      </c>
      <c r="G641" s="7">
        <f>RAW_GAMES!S641</f>
        <v>29</v>
      </c>
      <c r="H641">
        <f>RAW_GAMES!I641</f>
        <v>2</v>
      </c>
    </row>
    <row r="642" spans="1:8" x14ac:dyDescent="0.25">
      <c r="A642" t="str">
        <f>RAW_GAMES!A642</f>
        <v>25/26</v>
      </c>
      <c r="B642" s="3">
        <f>RAW_GAMES!B642</f>
        <v>46051</v>
      </c>
      <c r="C642" t="str">
        <f>RAW_GAMES!E642</f>
        <v>SPA</v>
      </c>
      <c r="D642" t="str">
        <f>RAW_GAMES!R642</f>
        <v>Kovář</v>
      </c>
      <c r="F642">
        <f>RAW_GAMES!K642</f>
        <v>29</v>
      </c>
      <c r="G642" s="7">
        <f>RAW_GAMES!S642</f>
        <v>28</v>
      </c>
      <c r="H642">
        <f>RAW_GAMES!I642</f>
        <v>1</v>
      </c>
    </row>
    <row r="643" spans="1:8" x14ac:dyDescent="0.25">
      <c r="A643" t="str">
        <f>RAW_GAMES!A643</f>
        <v>25/26</v>
      </c>
      <c r="B643" s="3">
        <f>RAW_GAMES!B643</f>
        <v>46051</v>
      </c>
      <c r="C643" t="str">
        <f>RAW_GAMES!E643</f>
        <v>KLA</v>
      </c>
      <c r="D643" t="str">
        <f>RAW_GAMES!R643</f>
        <v>Brízgala</v>
      </c>
      <c r="F643">
        <f>RAW_GAMES!K643</f>
        <v>23</v>
      </c>
      <c r="G643" s="7">
        <f>RAW_GAMES!S643</f>
        <v>22</v>
      </c>
      <c r="H643">
        <f>RAW_GAMES!I643</f>
        <v>1</v>
      </c>
    </row>
    <row r="644" spans="1:8" x14ac:dyDescent="0.25">
      <c r="A644" t="str">
        <f>RAW_GAMES!A644</f>
        <v>25/26</v>
      </c>
      <c r="B644" s="3">
        <f>RAW_GAMES!B644</f>
        <v>46051</v>
      </c>
      <c r="C644" t="str">
        <f>RAW_GAMES!E644</f>
        <v>KVA</v>
      </c>
      <c r="D644" t="str">
        <f>RAW_GAMES!R644</f>
        <v>Frodl</v>
      </c>
      <c r="F644">
        <f>RAW_GAMES!K644</f>
        <v>34</v>
      </c>
      <c r="G644" s="7">
        <f>RAW_GAMES!S644</f>
        <v>32</v>
      </c>
      <c r="H644">
        <f>RAW_GAMES!I644</f>
        <v>2</v>
      </c>
    </row>
    <row r="645" spans="1:8" x14ac:dyDescent="0.25">
      <c r="A645" t="str">
        <f>RAW_GAMES!A645</f>
        <v>25/26</v>
      </c>
      <c r="B645" s="3">
        <f>RAW_GAMES!B645</f>
        <v>46051</v>
      </c>
      <c r="C645" t="str">
        <f>RAW_GAMES!E645</f>
        <v>LIB</v>
      </c>
      <c r="D645" t="str">
        <f>RAW_GAMES!R645</f>
        <v>Kváča</v>
      </c>
      <c r="F645">
        <f>RAW_GAMES!K645</f>
        <v>35</v>
      </c>
      <c r="G645" s="7">
        <f>RAW_GAMES!S645</f>
        <v>33</v>
      </c>
      <c r="H645">
        <f>RAW_GAMES!I645</f>
        <v>3</v>
      </c>
    </row>
    <row r="646" spans="1:8" x14ac:dyDescent="0.25">
      <c r="A646" t="str">
        <f>RAW_GAMES!A646</f>
        <v>25/26</v>
      </c>
      <c r="B646" s="3">
        <f>RAW_GAMES!B646</f>
        <v>46051</v>
      </c>
      <c r="C646" t="str">
        <f>RAW_GAMES!E646</f>
        <v>LIT</v>
      </c>
      <c r="D646" t="str">
        <f>RAW_GAMES!R646</f>
        <v>Kubík</v>
      </c>
      <c r="F646">
        <f>RAW_GAMES!K646</f>
        <v>31</v>
      </c>
      <c r="G646" s="7">
        <f>RAW_GAMES!S646</f>
        <v>25</v>
      </c>
      <c r="H646">
        <f>RAW_GAMES!I646</f>
        <v>6</v>
      </c>
    </row>
    <row r="647" spans="1:8" x14ac:dyDescent="0.25">
      <c r="A647" t="str">
        <f>RAW_GAMES!A647</f>
        <v>25/26</v>
      </c>
      <c r="B647" s="3">
        <f>RAW_GAMES!B647</f>
        <v>46051</v>
      </c>
      <c r="C647" t="str">
        <f>RAW_GAMES!E647</f>
        <v>MBL</v>
      </c>
      <c r="D647" t="str">
        <f>RAW_GAMES!R647</f>
        <v>Mokry</v>
      </c>
      <c r="F647">
        <f>RAW_GAMES!K647</f>
        <v>34</v>
      </c>
      <c r="G647" s="7">
        <f>RAW_GAMES!S647</f>
        <v>30</v>
      </c>
      <c r="H647">
        <f>RAW_GAMES!I647</f>
        <v>4</v>
      </c>
    </row>
    <row r="648" spans="1:8" x14ac:dyDescent="0.25">
      <c r="A648" t="str">
        <f>RAW_GAMES!A648</f>
        <v>25/26</v>
      </c>
      <c r="B648" s="3">
        <f>RAW_GAMES!B648</f>
        <v>46051</v>
      </c>
      <c r="C648" t="str">
        <f>RAW_GAMES!E648</f>
        <v>MHK</v>
      </c>
      <c r="D648" t="str">
        <f>RAW_GAMES!R648</f>
        <v>Škorvánek</v>
      </c>
      <c r="F648">
        <f>RAW_GAMES!K648</f>
        <v>33</v>
      </c>
      <c r="G648" s="7">
        <f>RAW_GAMES!S648</f>
        <v>18</v>
      </c>
      <c r="H648">
        <f>RAW_GAMES!I648</f>
        <v>3</v>
      </c>
    </row>
    <row r="649" spans="1:8" x14ac:dyDescent="0.25">
      <c r="A649" t="str">
        <f>RAW_GAMES!A649</f>
        <v>25/26</v>
      </c>
      <c r="B649" s="3">
        <f>RAW_GAMES!B649</f>
        <v>46051</v>
      </c>
      <c r="C649" t="str">
        <f>RAW_GAMES!E649</f>
        <v>PLZ</v>
      </c>
      <c r="D649" t="str">
        <f>RAW_GAMES!R649</f>
        <v>Růžička</v>
      </c>
      <c r="F649">
        <f>RAW_GAMES!K649</f>
        <v>26</v>
      </c>
      <c r="G649" s="7">
        <f>RAW_GAMES!S649</f>
        <v>22</v>
      </c>
      <c r="H649">
        <f>RAW_GAMES!I649</f>
        <v>4</v>
      </c>
    </row>
    <row r="650" spans="1:8" x14ac:dyDescent="0.25">
      <c r="A650" t="str">
        <f>RAW_GAMES!A650</f>
        <v>25/26</v>
      </c>
      <c r="B650" s="3">
        <f>RAW_GAMES!B650</f>
        <v>46052</v>
      </c>
      <c r="C650" t="str">
        <f>RAW_GAMES!E650</f>
        <v>KOM</v>
      </c>
      <c r="D650" t="str">
        <f>RAW_GAMES!R650</f>
        <v>Stezka</v>
      </c>
      <c r="F650">
        <f>RAW_GAMES!K650</f>
        <v>25</v>
      </c>
      <c r="G650" s="7">
        <f>RAW_GAMES!S650</f>
        <v>35</v>
      </c>
      <c r="H650">
        <f>RAW_GAMES!I650</f>
        <v>3</v>
      </c>
    </row>
    <row r="651" spans="1:8" x14ac:dyDescent="0.25">
      <c r="A651" t="str">
        <f>RAW_GAMES!A651</f>
        <v>25/26</v>
      </c>
      <c r="B651" s="3">
        <f>RAW_GAMES!B651</f>
        <v>46052</v>
      </c>
      <c r="C651" t="str">
        <f>RAW_GAMES!E651</f>
        <v>CEB</v>
      </c>
      <c r="D651" t="str">
        <f>RAW_GAMES!R651</f>
        <v>Klouček</v>
      </c>
      <c r="F651">
        <f>RAW_GAMES!K651</f>
        <v>40</v>
      </c>
      <c r="G651" s="7">
        <f>RAW_GAMES!S651</f>
        <v>20</v>
      </c>
      <c r="H651">
        <f>RAW_GAMES!I651</f>
        <v>4</v>
      </c>
    </row>
    <row r="652" spans="1:8" x14ac:dyDescent="0.25">
      <c r="A652" t="str">
        <f>RAW_GAMES!A652</f>
        <v>25/26</v>
      </c>
      <c r="B652" s="3">
        <f>RAW_GAMES!B652</f>
        <v>46052</v>
      </c>
      <c r="C652" t="str">
        <f>RAW_GAMES!E652</f>
        <v>KVA</v>
      </c>
      <c r="D652" t="str">
        <f>RAW_GAMES!R652</f>
        <v>Frodl</v>
      </c>
      <c r="F652">
        <f>RAW_GAMES!K652</f>
        <v>44</v>
      </c>
      <c r="G652" s="7">
        <f>RAW_GAMES!S652</f>
        <v>42</v>
      </c>
      <c r="H652">
        <f>RAW_GAMES!I652</f>
        <v>2</v>
      </c>
    </row>
    <row r="653" spans="1:8" x14ac:dyDescent="0.25">
      <c r="A653" t="str">
        <f>RAW_GAMES!A653</f>
        <v>25/26</v>
      </c>
      <c r="B653" s="3">
        <f>RAW_GAMES!B653</f>
        <v>46052</v>
      </c>
      <c r="C653" t="str">
        <f>RAW_GAMES!E653</f>
        <v>LIB</v>
      </c>
      <c r="D653" t="str">
        <f>RAW_GAMES!R653</f>
        <v>Kváča</v>
      </c>
      <c r="F653">
        <f>RAW_GAMES!K653</f>
        <v>32</v>
      </c>
      <c r="G653" s="7">
        <f>RAW_GAMES!S653</f>
        <v>30</v>
      </c>
      <c r="H653">
        <f>RAW_GAMES!I653</f>
        <v>3</v>
      </c>
    </row>
    <row r="654" spans="1:8" x14ac:dyDescent="0.25">
      <c r="A654" t="str">
        <f>RAW_GAMES!A654</f>
        <v>25/26</v>
      </c>
      <c r="B654" s="3">
        <f>RAW_GAMES!B654</f>
        <v>46054</v>
      </c>
      <c r="C654" t="str">
        <f>RAW_GAMES!E654</f>
        <v>SPA</v>
      </c>
      <c r="D654" t="str">
        <f>RAW_GAMES!R654</f>
        <v>Kořenář</v>
      </c>
      <c r="F654">
        <f>RAW_GAMES!K654</f>
        <v>29</v>
      </c>
      <c r="G654" s="7">
        <f>RAW_GAMES!S654</f>
        <v>26</v>
      </c>
      <c r="H654">
        <f>RAW_GAMES!I654</f>
        <v>3</v>
      </c>
    </row>
    <row r="655" spans="1:8" x14ac:dyDescent="0.25">
      <c r="A655" t="str">
        <f>RAW_GAMES!A655</f>
        <v>25/26</v>
      </c>
      <c r="B655" s="3">
        <f>RAW_GAMES!B655</f>
        <v>46054</v>
      </c>
      <c r="C655" t="str">
        <f>RAW_GAMES!E655</f>
        <v>CEB</v>
      </c>
      <c r="D655" t="str">
        <f>RAW_GAMES!R655</f>
        <v>Klouček</v>
      </c>
      <c r="F655">
        <f>RAW_GAMES!K655</f>
        <v>34</v>
      </c>
      <c r="G655" s="7">
        <f>RAW_GAMES!S655</f>
        <v>30</v>
      </c>
      <c r="H655">
        <f>RAW_GAMES!I655</f>
        <v>4</v>
      </c>
    </row>
    <row r="656" spans="1:8" x14ac:dyDescent="0.25">
      <c r="A656" t="str">
        <f>RAW_GAMES!A656</f>
        <v>25/26</v>
      </c>
      <c r="B656" s="3">
        <f>RAW_GAMES!B656</f>
        <v>46055</v>
      </c>
      <c r="C656" t="str">
        <f>RAW_GAMES!E656</f>
        <v>SPA</v>
      </c>
      <c r="D656" t="str">
        <f>RAW_GAMES!R656</f>
        <v>Kovář</v>
      </c>
      <c r="F656">
        <f>RAW_GAMES!K656</f>
        <v>33</v>
      </c>
      <c r="G656" s="7">
        <f>RAW_GAMES!S656</f>
        <v>29</v>
      </c>
      <c r="H656">
        <f>RAW_GAMES!I656</f>
        <v>4</v>
      </c>
    </row>
    <row r="657" spans="1:8" x14ac:dyDescent="0.25">
      <c r="A657" t="str">
        <f>RAW_GAMES!A657</f>
        <v>25/26</v>
      </c>
      <c r="B657" s="3">
        <f>RAW_GAMES!B657</f>
        <v>46055</v>
      </c>
      <c r="C657" t="str">
        <f>RAW_GAMES!E657</f>
        <v>PLZ</v>
      </c>
      <c r="D657" t="str">
        <f>RAW_GAMES!R657</f>
        <v>Malík</v>
      </c>
      <c r="F657">
        <f>RAW_GAMES!K657</f>
        <v>18</v>
      </c>
      <c r="G657" s="7">
        <f>RAW_GAMES!S657</f>
        <v>17</v>
      </c>
      <c r="H657">
        <f>RAW_GAMES!I657</f>
        <v>1</v>
      </c>
    </row>
    <row r="658" spans="1:8" x14ac:dyDescent="0.25">
      <c r="A658" t="str">
        <f>RAW_GAMES!A658</f>
        <v>25/26</v>
      </c>
      <c r="B658" s="3">
        <f>RAW_GAMES!B658</f>
        <v>46075</v>
      </c>
      <c r="C658" t="str">
        <f>RAW_GAMES!E658</f>
        <v>SPA</v>
      </c>
      <c r="D658" t="str">
        <f>RAW_GAMES!R658</f>
        <v>Kořenář</v>
      </c>
      <c r="F658">
        <f>RAW_GAMES!K658</f>
        <v>28</v>
      </c>
      <c r="G658" s="7">
        <f>RAW_GAMES!S658</f>
        <v>26</v>
      </c>
      <c r="H658">
        <f>RAW_GAMES!I658</f>
        <v>2</v>
      </c>
    </row>
    <row r="659" spans="1:8" x14ac:dyDescent="0.25">
      <c r="A659" t="str">
        <f>RAW_GAMES!A659</f>
        <v>25/26</v>
      </c>
      <c r="B659" s="3">
        <f>RAW_GAMES!B659</f>
        <v>46075</v>
      </c>
      <c r="C659" t="str">
        <f>RAW_GAMES!E659</f>
        <v>MBL</v>
      </c>
      <c r="D659" t="str">
        <f>RAW_GAMES!R659</f>
        <v>Furch</v>
      </c>
      <c r="F659">
        <f>RAW_GAMES!K659</f>
        <v>29</v>
      </c>
      <c r="G659" s="7">
        <f>RAW_GAMES!S659</f>
        <v>26</v>
      </c>
      <c r="H659">
        <f>RAW_GAMES!I659</f>
        <v>3</v>
      </c>
    </row>
    <row r="660" spans="1:8" x14ac:dyDescent="0.25">
      <c r="A660" t="str">
        <f>RAW_GAMES!A660</f>
        <v>25/26</v>
      </c>
      <c r="B660" s="3">
        <f>RAW_GAMES!B660</f>
        <v>46077</v>
      </c>
      <c r="C660" t="str">
        <f>RAW_GAMES!E660</f>
        <v>MBL</v>
      </c>
      <c r="D660" t="str">
        <f>RAW_GAMES!R660</f>
        <v>Furch</v>
      </c>
      <c r="F660">
        <f>RAW_GAMES!K660</f>
        <v>20</v>
      </c>
      <c r="G660" s="7">
        <f>RAW_GAMES!S660</f>
        <v>18</v>
      </c>
      <c r="H660">
        <f>RAW_GAMES!I660</f>
        <v>2</v>
      </c>
    </row>
    <row r="661" spans="1:8" x14ac:dyDescent="0.25">
      <c r="A661" t="str">
        <f>RAW_GAMES!A661</f>
        <v>25/26</v>
      </c>
      <c r="B661" s="3">
        <f>RAW_GAMES!B661</f>
        <v>46077</v>
      </c>
      <c r="C661" t="str">
        <f>RAW_GAMES!E661</f>
        <v>OLO</v>
      </c>
      <c r="D661" t="str">
        <f>RAW_GAMES!R661</f>
        <v>Machovský</v>
      </c>
      <c r="F661">
        <f>RAW_GAMES!K661</f>
        <v>40</v>
      </c>
      <c r="G661" s="7">
        <f>RAW_GAMES!S661</f>
        <v>37</v>
      </c>
      <c r="H661">
        <f>RAW_GAMES!I661</f>
        <v>3</v>
      </c>
    </row>
    <row r="662" spans="1:8" x14ac:dyDescent="0.25">
      <c r="A662" t="str">
        <f>RAW_GAMES!A662</f>
        <v>25/26</v>
      </c>
      <c r="B662" s="3">
        <f>RAW_GAMES!B662</f>
        <v>46078</v>
      </c>
      <c r="C662" t="str">
        <f>RAW_GAMES!E662</f>
        <v>PCE</v>
      </c>
      <c r="D662" t="str">
        <f>RAW_GAMES!R662</f>
        <v>Subban</v>
      </c>
      <c r="F662">
        <f>RAW_GAMES!K662</f>
        <v>26</v>
      </c>
      <c r="G662" s="7">
        <f>RAW_GAMES!S662</f>
        <v>24</v>
      </c>
      <c r="H662">
        <f>RAW_GAMES!I662</f>
        <v>2</v>
      </c>
    </row>
    <row r="663" spans="1:8" x14ac:dyDescent="0.25">
      <c r="A663" t="str">
        <f>RAW_GAMES!A663</f>
        <v>25/26</v>
      </c>
      <c r="B663" s="3">
        <f>RAW_GAMES!B663</f>
        <v>46078</v>
      </c>
      <c r="C663" t="str">
        <f>RAW_GAMES!E663</f>
        <v>TRI</v>
      </c>
      <c r="D663" t="str">
        <f>RAW_GAMES!R663</f>
        <v>Mazanec</v>
      </c>
      <c r="F663">
        <f>RAW_GAMES!K663</f>
        <v>21</v>
      </c>
      <c r="G663" s="7">
        <f>RAW_GAMES!S663</f>
        <v>20</v>
      </c>
      <c r="H663">
        <f>RAW_GAMES!I663</f>
        <v>1</v>
      </c>
    </row>
    <row r="664" spans="1:8" x14ac:dyDescent="0.25">
      <c r="A664" t="str">
        <f>RAW_GAMES!A664</f>
        <v>25/26</v>
      </c>
      <c r="B664" s="3">
        <f>RAW_GAMES!B664</f>
        <v>46078</v>
      </c>
      <c r="C664" t="str">
        <f>RAW_GAMES!E664</f>
        <v>SPA</v>
      </c>
      <c r="D664" t="str">
        <f>RAW_GAMES!R664</f>
        <v>Kořenář</v>
      </c>
      <c r="F664">
        <f>RAW_GAMES!K664</f>
        <v>37</v>
      </c>
      <c r="G664" s="7">
        <f>RAW_GAMES!S664</f>
        <v>36</v>
      </c>
      <c r="H664">
        <f>RAW_GAMES!I664</f>
        <v>1</v>
      </c>
    </row>
    <row r="665" spans="1:8" x14ac:dyDescent="0.25">
      <c r="A665" t="str">
        <f>RAW_GAMES!A665</f>
        <v>25/26</v>
      </c>
      <c r="B665" s="3">
        <f>RAW_GAMES!B665</f>
        <v>46078</v>
      </c>
      <c r="C665" t="str">
        <f>RAW_GAMES!E665</f>
        <v>KOM</v>
      </c>
      <c r="D665" t="str">
        <f>RAW_GAMES!R665</f>
        <v>Krošelj</v>
      </c>
      <c r="F665">
        <f>RAW_GAMES!K665</f>
        <v>33</v>
      </c>
      <c r="G665" s="7">
        <f>RAW_GAMES!S665</f>
        <v>29</v>
      </c>
      <c r="H665">
        <f>RAW_GAMES!I665</f>
        <v>4</v>
      </c>
    </row>
    <row r="666" spans="1:8" x14ac:dyDescent="0.25">
      <c r="A666" t="str">
        <f>RAW_GAMES!A666</f>
        <v>25/26</v>
      </c>
      <c r="B666" s="3">
        <f>RAW_GAMES!B666</f>
        <v>46078</v>
      </c>
      <c r="C666" t="str">
        <f>RAW_GAMES!E666</f>
        <v>CEB</v>
      </c>
      <c r="D666" t="str">
        <f>RAW_GAMES!R666</f>
        <v>Klouček</v>
      </c>
      <c r="F666">
        <f>RAW_GAMES!K666</f>
        <v>23</v>
      </c>
      <c r="G666" s="7">
        <f>RAW_GAMES!S666</f>
        <v>21</v>
      </c>
      <c r="H666">
        <f>RAW_GAMES!I666</f>
        <v>2</v>
      </c>
    </row>
    <row r="667" spans="1:8" x14ac:dyDescent="0.25">
      <c r="A667" t="str">
        <f>RAW_GAMES!A667</f>
        <v>25/26</v>
      </c>
      <c r="B667" s="3">
        <f>RAW_GAMES!B667</f>
        <v>46078</v>
      </c>
      <c r="C667" t="str">
        <f>RAW_GAMES!E667</f>
        <v>KLA</v>
      </c>
      <c r="D667" t="str">
        <f>RAW_GAMES!R667</f>
        <v>Brízgala</v>
      </c>
      <c r="F667">
        <f>RAW_GAMES!K667</f>
        <v>24</v>
      </c>
      <c r="G667" s="7">
        <f>RAW_GAMES!S667</f>
        <v>21</v>
      </c>
      <c r="H667">
        <f>RAW_GAMES!I667</f>
        <v>3</v>
      </c>
    </row>
    <row r="668" spans="1:8" x14ac:dyDescent="0.25">
      <c r="A668" t="str">
        <f>RAW_GAMES!A668</f>
        <v>25/26</v>
      </c>
      <c r="B668" s="3">
        <f>RAW_GAMES!B668</f>
        <v>46078</v>
      </c>
      <c r="C668" t="str">
        <f>RAW_GAMES!E668</f>
        <v>KVA</v>
      </c>
      <c r="D668" t="str">
        <f>RAW_GAMES!R668</f>
        <v>Frodl</v>
      </c>
      <c r="F668">
        <f>RAW_GAMES!K668</f>
        <v>32</v>
      </c>
      <c r="G668" s="7">
        <f>RAW_GAMES!S668</f>
        <v>30</v>
      </c>
      <c r="H668">
        <f>RAW_GAMES!I668</f>
        <v>2</v>
      </c>
    </row>
    <row r="669" spans="1:8" x14ac:dyDescent="0.25">
      <c r="A669" t="str">
        <f>RAW_GAMES!A669</f>
        <v>25/26</v>
      </c>
      <c r="B669" s="3">
        <f>RAW_GAMES!B669</f>
        <v>46078</v>
      </c>
      <c r="C669" t="str">
        <f>RAW_GAMES!E669</f>
        <v>LIB</v>
      </c>
      <c r="D669" t="str">
        <f>RAW_GAMES!R669</f>
        <v>Kváča</v>
      </c>
      <c r="F669">
        <f>RAW_GAMES!K669</f>
        <v>18</v>
      </c>
      <c r="G669" s="7">
        <f>RAW_GAMES!S669</f>
        <v>15</v>
      </c>
      <c r="H669">
        <f>RAW_GAMES!I669</f>
        <v>2</v>
      </c>
    </row>
    <row r="670" spans="1:8" x14ac:dyDescent="0.25">
      <c r="A670" t="str">
        <f>RAW_GAMES!A670</f>
        <v>25/26</v>
      </c>
      <c r="B670" s="3">
        <f>RAW_GAMES!B670</f>
        <v>46078</v>
      </c>
      <c r="C670" t="str">
        <f>RAW_GAMES!E670</f>
        <v>LIT</v>
      </c>
      <c r="D670" t="str">
        <f>RAW_GAMES!R670</f>
        <v>Čajan</v>
      </c>
      <c r="F670">
        <f>RAW_GAMES!K670</f>
        <v>40</v>
      </c>
      <c r="G670" s="7">
        <f>RAW_GAMES!S670</f>
        <v>36</v>
      </c>
      <c r="H670">
        <f>RAW_GAMES!I670</f>
        <v>4</v>
      </c>
    </row>
    <row r="671" spans="1:8" x14ac:dyDescent="0.25">
      <c r="A671" t="str">
        <f>RAW_GAMES!A671</f>
        <v>25/26</v>
      </c>
      <c r="B671" s="3">
        <f>RAW_GAMES!B671</f>
        <v>46078</v>
      </c>
      <c r="C671" t="str">
        <f>RAW_GAMES!E671</f>
        <v>MHK</v>
      </c>
      <c r="D671" t="str">
        <f>RAW_GAMES!R671</f>
        <v>Škorvánek</v>
      </c>
      <c r="F671">
        <f>RAW_GAMES!K671</f>
        <v>25</v>
      </c>
      <c r="G671" s="7">
        <f>RAW_GAMES!S671</f>
        <v>25</v>
      </c>
      <c r="H671">
        <f>RAW_GAMES!I671</f>
        <v>0</v>
      </c>
    </row>
    <row r="672" spans="1:8" x14ac:dyDescent="0.25">
      <c r="A672" t="str">
        <f>RAW_GAMES!A672</f>
        <v>25/26</v>
      </c>
      <c r="B672" s="3">
        <f>RAW_GAMES!B672</f>
        <v>46078</v>
      </c>
      <c r="C672" t="str">
        <f>RAW_GAMES!E672</f>
        <v>PLZ</v>
      </c>
      <c r="D672" t="str">
        <f>RAW_GAMES!R672</f>
        <v>Malík</v>
      </c>
      <c r="F672">
        <f>RAW_GAMES!K672</f>
        <v>23</v>
      </c>
      <c r="G672" s="7">
        <f>RAW_GAMES!S672</f>
        <v>23</v>
      </c>
      <c r="H672">
        <f>RAW_GAMES!I672</f>
        <v>0</v>
      </c>
    </row>
    <row r="673" spans="1:8" x14ac:dyDescent="0.25">
      <c r="A673" t="str">
        <f>RAW_GAMES!A673</f>
        <v>25/26</v>
      </c>
      <c r="B673" s="3">
        <f>RAW_GAMES!B673</f>
        <v>46078</v>
      </c>
      <c r="C673" t="str">
        <f>RAW_GAMES!E673</f>
        <v>VIT</v>
      </c>
      <c r="D673" t="str">
        <f>RAW_GAMES!R673</f>
        <v>Hrachovina</v>
      </c>
      <c r="F673">
        <f>RAW_GAMES!K673</f>
        <v>26</v>
      </c>
      <c r="G673" s="7">
        <f>RAW_GAMES!S673</f>
        <v>22</v>
      </c>
      <c r="H673">
        <f>RAW_GAMES!I673</f>
        <v>4</v>
      </c>
    </row>
    <row r="674" spans="1:8" x14ac:dyDescent="0.25">
      <c r="A674" t="str">
        <f>RAW_GAMES!A674</f>
        <v>25/26</v>
      </c>
      <c r="B674" s="3">
        <f>RAW_GAMES!B674</f>
        <v>46080</v>
      </c>
      <c r="C674" t="str">
        <f>RAW_GAMES!E674</f>
        <v>PCE</v>
      </c>
      <c r="D674" t="str">
        <f>RAW_GAMES!R674</f>
        <v>Will</v>
      </c>
      <c r="F674">
        <f>RAW_GAMES!K674</f>
        <v>26</v>
      </c>
      <c r="G674" s="7">
        <f>RAW_GAMES!S674</f>
        <v>25</v>
      </c>
      <c r="H674">
        <f>RAW_GAMES!I674</f>
        <v>1</v>
      </c>
    </row>
    <row r="675" spans="1:8" x14ac:dyDescent="0.25">
      <c r="A675" t="str">
        <f>RAW_GAMES!A675</f>
        <v>25/26</v>
      </c>
      <c r="B675" s="3">
        <f>RAW_GAMES!B675</f>
        <v>46080</v>
      </c>
      <c r="C675" t="str">
        <f>RAW_GAMES!E675</f>
        <v>TRI</v>
      </c>
      <c r="D675" t="str">
        <f>RAW_GAMES!R675</f>
        <v>Mazanec</v>
      </c>
      <c r="F675">
        <f>RAW_GAMES!K675</f>
        <v>29</v>
      </c>
      <c r="G675" s="7">
        <f>RAW_GAMES!S675</f>
        <v>24</v>
      </c>
      <c r="H675">
        <f>RAW_GAMES!I675</f>
        <v>5</v>
      </c>
    </row>
    <row r="676" spans="1:8" x14ac:dyDescent="0.25">
      <c r="A676" t="str">
        <f>RAW_GAMES!A676</f>
        <v>25/26</v>
      </c>
      <c r="B676" s="3">
        <f>RAW_GAMES!B676</f>
        <v>46080</v>
      </c>
      <c r="C676" t="str">
        <f>RAW_GAMES!E676</f>
        <v>SPA</v>
      </c>
      <c r="D676" t="str">
        <f>RAW_GAMES!R676</f>
        <v>Kořenář</v>
      </c>
      <c r="F676">
        <f>RAW_GAMES!K676</f>
        <v>28</v>
      </c>
      <c r="G676" s="7">
        <f>RAW_GAMES!S676</f>
        <v>28</v>
      </c>
      <c r="H676">
        <f>RAW_GAMES!I676</f>
        <v>0</v>
      </c>
    </row>
    <row r="677" spans="1:8" x14ac:dyDescent="0.25">
      <c r="A677" t="str">
        <f>RAW_GAMES!A677</f>
        <v>25/26</v>
      </c>
      <c r="B677" s="3">
        <f>RAW_GAMES!B677</f>
        <v>46080</v>
      </c>
      <c r="C677" t="str">
        <f>RAW_GAMES!E677</f>
        <v>KOM</v>
      </c>
      <c r="D677" t="str">
        <f>RAW_GAMES!R677</f>
        <v>Stezka</v>
      </c>
      <c r="F677">
        <f>RAW_GAMES!K677</f>
        <v>43</v>
      </c>
      <c r="G677" s="7">
        <f>RAW_GAMES!S677</f>
        <v>42</v>
      </c>
      <c r="H677">
        <f>RAW_GAMES!I677</f>
        <v>1</v>
      </c>
    </row>
    <row r="678" spans="1:8" x14ac:dyDescent="0.25">
      <c r="A678" t="str">
        <f>RAW_GAMES!A678</f>
        <v>25/26</v>
      </c>
      <c r="B678" s="3">
        <f>RAW_GAMES!B678</f>
        <v>46080</v>
      </c>
      <c r="C678" t="str">
        <f>RAW_GAMES!E678</f>
        <v>CEB</v>
      </c>
      <c r="D678" t="str">
        <f>RAW_GAMES!R678</f>
        <v>Klouček</v>
      </c>
      <c r="F678">
        <f>RAW_GAMES!K678</f>
        <v>32</v>
      </c>
      <c r="G678" s="7">
        <f>RAW_GAMES!S678</f>
        <v>27</v>
      </c>
      <c r="H678">
        <f>RAW_GAMES!I678</f>
        <v>5</v>
      </c>
    </row>
    <row r="679" spans="1:8" x14ac:dyDescent="0.25">
      <c r="A679" t="str">
        <f>RAW_GAMES!A679</f>
        <v>25/26</v>
      </c>
      <c r="B679" s="3">
        <f>RAW_GAMES!B679</f>
        <v>46080</v>
      </c>
      <c r="C679" t="str">
        <f>RAW_GAMES!E679</f>
        <v>KLA</v>
      </c>
      <c r="D679" t="str">
        <f>RAW_GAMES!R679</f>
        <v>Brízgala</v>
      </c>
      <c r="F679">
        <f>RAW_GAMES!K679</f>
        <v>27</v>
      </c>
      <c r="G679" s="7">
        <f>RAW_GAMES!S679</f>
        <v>25</v>
      </c>
      <c r="H679">
        <f>RAW_GAMES!I679</f>
        <v>2</v>
      </c>
    </row>
    <row r="680" spans="1:8" x14ac:dyDescent="0.25">
      <c r="A680" t="str">
        <f>RAW_GAMES!A680</f>
        <v>25/26</v>
      </c>
      <c r="B680" s="3">
        <f>RAW_GAMES!B680</f>
        <v>46080</v>
      </c>
      <c r="C680" t="str">
        <f>RAW_GAMES!E680</f>
        <v>KVA</v>
      </c>
      <c r="D680" t="str">
        <f>RAW_GAMES!R680</f>
        <v>Frodl</v>
      </c>
      <c r="F680">
        <f>RAW_GAMES!K680</f>
        <v>24</v>
      </c>
      <c r="G680" s="7">
        <f>RAW_GAMES!S680</f>
        <v>20</v>
      </c>
      <c r="H680">
        <f>RAW_GAMES!I680</f>
        <v>4</v>
      </c>
    </row>
    <row r="681" spans="1:8" x14ac:dyDescent="0.25">
      <c r="A681" t="str">
        <f>RAW_GAMES!A681</f>
        <v>25/26</v>
      </c>
      <c r="B681" s="3">
        <f>RAW_GAMES!B681</f>
        <v>46080</v>
      </c>
      <c r="C681" t="str">
        <f>RAW_GAMES!E681</f>
        <v>LIB</v>
      </c>
      <c r="D681" t="str">
        <f>RAW_GAMES!R681</f>
        <v>Kváča</v>
      </c>
      <c r="F681">
        <f>RAW_GAMES!K681</f>
        <v>35</v>
      </c>
      <c r="G681" s="7">
        <f>RAW_GAMES!S681</f>
        <v>31</v>
      </c>
      <c r="H681">
        <f>RAW_GAMES!I681</f>
        <v>4</v>
      </c>
    </row>
    <row r="682" spans="1:8" x14ac:dyDescent="0.25">
      <c r="A682" t="str">
        <f>RAW_GAMES!A682</f>
        <v>25/26</v>
      </c>
      <c r="B682" s="3">
        <f>RAW_GAMES!B682</f>
        <v>46080</v>
      </c>
      <c r="C682" t="str">
        <f>RAW_GAMES!E682</f>
        <v>LIT</v>
      </c>
      <c r="D682" t="str">
        <f>RAW_GAMES!R682</f>
        <v>Čajan</v>
      </c>
      <c r="F682">
        <f>RAW_GAMES!K682</f>
        <v>25</v>
      </c>
      <c r="G682" s="7">
        <f>RAW_GAMES!S682</f>
        <v>21</v>
      </c>
      <c r="H682">
        <f>RAW_GAMES!I682</f>
        <v>4</v>
      </c>
    </row>
    <row r="683" spans="1:8" x14ac:dyDescent="0.25">
      <c r="A683" t="str">
        <f>RAW_GAMES!A683</f>
        <v>25/26</v>
      </c>
      <c r="B683" s="3">
        <f>RAW_GAMES!B683</f>
        <v>46080</v>
      </c>
      <c r="C683" t="str">
        <f>RAW_GAMES!E683</f>
        <v>MBL</v>
      </c>
      <c r="D683" t="str">
        <f>RAW_GAMES!R683</f>
        <v>Furch</v>
      </c>
      <c r="F683">
        <f>RAW_GAMES!K683</f>
        <v>28</v>
      </c>
      <c r="G683" s="7">
        <f>RAW_GAMES!S683</f>
        <v>23</v>
      </c>
      <c r="H683">
        <f>RAW_GAMES!I683</f>
        <v>5</v>
      </c>
    </row>
    <row r="684" spans="1:8" x14ac:dyDescent="0.25">
      <c r="A684" t="str">
        <f>RAW_GAMES!A684</f>
        <v>25/26</v>
      </c>
      <c r="B684" s="3">
        <f>RAW_GAMES!B684</f>
        <v>46080</v>
      </c>
      <c r="C684" t="str">
        <f>RAW_GAMES!E684</f>
        <v>MHK</v>
      </c>
      <c r="D684" t="str">
        <f>RAW_GAMES!R684</f>
        <v>Škorvánek</v>
      </c>
      <c r="F684">
        <f>RAW_GAMES!K684</f>
        <v>33</v>
      </c>
      <c r="G684" s="7">
        <f>RAW_GAMES!S684</f>
        <v>31</v>
      </c>
      <c r="H684">
        <f>RAW_GAMES!I684</f>
        <v>2</v>
      </c>
    </row>
    <row r="685" spans="1:8" x14ac:dyDescent="0.25">
      <c r="A685" t="str">
        <f>RAW_GAMES!A685</f>
        <v>25/26</v>
      </c>
      <c r="B685" s="3">
        <f>RAW_GAMES!B685</f>
        <v>46080</v>
      </c>
      <c r="C685" t="str">
        <f>RAW_GAMES!E685</f>
        <v>OLO</v>
      </c>
      <c r="D685" t="str">
        <f>RAW_GAMES!R685</f>
        <v>Machovský</v>
      </c>
      <c r="F685">
        <f>RAW_GAMES!K685</f>
        <v>26</v>
      </c>
      <c r="G685" s="7">
        <f>RAW_GAMES!S685</f>
        <v>22</v>
      </c>
      <c r="H685">
        <f>RAW_GAMES!I685</f>
        <v>4</v>
      </c>
    </row>
    <row r="686" spans="1:8" x14ac:dyDescent="0.25">
      <c r="A686" t="str">
        <f>RAW_GAMES!A686</f>
        <v>25/26</v>
      </c>
      <c r="B686" s="3">
        <f>RAW_GAMES!B686</f>
        <v>46080</v>
      </c>
      <c r="C686" t="str">
        <f>RAW_GAMES!E686</f>
        <v>PLZ</v>
      </c>
      <c r="D686" t="str">
        <f>RAW_GAMES!R686</f>
        <v>Malík</v>
      </c>
      <c r="F686">
        <f>RAW_GAMES!K686</f>
        <v>24</v>
      </c>
      <c r="G686" s="7">
        <f>RAW_GAMES!S686</f>
        <v>21</v>
      </c>
      <c r="H686">
        <f>RAW_GAMES!I686</f>
        <v>3</v>
      </c>
    </row>
    <row r="687" spans="1:8" x14ac:dyDescent="0.25">
      <c r="A687" t="str">
        <f>RAW_GAMES!A687</f>
        <v>25/26</v>
      </c>
      <c r="B687" s="3">
        <f>RAW_GAMES!B687</f>
        <v>46080</v>
      </c>
      <c r="C687" t="str">
        <f>RAW_GAMES!E687</f>
        <v>VIT</v>
      </c>
      <c r="D687" t="str">
        <f>RAW_GAMES!R687</f>
        <v>Hrachovina</v>
      </c>
      <c r="F687">
        <f>RAW_GAMES!K687</f>
        <v>39</v>
      </c>
      <c r="G687" s="7">
        <f>RAW_GAMES!S687</f>
        <v>35</v>
      </c>
      <c r="H687">
        <f>RAW_GAMES!I687</f>
        <v>4</v>
      </c>
    </row>
    <row r="688" spans="1:8" x14ac:dyDescent="0.25">
      <c r="A688" t="str">
        <f>RAW_GAMES!A688</f>
        <v>25/26</v>
      </c>
      <c r="B688" s="3">
        <f>RAW_GAMES!B688</f>
        <v>46082</v>
      </c>
      <c r="C688" t="str">
        <f>RAW_GAMES!E688</f>
        <v>PCE</v>
      </c>
      <c r="D688" t="str">
        <f>RAW_GAMES!R688</f>
        <v>Subban</v>
      </c>
      <c r="F688">
        <f>RAW_GAMES!K688</f>
        <v>25</v>
      </c>
      <c r="G688" s="7">
        <f>RAW_GAMES!S688</f>
        <v>22</v>
      </c>
      <c r="H688">
        <f>RAW_GAMES!I688</f>
        <v>3</v>
      </c>
    </row>
    <row r="689" spans="1:8" x14ac:dyDescent="0.25">
      <c r="A689" t="str">
        <f>RAW_GAMES!A689</f>
        <v>25/26</v>
      </c>
      <c r="B689" s="3">
        <f>RAW_GAMES!B689</f>
        <v>46082</v>
      </c>
      <c r="C689" t="str">
        <f>RAW_GAMES!E689</f>
        <v>TRI</v>
      </c>
      <c r="D689" t="str">
        <f>RAW_GAMES!R689</f>
        <v>Mazanec</v>
      </c>
      <c r="F689">
        <f>RAW_GAMES!K689</f>
        <v>24</v>
      </c>
      <c r="G689" s="7">
        <f>RAW_GAMES!S689</f>
        <v>22</v>
      </c>
      <c r="H689">
        <f>RAW_GAMES!I689</f>
        <v>2</v>
      </c>
    </row>
    <row r="690" spans="1:8" x14ac:dyDescent="0.25">
      <c r="A690" t="str">
        <f>RAW_GAMES!A690</f>
        <v>25/26</v>
      </c>
      <c r="B690" s="3">
        <f>RAW_GAMES!B690</f>
        <v>46082</v>
      </c>
      <c r="C690" t="str">
        <f>RAW_GAMES!E690</f>
        <v>SPA</v>
      </c>
      <c r="D690" t="str">
        <f>RAW_GAMES!R690</f>
        <v>Kořenář</v>
      </c>
      <c r="F690">
        <f>RAW_GAMES!K690</f>
        <v>19</v>
      </c>
      <c r="G690" s="7">
        <f>RAW_GAMES!S690</f>
        <v>13</v>
      </c>
      <c r="H690">
        <f>RAW_GAMES!I690</f>
        <v>6</v>
      </c>
    </row>
    <row r="691" spans="1:8" x14ac:dyDescent="0.25">
      <c r="A691" t="str">
        <f>RAW_GAMES!A691</f>
        <v>25/26</v>
      </c>
      <c r="B691" s="3">
        <f>RAW_GAMES!B691</f>
        <v>46082</v>
      </c>
      <c r="C691" t="str">
        <f>RAW_GAMES!E691</f>
        <v>KOM</v>
      </c>
      <c r="D691" t="str">
        <f>RAW_GAMES!R691</f>
        <v>Stezka</v>
      </c>
      <c r="F691">
        <f>RAW_GAMES!K691</f>
        <v>32</v>
      </c>
      <c r="G691" s="7">
        <f>RAW_GAMES!S691</f>
        <v>28</v>
      </c>
      <c r="H691">
        <f>RAW_GAMES!I691</f>
        <v>4</v>
      </c>
    </row>
    <row r="692" spans="1:8" x14ac:dyDescent="0.25">
      <c r="A692" t="str">
        <f>RAW_GAMES!A692</f>
        <v>25/26</v>
      </c>
      <c r="B692" s="3">
        <f>RAW_GAMES!B692</f>
        <v>46082</v>
      </c>
      <c r="C692" t="str">
        <f>RAW_GAMES!E692</f>
        <v>CEB</v>
      </c>
      <c r="D692" t="str">
        <f>RAW_GAMES!R692</f>
        <v>Klouček</v>
      </c>
      <c r="F692">
        <f>RAW_GAMES!K692</f>
        <v>24</v>
      </c>
      <c r="G692" s="7">
        <f>RAW_GAMES!S692</f>
        <v>24</v>
      </c>
      <c r="H692">
        <f>RAW_GAMES!I692</f>
        <v>0</v>
      </c>
    </row>
    <row r="693" spans="1:8" x14ac:dyDescent="0.25">
      <c r="A693" t="str">
        <f>RAW_GAMES!A693</f>
        <v>25/26</v>
      </c>
      <c r="B693" s="3">
        <f>RAW_GAMES!B693</f>
        <v>46082</v>
      </c>
      <c r="C693" t="str">
        <f>RAW_GAMES!E693</f>
        <v>KLA</v>
      </c>
      <c r="D693" t="str">
        <f>RAW_GAMES!R693</f>
        <v>Brízgala</v>
      </c>
      <c r="F693">
        <f>RAW_GAMES!K693</f>
        <v>18</v>
      </c>
      <c r="G693" s="7">
        <f>RAW_GAMES!S693</f>
        <v>16</v>
      </c>
      <c r="H693">
        <f>RAW_GAMES!I693</f>
        <v>2</v>
      </c>
    </row>
    <row r="694" spans="1:8" x14ac:dyDescent="0.25">
      <c r="A694" t="str">
        <f>RAW_GAMES!A694</f>
        <v>25/26</v>
      </c>
      <c r="B694" s="3">
        <f>RAW_GAMES!B694</f>
        <v>46082</v>
      </c>
      <c r="C694" t="str">
        <f>RAW_GAMES!E694</f>
        <v>KVA</v>
      </c>
      <c r="D694" t="str">
        <f>RAW_GAMES!R694</f>
        <v>Král</v>
      </c>
      <c r="F694">
        <f>RAW_GAMES!K694</f>
        <v>24</v>
      </c>
      <c r="G694" s="7">
        <f>RAW_GAMES!S694</f>
        <v>20</v>
      </c>
      <c r="H694">
        <f>RAW_GAMES!I694</f>
        <v>4</v>
      </c>
    </row>
    <row r="695" spans="1:8" x14ac:dyDescent="0.25">
      <c r="A695" t="str">
        <f>RAW_GAMES!A695</f>
        <v>25/26</v>
      </c>
      <c r="B695" s="3">
        <f>RAW_GAMES!B695</f>
        <v>46082</v>
      </c>
      <c r="C695" t="str">
        <f>RAW_GAMES!E695</f>
        <v>LIB</v>
      </c>
      <c r="D695" t="str">
        <f>RAW_GAMES!R695</f>
        <v>Kváča</v>
      </c>
      <c r="F695">
        <f>RAW_GAMES!K695</f>
        <v>17</v>
      </c>
      <c r="G695" s="7">
        <f>RAW_GAMES!S695</f>
        <v>14</v>
      </c>
      <c r="H695">
        <f>RAW_GAMES!I695</f>
        <v>3</v>
      </c>
    </row>
    <row r="696" spans="1:8" x14ac:dyDescent="0.25">
      <c r="A696" t="str">
        <f>RAW_GAMES!A696</f>
        <v>25/26</v>
      </c>
      <c r="B696" s="3">
        <f>RAW_GAMES!B696</f>
        <v>46082</v>
      </c>
      <c r="C696" t="str">
        <f>RAW_GAMES!E696</f>
        <v>LIT</v>
      </c>
      <c r="D696" t="str">
        <f>RAW_GAMES!R696</f>
        <v>Tomek</v>
      </c>
      <c r="F696">
        <f>RAW_GAMES!K696</f>
        <v>43</v>
      </c>
      <c r="G696" s="7">
        <f>RAW_GAMES!S696</f>
        <v>40</v>
      </c>
      <c r="H696">
        <f>RAW_GAMES!I696</f>
        <v>3</v>
      </c>
    </row>
    <row r="697" spans="1:8" x14ac:dyDescent="0.25">
      <c r="A697" t="str">
        <f>RAW_GAMES!A697</f>
        <v>25/26</v>
      </c>
      <c r="B697" s="3">
        <f>RAW_GAMES!B697</f>
        <v>46082</v>
      </c>
      <c r="C697" t="str">
        <f>RAW_GAMES!E697</f>
        <v>MBL</v>
      </c>
      <c r="D697" t="str">
        <f>RAW_GAMES!R697</f>
        <v>Furch</v>
      </c>
      <c r="F697">
        <f>RAW_GAMES!K697</f>
        <v>24</v>
      </c>
      <c r="G697" s="7">
        <f>RAW_GAMES!S697</f>
        <v>23</v>
      </c>
      <c r="H697">
        <f>RAW_GAMES!I697</f>
        <v>3</v>
      </c>
    </row>
    <row r="698" spans="1:8" x14ac:dyDescent="0.25">
      <c r="A698" t="str">
        <f>RAW_GAMES!A698</f>
        <v>25/26</v>
      </c>
      <c r="B698" s="3">
        <f>RAW_GAMES!B698</f>
        <v>46082</v>
      </c>
      <c r="C698" t="str">
        <f>RAW_GAMES!E698</f>
        <v>MHK</v>
      </c>
      <c r="D698" t="str">
        <f>RAW_GAMES!R698</f>
        <v>Škorvánek</v>
      </c>
      <c r="F698">
        <f>RAW_GAMES!K698</f>
        <v>32</v>
      </c>
      <c r="G698" s="7">
        <f>RAW_GAMES!S698</f>
        <v>29</v>
      </c>
      <c r="H698">
        <f>RAW_GAMES!I698</f>
        <v>3</v>
      </c>
    </row>
    <row r="699" spans="1:8" x14ac:dyDescent="0.25">
      <c r="A699" t="str">
        <f>RAW_GAMES!A699</f>
        <v>25/26</v>
      </c>
      <c r="B699" s="3">
        <f>RAW_GAMES!B699</f>
        <v>46082</v>
      </c>
      <c r="C699" t="str">
        <f>RAW_GAMES!E699</f>
        <v>OLO</v>
      </c>
      <c r="D699" t="str">
        <f>RAW_GAMES!R699</f>
        <v>Cichoň</v>
      </c>
      <c r="F699">
        <f>RAW_GAMES!K699</f>
        <v>31</v>
      </c>
      <c r="G699" s="7">
        <f>RAW_GAMES!S699</f>
        <v>25</v>
      </c>
      <c r="H699">
        <f>RAW_GAMES!I699</f>
        <v>6</v>
      </c>
    </row>
    <row r="700" spans="1:8" x14ac:dyDescent="0.25">
      <c r="A700" t="str">
        <f>RAW_GAMES!A700</f>
        <v>25/26</v>
      </c>
      <c r="B700" s="3">
        <f>RAW_GAMES!B700</f>
        <v>46082</v>
      </c>
      <c r="C700" t="str">
        <f>RAW_GAMES!E700</f>
        <v>PLZ</v>
      </c>
      <c r="D700" t="str">
        <f>RAW_GAMES!R700</f>
        <v>Malík</v>
      </c>
      <c r="F700">
        <f>RAW_GAMES!K700</f>
        <v>17</v>
      </c>
      <c r="G700" s="7">
        <f>RAW_GAMES!S700</f>
        <v>15</v>
      </c>
      <c r="H700">
        <f>RAW_GAMES!I700</f>
        <v>2</v>
      </c>
    </row>
    <row r="701" spans="1:8" x14ac:dyDescent="0.25">
      <c r="A701" t="str">
        <f>RAW_GAMES!A701</f>
        <v>25/26</v>
      </c>
      <c r="B701" s="3">
        <f>RAW_GAMES!B701</f>
        <v>46082</v>
      </c>
      <c r="C701" t="str">
        <f>RAW_GAMES!E701</f>
        <v>VIT</v>
      </c>
      <c r="D701" t="str">
        <f>RAW_GAMES!R701</f>
        <v>Hrachovina</v>
      </c>
      <c r="F701">
        <f>RAW_GAMES!K701</f>
        <v>44</v>
      </c>
      <c r="G701" s="7">
        <f>RAW_GAMES!S701</f>
        <v>41</v>
      </c>
      <c r="H701">
        <f>RAW_GAMES!I701</f>
        <v>3</v>
      </c>
    </row>
    <row r="702" spans="1:8" x14ac:dyDescent="0.25">
      <c r="A702" t="str">
        <f>RAW_GAMES!A702</f>
        <v>25/26</v>
      </c>
      <c r="B702" s="3">
        <f>RAW_GAMES!B702</f>
        <v>46085</v>
      </c>
      <c r="C702" t="str">
        <f>RAW_GAMES!E702</f>
        <v>PCE</v>
      </c>
      <c r="D702" t="str">
        <f>RAW_GAMES!R702</f>
        <v>Will</v>
      </c>
      <c r="F702">
        <f>RAW_GAMES!K702</f>
        <v>17</v>
      </c>
      <c r="G702" s="7">
        <f>RAW_GAMES!S702</f>
        <v>13</v>
      </c>
      <c r="H702">
        <f>RAW_GAMES!I702</f>
        <v>4</v>
      </c>
    </row>
    <row r="703" spans="1:8" x14ac:dyDescent="0.25">
      <c r="A703" t="str">
        <f>RAW_GAMES!A703</f>
        <v>25/26</v>
      </c>
      <c r="B703" s="3">
        <f>RAW_GAMES!B703</f>
        <v>46085</v>
      </c>
      <c r="C703" t="str">
        <f>RAW_GAMES!E703</f>
        <v>TRI</v>
      </c>
      <c r="D703" t="str">
        <f>RAW_GAMES!R703</f>
        <v>Mazanec</v>
      </c>
      <c r="F703">
        <f>RAW_GAMES!K703</f>
        <v>27</v>
      </c>
      <c r="G703" s="7">
        <f>RAW_GAMES!S703</f>
        <v>26</v>
      </c>
      <c r="H703">
        <f>RAW_GAMES!I703</f>
        <v>1</v>
      </c>
    </row>
    <row r="704" spans="1:8" x14ac:dyDescent="0.25">
      <c r="A704" t="str">
        <f>RAW_GAMES!A704</f>
        <v>25/26</v>
      </c>
      <c r="B704" s="3">
        <f>RAW_GAMES!B704</f>
        <v>46085</v>
      </c>
      <c r="C704" t="str">
        <f>RAW_GAMES!E704</f>
        <v>SPA</v>
      </c>
      <c r="D704" t="str">
        <f>RAW_GAMES!R704</f>
        <v>Kořenář</v>
      </c>
      <c r="F704">
        <f>RAW_GAMES!K704</f>
        <v>27</v>
      </c>
      <c r="G704" s="7">
        <f>RAW_GAMES!S704</f>
        <v>24</v>
      </c>
      <c r="H704">
        <f>RAW_GAMES!I704</f>
        <v>3</v>
      </c>
    </row>
    <row r="705" spans="1:8" x14ac:dyDescent="0.25">
      <c r="A705" t="str">
        <f>RAW_GAMES!A705</f>
        <v>25/26</v>
      </c>
      <c r="B705" s="3">
        <f>RAW_GAMES!B705</f>
        <v>46085</v>
      </c>
      <c r="C705" t="str">
        <f>RAW_GAMES!E705</f>
        <v>KOM</v>
      </c>
      <c r="D705" t="str">
        <f>RAW_GAMES!R705</f>
        <v>Krošelj</v>
      </c>
      <c r="F705">
        <f>RAW_GAMES!K705</f>
        <v>35</v>
      </c>
      <c r="G705" s="7">
        <f>RAW_GAMES!S705</f>
        <v>32</v>
      </c>
      <c r="H705">
        <f>RAW_GAMES!I705</f>
        <v>3</v>
      </c>
    </row>
    <row r="706" spans="1:8" x14ac:dyDescent="0.25">
      <c r="A706" t="str">
        <f>RAW_GAMES!A706</f>
        <v>25/26</v>
      </c>
      <c r="B706" s="3">
        <f>RAW_GAMES!B706</f>
        <v>46085</v>
      </c>
      <c r="C706" t="str">
        <f>RAW_GAMES!E706</f>
        <v>CEB</v>
      </c>
      <c r="D706" t="str">
        <f>RAW_GAMES!R706</f>
        <v>Klouček</v>
      </c>
      <c r="F706">
        <f>RAW_GAMES!K706</f>
        <v>28</v>
      </c>
      <c r="G706" s="7">
        <f>RAW_GAMES!S706</f>
        <v>25</v>
      </c>
      <c r="H706">
        <f>RAW_GAMES!I706</f>
        <v>3</v>
      </c>
    </row>
    <row r="707" spans="1:8" x14ac:dyDescent="0.25">
      <c r="A707" t="str">
        <f>RAW_GAMES!A707</f>
        <v>25/26</v>
      </c>
      <c r="B707" s="3">
        <f>RAW_GAMES!B707</f>
        <v>46085</v>
      </c>
      <c r="C707" t="str">
        <f>RAW_GAMES!E707</f>
        <v>KLA</v>
      </c>
      <c r="D707" t="str">
        <f>RAW_GAMES!R707</f>
        <v>Dansk</v>
      </c>
      <c r="F707">
        <f>RAW_GAMES!K707</f>
        <v>35</v>
      </c>
      <c r="G707" s="7">
        <f>RAW_GAMES!S707</f>
        <v>29</v>
      </c>
      <c r="H707">
        <f>RAW_GAMES!I707</f>
        <v>6</v>
      </c>
    </row>
    <row r="708" spans="1:8" x14ac:dyDescent="0.25">
      <c r="A708" t="str">
        <f>RAW_GAMES!A708</f>
        <v>25/26</v>
      </c>
      <c r="B708" s="3">
        <f>RAW_GAMES!B708</f>
        <v>46085</v>
      </c>
      <c r="C708" t="str">
        <f>RAW_GAMES!E708</f>
        <v>KVA</v>
      </c>
      <c r="D708" t="str">
        <f>RAW_GAMES!R708</f>
        <v>Frodl</v>
      </c>
      <c r="F708">
        <f>RAW_GAMES!K708</f>
        <v>33</v>
      </c>
      <c r="G708" s="7">
        <f>RAW_GAMES!S708</f>
        <v>31</v>
      </c>
      <c r="H708">
        <f>RAW_GAMES!I708</f>
        <v>2</v>
      </c>
    </row>
    <row r="709" spans="1:8" x14ac:dyDescent="0.25">
      <c r="A709" t="str">
        <f>RAW_GAMES!A709</f>
        <v>25/26</v>
      </c>
      <c r="B709" s="3">
        <f>RAW_GAMES!B709</f>
        <v>46085</v>
      </c>
      <c r="C709" t="str">
        <f>RAW_GAMES!E709</f>
        <v>LIB</v>
      </c>
      <c r="D709" t="str">
        <f>RAW_GAMES!R709</f>
        <v>Kváča</v>
      </c>
      <c r="F709">
        <f>RAW_GAMES!K709</f>
        <v>21</v>
      </c>
      <c r="G709" s="7">
        <f>RAW_GAMES!S709</f>
        <v>21</v>
      </c>
      <c r="H709">
        <f>RAW_GAMES!I709</f>
        <v>0</v>
      </c>
    </row>
    <row r="710" spans="1:8" x14ac:dyDescent="0.25">
      <c r="A710" t="str">
        <f>RAW_GAMES!A710</f>
        <v>25/26</v>
      </c>
      <c r="B710" s="3">
        <f>RAW_GAMES!B710</f>
        <v>46085</v>
      </c>
      <c r="C710" t="str">
        <f>RAW_GAMES!E710</f>
        <v>LIT</v>
      </c>
      <c r="D710" t="str">
        <f>RAW_GAMES!R710</f>
        <v>Tomek</v>
      </c>
      <c r="F710">
        <f>RAW_GAMES!K710</f>
        <v>33</v>
      </c>
      <c r="G710" s="7">
        <f>RAW_GAMES!S710</f>
        <v>29</v>
      </c>
      <c r="H710">
        <f>RAW_GAMES!I710</f>
        <v>4</v>
      </c>
    </row>
    <row r="711" spans="1:8" x14ac:dyDescent="0.25">
      <c r="A711" t="str">
        <f>RAW_GAMES!A711</f>
        <v>25/26</v>
      </c>
      <c r="B711" s="3">
        <f>RAW_GAMES!B711</f>
        <v>46085</v>
      </c>
      <c r="C711" t="str">
        <f>RAW_GAMES!E711</f>
        <v>MBL</v>
      </c>
      <c r="D711" t="str">
        <f>RAW_GAMES!R711</f>
        <v>Furch</v>
      </c>
      <c r="F711">
        <f>RAW_GAMES!K711</f>
        <v>29</v>
      </c>
      <c r="G711" s="7">
        <f>RAW_GAMES!S711</f>
        <v>27</v>
      </c>
      <c r="H711">
        <f>RAW_GAMES!I711</f>
        <v>2</v>
      </c>
    </row>
    <row r="712" spans="1:8" x14ac:dyDescent="0.25">
      <c r="A712" t="str">
        <f>RAW_GAMES!A712</f>
        <v>25/26</v>
      </c>
      <c r="B712" s="3">
        <f>RAW_GAMES!B712</f>
        <v>46085</v>
      </c>
      <c r="C712" t="str">
        <f>RAW_GAMES!E712</f>
        <v>MHK</v>
      </c>
      <c r="D712" t="str">
        <f>RAW_GAMES!R712</f>
        <v>Škorvánek</v>
      </c>
      <c r="F712">
        <f>RAW_GAMES!K712</f>
        <v>29</v>
      </c>
      <c r="G712" s="7">
        <f>RAW_GAMES!S712</f>
        <v>25</v>
      </c>
      <c r="H712">
        <f>RAW_GAMES!I712</f>
        <v>4</v>
      </c>
    </row>
    <row r="713" spans="1:8" x14ac:dyDescent="0.25">
      <c r="A713" t="str">
        <f>RAW_GAMES!A713</f>
        <v>25/26</v>
      </c>
      <c r="B713" s="3">
        <f>RAW_GAMES!B713</f>
        <v>46085</v>
      </c>
      <c r="C713" t="str">
        <f>RAW_GAMES!E713</f>
        <v>OLO</v>
      </c>
      <c r="D713" t="str">
        <f>RAW_GAMES!R713</f>
        <v>Machovský</v>
      </c>
      <c r="F713">
        <f>RAW_GAMES!K713</f>
        <v>26</v>
      </c>
      <c r="G713" s="7">
        <f>RAW_GAMES!S713</f>
        <v>24</v>
      </c>
      <c r="H713">
        <f>RAW_GAMES!I713</f>
        <v>2</v>
      </c>
    </row>
    <row r="714" spans="1:8" x14ac:dyDescent="0.25">
      <c r="A714" t="str">
        <f>RAW_GAMES!A714</f>
        <v>25/26</v>
      </c>
      <c r="B714" s="3">
        <f>RAW_GAMES!B714</f>
        <v>46085</v>
      </c>
      <c r="C714" t="str">
        <f>RAW_GAMES!E714</f>
        <v>PLZ</v>
      </c>
      <c r="D714" t="str">
        <f>RAW_GAMES!R714</f>
        <v>Malík</v>
      </c>
      <c r="F714">
        <f>RAW_GAMES!K714</f>
        <v>26</v>
      </c>
      <c r="G714" s="7">
        <f>RAW_GAMES!S714</f>
        <v>26</v>
      </c>
      <c r="H714">
        <f>RAW_GAMES!I714</f>
        <v>0</v>
      </c>
    </row>
    <row r="715" spans="1:8" x14ac:dyDescent="0.25">
      <c r="A715" t="str">
        <f>RAW_GAMES!A715</f>
        <v>25/26</v>
      </c>
      <c r="B715" s="3">
        <f>RAW_GAMES!B715</f>
        <v>46085</v>
      </c>
      <c r="C715" t="str">
        <f>RAW_GAMES!E715</f>
        <v>VIT</v>
      </c>
      <c r="D715" t="str">
        <f>RAW_GAMES!R715</f>
        <v>Hrachovina</v>
      </c>
      <c r="F715">
        <f>RAW_GAMES!K715</f>
        <v>41</v>
      </c>
      <c r="G715" s="7">
        <f>RAW_GAMES!S715</f>
        <v>39</v>
      </c>
      <c r="H715">
        <f>RAW_GAMES!I715</f>
        <v>2</v>
      </c>
    </row>
    <row r="716" spans="1:8" x14ac:dyDescent="0.25">
      <c r="A716" t="str">
        <f>RAW_GAMES!A716</f>
        <v>25/26</v>
      </c>
      <c r="B716" s="3">
        <f>RAW_GAMES!B716</f>
        <v>46087</v>
      </c>
      <c r="C716" t="str">
        <f>RAW_GAMES!E716</f>
        <v>PCE</v>
      </c>
      <c r="D716" t="str">
        <f>RAW_GAMES!R716</f>
        <v>Subban</v>
      </c>
      <c r="F716">
        <f>RAW_GAMES!K716</f>
        <v>26</v>
      </c>
      <c r="G716" s="7">
        <f>RAW_GAMES!S716</f>
        <v>25</v>
      </c>
      <c r="H716">
        <f>RAW_GAMES!I716</f>
        <v>1</v>
      </c>
    </row>
    <row r="717" spans="1:8" x14ac:dyDescent="0.25">
      <c r="A717" t="str">
        <f>RAW_GAMES!A717</f>
        <v>25/26</v>
      </c>
      <c r="B717" s="3">
        <f>RAW_GAMES!B717</f>
        <v>46087</v>
      </c>
      <c r="C717" t="str">
        <f>RAW_GAMES!E717</f>
        <v>TRI</v>
      </c>
      <c r="D717" t="str">
        <f>RAW_GAMES!R717</f>
        <v>Mazanec</v>
      </c>
      <c r="F717">
        <f>RAW_GAMES!K717</f>
        <v>22</v>
      </c>
      <c r="G717" s="7">
        <f>RAW_GAMES!S717</f>
        <v>21</v>
      </c>
      <c r="H717">
        <f>RAW_GAMES!I717</f>
        <v>2</v>
      </c>
    </row>
    <row r="718" spans="1:8" x14ac:dyDescent="0.25">
      <c r="A718" t="str">
        <f>RAW_GAMES!A718</f>
        <v>25/26</v>
      </c>
      <c r="B718" s="3">
        <f>RAW_GAMES!B718</f>
        <v>46087</v>
      </c>
      <c r="C718" t="str">
        <f>RAW_GAMES!E718</f>
        <v>SPA</v>
      </c>
      <c r="D718" t="str">
        <f>RAW_GAMES!R718</f>
        <v>Kovář</v>
      </c>
      <c r="F718">
        <f>RAW_GAMES!K718</f>
        <v>26</v>
      </c>
      <c r="G718" s="7">
        <f>RAW_GAMES!S718</f>
        <v>26</v>
      </c>
      <c r="H718">
        <f>RAW_GAMES!I718</f>
        <v>2</v>
      </c>
    </row>
    <row r="719" spans="1:8" x14ac:dyDescent="0.25">
      <c r="A719" t="str">
        <f>RAW_GAMES!A719</f>
        <v>25/26</v>
      </c>
      <c r="B719" s="3">
        <f>RAW_GAMES!B719</f>
        <v>46087</v>
      </c>
      <c r="C719" t="str">
        <f>RAW_GAMES!E719</f>
        <v>KOM</v>
      </c>
      <c r="D719" t="str">
        <f>RAW_GAMES!R719</f>
        <v>Stezka</v>
      </c>
      <c r="F719">
        <f>RAW_GAMES!K719</f>
        <v>28</v>
      </c>
      <c r="G719" s="7">
        <f>RAW_GAMES!S719</f>
        <v>23</v>
      </c>
      <c r="H719">
        <f>RAW_GAMES!I719</f>
        <v>4</v>
      </c>
    </row>
    <row r="720" spans="1:8" x14ac:dyDescent="0.25">
      <c r="A720" t="str">
        <f>RAW_GAMES!A720</f>
        <v>25/26</v>
      </c>
      <c r="B720" s="3">
        <f>RAW_GAMES!B720</f>
        <v>46087</v>
      </c>
      <c r="C720" t="str">
        <f>RAW_GAMES!E720</f>
        <v>CEB</v>
      </c>
      <c r="D720" t="str">
        <f>RAW_GAMES!R720</f>
        <v>Klouček</v>
      </c>
      <c r="F720">
        <f>RAW_GAMES!K720</f>
        <v>36</v>
      </c>
      <c r="G720" s="7">
        <f>RAW_GAMES!S720</f>
        <v>33</v>
      </c>
      <c r="H720">
        <f>RAW_GAMES!I720</f>
        <v>3</v>
      </c>
    </row>
    <row r="721" spans="1:8" x14ac:dyDescent="0.25">
      <c r="A721" t="str">
        <f>RAW_GAMES!A721</f>
        <v>25/26</v>
      </c>
      <c r="B721" s="3">
        <f>RAW_GAMES!B721</f>
        <v>46087</v>
      </c>
      <c r="C721" t="str">
        <f>RAW_GAMES!E721</f>
        <v>KLA</v>
      </c>
      <c r="D721" t="str">
        <f>RAW_GAMES!R721</f>
        <v>Brízgala</v>
      </c>
      <c r="F721">
        <f>RAW_GAMES!K721</f>
        <v>28</v>
      </c>
      <c r="G721" s="7">
        <f>RAW_GAMES!S721</f>
        <v>27</v>
      </c>
      <c r="H721">
        <f>RAW_GAMES!I721</f>
        <v>1</v>
      </c>
    </row>
    <row r="722" spans="1:8" x14ac:dyDescent="0.25">
      <c r="A722" t="str">
        <f>RAW_GAMES!A722</f>
        <v>25/26</v>
      </c>
      <c r="B722" s="3">
        <f>RAW_GAMES!B722</f>
        <v>46087</v>
      </c>
      <c r="C722" t="str">
        <f>RAW_GAMES!E722</f>
        <v>KVA</v>
      </c>
      <c r="D722" t="str">
        <f>RAW_GAMES!R722</f>
        <v>Frodl</v>
      </c>
      <c r="F722">
        <f>RAW_GAMES!K722</f>
        <v>33</v>
      </c>
      <c r="G722" s="7">
        <f>RAW_GAMES!S722</f>
        <v>32</v>
      </c>
      <c r="H722">
        <f>RAW_GAMES!I722</f>
        <v>1</v>
      </c>
    </row>
    <row r="723" spans="1:8" x14ac:dyDescent="0.25">
      <c r="A723" t="str">
        <f>RAW_GAMES!A723</f>
        <v>25/26</v>
      </c>
      <c r="B723" s="3">
        <f>RAW_GAMES!B723</f>
        <v>46087</v>
      </c>
      <c r="C723" t="str">
        <f>RAW_GAMES!E723</f>
        <v>LIB</v>
      </c>
      <c r="D723" t="str">
        <f>RAW_GAMES!R723</f>
        <v>Lukeš</v>
      </c>
      <c r="F723">
        <f>RAW_GAMES!K723</f>
        <v>24</v>
      </c>
      <c r="G723" s="7">
        <f>RAW_GAMES!S723</f>
        <v>21</v>
      </c>
      <c r="H723">
        <f>RAW_GAMES!I723</f>
        <v>4</v>
      </c>
    </row>
    <row r="724" spans="1:8" x14ac:dyDescent="0.25">
      <c r="A724" t="str">
        <f>RAW_GAMES!A724</f>
        <v>25/26</v>
      </c>
      <c r="B724" s="3">
        <f>RAW_GAMES!B724</f>
        <v>46087</v>
      </c>
      <c r="C724" t="str">
        <f>RAW_GAMES!E724</f>
        <v>LIT</v>
      </c>
      <c r="D724" t="str">
        <f>RAW_GAMES!R724</f>
        <v>Čajan</v>
      </c>
      <c r="F724">
        <f>RAW_GAMES!K724</f>
        <v>31</v>
      </c>
      <c r="G724" s="7">
        <f>RAW_GAMES!S724</f>
        <v>28</v>
      </c>
      <c r="H724">
        <f>RAW_GAMES!I724</f>
        <v>3</v>
      </c>
    </row>
    <row r="725" spans="1:8" x14ac:dyDescent="0.25">
      <c r="A725" t="str">
        <f>RAW_GAMES!A725</f>
        <v>25/26</v>
      </c>
      <c r="B725" s="3">
        <f>RAW_GAMES!B725</f>
        <v>46087</v>
      </c>
      <c r="C725" t="str">
        <f>RAW_GAMES!E725</f>
        <v>MBL</v>
      </c>
      <c r="D725" t="str">
        <f>RAW_GAMES!R725</f>
        <v>Mokry</v>
      </c>
      <c r="F725">
        <f>RAW_GAMES!K725</f>
        <v>22</v>
      </c>
      <c r="G725" s="7">
        <f>RAW_GAMES!S725</f>
        <v>19</v>
      </c>
      <c r="H725">
        <f>RAW_GAMES!I725</f>
        <v>3</v>
      </c>
    </row>
    <row r="726" spans="1:8" x14ac:dyDescent="0.25">
      <c r="A726" t="str">
        <f>RAW_GAMES!A726</f>
        <v>25/26</v>
      </c>
      <c r="B726" s="3">
        <f>RAW_GAMES!B726</f>
        <v>46087</v>
      </c>
      <c r="C726" t="str">
        <f>RAW_GAMES!E726</f>
        <v>MHK</v>
      </c>
      <c r="D726" t="str">
        <f>RAW_GAMES!R726</f>
        <v>Škorvánek</v>
      </c>
      <c r="F726">
        <f>RAW_GAMES!K726</f>
        <v>32</v>
      </c>
      <c r="G726" s="7">
        <f>RAW_GAMES!S726</f>
        <v>31</v>
      </c>
      <c r="H726">
        <f>RAW_GAMES!I726</f>
        <v>1</v>
      </c>
    </row>
    <row r="727" spans="1:8" x14ac:dyDescent="0.25">
      <c r="A727" t="str">
        <f>RAW_GAMES!A727</f>
        <v>25/26</v>
      </c>
      <c r="B727" s="3">
        <f>RAW_GAMES!B727</f>
        <v>46087</v>
      </c>
      <c r="C727" t="str">
        <f>RAW_GAMES!E727</f>
        <v>OLO</v>
      </c>
      <c r="D727" t="str">
        <f>RAW_GAMES!R727</f>
        <v>Cichoň</v>
      </c>
      <c r="F727">
        <f>RAW_GAMES!K727</f>
        <v>29</v>
      </c>
      <c r="G727" s="7">
        <f>RAW_GAMES!S727</f>
        <v>24</v>
      </c>
      <c r="H727">
        <f>RAW_GAMES!I727</f>
        <v>5</v>
      </c>
    </row>
    <row r="728" spans="1:8" x14ac:dyDescent="0.25">
      <c r="A728" t="str">
        <f>RAW_GAMES!A728</f>
        <v>25/26</v>
      </c>
      <c r="B728" s="3">
        <f>RAW_GAMES!B728</f>
        <v>46087</v>
      </c>
      <c r="C728" t="str">
        <f>RAW_GAMES!E728</f>
        <v>PLZ</v>
      </c>
      <c r="D728" t="str">
        <f>RAW_GAMES!R728</f>
        <v>Malík</v>
      </c>
      <c r="F728">
        <f>RAW_GAMES!K728</f>
        <v>11</v>
      </c>
      <c r="G728" s="7">
        <f>RAW_GAMES!S728</f>
        <v>9</v>
      </c>
      <c r="H728">
        <f>RAW_GAMES!I728</f>
        <v>2</v>
      </c>
    </row>
    <row r="729" spans="1:8" x14ac:dyDescent="0.25">
      <c r="A729" t="str">
        <f>RAW_GAMES!A729</f>
        <v>25/26</v>
      </c>
      <c r="B729" s="3">
        <f>RAW_GAMES!B729</f>
        <v>46087</v>
      </c>
      <c r="C729" t="str">
        <f>RAW_GAMES!E729</f>
        <v>VIT</v>
      </c>
      <c r="D729" t="str">
        <f>RAW_GAMES!R729</f>
        <v>Hrachovina</v>
      </c>
      <c r="F729">
        <f>RAW_GAMES!K729</f>
        <v>49</v>
      </c>
      <c r="G729" s="7">
        <f>RAW_GAMES!S729</f>
        <v>44</v>
      </c>
      <c r="H729">
        <f>RAW_GAMES!I729</f>
        <v>5</v>
      </c>
    </row>
    <row r="730" spans="1:8" x14ac:dyDescent="0.25">
      <c r="A730" t="str">
        <f>RAW_GAMES!A730</f>
        <v>26/27</v>
      </c>
      <c r="B730" s="3">
        <f ca="1">RAW_GAMES!B730</f>
        <v>46160</v>
      </c>
      <c r="C730" t="str">
        <f>RAW_GAMES!E730</f>
        <v>PCE</v>
      </c>
      <c r="D730" t="str">
        <f>RAW_GAMES!R730</f>
        <v>Will</v>
      </c>
      <c r="F730">
        <f>RAW_GAMES!K730</f>
        <v>0</v>
      </c>
      <c r="G730" s="7">
        <f>RAW_GAMES!S730</f>
        <v>0</v>
      </c>
      <c r="H730">
        <f>RAW_GAMES!I730</f>
        <v>0</v>
      </c>
    </row>
    <row r="731" spans="1:8" x14ac:dyDescent="0.25">
      <c r="A731" t="str">
        <f>RAW_GAMES!A731</f>
        <v>26/27</v>
      </c>
      <c r="B731" s="3">
        <f ca="1">RAW_GAMES!B731</f>
        <v>46160</v>
      </c>
      <c r="C731" t="str">
        <f>RAW_GAMES!E731</f>
        <v>KOM</v>
      </c>
      <c r="D731" t="str">
        <f>RAW_GAMES!R731</f>
        <v>Stezka</v>
      </c>
      <c r="F731">
        <f>RAW_GAMES!K731</f>
        <v>0</v>
      </c>
      <c r="G731" s="7">
        <f>RAW_GAMES!S731</f>
        <v>0</v>
      </c>
      <c r="H731">
        <f>RAW_GAMES!I731</f>
        <v>0</v>
      </c>
    </row>
    <row r="732" spans="1:8" x14ac:dyDescent="0.25">
      <c r="B732" s="3"/>
      <c r="G732" s="7"/>
    </row>
    <row r="733" spans="1:8" x14ac:dyDescent="0.25">
      <c r="B733" s="3"/>
      <c r="G733" s="7"/>
    </row>
    <row r="734" spans="1:8" x14ac:dyDescent="0.25">
      <c r="B734" s="3"/>
      <c r="G734" s="7"/>
    </row>
    <row r="735" spans="1:8" x14ac:dyDescent="0.25">
      <c r="B735" s="3"/>
      <c r="G735" s="7"/>
    </row>
    <row r="736" spans="1:8" x14ac:dyDescent="0.25">
      <c r="B736" s="3"/>
      <c r="G736" s="7"/>
    </row>
    <row r="737" spans="2:7" x14ac:dyDescent="0.25">
      <c r="B737" s="3"/>
      <c r="G737" s="7"/>
    </row>
    <row r="738" spans="2:7" x14ac:dyDescent="0.25">
      <c r="B738" s="3"/>
      <c r="G738" s="7"/>
    </row>
    <row r="739" spans="2:7" x14ac:dyDescent="0.25">
      <c r="B739" s="3"/>
      <c r="G739" s="7"/>
    </row>
    <row r="740" spans="2:7" x14ac:dyDescent="0.25">
      <c r="B740" s="3"/>
      <c r="G740" s="7"/>
    </row>
    <row r="741" spans="2:7" x14ac:dyDescent="0.25">
      <c r="B741" s="3"/>
      <c r="G741" s="7"/>
    </row>
    <row r="742" spans="2:7" x14ac:dyDescent="0.25">
      <c r="B742" s="3"/>
      <c r="G742" s="7"/>
    </row>
    <row r="743" spans="2:7" x14ac:dyDescent="0.25">
      <c r="B743" s="3"/>
      <c r="G743" s="7"/>
    </row>
    <row r="744" spans="2:7" x14ac:dyDescent="0.25">
      <c r="B744" s="3"/>
      <c r="G744" s="7"/>
    </row>
    <row r="745" spans="2:7" x14ac:dyDescent="0.25">
      <c r="B745" s="3"/>
      <c r="G745" s="7"/>
    </row>
    <row r="746" spans="2:7" x14ac:dyDescent="0.25">
      <c r="B746" s="3"/>
      <c r="G746" s="7"/>
    </row>
    <row r="747" spans="2:7" x14ac:dyDescent="0.25">
      <c r="B747" s="3"/>
      <c r="G747" s="7"/>
    </row>
    <row r="748" spans="2:7" x14ac:dyDescent="0.25">
      <c r="B748" s="3"/>
      <c r="G748" s="7"/>
    </row>
    <row r="749" spans="2:7" x14ac:dyDescent="0.25">
      <c r="B749" s="3"/>
      <c r="G749" s="7"/>
    </row>
    <row r="750" spans="2:7" x14ac:dyDescent="0.25">
      <c r="B750" s="3"/>
      <c r="G750" s="7"/>
    </row>
    <row r="751" spans="2:7" x14ac:dyDescent="0.25">
      <c r="B751" s="3"/>
      <c r="G751" s="7"/>
    </row>
    <row r="752" spans="2:7" x14ac:dyDescent="0.25">
      <c r="B752" s="3"/>
      <c r="G752" s="7"/>
    </row>
    <row r="753" spans="2:7" x14ac:dyDescent="0.25">
      <c r="B753" s="3"/>
      <c r="G753" s="7"/>
    </row>
    <row r="754" spans="2:7" x14ac:dyDescent="0.25">
      <c r="B754" s="3"/>
      <c r="G754" s="7"/>
    </row>
    <row r="755" spans="2:7" x14ac:dyDescent="0.25">
      <c r="B755" s="3"/>
      <c r="G755" s="7"/>
    </row>
    <row r="756" spans="2:7" x14ac:dyDescent="0.25">
      <c r="B756" s="3"/>
      <c r="G756" s="7"/>
    </row>
    <row r="757" spans="2:7" x14ac:dyDescent="0.25">
      <c r="B757" s="3"/>
      <c r="G757" s="7"/>
    </row>
    <row r="758" spans="2:7" x14ac:dyDescent="0.25">
      <c r="B758" s="3"/>
      <c r="G758" s="7"/>
    </row>
    <row r="759" spans="2:7" x14ac:dyDescent="0.25">
      <c r="B759" s="3"/>
      <c r="G759" s="7"/>
    </row>
    <row r="760" spans="2:7" x14ac:dyDescent="0.25">
      <c r="B760" s="3"/>
      <c r="G760" s="7"/>
    </row>
  </sheetData>
  <pageMargins left="0.7" right="0.7" top="0.78740157499999996" bottom="0.78740157499999996" header="0.3" footer="0.3"/>
  <headerFooter>
    <oddFooter>&amp;C_x000D_&amp;1#&amp;"Aptos"&amp;8&amp;K000000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902-8DE3-44FB-AE6B-BCBDD30826CB}">
  <sheetPr>
    <tabColor rgb="FF00B0F0"/>
  </sheetPr>
  <dimension ref="A1:G762"/>
  <sheetViews>
    <sheetView topLeftCell="A721" workbookViewId="0">
      <selection activeCell="K746" sqref="K746"/>
    </sheetView>
  </sheetViews>
  <sheetFormatPr defaultRowHeight="15" x14ac:dyDescent="0.25"/>
  <cols>
    <col min="2" max="2" width="10.140625" bestFit="1" customWidth="1"/>
    <col min="4" max="4" width="10.28515625" bestFit="1" customWidth="1"/>
  </cols>
  <sheetData>
    <row r="1" spans="1:7" ht="18.75" x14ac:dyDescent="0.3">
      <c r="A1" s="1" t="s">
        <v>0</v>
      </c>
      <c r="B1" s="1" t="s">
        <v>1</v>
      </c>
      <c r="C1" s="1" t="s">
        <v>3</v>
      </c>
      <c r="D1" s="1" t="s">
        <v>13</v>
      </c>
      <c r="E1" s="1" t="s">
        <v>12</v>
      </c>
      <c r="F1" s="1" t="s">
        <v>29</v>
      </c>
      <c r="G1" s="1" t="s">
        <v>14</v>
      </c>
    </row>
    <row r="2" spans="1:7" x14ac:dyDescent="0.25">
      <c r="A2" t="str">
        <f>RAW_GAMES!A2</f>
        <v>25/26</v>
      </c>
      <c r="B2" s="3">
        <f>RAW_GAMES!B2</f>
        <v>45909</v>
      </c>
      <c r="C2" t="str">
        <f>RAW_GAMES!E2</f>
        <v>SPA</v>
      </c>
      <c r="D2" s="7">
        <f>RAW_GAMES!O2</f>
        <v>2</v>
      </c>
      <c r="E2">
        <f>RAW_GAMES!N2</f>
        <v>0</v>
      </c>
      <c r="F2" s="7">
        <f>RAW_GAMES!Q2</f>
        <v>3</v>
      </c>
      <c r="G2">
        <f>RAW_GAMES!P2</f>
        <v>0</v>
      </c>
    </row>
    <row r="3" spans="1:7" x14ac:dyDescent="0.25">
      <c r="A3" t="str">
        <f>RAW_GAMES!A3</f>
        <v>25/26</v>
      </c>
      <c r="B3" s="3">
        <f>RAW_GAMES!B3</f>
        <v>45909</v>
      </c>
      <c r="C3" t="str">
        <f>RAW_GAMES!E3</f>
        <v>CEB</v>
      </c>
      <c r="D3" s="7">
        <f>RAW_GAMES!O3</f>
        <v>3</v>
      </c>
      <c r="E3">
        <f>RAW_GAMES!N3</f>
        <v>0</v>
      </c>
      <c r="F3" s="7">
        <f>RAW_GAMES!Q3</f>
        <v>2</v>
      </c>
      <c r="G3">
        <f>RAW_GAMES!P3</f>
        <v>0</v>
      </c>
    </row>
    <row r="4" spans="1:7" x14ac:dyDescent="0.25">
      <c r="A4" t="str">
        <f>RAW_GAMES!A4</f>
        <v>25/26</v>
      </c>
      <c r="B4" s="3">
        <f>RAW_GAMES!B4</f>
        <v>45910</v>
      </c>
      <c r="C4" t="str">
        <f>RAW_GAMES!E4</f>
        <v>PCE</v>
      </c>
      <c r="D4" s="7">
        <f>RAW_GAMES!O4</f>
        <v>6</v>
      </c>
      <c r="E4">
        <f>RAW_GAMES!N4</f>
        <v>3</v>
      </c>
      <c r="F4" s="7">
        <f>RAW_GAMES!Q4</f>
        <v>8</v>
      </c>
      <c r="G4">
        <f>RAW_GAMES!P4</f>
        <v>0</v>
      </c>
    </row>
    <row r="5" spans="1:7" x14ac:dyDescent="0.25">
      <c r="A5" t="str">
        <f>RAW_GAMES!A5</f>
        <v>25/26</v>
      </c>
      <c r="B5" s="3">
        <f>RAW_GAMES!B5</f>
        <v>45910</v>
      </c>
      <c r="C5" t="str">
        <f>RAW_GAMES!E5</f>
        <v>TRI</v>
      </c>
      <c r="D5" s="7">
        <f>RAW_GAMES!O5</f>
        <v>4</v>
      </c>
      <c r="E5">
        <f>RAW_GAMES!N5</f>
        <v>3</v>
      </c>
      <c r="F5" s="7">
        <f>RAW_GAMES!Q5</f>
        <v>3</v>
      </c>
      <c r="G5">
        <f>RAW_GAMES!P5</f>
        <v>0</v>
      </c>
    </row>
    <row r="6" spans="1:7" x14ac:dyDescent="0.25">
      <c r="A6" t="str">
        <f>RAW_GAMES!A6</f>
        <v>25/26</v>
      </c>
      <c r="B6" s="3">
        <f>RAW_GAMES!B6</f>
        <v>45910</v>
      </c>
      <c r="C6" t="str">
        <f>RAW_GAMES!E6</f>
        <v>KOM</v>
      </c>
      <c r="D6" s="7">
        <f>RAW_GAMES!O6</f>
        <v>7</v>
      </c>
      <c r="E6">
        <f>RAW_GAMES!N6</f>
        <v>0</v>
      </c>
      <c r="F6" s="7">
        <f>RAW_GAMES!Q6</f>
        <v>5</v>
      </c>
      <c r="G6">
        <f>RAW_GAMES!P6</f>
        <v>1</v>
      </c>
    </row>
    <row r="7" spans="1:7" x14ac:dyDescent="0.25">
      <c r="A7" t="str">
        <f>RAW_GAMES!A7</f>
        <v>25/26</v>
      </c>
      <c r="B7" s="3">
        <f>RAW_GAMES!B7</f>
        <v>45910</v>
      </c>
      <c r="C7" t="str">
        <f>RAW_GAMES!E7</f>
        <v>KLA</v>
      </c>
      <c r="D7" s="7">
        <f>RAW_GAMES!O7</f>
        <v>5</v>
      </c>
      <c r="E7">
        <f>RAW_GAMES!N7</f>
        <v>0</v>
      </c>
      <c r="F7" s="7">
        <f>RAW_GAMES!Q7</f>
        <v>5</v>
      </c>
      <c r="G7">
        <f>RAW_GAMES!P7</f>
        <v>1</v>
      </c>
    </row>
    <row r="8" spans="1:7" x14ac:dyDescent="0.25">
      <c r="A8" t="str">
        <f>RAW_GAMES!A8</f>
        <v>25/26</v>
      </c>
      <c r="B8" s="3">
        <f>RAW_GAMES!B8</f>
        <v>45910</v>
      </c>
      <c r="C8" t="str">
        <f>RAW_GAMES!E8</f>
        <v>KVA</v>
      </c>
      <c r="D8" s="7">
        <f>RAW_GAMES!O8</f>
        <v>6</v>
      </c>
      <c r="E8">
        <f>RAW_GAMES!N8</f>
        <v>1</v>
      </c>
      <c r="F8" s="7">
        <f>RAW_GAMES!Q8</f>
        <v>6</v>
      </c>
      <c r="G8">
        <f>RAW_GAMES!P8</f>
        <v>1</v>
      </c>
    </row>
    <row r="9" spans="1:7" x14ac:dyDescent="0.25">
      <c r="A9" t="str">
        <f>RAW_GAMES!A9</f>
        <v>25/26</v>
      </c>
      <c r="B9" s="3">
        <f>RAW_GAMES!B9</f>
        <v>45910</v>
      </c>
      <c r="C9" t="str">
        <f>RAW_GAMES!E9</f>
        <v>LIB</v>
      </c>
      <c r="D9" s="7">
        <f>RAW_GAMES!O9</f>
        <v>5</v>
      </c>
      <c r="E9">
        <f>RAW_GAMES!N9</f>
        <v>0</v>
      </c>
      <c r="F9" s="7">
        <f>RAW_GAMES!Q9</f>
        <v>6</v>
      </c>
      <c r="G9">
        <f>RAW_GAMES!P9</f>
        <v>0</v>
      </c>
    </row>
    <row r="10" spans="1:7" x14ac:dyDescent="0.25">
      <c r="A10" t="str">
        <f>RAW_GAMES!A10</f>
        <v>25/26</v>
      </c>
      <c r="B10" s="3">
        <f>RAW_GAMES!B10</f>
        <v>45910</v>
      </c>
      <c r="C10" t="str">
        <f>RAW_GAMES!E10</f>
        <v>LIT</v>
      </c>
      <c r="D10" s="7">
        <f>RAW_GAMES!O10</f>
        <v>5</v>
      </c>
      <c r="E10">
        <f>RAW_GAMES!N10</f>
        <v>1</v>
      </c>
      <c r="F10" s="7">
        <f>RAW_GAMES!Q10</f>
        <v>7</v>
      </c>
      <c r="G10">
        <f>RAW_GAMES!P10</f>
        <v>0</v>
      </c>
    </row>
    <row r="11" spans="1:7" x14ac:dyDescent="0.25">
      <c r="A11" t="str">
        <f>RAW_GAMES!A11</f>
        <v>25/26</v>
      </c>
      <c r="B11" s="3">
        <f>RAW_GAMES!B11</f>
        <v>45910</v>
      </c>
      <c r="C11" t="str">
        <f>RAW_GAMES!E11</f>
        <v>MBL</v>
      </c>
      <c r="D11" s="7">
        <f>RAW_GAMES!O11</f>
        <v>5</v>
      </c>
      <c r="E11">
        <f>RAW_GAMES!N11</f>
        <v>1</v>
      </c>
      <c r="F11" s="7">
        <f>RAW_GAMES!Q11</f>
        <v>5</v>
      </c>
      <c r="G11">
        <f>RAW_GAMES!P11</f>
        <v>0</v>
      </c>
    </row>
    <row r="12" spans="1:7" x14ac:dyDescent="0.25">
      <c r="A12" t="str">
        <f>RAW_GAMES!A12</f>
        <v>25/26</v>
      </c>
      <c r="B12" s="3">
        <f>RAW_GAMES!B12</f>
        <v>45910</v>
      </c>
      <c r="C12" t="str">
        <f>RAW_GAMES!E12</f>
        <v>MHK</v>
      </c>
      <c r="D12" s="7">
        <f>RAW_GAMES!O12</f>
        <v>6</v>
      </c>
      <c r="E12">
        <f>RAW_GAMES!N12</f>
        <v>0</v>
      </c>
      <c r="F12" s="7">
        <f>RAW_GAMES!Q12</f>
        <v>8</v>
      </c>
      <c r="G12">
        <f>RAW_GAMES!P12</f>
        <v>3</v>
      </c>
    </row>
    <row r="13" spans="1:7" x14ac:dyDescent="0.25">
      <c r="A13" t="str">
        <f>RAW_GAMES!A13</f>
        <v>25/26</v>
      </c>
      <c r="B13" s="3">
        <f>RAW_GAMES!B13</f>
        <v>45910</v>
      </c>
      <c r="C13" t="str">
        <f>RAW_GAMES!E13</f>
        <v>OLO</v>
      </c>
      <c r="D13" s="7">
        <f>RAW_GAMES!O13</f>
        <v>3</v>
      </c>
      <c r="E13">
        <f>RAW_GAMES!N13</f>
        <v>0</v>
      </c>
      <c r="F13" s="7">
        <f>RAW_GAMES!Q13</f>
        <v>4</v>
      </c>
      <c r="G13">
        <f>RAW_GAMES!P13</f>
        <v>3</v>
      </c>
    </row>
    <row r="14" spans="1:7" x14ac:dyDescent="0.25">
      <c r="A14" t="str">
        <f>RAW_GAMES!A14</f>
        <v>25/26</v>
      </c>
      <c r="B14" s="3">
        <f>RAW_GAMES!B14</f>
        <v>45910</v>
      </c>
      <c r="C14" t="str">
        <f>RAW_GAMES!E14</f>
        <v>PLZ</v>
      </c>
      <c r="D14" s="7">
        <f>RAW_GAMES!O14</f>
        <v>6</v>
      </c>
      <c r="E14">
        <f>RAW_GAMES!N14</f>
        <v>0</v>
      </c>
      <c r="F14" s="7">
        <f>RAW_GAMES!Q14</f>
        <v>5</v>
      </c>
      <c r="G14">
        <f>RAW_GAMES!P14</f>
        <v>0</v>
      </c>
    </row>
    <row r="15" spans="1:7" x14ac:dyDescent="0.25">
      <c r="A15" t="str">
        <f>RAW_GAMES!A15</f>
        <v>25/26</v>
      </c>
      <c r="B15" s="3">
        <f>RAW_GAMES!B15</f>
        <v>45910</v>
      </c>
      <c r="C15" t="str">
        <f>RAW_GAMES!E15</f>
        <v>VIT</v>
      </c>
      <c r="D15" s="7">
        <f>RAW_GAMES!O15</f>
        <v>6</v>
      </c>
      <c r="E15">
        <f>RAW_GAMES!N15</f>
        <v>1</v>
      </c>
      <c r="F15" s="7">
        <f>RAW_GAMES!Q15</f>
        <v>6</v>
      </c>
      <c r="G15">
        <f>RAW_GAMES!P15</f>
        <v>1</v>
      </c>
    </row>
    <row r="16" spans="1:7" x14ac:dyDescent="0.25">
      <c r="A16" t="str">
        <f>RAW_GAMES!A16</f>
        <v>25/26</v>
      </c>
      <c r="B16" s="3">
        <f>RAW_GAMES!B16</f>
        <v>45912</v>
      </c>
      <c r="C16" t="str">
        <f>RAW_GAMES!E16</f>
        <v>PCE</v>
      </c>
      <c r="D16" s="7">
        <f>RAW_GAMES!O16</f>
        <v>6</v>
      </c>
      <c r="E16">
        <f>RAW_GAMES!N16</f>
        <v>0</v>
      </c>
      <c r="F16" s="7">
        <f>RAW_GAMES!Q16</f>
        <v>8</v>
      </c>
      <c r="G16">
        <f>RAW_GAMES!P16</f>
        <v>1</v>
      </c>
    </row>
    <row r="17" spans="1:7" x14ac:dyDescent="0.25">
      <c r="A17" t="str">
        <f>RAW_GAMES!A17</f>
        <v>25/26</v>
      </c>
      <c r="B17" s="3">
        <f>RAW_GAMES!B17</f>
        <v>45912</v>
      </c>
      <c r="C17" t="str">
        <f>RAW_GAMES!E17</f>
        <v>TRI</v>
      </c>
      <c r="D17" s="7">
        <f>RAW_GAMES!O17</f>
        <v>6</v>
      </c>
      <c r="E17">
        <f>RAW_GAMES!N17</f>
        <v>0</v>
      </c>
      <c r="F17" s="7">
        <f>RAW_GAMES!Q17</f>
        <v>6</v>
      </c>
      <c r="G17">
        <f>RAW_GAMES!P17</f>
        <v>1</v>
      </c>
    </row>
    <row r="18" spans="1:7" x14ac:dyDescent="0.25">
      <c r="A18" t="str">
        <f>RAW_GAMES!A18</f>
        <v>25/26</v>
      </c>
      <c r="B18" s="3">
        <f>RAW_GAMES!B18</f>
        <v>45912</v>
      </c>
      <c r="C18" t="str">
        <f>RAW_GAMES!E18</f>
        <v>SPA</v>
      </c>
      <c r="D18" s="7">
        <f>RAW_GAMES!O18</f>
        <v>6</v>
      </c>
      <c r="E18">
        <f>RAW_GAMES!N18</f>
        <v>0</v>
      </c>
      <c r="F18" s="7">
        <f>RAW_GAMES!Q18</f>
        <v>6</v>
      </c>
      <c r="G18">
        <f>RAW_GAMES!P18</f>
        <v>1</v>
      </c>
    </row>
    <row r="19" spans="1:7" x14ac:dyDescent="0.25">
      <c r="A19" t="str">
        <f>RAW_GAMES!A19</f>
        <v>25/26</v>
      </c>
      <c r="B19" s="3">
        <f>RAW_GAMES!B19</f>
        <v>45912</v>
      </c>
      <c r="C19" t="str">
        <f>RAW_GAMES!E19</f>
        <v>KOM</v>
      </c>
      <c r="D19" s="7">
        <f>RAW_GAMES!O19</f>
        <v>3</v>
      </c>
      <c r="E19">
        <f>RAW_GAMES!N19</f>
        <v>2</v>
      </c>
      <c r="F19" s="7">
        <f>RAW_GAMES!Q19</f>
        <v>4</v>
      </c>
      <c r="G19">
        <f>RAW_GAMES!P19</f>
        <v>1</v>
      </c>
    </row>
    <row r="20" spans="1:7" x14ac:dyDescent="0.25">
      <c r="A20" t="str">
        <f>RAW_GAMES!A20</f>
        <v>25/26</v>
      </c>
      <c r="B20" s="3">
        <f>RAW_GAMES!B20</f>
        <v>45912</v>
      </c>
      <c r="C20" t="str">
        <f>RAW_GAMES!E20</f>
        <v>CEB</v>
      </c>
      <c r="D20" s="7">
        <f>RAW_GAMES!O20</f>
        <v>4</v>
      </c>
      <c r="E20">
        <f>RAW_GAMES!N20</f>
        <v>1</v>
      </c>
      <c r="F20" s="7">
        <f>RAW_GAMES!Q20</f>
        <v>4</v>
      </c>
      <c r="G20">
        <f>RAW_GAMES!P20</f>
        <v>0</v>
      </c>
    </row>
    <row r="21" spans="1:7" x14ac:dyDescent="0.25">
      <c r="A21" t="str">
        <f>RAW_GAMES!A21</f>
        <v>25/26</v>
      </c>
      <c r="B21" s="3">
        <f>RAW_GAMES!B21</f>
        <v>45912</v>
      </c>
      <c r="C21" t="str">
        <f>RAW_GAMES!E21</f>
        <v>KLA</v>
      </c>
      <c r="D21" s="7">
        <f>RAW_GAMES!O21</f>
        <v>3</v>
      </c>
      <c r="E21">
        <f>RAW_GAMES!N21</f>
        <v>0</v>
      </c>
      <c r="F21" s="7">
        <f>RAW_GAMES!Q21</f>
        <v>5</v>
      </c>
      <c r="G21">
        <f>RAW_GAMES!P21</f>
        <v>0</v>
      </c>
    </row>
    <row r="22" spans="1:7" x14ac:dyDescent="0.25">
      <c r="A22" t="str">
        <f>RAW_GAMES!A22</f>
        <v>25/26</v>
      </c>
      <c r="B22" s="3">
        <f>RAW_GAMES!B22</f>
        <v>45912</v>
      </c>
      <c r="C22" t="str">
        <f>RAW_GAMES!E22</f>
        <v>KVA</v>
      </c>
      <c r="D22" s="7">
        <f>RAW_GAMES!O22</f>
        <v>6</v>
      </c>
      <c r="E22">
        <f>RAW_GAMES!N22</f>
        <v>1</v>
      </c>
      <c r="F22" s="7">
        <f>RAW_GAMES!Q22</f>
        <v>6</v>
      </c>
      <c r="G22">
        <f>RAW_GAMES!P22</f>
        <v>0</v>
      </c>
    </row>
    <row r="23" spans="1:7" x14ac:dyDescent="0.25">
      <c r="A23" t="str">
        <f>RAW_GAMES!A23</f>
        <v>25/26</v>
      </c>
      <c r="B23" s="3">
        <f>RAW_GAMES!B23</f>
        <v>45912</v>
      </c>
      <c r="C23" t="str">
        <f>RAW_GAMES!E23</f>
        <v>LIB</v>
      </c>
      <c r="D23" s="7">
        <f>RAW_GAMES!O23</f>
        <v>8</v>
      </c>
      <c r="E23">
        <f>RAW_GAMES!N23</f>
        <v>1</v>
      </c>
      <c r="F23" s="7">
        <f>RAW_GAMES!Q23</f>
        <v>6</v>
      </c>
      <c r="G23">
        <f>RAW_GAMES!P23</f>
        <v>0</v>
      </c>
    </row>
    <row r="24" spans="1:7" x14ac:dyDescent="0.25">
      <c r="A24" t="str">
        <f>RAW_GAMES!A24</f>
        <v>25/26</v>
      </c>
      <c r="B24" s="3">
        <f>RAW_GAMES!B24</f>
        <v>45912</v>
      </c>
      <c r="C24" t="str">
        <f>RAW_GAMES!E24</f>
        <v>LIT</v>
      </c>
      <c r="D24" s="7">
        <f>RAW_GAMES!O24</f>
        <v>6</v>
      </c>
      <c r="E24">
        <f>RAW_GAMES!N24</f>
        <v>0</v>
      </c>
      <c r="F24" s="7">
        <f>RAW_GAMES!Q24</f>
        <v>6</v>
      </c>
      <c r="G24">
        <f>RAW_GAMES!P24</f>
        <v>1</v>
      </c>
    </row>
    <row r="25" spans="1:7" x14ac:dyDescent="0.25">
      <c r="A25" t="str">
        <f>RAW_GAMES!A25</f>
        <v>25/26</v>
      </c>
      <c r="B25" s="3">
        <f>RAW_GAMES!B25</f>
        <v>45912</v>
      </c>
      <c r="C25" t="str">
        <f>RAW_GAMES!E25</f>
        <v>MBL</v>
      </c>
      <c r="D25" s="7">
        <f>RAW_GAMES!O25</f>
        <v>4</v>
      </c>
      <c r="E25">
        <f>RAW_GAMES!N25</f>
        <v>1</v>
      </c>
      <c r="F25" s="7">
        <f>RAW_GAMES!Q25</f>
        <v>3</v>
      </c>
      <c r="G25">
        <f>RAW_GAMES!P25</f>
        <v>2</v>
      </c>
    </row>
    <row r="26" spans="1:7" x14ac:dyDescent="0.25">
      <c r="A26" t="str">
        <f>RAW_GAMES!A26</f>
        <v>25/26</v>
      </c>
      <c r="B26" s="3">
        <f>RAW_GAMES!B26</f>
        <v>45912</v>
      </c>
      <c r="C26" t="str">
        <f>RAW_GAMES!E26</f>
        <v>MHK</v>
      </c>
      <c r="D26" s="7">
        <f>RAW_GAMES!O26</f>
        <v>4</v>
      </c>
      <c r="E26">
        <f>RAW_GAMES!N26</f>
        <v>0</v>
      </c>
      <c r="F26" s="7">
        <f>RAW_GAMES!Q26</f>
        <v>4</v>
      </c>
      <c r="G26">
        <f>RAW_GAMES!P26</f>
        <v>1</v>
      </c>
    </row>
    <row r="27" spans="1:7" x14ac:dyDescent="0.25">
      <c r="A27" t="str">
        <f>RAW_GAMES!A27</f>
        <v>25/26</v>
      </c>
      <c r="B27" s="3">
        <f>RAW_GAMES!B27</f>
        <v>45912</v>
      </c>
      <c r="C27" t="str">
        <f>RAW_GAMES!E27</f>
        <v>OLO</v>
      </c>
      <c r="D27" s="7">
        <f>RAW_GAMES!O27</f>
        <v>2</v>
      </c>
      <c r="E27">
        <f>RAW_GAMES!N27</f>
        <v>1</v>
      </c>
      <c r="F27" s="7">
        <f>RAW_GAMES!Q27</f>
        <v>2</v>
      </c>
      <c r="G27">
        <f>RAW_GAMES!P27</f>
        <v>1</v>
      </c>
    </row>
    <row r="28" spans="1:7" x14ac:dyDescent="0.25">
      <c r="A28" t="str">
        <f>RAW_GAMES!A28</f>
        <v>25/26</v>
      </c>
      <c r="B28" s="3">
        <f>RAW_GAMES!B28</f>
        <v>45912</v>
      </c>
      <c r="C28" t="str">
        <f>RAW_GAMES!E28</f>
        <v>PLZ</v>
      </c>
      <c r="D28" s="7">
        <f>RAW_GAMES!O28</f>
        <v>2</v>
      </c>
      <c r="E28">
        <f>RAW_GAMES!N28</f>
        <v>1</v>
      </c>
      <c r="F28" s="7">
        <f>RAW_GAMES!Q28</f>
        <v>2</v>
      </c>
      <c r="G28">
        <f>RAW_GAMES!P28</f>
        <v>1</v>
      </c>
    </row>
    <row r="29" spans="1:7" x14ac:dyDescent="0.25">
      <c r="A29" t="str">
        <f>RAW_GAMES!A29</f>
        <v>25/26</v>
      </c>
      <c r="B29" s="3">
        <f>RAW_GAMES!B29</f>
        <v>45912</v>
      </c>
      <c r="C29" t="str">
        <f>RAW_GAMES!E29</f>
        <v>VIT</v>
      </c>
      <c r="D29" s="7">
        <f>RAW_GAMES!O29</f>
        <v>5</v>
      </c>
      <c r="E29">
        <f>RAW_GAMES!N29</f>
        <v>0</v>
      </c>
      <c r="F29" s="7">
        <f>RAW_GAMES!Q29</f>
        <v>3</v>
      </c>
      <c r="G29">
        <f>RAW_GAMES!P29</f>
        <v>0</v>
      </c>
    </row>
    <row r="30" spans="1:7" x14ac:dyDescent="0.25">
      <c r="A30" t="str">
        <f>RAW_GAMES!A30</f>
        <v>25/26</v>
      </c>
      <c r="B30" s="3">
        <f>RAW_GAMES!B30</f>
        <v>45914</v>
      </c>
      <c r="C30" t="str">
        <f>RAW_GAMES!E30</f>
        <v>PCE</v>
      </c>
      <c r="D30" s="7">
        <f>RAW_GAMES!O30</f>
        <v>6</v>
      </c>
      <c r="E30">
        <f>RAW_GAMES!N30</f>
        <v>2</v>
      </c>
      <c r="F30" s="7">
        <f>RAW_GAMES!Q30</f>
        <v>4</v>
      </c>
      <c r="G30">
        <f>RAW_GAMES!P30</f>
        <v>0</v>
      </c>
    </row>
    <row r="31" spans="1:7" x14ac:dyDescent="0.25">
      <c r="A31" t="str">
        <f>RAW_GAMES!A31</f>
        <v>25/26</v>
      </c>
      <c r="B31" s="3">
        <f>RAW_GAMES!B31</f>
        <v>45914</v>
      </c>
      <c r="C31" t="str">
        <f>RAW_GAMES!E31</f>
        <v>TRI</v>
      </c>
      <c r="D31" s="7">
        <f>RAW_GAMES!O31</f>
        <v>5</v>
      </c>
      <c r="E31">
        <f>RAW_GAMES!N31</f>
        <v>0</v>
      </c>
      <c r="F31" s="7">
        <f>RAW_GAMES!Q31</f>
        <v>3</v>
      </c>
      <c r="G31">
        <f>RAW_GAMES!P31</f>
        <v>1</v>
      </c>
    </row>
    <row r="32" spans="1:7" x14ac:dyDescent="0.25">
      <c r="A32" t="str">
        <f>RAW_GAMES!A32</f>
        <v>25/26</v>
      </c>
      <c r="B32" s="3">
        <f>RAW_GAMES!B32</f>
        <v>45914</v>
      </c>
      <c r="C32" t="str">
        <f>RAW_GAMES!E32</f>
        <v>SPA</v>
      </c>
      <c r="D32" s="7">
        <f>RAW_GAMES!O32</f>
        <v>9</v>
      </c>
      <c r="E32">
        <f>RAW_GAMES!N32</f>
        <v>0</v>
      </c>
      <c r="F32" s="7">
        <f>RAW_GAMES!Q32</f>
        <v>8</v>
      </c>
      <c r="G32">
        <f>RAW_GAMES!P32</f>
        <v>1</v>
      </c>
    </row>
    <row r="33" spans="1:7" x14ac:dyDescent="0.25">
      <c r="A33" t="str">
        <f>RAW_GAMES!A33</f>
        <v>25/26</v>
      </c>
      <c r="B33" s="3">
        <f>RAW_GAMES!B33</f>
        <v>45914</v>
      </c>
      <c r="C33" t="str">
        <f>RAW_GAMES!E33</f>
        <v>KOM</v>
      </c>
      <c r="D33" s="7">
        <f>RAW_GAMES!O33</f>
        <v>8</v>
      </c>
      <c r="E33">
        <f>RAW_GAMES!N33</f>
        <v>1</v>
      </c>
      <c r="F33" s="7">
        <f>RAW_GAMES!Q33</f>
        <v>9</v>
      </c>
      <c r="G33">
        <f>RAW_GAMES!P33</f>
        <v>0</v>
      </c>
    </row>
    <row r="34" spans="1:7" x14ac:dyDescent="0.25">
      <c r="A34" t="str">
        <f>RAW_GAMES!A34</f>
        <v>25/26</v>
      </c>
      <c r="B34" s="3">
        <f>RAW_GAMES!B34</f>
        <v>45914</v>
      </c>
      <c r="C34" t="str">
        <f>RAW_GAMES!E34</f>
        <v>CEB</v>
      </c>
      <c r="D34" s="7">
        <f>RAW_GAMES!O34</f>
        <v>7</v>
      </c>
      <c r="E34">
        <f>RAW_GAMES!N34</f>
        <v>2</v>
      </c>
      <c r="F34" s="7">
        <f>RAW_GAMES!Q34</f>
        <v>10</v>
      </c>
      <c r="G34">
        <f>RAW_GAMES!P34</f>
        <v>0</v>
      </c>
    </row>
    <row r="35" spans="1:7" x14ac:dyDescent="0.25">
      <c r="A35" t="str">
        <f>RAW_GAMES!A35</f>
        <v>25/26</v>
      </c>
      <c r="B35" s="3">
        <f>RAW_GAMES!B35</f>
        <v>45914</v>
      </c>
      <c r="C35" t="str">
        <f>RAW_GAMES!E35</f>
        <v>KLA</v>
      </c>
      <c r="D35" s="7">
        <f>RAW_GAMES!O35</f>
        <v>5</v>
      </c>
      <c r="E35">
        <f>RAW_GAMES!N35</f>
        <v>2</v>
      </c>
      <c r="F35" s="7">
        <f>RAW_GAMES!Q35</f>
        <v>5</v>
      </c>
      <c r="G35">
        <f>RAW_GAMES!P35</f>
        <v>1</v>
      </c>
    </row>
    <row r="36" spans="1:7" x14ac:dyDescent="0.25">
      <c r="A36" t="str">
        <f>RAW_GAMES!A36</f>
        <v>25/26</v>
      </c>
      <c r="B36" s="3">
        <f>RAW_GAMES!B36</f>
        <v>45914</v>
      </c>
      <c r="C36" t="str">
        <f>RAW_GAMES!E36</f>
        <v>KVA</v>
      </c>
      <c r="D36" s="7">
        <f>RAW_GAMES!O36</f>
        <v>3</v>
      </c>
      <c r="E36">
        <f>RAW_GAMES!N36</f>
        <v>0</v>
      </c>
      <c r="F36" s="7">
        <f>RAW_GAMES!Q36</f>
        <v>5</v>
      </c>
      <c r="G36">
        <f>RAW_GAMES!P36</f>
        <v>0</v>
      </c>
    </row>
    <row r="37" spans="1:7" x14ac:dyDescent="0.25">
      <c r="A37" t="str">
        <f>RAW_GAMES!A37</f>
        <v>25/26</v>
      </c>
      <c r="B37" s="3">
        <f>RAW_GAMES!B37</f>
        <v>45914</v>
      </c>
      <c r="C37" t="str">
        <f>RAW_GAMES!E37</f>
        <v>LIB</v>
      </c>
      <c r="D37" s="7">
        <f>RAW_GAMES!O37</f>
        <v>3</v>
      </c>
      <c r="E37">
        <f>RAW_GAMES!N37</f>
        <v>1</v>
      </c>
      <c r="F37" s="7">
        <f>RAW_GAMES!Q37</f>
        <v>5</v>
      </c>
      <c r="G37">
        <f>RAW_GAMES!P37</f>
        <v>0</v>
      </c>
    </row>
    <row r="38" spans="1:7" x14ac:dyDescent="0.25">
      <c r="A38" t="str">
        <f>RAW_GAMES!A38</f>
        <v>25/26</v>
      </c>
      <c r="B38" s="3">
        <f>RAW_GAMES!B38</f>
        <v>45914</v>
      </c>
      <c r="C38" t="str">
        <f>RAW_GAMES!E38</f>
        <v>LIT</v>
      </c>
      <c r="D38" s="7">
        <f>RAW_GAMES!O38</f>
        <v>2</v>
      </c>
      <c r="E38">
        <f>RAW_GAMES!N38</f>
        <v>0</v>
      </c>
      <c r="F38" s="7">
        <f>RAW_GAMES!Q38</f>
        <v>4</v>
      </c>
      <c r="G38">
        <f>RAW_GAMES!P38</f>
        <v>1</v>
      </c>
    </row>
    <row r="39" spans="1:7" x14ac:dyDescent="0.25">
      <c r="A39" t="str">
        <f>RAW_GAMES!A39</f>
        <v>25/26</v>
      </c>
      <c r="B39" s="3">
        <f>RAW_GAMES!B39</f>
        <v>45914</v>
      </c>
      <c r="C39" t="str">
        <f>RAW_GAMES!E39</f>
        <v>MBL</v>
      </c>
      <c r="D39" s="7">
        <f>RAW_GAMES!O39</f>
        <v>4</v>
      </c>
      <c r="E39">
        <f>RAW_GAMES!N39</f>
        <v>0</v>
      </c>
      <c r="F39" s="7">
        <f>RAW_GAMES!Q39</f>
        <v>6</v>
      </c>
      <c r="G39">
        <f>RAW_GAMES!P39</f>
        <v>2</v>
      </c>
    </row>
    <row r="40" spans="1:7" x14ac:dyDescent="0.25">
      <c r="A40" t="str">
        <f>RAW_GAMES!A40</f>
        <v>25/26</v>
      </c>
      <c r="B40" s="3">
        <f>RAW_GAMES!B40</f>
        <v>45914</v>
      </c>
      <c r="C40" t="str">
        <f>RAW_GAMES!E40</f>
        <v>MHK</v>
      </c>
      <c r="D40" s="7">
        <f>RAW_GAMES!O40</f>
        <v>5</v>
      </c>
      <c r="E40">
        <f>RAW_GAMES!N40</f>
        <v>1</v>
      </c>
      <c r="F40" s="7">
        <f>RAW_GAMES!Q40</f>
        <v>5</v>
      </c>
      <c r="G40">
        <f>RAW_GAMES!P40</f>
        <v>2</v>
      </c>
    </row>
    <row r="41" spans="1:7" x14ac:dyDescent="0.25">
      <c r="A41" t="str">
        <f>RAW_GAMES!A41</f>
        <v>25/26</v>
      </c>
      <c r="B41" s="3">
        <f>RAW_GAMES!B41</f>
        <v>45914</v>
      </c>
      <c r="C41" t="str">
        <f>RAW_GAMES!E41</f>
        <v>OLO</v>
      </c>
      <c r="D41" s="7">
        <f>RAW_GAMES!O41</f>
        <v>5</v>
      </c>
      <c r="E41">
        <f>RAW_GAMES!N41</f>
        <v>0</v>
      </c>
      <c r="F41" s="7">
        <f>RAW_GAMES!Q41</f>
        <v>3</v>
      </c>
      <c r="G41">
        <f>RAW_GAMES!P41</f>
        <v>0</v>
      </c>
    </row>
    <row r="42" spans="1:7" x14ac:dyDescent="0.25">
      <c r="A42" t="str">
        <f>RAW_GAMES!A42</f>
        <v>25/26</v>
      </c>
      <c r="B42" s="3">
        <f>RAW_GAMES!B42</f>
        <v>45914</v>
      </c>
      <c r="C42" t="str">
        <f>RAW_GAMES!E42</f>
        <v>PLZ</v>
      </c>
      <c r="D42" s="7">
        <f>RAW_GAMES!O42</f>
        <v>10</v>
      </c>
      <c r="E42">
        <f>RAW_GAMES!N42</f>
        <v>0</v>
      </c>
      <c r="F42" s="7">
        <f>RAW_GAMES!Q42</f>
        <v>7</v>
      </c>
      <c r="G42">
        <f>RAW_GAMES!P42</f>
        <v>2</v>
      </c>
    </row>
    <row r="43" spans="1:7" x14ac:dyDescent="0.25">
      <c r="A43" t="str">
        <f>RAW_GAMES!A43</f>
        <v>25/26</v>
      </c>
      <c r="B43" s="3">
        <f>RAW_GAMES!B43</f>
        <v>45914</v>
      </c>
      <c r="C43" t="str">
        <f>RAW_GAMES!E43</f>
        <v>VIT</v>
      </c>
      <c r="D43" s="7">
        <f>RAW_GAMES!O43</f>
        <v>4</v>
      </c>
      <c r="E43">
        <f>RAW_GAMES!N43</f>
        <v>1</v>
      </c>
      <c r="F43" s="7">
        <f>RAW_GAMES!Q43</f>
        <v>2</v>
      </c>
      <c r="G43">
        <f>RAW_GAMES!P43</f>
        <v>0</v>
      </c>
    </row>
    <row r="44" spans="1:7" x14ac:dyDescent="0.25">
      <c r="A44" t="str">
        <f>RAW_GAMES!A44</f>
        <v>25/26</v>
      </c>
      <c r="B44" s="3">
        <f>RAW_GAMES!B44</f>
        <v>45916</v>
      </c>
      <c r="C44" t="str">
        <f>RAW_GAMES!E44</f>
        <v>PCE</v>
      </c>
      <c r="D44" s="7">
        <f>RAW_GAMES!O44</f>
        <v>6</v>
      </c>
      <c r="E44">
        <f>RAW_GAMES!N44</f>
        <v>1</v>
      </c>
      <c r="F44" s="7">
        <f>RAW_GAMES!Q44</f>
        <v>6</v>
      </c>
      <c r="G44">
        <f>RAW_GAMES!P44</f>
        <v>1</v>
      </c>
    </row>
    <row r="45" spans="1:7" x14ac:dyDescent="0.25">
      <c r="A45" t="str">
        <f>RAW_GAMES!A45</f>
        <v>25/26</v>
      </c>
      <c r="B45" s="3">
        <f>RAW_GAMES!B45</f>
        <v>45916</v>
      </c>
      <c r="C45" t="str">
        <f>RAW_GAMES!E45</f>
        <v>TRI</v>
      </c>
      <c r="D45" s="7">
        <f>RAW_GAMES!O45</f>
        <v>1</v>
      </c>
      <c r="E45">
        <f>RAW_GAMES!N45</f>
        <v>0</v>
      </c>
      <c r="F45" s="7">
        <f>RAW_GAMES!Q45</f>
        <v>2</v>
      </c>
      <c r="G45">
        <f>RAW_GAMES!P45</f>
        <v>0</v>
      </c>
    </row>
    <row r="46" spans="1:7" x14ac:dyDescent="0.25">
      <c r="A46" t="str">
        <f>RAW_GAMES!A46</f>
        <v>25/26</v>
      </c>
      <c r="B46" s="3">
        <f>RAW_GAMES!B46</f>
        <v>45916</v>
      </c>
      <c r="C46" t="str">
        <f>RAW_GAMES!E46</f>
        <v>SPA</v>
      </c>
      <c r="D46" s="7">
        <f>RAW_GAMES!O46</f>
        <v>3</v>
      </c>
      <c r="E46">
        <f>RAW_GAMES!N46</f>
        <v>1</v>
      </c>
      <c r="F46" s="7">
        <f>RAW_GAMES!Q46</f>
        <v>3</v>
      </c>
      <c r="G46">
        <f>RAW_GAMES!P46</f>
        <v>0</v>
      </c>
    </row>
    <row r="47" spans="1:7" x14ac:dyDescent="0.25">
      <c r="A47" t="str">
        <f>RAW_GAMES!A47</f>
        <v>25/26</v>
      </c>
      <c r="B47" s="3">
        <f>RAW_GAMES!B47</f>
        <v>45916</v>
      </c>
      <c r="C47" t="str">
        <f>RAW_GAMES!E47</f>
        <v>KVA</v>
      </c>
      <c r="D47" s="7">
        <f>RAW_GAMES!O47</f>
        <v>3</v>
      </c>
      <c r="E47">
        <f>RAW_GAMES!N47</f>
        <v>0</v>
      </c>
      <c r="F47" s="7">
        <f>RAW_GAMES!Q47</f>
        <v>3</v>
      </c>
      <c r="G47">
        <f>RAW_GAMES!P47</f>
        <v>1</v>
      </c>
    </row>
    <row r="48" spans="1:7" x14ac:dyDescent="0.25">
      <c r="A48" t="str">
        <f>RAW_GAMES!A48</f>
        <v>25/26</v>
      </c>
      <c r="B48" s="3">
        <f>RAW_GAMES!B48</f>
        <v>45916</v>
      </c>
      <c r="C48" t="str">
        <f>RAW_GAMES!E48</f>
        <v>KOM</v>
      </c>
      <c r="D48" s="7">
        <f>RAW_GAMES!O48</f>
        <v>3</v>
      </c>
      <c r="E48">
        <f>RAW_GAMES!N48</f>
        <v>2</v>
      </c>
      <c r="F48" s="7">
        <f>RAW_GAMES!Q48</f>
        <v>2</v>
      </c>
      <c r="G48">
        <f>RAW_GAMES!P48</f>
        <v>1</v>
      </c>
    </row>
    <row r="49" spans="1:7" x14ac:dyDescent="0.25">
      <c r="A49" t="str">
        <f>RAW_GAMES!A49</f>
        <v>25/26</v>
      </c>
      <c r="B49" s="3">
        <f>RAW_GAMES!B49</f>
        <v>45916</v>
      </c>
      <c r="C49" t="str">
        <f>RAW_GAMES!E49</f>
        <v>CEB</v>
      </c>
      <c r="D49" s="7">
        <f>RAW_GAMES!O49</f>
        <v>6</v>
      </c>
      <c r="E49">
        <f>RAW_GAMES!N49</f>
        <v>1</v>
      </c>
      <c r="F49" s="7">
        <f>RAW_GAMES!Q49</f>
        <v>6</v>
      </c>
      <c r="G49">
        <f>RAW_GAMES!P49</f>
        <v>1</v>
      </c>
    </row>
    <row r="50" spans="1:7" x14ac:dyDescent="0.25">
      <c r="A50" t="str">
        <f>RAW_GAMES!A50</f>
        <v>25/26</v>
      </c>
      <c r="B50" s="3">
        <f>RAW_GAMES!B50</f>
        <v>45916</v>
      </c>
      <c r="C50" t="str">
        <f>RAW_GAMES!E50</f>
        <v>LIB</v>
      </c>
      <c r="D50" s="7">
        <f>RAW_GAMES!O50</f>
        <v>8</v>
      </c>
      <c r="E50">
        <f>RAW_GAMES!N50</f>
        <v>0</v>
      </c>
      <c r="F50" s="7">
        <f>RAW_GAMES!Q50</f>
        <v>3</v>
      </c>
      <c r="G50">
        <f>RAW_GAMES!P50</f>
        <v>1</v>
      </c>
    </row>
    <row r="51" spans="1:7" x14ac:dyDescent="0.25">
      <c r="A51" t="str">
        <f>RAW_GAMES!A51</f>
        <v>25/26</v>
      </c>
      <c r="B51" s="3">
        <f>RAW_GAMES!B51</f>
        <v>45916</v>
      </c>
      <c r="C51" t="str">
        <f>RAW_GAMES!E51</f>
        <v>LIT</v>
      </c>
      <c r="D51" s="7">
        <f>RAW_GAMES!O51</f>
        <v>3</v>
      </c>
      <c r="E51">
        <f>RAW_GAMES!N51</f>
        <v>1</v>
      </c>
      <c r="F51" s="7">
        <f>RAW_GAMES!Q51</f>
        <v>8</v>
      </c>
      <c r="G51">
        <f>RAW_GAMES!P51</f>
        <v>0</v>
      </c>
    </row>
    <row r="52" spans="1:7" x14ac:dyDescent="0.25">
      <c r="A52" t="str">
        <f>RAW_GAMES!A52</f>
        <v>25/26</v>
      </c>
      <c r="B52" s="3">
        <f>RAW_GAMES!B52</f>
        <v>45916</v>
      </c>
      <c r="C52" t="str">
        <f>RAW_GAMES!E52</f>
        <v>MBL</v>
      </c>
      <c r="D52" s="7">
        <f>RAW_GAMES!O52</f>
        <v>2</v>
      </c>
      <c r="E52">
        <f>RAW_GAMES!N52</f>
        <v>0</v>
      </c>
      <c r="F52" s="7">
        <f>RAW_GAMES!Q52</f>
        <v>1</v>
      </c>
      <c r="G52">
        <f>RAW_GAMES!P52</f>
        <v>0</v>
      </c>
    </row>
    <row r="53" spans="1:7" x14ac:dyDescent="0.25">
      <c r="A53" t="str">
        <f>RAW_GAMES!A53</f>
        <v>25/26</v>
      </c>
      <c r="B53" s="3">
        <f>RAW_GAMES!B53</f>
        <v>45916</v>
      </c>
      <c r="C53" t="str">
        <f>RAW_GAMES!E53</f>
        <v>MHK</v>
      </c>
      <c r="D53" s="7">
        <f>RAW_GAMES!O53</f>
        <v>8</v>
      </c>
      <c r="E53">
        <f>RAW_GAMES!N53</f>
        <v>0</v>
      </c>
      <c r="F53" s="7">
        <f>RAW_GAMES!Q53</f>
        <v>3</v>
      </c>
      <c r="G53">
        <f>RAW_GAMES!P53</f>
        <v>1</v>
      </c>
    </row>
    <row r="54" spans="1:7" x14ac:dyDescent="0.25">
      <c r="A54" t="str">
        <f>RAW_GAMES!A54</f>
        <v>25/26</v>
      </c>
      <c r="B54" s="3">
        <f>RAW_GAMES!B54</f>
        <v>45916</v>
      </c>
      <c r="C54" t="str">
        <f>RAW_GAMES!E54</f>
        <v>PLZ</v>
      </c>
      <c r="D54" s="7">
        <f>RAW_GAMES!O54</f>
        <v>3</v>
      </c>
      <c r="E54">
        <f>RAW_GAMES!N54</f>
        <v>1</v>
      </c>
      <c r="F54" s="7">
        <f>RAW_GAMES!Q54</f>
        <v>8</v>
      </c>
      <c r="G54">
        <f>RAW_GAMES!P54</f>
        <v>0</v>
      </c>
    </row>
    <row r="55" spans="1:7" x14ac:dyDescent="0.25">
      <c r="A55" t="str">
        <f>RAW_GAMES!A55</f>
        <v>25/26</v>
      </c>
      <c r="B55" s="3">
        <f>RAW_GAMES!B55</f>
        <v>45916</v>
      </c>
      <c r="C55" t="str">
        <f>RAW_GAMES!E55</f>
        <v>VIT</v>
      </c>
      <c r="D55" s="7">
        <f>RAW_GAMES!O55</f>
        <v>2</v>
      </c>
      <c r="E55">
        <f>RAW_GAMES!N55</f>
        <v>1</v>
      </c>
      <c r="F55" s="7">
        <f>RAW_GAMES!Q55</f>
        <v>3</v>
      </c>
      <c r="G55">
        <f>RAW_GAMES!P55</f>
        <v>2</v>
      </c>
    </row>
    <row r="56" spans="1:7" x14ac:dyDescent="0.25">
      <c r="A56" t="str">
        <f>RAW_GAMES!A56</f>
        <v>25/26</v>
      </c>
      <c r="B56" s="3">
        <f>RAW_GAMES!B56</f>
        <v>45917</v>
      </c>
      <c r="C56" t="str">
        <f>RAW_GAMES!E56</f>
        <v>OLO</v>
      </c>
      <c r="D56" s="7">
        <f>RAW_GAMES!O56</f>
        <v>6</v>
      </c>
      <c r="E56">
        <f>RAW_GAMES!N56</f>
        <v>0</v>
      </c>
      <c r="F56" s="7">
        <f>RAW_GAMES!Q56</f>
        <v>4</v>
      </c>
      <c r="G56">
        <f>RAW_GAMES!P56</f>
        <v>0</v>
      </c>
    </row>
    <row r="57" spans="1:7" x14ac:dyDescent="0.25">
      <c r="A57" t="str">
        <f>RAW_GAMES!A57</f>
        <v>25/26</v>
      </c>
      <c r="B57" s="3">
        <f>RAW_GAMES!B57</f>
        <v>45917</v>
      </c>
      <c r="C57" t="str">
        <f>RAW_GAMES!E57</f>
        <v>KLA</v>
      </c>
      <c r="D57" s="7">
        <f>RAW_GAMES!O57</f>
        <v>4</v>
      </c>
      <c r="E57">
        <f>RAW_GAMES!N57</f>
        <v>0</v>
      </c>
      <c r="F57" s="7">
        <f>RAW_GAMES!Q57</f>
        <v>6</v>
      </c>
      <c r="G57">
        <f>RAW_GAMES!P57</f>
        <v>0</v>
      </c>
    </row>
    <row r="58" spans="1:7" x14ac:dyDescent="0.25">
      <c r="A58" t="str">
        <f>RAW_GAMES!A58</f>
        <v>25/26</v>
      </c>
      <c r="B58" s="3">
        <f>RAW_GAMES!B58</f>
        <v>45919</v>
      </c>
      <c r="C58" t="str">
        <f>RAW_GAMES!E58</f>
        <v>PCE</v>
      </c>
      <c r="D58" s="7">
        <f>RAW_GAMES!O58</f>
        <v>3</v>
      </c>
      <c r="E58">
        <f>RAW_GAMES!N58</f>
        <v>1</v>
      </c>
      <c r="F58" s="7">
        <f>RAW_GAMES!Q58</f>
        <v>3</v>
      </c>
      <c r="G58">
        <f>RAW_GAMES!P58</f>
        <v>0</v>
      </c>
    </row>
    <row r="59" spans="1:7" x14ac:dyDescent="0.25">
      <c r="A59" t="str">
        <f>RAW_GAMES!A59</f>
        <v>25/26</v>
      </c>
      <c r="B59" s="3">
        <f>RAW_GAMES!B59</f>
        <v>45919</v>
      </c>
      <c r="C59" t="str">
        <f>RAW_GAMES!E59</f>
        <v>TRI</v>
      </c>
      <c r="D59" s="7">
        <f>RAW_GAMES!O59</f>
        <v>1</v>
      </c>
      <c r="E59">
        <f>RAW_GAMES!N59</f>
        <v>0</v>
      </c>
      <c r="F59" s="7">
        <f>RAW_GAMES!Q59</f>
        <v>2</v>
      </c>
      <c r="G59">
        <f>RAW_GAMES!P59</f>
        <v>1</v>
      </c>
    </row>
    <row r="60" spans="1:7" x14ac:dyDescent="0.25">
      <c r="A60" t="str">
        <f>RAW_GAMES!A60</f>
        <v>25/26</v>
      </c>
      <c r="B60" s="3">
        <f>RAW_GAMES!B60</f>
        <v>45919</v>
      </c>
      <c r="C60" t="str">
        <f>RAW_GAMES!E60</f>
        <v>SPA</v>
      </c>
      <c r="D60" s="7">
        <f>RAW_GAMES!O60</f>
        <v>2</v>
      </c>
      <c r="E60">
        <f>RAW_GAMES!N60</f>
        <v>1</v>
      </c>
      <c r="F60" s="7">
        <f>RAW_GAMES!Q60</f>
        <v>2</v>
      </c>
      <c r="G60">
        <f>RAW_GAMES!P60</f>
        <v>1</v>
      </c>
    </row>
    <row r="61" spans="1:7" x14ac:dyDescent="0.25">
      <c r="A61" t="str">
        <f>RAW_GAMES!A61</f>
        <v>25/26</v>
      </c>
      <c r="B61" s="3">
        <f>RAW_GAMES!B61</f>
        <v>45919</v>
      </c>
      <c r="C61" t="str">
        <f>RAW_GAMES!E61</f>
        <v>KOM</v>
      </c>
      <c r="D61" s="7">
        <f>RAW_GAMES!O61</f>
        <v>6</v>
      </c>
      <c r="E61">
        <f>RAW_GAMES!N61</f>
        <v>2</v>
      </c>
      <c r="F61" s="7">
        <f>RAW_GAMES!Q61</f>
        <v>3</v>
      </c>
      <c r="G61">
        <f>RAW_GAMES!P61</f>
        <v>0</v>
      </c>
    </row>
    <row r="62" spans="1:7" x14ac:dyDescent="0.25">
      <c r="A62" t="str">
        <f>RAW_GAMES!A62</f>
        <v>25/26</v>
      </c>
      <c r="B62" s="3">
        <f>RAW_GAMES!B62</f>
        <v>45919</v>
      </c>
      <c r="C62" t="str">
        <f>RAW_GAMES!E62</f>
        <v>CEB</v>
      </c>
      <c r="D62" s="7">
        <f>RAW_GAMES!O62</f>
        <v>8</v>
      </c>
      <c r="E62">
        <f>RAW_GAMES!N62</f>
        <v>1</v>
      </c>
      <c r="F62" s="7">
        <f>RAW_GAMES!Q62</f>
        <v>8</v>
      </c>
      <c r="G62">
        <f>RAW_GAMES!P62</f>
        <v>1</v>
      </c>
    </row>
    <row r="63" spans="1:7" x14ac:dyDescent="0.25">
      <c r="A63" t="str">
        <f>RAW_GAMES!A63</f>
        <v>25/26</v>
      </c>
      <c r="B63" s="3">
        <f>RAW_GAMES!B63</f>
        <v>45919</v>
      </c>
      <c r="C63" t="str">
        <f>RAW_GAMES!E63</f>
        <v>KLA</v>
      </c>
      <c r="D63" s="7">
        <f>RAW_GAMES!O63</f>
        <v>8</v>
      </c>
      <c r="E63">
        <f>RAW_GAMES!N63</f>
        <v>1</v>
      </c>
      <c r="F63" s="7">
        <f>RAW_GAMES!Q63</f>
        <v>8</v>
      </c>
      <c r="G63">
        <f>RAW_GAMES!P63</f>
        <v>1</v>
      </c>
    </row>
    <row r="64" spans="1:7" x14ac:dyDescent="0.25">
      <c r="A64" t="str">
        <f>RAW_GAMES!A64</f>
        <v>25/26</v>
      </c>
      <c r="B64" s="3">
        <f>RAW_GAMES!B64</f>
        <v>45919</v>
      </c>
      <c r="C64" t="str">
        <f>RAW_GAMES!E64</f>
        <v>KVA</v>
      </c>
      <c r="D64" s="7">
        <f>RAW_GAMES!O64</f>
        <v>6</v>
      </c>
      <c r="E64">
        <f>RAW_GAMES!N64</f>
        <v>0</v>
      </c>
      <c r="F64" s="7">
        <f>RAW_GAMES!Q64</f>
        <v>4</v>
      </c>
      <c r="G64">
        <f>RAW_GAMES!P64</f>
        <v>0</v>
      </c>
    </row>
    <row r="65" spans="1:7" x14ac:dyDescent="0.25">
      <c r="A65" t="str">
        <f>RAW_GAMES!A65</f>
        <v>25/26</v>
      </c>
      <c r="B65" s="3">
        <f>RAW_GAMES!B65</f>
        <v>45919</v>
      </c>
      <c r="C65" t="str">
        <f>RAW_GAMES!E65</f>
        <v>LIB</v>
      </c>
      <c r="D65" s="7">
        <f>RAW_GAMES!O65</f>
        <v>3</v>
      </c>
      <c r="E65">
        <f>RAW_GAMES!N65</f>
        <v>0</v>
      </c>
      <c r="F65" s="7">
        <f>RAW_GAMES!Q65</f>
        <v>6</v>
      </c>
      <c r="G65">
        <f>RAW_GAMES!P65</f>
        <v>2</v>
      </c>
    </row>
    <row r="66" spans="1:7" x14ac:dyDescent="0.25">
      <c r="A66" t="str">
        <f>RAW_GAMES!A66</f>
        <v>25/26</v>
      </c>
      <c r="B66" s="3">
        <f>RAW_GAMES!B66</f>
        <v>45919</v>
      </c>
      <c r="C66" t="str">
        <f>RAW_GAMES!E66</f>
        <v>LIT</v>
      </c>
      <c r="D66" s="7">
        <f>RAW_GAMES!O66</f>
        <v>2</v>
      </c>
      <c r="E66">
        <f>RAW_GAMES!N66</f>
        <v>1</v>
      </c>
      <c r="F66" s="7">
        <f>RAW_GAMES!Q66</f>
        <v>2</v>
      </c>
      <c r="G66">
        <f>RAW_GAMES!P66</f>
        <v>1</v>
      </c>
    </row>
    <row r="67" spans="1:7" x14ac:dyDescent="0.25">
      <c r="A67" t="str">
        <f>RAW_GAMES!A67</f>
        <v>25/26</v>
      </c>
      <c r="B67" s="3">
        <f>RAW_GAMES!B67</f>
        <v>45919</v>
      </c>
      <c r="C67" t="str">
        <f>RAW_GAMES!E67</f>
        <v>MBL</v>
      </c>
      <c r="D67" s="7">
        <f>RAW_GAMES!O67</f>
        <v>1</v>
      </c>
      <c r="E67">
        <f>RAW_GAMES!N67</f>
        <v>0</v>
      </c>
      <c r="F67" s="7">
        <f>RAW_GAMES!Q67</f>
        <v>2</v>
      </c>
      <c r="G67">
        <f>RAW_GAMES!P67</f>
        <v>0</v>
      </c>
    </row>
    <row r="68" spans="1:7" x14ac:dyDescent="0.25">
      <c r="A68" t="str">
        <f>RAW_GAMES!A68</f>
        <v>25/26</v>
      </c>
      <c r="B68" s="3">
        <f>RAW_GAMES!B68</f>
        <v>45919</v>
      </c>
      <c r="C68" t="str">
        <f>RAW_GAMES!E68</f>
        <v>MHK</v>
      </c>
      <c r="D68" s="7">
        <f>RAW_GAMES!O68</f>
        <v>4</v>
      </c>
      <c r="E68">
        <f>RAW_GAMES!N68</f>
        <v>0</v>
      </c>
      <c r="F68" s="7">
        <f>RAW_GAMES!Q68</f>
        <v>6</v>
      </c>
      <c r="G68">
        <f>RAW_GAMES!P68</f>
        <v>0</v>
      </c>
    </row>
    <row r="69" spans="1:7" x14ac:dyDescent="0.25">
      <c r="A69" t="str">
        <f>RAW_GAMES!A69</f>
        <v>25/26</v>
      </c>
      <c r="B69" s="3">
        <f>RAW_GAMES!B69</f>
        <v>45919</v>
      </c>
      <c r="C69" t="str">
        <f>RAW_GAMES!E69</f>
        <v>OLO</v>
      </c>
      <c r="D69" s="7">
        <f>RAW_GAMES!O69</f>
        <v>3</v>
      </c>
      <c r="E69">
        <f>RAW_GAMES!N69</f>
        <v>0</v>
      </c>
      <c r="F69" s="7">
        <f>RAW_GAMES!Q69</f>
        <v>3</v>
      </c>
      <c r="G69">
        <f>RAW_GAMES!P69</f>
        <v>1</v>
      </c>
    </row>
    <row r="70" spans="1:7" x14ac:dyDescent="0.25">
      <c r="A70" t="str">
        <f>RAW_GAMES!A70</f>
        <v>25/26</v>
      </c>
      <c r="B70" s="3">
        <f>RAW_GAMES!B70</f>
        <v>45919</v>
      </c>
      <c r="C70" t="str">
        <f>RAW_GAMES!E70</f>
        <v>PLZ</v>
      </c>
      <c r="D70" s="7">
        <f>RAW_GAMES!O70</f>
        <v>2</v>
      </c>
      <c r="E70">
        <f>RAW_GAMES!N70</f>
        <v>1</v>
      </c>
      <c r="F70" s="7">
        <f>RAW_GAMES!Q70</f>
        <v>1</v>
      </c>
      <c r="G70">
        <f>RAW_GAMES!P70</f>
        <v>0</v>
      </c>
    </row>
    <row r="71" spans="1:7" x14ac:dyDescent="0.25">
      <c r="A71" t="str">
        <f>RAW_GAMES!A71</f>
        <v>25/26</v>
      </c>
      <c r="B71" s="3">
        <f>RAW_GAMES!B71</f>
        <v>45919</v>
      </c>
      <c r="C71" t="str">
        <f>RAW_GAMES!E71</f>
        <v>VIT</v>
      </c>
      <c r="D71" s="7">
        <f>RAW_GAMES!O71</f>
        <v>2</v>
      </c>
      <c r="E71">
        <f>RAW_GAMES!N71</f>
        <v>0</v>
      </c>
      <c r="F71" s="7">
        <f>RAW_GAMES!Q71</f>
        <v>1</v>
      </c>
      <c r="G71">
        <f>RAW_GAMES!P71</f>
        <v>0</v>
      </c>
    </row>
    <row r="72" spans="1:7" x14ac:dyDescent="0.25">
      <c r="A72" t="str">
        <f>RAW_GAMES!A72</f>
        <v>25/26</v>
      </c>
      <c r="B72" s="3">
        <f>RAW_GAMES!B72</f>
        <v>45921</v>
      </c>
      <c r="C72" t="str">
        <f>RAW_GAMES!E72</f>
        <v>PCE</v>
      </c>
      <c r="D72" s="7">
        <f>RAW_GAMES!O72</f>
        <v>5</v>
      </c>
      <c r="E72">
        <f>RAW_GAMES!N72</f>
        <v>0</v>
      </c>
      <c r="F72" s="7">
        <f>RAW_GAMES!Q72</f>
        <v>5</v>
      </c>
      <c r="G72">
        <f>RAW_GAMES!P72</f>
        <v>2</v>
      </c>
    </row>
    <row r="73" spans="1:7" x14ac:dyDescent="0.25">
      <c r="A73" t="str">
        <f>RAW_GAMES!A73</f>
        <v>25/26</v>
      </c>
      <c r="B73" s="3">
        <f>RAW_GAMES!B73</f>
        <v>45921</v>
      </c>
      <c r="C73" t="str">
        <f>RAW_GAMES!E73</f>
        <v>TRI</v>
      </c>
      <c r="D73" s="7">
        <f>RAW_GAMES!O73</f>
        <v>3</v>
      </c>
      <c r="E73">
        <f>RAW_GAMES!N73</f>
        <v>0</v>
      </c>
      <c r="F73" s="7">
        <f>RAW_GAMES!Q73</f>
        <v>6</v>
      </c>
      <c r="G73">
        <f>RAW_GAMES!P73</f>
        <v>0</v>
      </c>
    </row>
    <row r="74" spans="1:7" x14ac:dyDescent="0.25">
      <c r="A74" t="str">
        <f>RAW_GAMES!A74</f>
        <v>25/26</v>
      </c>
      <c r="B74" s="3">
        <f>RAW_GAMES!B74</f>
        <v>45921</v>
      </c>
      <c r="C74" t="str">
        <f>RAW_GAMES!E74</f>
        <v>SPA</v>
      </c>
      <c r="D74" s="7">
        <f>RAW_GAMES!O74</f>
        <v>3</v>
      </c>
      <c r="E74">
        <f>RAW_GAMES!N74</f>
        <v>1</v>
      </c>
      <c r="F74" s="7">
        <f>RAW_GAMES!Q74</f>
        <v>6</v>
      </c>
      <c r="G74">
        <f>RAW_GAMES!P74</f>
        <v>1</v>
      </c>
    </row>
    <row r="75" spans="1:7" x14ac:dyDescent="0.25">
      <c r="A75" t="str">
        <f>RAW_GAMES!A75</f>
        <v>25/26</v>
      </c>
      <c r="B75" s="3">
        <f>RAW_GAMES!B75</f>
        <v>45921</v>
      </c>
      <c r="C75" t="str">
        <f>RAW_GAMES!E75</f>
        <v>KOM</v>
      </c>
      <c r="D75" s="7">
        <f>RAW_GAMES!O75</f>
        <v>5</v>
      </c>
      <c r="E75">
        <f>RAW_GAMES!N75</f>
        <v>1</v>
      </c>
      <c r="F75" s="7">
        <f>RAW_GAMES!Q75</f>
        <v>5</v>
      </c>
      <c r="G75">
        <f>RAW_GAMES!P75</f>
        <v>0</v>
      </c>
    </row>
    <row r="76" spans="1:7" x14ac:dyDescent="0.25">
      <c r="A76" t="str">
        <f>RAW_GAMES!A76</f>
        <v>25/26</v>
      </c>
      <c r="B76" s="3">
        <f>RAW_GAMES!B76</f>
        <v>45921</v>
      </c>
      <c r="C76" t="str">
        <f>RAW_GAMES!E76</f>
        <v>CEB</v>
      </c>
      <c r="D76" s="7">
        <f>RAW_GAMES!O76</f>
        <v>6</v>
      </c>
      <c r="E76">
        <f>RAW_GAMES!N76</f>
        <v>0</v>
      </c>
      <c r="F76" s="7">
        <f>RAW_GAMES!Q76</f>
        <v>3</v>
      </c>
      <c r="G76">
        <f>RAW_GAMES!P76</f>
        <v>0</v>
      </c>
    </row>
    <row r="77" spans="1:7" x14ac:dyDescent="0.25">
      <c r="A77" t="str">
        <f>RAW_GAMES!A77</f>
        <v>25/26</v>
      </c>
      <c r="B77" s="3">
        <f>RAW_GAMES!B77</f>
        <v>45921</v>
      </c>
      <c r="C77" t="str">
        <f>RAW_GAMES!E77</f>
        <v>KLA</v>
      </c>
      <c r="D77" s="7">
        <f>RAW_GAMES!O77</f>
        <v>5</v>
      </c>
      <c r="E77">
        <f>RAW_GAMES!N77</f>
        <v>0</v>
      </c>
      <c r="F77" s="7">
        <f>RAW_GAMES!Q77</f>
        <v>6</v>
      </c>
      <c r="G77">
        <f>RAW_GAMES!P77</f>
        <v>1</v>
      </c>
    </row>
    <row r="78" spans="1:7" x14ac:dyDescent="0.25">
      <c r="A78" t="str">
        <f>RAW_GAMES!A78</f>
        <v>25/26</v>
      </c>
      <c r="B78" s="3">
        <f>RAW_GAMES!B78</f>
        <v>45921</v>
      </c>
      <c r="C78" t="str">
        <f>RAW_GAMES!E78</f>
        <v>KVA</v>
      </c>
      <c r="D78" s="7">
        <f>RAW_GAMES!O78</f>
        <v>3</v>
      </c>
      <c r="E78">
        <f>RAW_GAMES!N78</f>
        <v>1</v>
      </c>
      <c r="F78" s="7">
        <f>RAW_GAMES!Q78</f>
        <v>3</v>
      </c>
      <c r="G78">
        <f>RAW_GAMES!P78</f>
        <v>0</v>
      </c>
    </row>
    <row r="79" spans="1:7" x14ac:dyDescent="0.25">
      <c r="A79" t="str">
        <f>RAW_GAMES!A79</f>
        <v>25/26</v>
      </c>
      <c r="B79" s="3">
        <f>RAW_GAMES!B79</f>
        <v>45921</v>
      </c>
      <c r="C79" t="str">
        <f>RAW_GAMES!E79</f>
        <v>LIB</v>
      </c>
      <c r="D79" s="7">
        <f>RAW_GAMES!O79</f>
        <v>6</v>
      </c>
      <c r="E79">
        <f>RAW_GAMES!N79</f>
        <v>1</v>
      </c>
      <c r="F79" s="7">
        <f>RAW_GAMES!Q79</f>
        <v>5</v>
      </c>
      <c r="G79">
        <f>RAW_GAMES!P79</f>
        <v>0</v>
      </c>
    </row>
    <row r="80" spans="1:7" x14ac:dyDescent="0.25">
      <c r="A80" t="str">
        <f>RAW_GAMES!A80</f>
        <v>25/26</v>
      </c>
      <c r="B80" s="3">
        <f>RAW_GAMES!B80</f>
        <v>45921</v>
      </c>
      <c r="C80" t="str">
        <f>RAW_GAMES!E80</f>
        <v>MBL</v>
      </c>
      <c r="D80" s="7">
        <f>RAW_GAMES!O80</f>
        <v>3</v>
      </c>
      <c r="E80">
        <f>RAW_GAMES!N80</f>
        <v>0</v>
      </c>
      <c r="F80" s="7">
        <f>RAW_GAMES!Q80</f>
        <v>3</v>
      </c>
      <c r="G80">
        <f>RAW_GAMES!P80</f>
        <v>1</v>
      </c>
    </row>
    <row r="81" spans="1:7" x14ac:dyDescent="0.25">
      <c r="A81" t="str">
        <f>RAW_GAMES!A81</f>
        <v>25/26</v>
      </c>
      <c r="B81" s="3">
        <f>RAW_GAMES!B81</f>
        <v>45921</v>
      </c>
      <c r="C81" t="str">
        <f>RAW_GAMES!E81</f>
        <v>MHK</v>
      </c>
      <c r="D81" s="7">
        <f>RAW_GAMES!O81</f>
        <v>5</v>
      </c>
      <c r="E81">
        <f>RAW_GAMES!N81</f>
        <v>0</v>
      </c>
      <c r="F81" s="7">
        <f>RAW_GAMES!Q81</f>
        <v>5</v>
      </c>
      <c r="G81">
        <f>RAW_GAMES!P81</f>
        <v>1</v>
      </c>
    </row>
    <row r="82" spans="1:7" x14ac:dyDescent="0.25">
      <c r="A82" t="str">
        <f>RAW_GAMES!A82</f>
        <v>25/26</v>
      </c>
      <c r="B82" s="3">
        <f>RAW_GAMES!B82</f>
        <v>45921</v>
      </c>
      <c r="C82" t="str">
        <f>RAW_GAMES!E82</f>
        <v>PLZ</v>
      </c>
      <c r="D82" s="7">
        <f>RAW_GAMES!O82</f>
        <v>5</v>
      </c>
      <c r="E82">
        <f>RAW_GAMES!N82</f>
        <v>2</v>
      </c>
      <c r="F82" s="7">
        <f>RAW_GAMES!Q82</f>
        <v>5</v>
      </c>
      <c r="G82">
        <f>RAW_GAMES!P82</f>
        <v>0</v>
      </c>
    </row>
    <row r="83" spans="1:7" x14ac:dyDescent="0.25">
      <c r="A83" t="str">
        <f>RAW_GAMES!A83</f>
        <v>25/26</v>
      </c>
      <c r="B83" s="3">
        <f>RAW_GAMES!B83</f>
        <v>45921</v>
      </c>
      <c r="C83" t="str">
        <f>RAW_GAMES!E83</f>
        <v>VIT</v>
      </c>
      <c r="D83" s="7">
        <f>RAW_GAMES!O83</f>
        <v>6</v>
      </c>
      <c r="E83">
        <f>RAW_GAMES!N83</f>
        <v>1</v>
      </c>
      <c r="F83" s="7">
        <f>RAW_GAMES!Q83</f>
        <v>3</v>
      </c>
      <c r="G83">
        <f>RAW_GAMES!P83</f>
        <v>1</v>
      </c>
    </row>
    <row r="84" spans="1:7" x14ac:dyDescent="0.25">
      <c r="A84" t="str">
        <f>RAW_GAMES!A84</f>
        <v>25/26</v>
      </c>
      <c r="B84" s="3">
        <f>RAW_GAMES!B84</f>
        <v>45923</v>
      </c>
      <c r="C84" t="str">
        <f>RAW_GAMES!E84</f>
        <v>PCE</v>
      </c>
      <c r="D84" s="7">
        <f>RAW_GAMES!O84</f>
        <v>2</v>
      </c>
      <c r="E84">
        <f>RAW_GAMES!N84</f>
        <v>1</v>
      </c>
      <c r="F84" s="7">
        <f>RAW_GAMES!Q84</f>
        <v>3</v>
      </c>
      <c r="G84">
        <f>RAW_GAMES!P84</f>
        <v>0</v>
      </c>
    </row>
    <row r="85" spans="1:7" x14ac:dyDescent="0.25">
      <c r="A85" t="str">
        <f>RAW_GAMES!A85</f>
        <v>25/26</v>
      </c>
      <c r="B85" s="3">
        <f>RAW_GAMES!B85</f>
        <v>45923</v>
      </c>
      <c r="C85" t="str">
        <f>RAW_GAMES!E85</f>
        <v>SPA</v>
      </c>
      <c r="D85" s="7">
        <f>RAW_GAMES!O85</f>
        <v>5</v>
      </c>
      <c r="E85">
        <f>RAW_GAMES!N85</f>
        <v>1</v>
      </c>
      <c r="F85" s="7">
        <f>RAW_GAMES!Q85</f>
        <v>7</v>
      </c>
      <c r="G85">
        <f>RAW_GAMES!P85</f>
        <v>3</v>
      </c>
    </row>
    <row r="86" spans="1:7" x14ac:dyDescent="0.25">
      <c r="A86" t="str">
        <f>RAW_GAMES!A86</f>
        <v>25/26</v>
      </c>
      <c r="B86" s="3">
        <f>RAW_GAMES!B86</f>
        <v>45923</v>
      </c>
      <c r="C86" t="str">
        <f>RAW_GAMES!E86</f>
        <v>KOM</v>
      </c>
      <c r="D86" s="7">
        <f>RAW_GAMES!O86</f>
        <v>8</v>
      </c>
      <c r="E86">
        <f>RAW_GAMES!N86</f>
        <v>1</v>
      </c>
      <c r="F86" s="7">
        <f>RAW_GAMES!Q86</f>
        <v>3</v>
      </c>
      <c r="G86">
        <f>RAW_GAMES!P86</f>
        <v>0</v>
      </c>
    </row>
    <row r="87" spans="1:7" x14ac:dyDescent="0.25">
      <c r="A87" t="str">
        <f>RAW_GAMES!A87</f>
        <v>25/26</v>
      </c>
      <c r="B87" s="3">
        <f>RAW_GAMES!B87</f>
        <v>45923</v>
      </c>
      <c r="C87" t="str">
        <f>RAW_GAMES!E87</f>
        <v>CEB</v>
      </c>
      <c r="D87" s="7">
        <f>RAW_GAMES!O87</f>
        <v>4</v>
      </c>
      <c r="E87">
        <f>RAW_GAMES!N87</f>
        <v>1</v>
      </c>
      <c r="F87" s="7">
        <f>RAW_GAMES!Q87</f>
        <v>3</v>
      </c>
      <c r="G87">
        <f>RAW_GAMES!P87</f>
        <v>0</v>
      </c>
    </row>
    <row r="88" spans="1:7" x14ac:dyDescent="0.25">
      <c r="A88" t="str">
        <f>RAW_GAMES!A88</f>
        <v>25/26</v>
      </c>
      <c r="B88" s="3">
        <f>RAW_GAMES!B88</f>
        <v>45923</v>
      </c>
      <c r="C88" t="str">
        <f>RAW_GAMES!E88</f>
        <v>KLA</v>
      </c>
      <c r="D88" s="7">
        <f>RAW_GAMES!O88</f>
        <v>3</v>
      </c>
      <c r="E88">
        <f>RAW_GAMES!N88</f>
        <v>0</v>
      </c>
      <c r="F88" s="7">
        <f>RAW_GAMES!Q88</f>
        <v>2</v>
      </c>
      <c r="G88">
        <f>RAW_GAMES!P88</f>
        <v>1</v>
      </c>
    </row>
    <row r="89" spans="1:7" x14ac:dyDescent="0.25">
      <c r="A89" t="str">
        <f>RAW_GAMES!A89</f>
        <v>25/26</v>
      </c>
      <c r="B89" s="3">
        <f>RAW_GAMES!B89</f>
        <v>45923</v>
      </c>
      <c r="C89" t="str">
        <f>RAW_GAMES!E89</f>
        <v>KVA</v>
      </c>
      <c r="D89" s="7">
        <f>RAW_GAMES!O89</f>
        <v>3</v>
      </c>
      <c r="E89">
        <f>RAW_GAMES!N89</f>
        <v>0</v>
      </c>
      <c r="F89" s="7">
        <f>RAW_GAMES!Q89</f>
        <v>4</v>
      </c>
      <c r="G89">
        <f>RAW_GAMES!P89</f>
        <v>1</v>
      </c>
    </row>
    <row r="90" spans="1:7" x14ac:dyDescent="0.25">
      <c r="A90" t="str">
        <f>RAW_GAMES!A90</f>
        <v>25/26</v>
      </c>
      <c r="B90" s="3">
        <f>RAW_GAMES!B90</f>
        <v>45923</v>
      </c>
      <c r="C90" t="str">
        <f>RAW_GAMES!E90</f>
        <v>LIB</v>
      </c>
      <c r="D90" s="7">
        <f>RAW_GAMES!O90</f>
        <v>4</v>
      </c>
      <c r="E90">
        <f>RAW_GAMES!N90</f>
        <v>0</v>
      </c>
      <c r="F90" s="7">
        <f>RAW_GAMES!Q90</f>
        <v>3</v>
      </c>
      <c r="G90">
        <f>RAW_GAMES!P90</f>
        <v>0</v>
      </c>
    </row>
    <row r="91" spans="1:7" x14ac:dyDescent="0.25">
      <c r="A91" t="str">
        <f>RAW_GAMES!A91</f>
        <v>25/26</v>
      </c>
      <c r="B91" s="3">
        <f>RAW_GAMES!B91</f>
        <v>45923</v>
      </c>
      <c r="C91" t="str">
        <f>RAW_GAMES!E91</f>
        <v>LIT</v>
      </c>
      <c r="D91" s="7">
        <f>RAW_GAMES!O91</f>
        <v>4</v>
      </c>
      <c r="E91">
        <f>RAW_GAMES!N91</f>
        <v>0</v>
      </c>
      <c r="F91" s="7">
        <f>RAW_GAMES!Q91</f>
        <v>4</v>
      </c>
      <c r="G91">
        <f>RAW_GAMES!P91</f>
        <v>0</v>
      </c>
    </row>
    <row r="92" spans="1:7" x14ac:dyDescent="0.25">
      <c r="A92" t="str">
        <f>RAW_GAMES!A92</f>
        <v>25/26</v>
      </c>
      <c r="B92" s="3">
        <f>RAW_GAMES!B92</f>
        <v>45923</v>
      </c>
      <c r="C92" t="str">
        <f>RAW_GAMES!E92</f>
        <v>MBL</v>
      </c>
      <c r="D92" s="7">
        <f>RAW_GAMES!O92</f>
        <v>4</v>
      </c>
      <c r="E92">
        <f>RAW_GAMES!N92</f>
        <v>0</v>
      </c>
      <c r="F92" s="7">
        <f>RAW_GAMES!Q92</f>
        <v>4</v>
      </c>
      <c r="G92">
        <f>RAW_GAMES!P92</f>
        <v>0</v>
      </c>
    </row>
    <row r="93" spans="1:7" x14ac:dyDescent="0.25">
      <c r="A93" t="str">
        <f>RAW_GAMES!A93</f>
        <v>25/26</v>
      </c>
      <c r="B93" s="3">
        <f>RAW_GAMES!B93</f>
        <v>45923</v>
      </c>
      <c r="C93" t="str">
        <f>RAW_GAMES!E93</f>
        <v>OLO</v>
      </c>
      <c r="D93" s="7">
        <f>RAW_GAMES!O93</f>
        <v>7</v>
      </c>
      <c r="E93">
        <f>RAW_GAMES!N93</f>
        <v>3</v>
      </c>
      <c r="F93" s="7">
        <f>RAW_GAMES!Q93</f>
        <v>5</v>
      </c>
      <c r="G93">
        <f>RAW_GAMES!P93</f>
        <v>1</v>
      </c>
    </row>
    <row r="94" spans="1:7" x14ac:dyDescent="0.25">
      <c r="A94" t="str">
        <f>RAW_GAMES!A94</f>
        <v>25/26</v>
      </c>
      <c r="B94" s="3">
        <f>RAW_GAMES!B94</f>
        <v>45923</v>
      </c>
      <c r="C94" t="str">
        <f>RAW_GAMES!E94</f>
        <v>PLZ</v>
      </c>
      <c r="D94" s="7">
        <f>RAW_GAMES!O94</f>
        <v>3</v>
      </c>
      <c r="E94">
        <f>RAW_GAMES!N94</f>
        <v>0</v>
      </c>
      <c r="F94" s="7">
        <f>RAW_GAMES!Q94</f>
        <v>8</v>
      </c>
      <c r="G94">
        <f>RAW_GAMES!P94</f>
        <v>1</v>
      </c>
    </row>
    <row r="95" spans="1:7" x14ac:dyDescent="0.25">
      <c r="A95" t="str">
        <f>RAW_GAMES!A95</f>
        <v>25/26</v>
      </c>
      <c r="B95" s="3">
        <f>RAW_GAMES!B95</f>
        <v>45923</v>
      </c>
      <c r="C95" t="str">
        <f>RAW_GAMES!E95</f>
        <v>VIT</v>
      </c>
      <c r="D95" s="7">
        <f>RAW_GAMES!O95</f>
        <v>3</v>
      </c>
      <c r="E95">
        <f>RAW_GAMES!N95</f>
        <v>0</v>
      </c>
      <c r="F95" s="7">
        <f>RAW_GAMES!Q95</f>
        <v>4</v>
      </c>
      <c r="G95">
        <f>RAW_GAMES!P95</f>
        <v>0</v>
      </c>
    </row>
    <row r="96" spans="1:7" x14ac:dyDescent="0.25">
      <c r="A96" t="str">
        <f>RAW_GAMES!A96</f>
        <v>25/26</v>
      </c>
      <c r="B96" s="3">
        <f>RAW_GAMES!B96</f>
        <v>45925</v>
      </c>
      <c r="C96" t="str">
        <f>RAW_GAMES!E96</f>
        <v>PCE</v>
      </c>
      <c r="D96" s="7">
        <f>RAW_GAMES!O96</f>
        <v>3</v>
      </c>
      <c r="E96">
        <f>RAW_GAMES!N96</f>
        <v>0</v>
      </c>
      <c r="F96" s="7">
        <f>RAW_GAMES!Q96</f>
        <v>3</v>
      </c>
      <c r="G96">
        <f>RAW_GAMES!P96</f>
        <v>2</v>
      </c>
    </row>
    <row r="97" spans="1:7" x14ac:dyDescent="0.25">
      <c r="A97" t="str">
        <f>RAW_GAMES!A97</f>
        <v>25/26</v>
      </c>
      <c r="B97" s="3">
        <f>RAW_GAMES!B97</f>
        <v>45925</v>
      </c>
      <c r="C97" t="str">
        <f>RAW_GAMES!E97</f>
        <v>TRI</v>
      </c>
      <c r="D97" s="7">
        <f>RAW_GAMES!O97</f>
        <v>3</v>
      </c>
      <c r="E97">
        <f>RAW_GAMES!N97</f>
        <v>2</v>
      </c>
      <c r="F97" s="7">
        <f>RAW_GAMES!Q97</f>
        <v>3</v>
      </c>
      <c r="G97">
        <f>RAW_GAMES!P97</f>
        <v>0</v>
      </c>
    </row>
    <row r="98" spans="1:7" x14ac:dyDescent="0.25">
      <c r="A98" t="str">
        <f>RAW_GAMES!A98</f>
        <v>25/26</v>
      </c>
      <c r="B98" s="3">
        <f>RAW_GAMES!B98</f>
        <v>45926</v>
      </c>
      <c r="C98" t="str">
        <f>RAW_GAMES!E98</f>
        <v>SPA</v>
      </c>
      <c r="D98" s="7">
        <f>RAW_GAMES!O98</f>
        <v>5</v>
      </c>
      <c r="E98">
        <f>RAW_GAMES!N98</f>
        <v>0</v>
      </c>
      <c r="F98" s="7">
        <f>RAW_GAMES!Q98</f>
        <v>4</v>
      </c>
      <c r="G98">
        <f>RAW_GAMES!P98</f>
        <v>1</v>
      </c>
    </row>
    <row r="99" spans="1:7" x14ac:dyDescent="0.25">
      <c r="A99" t="str">
        <f>RAW_GAMES!A99</f>
        <v>25/26</v>
      </c>
      <c r="B99" s="3">
        <f>RAW_GAMES!B99</f>
        <v>45926</v>
      </c>
      <c r="C99" t="str">
        <f>RAW_GAMES!E99</f>
        <v>KOM</v>
      </c>
      <c r="D99" s="7">
        <f>RAW_GAMES!O99</f>
        <v>3</v>
      </c>
      <c r="E99">
        <f>RAW_GAMES!N99</f>
        <v>0</v>
      </c>
      <c r="F99" s="7">
        <f>RAW_GAMES!Q99</f>
        <v>6</v>
      </c>
      <c r="G99">
        <f>RAW_GAMES!P99</f>
        <v>1</v>
      </c>
    </row>
    <row r="100" spans="1:7" x14ac:dyDescent="0.25">
      <c r="A100" t="str">
        <f>RAW_GAMES!A100</f>
        <v>25/26</v>
      </c>
      <c r="B100" s="3">
        <f>RAW_GAMES!B100</f>
        <v>45926</v>
      </c>
      <c r="C100" t="str">
        <f>RAW_GAMES!E100</f>
        <v>CEB</v>
      </c>
      <c r="D100" s="7">
        <f>RAW_GAMES!O100</f>
        <v>6</v>
      </c>
      <c r="E100">
        <f>RAW_GAMES!N100</f>
        <v>1</v>
      </c>
      <c r="F100" s="7">
        <f>RAW_GAMES!Q100</f>
        <v>3</v>
      </c>
      <c r="G100">
        <f>RAW_GAMES!P100</f>
        <v>0</v>
      </c>
    </row>
    <row r="101" spans="1:7" x14ac:dyDescent="0.25">
      <c r="A101" t="str">
        <f>RAW_GAMES!A101</f>
        <v>25/26</v>
      </c>
      <c r="B101" s="3">
        <f>RAW_GAMES!B101</f>
        <v>45926</v>
      </c>
      <c r="C101" t="str">
        <f>RAW_GAMES!E101</f>
        <v>KLA</v>
      </c>
      <c r="D101" s="7">
        <f>RAW_GAMES!O101</f>
        <v>7</v>
      </c>
      <c r="E101">
        <f>RAW_GAMES!N101</f>
        <v>1</v>
      </c>
      <c r="F101" s="7">
        <f>RAW_GAMES!Q101</f>
        <v>4</v>
      </c>
      <c r="G101">
        <f>RAW_GAMES!P101</f>
        <v>2</v>
      </c>
    </row>
    <row r="102" spans="1:7" x14ac:dyDescent="0.25">
      <c r="A102" t="str">
        <f>RAW_GAMES!A102</f>
        <v>25/26</v>
      </c>
      <c r="B102" s="3">
        <f>RAW_GAMES!B102</f>
        <v>45926</v>
      </c>
      <c r="C102" t="str">
        <f>RAW_GAMES!E102</f>
        <v>KVA</v>
      </c>
      <c r="D102" s="7">
        <f>RAW_GAMES!O102</f>
        <v>2</v>
      </c>
      <c r="E102">
        <f>RAW_GAMES!N102</f>
        <v>0</v>
      </c>
      <c r="F102" s="7">
        <f>RAW_GAMES!Q102</f>
        <v>2</v>
      </c>
      <c r="G102">
        <f>RAW_GAMES!P102</f>
        <v>1</v>
      </c>
    </row>
    <row r="103" spans="1:7" x14ac:dyDescent="0.25">
      <c r="A103" t="str">
        <f>RAW_GAMES!A103</f>
        <v>25/26</v>
      </c>
      <c r="B103" s="3">
        <f>RAW_GAMES!B103</f>
        <v>45926</v>
      </c>
      <c r="C103" t="str">
        <f>RAW_GAMES!E103</f>
        <v>LIB</v>
      </c>
      <c r="D103" s="7">
        <f>RAW_GAMES!O103</f>
        <v>2</v>
      </c>
      <c r="E103">
        <f>RAW_GAMES!N103</f>
        <v>1</v>
      </c>
      <c r="F103" s="7">
        <f>RAW_GAMES!Q103</f>
        <v>2</v>
      </c>
      <c r="G103">
        <f>RAW_GAMES!P103</f>
        <v>0</v>
      </c>
    </row>
    <row r="104" spans="1:7" x14ac:dyDescent="0.25">
      <c r="A104" t="str">
        <f>RAW_GAMES!A104</f>
        <v>25/26</v>
      </c>
      <c r="B104" s="3">
        <f>RAW_GAMES!B104</f>
        <v>45926</v>
      </c>
      <c r="C104" t="str">
        <f>RAW_GAMES!E104</f>
        <v>LIT</v>
      </c>
      <c r="D104" s="7">
        <f>RAW_GAMES!O104</f>
        <v>3</v>
      </c>
      <c r="E104">
        <f>RAW_GAMES!N104</f>
        <v>0</v>
      </c>
      <c r="F104" s="7">
        <f>RAW_GAMES!Q104</f>
        <v>5</v>
      </c>
      <c r="G104">
        <f>RAW_GAMES!P104</f>
        <v>1</v>
      </c>
    </row>
    <row r="105" spans="1:7" x14ac:dyDescent="0.25">
      <c r="A105" t="str">
        <f>RAW_GAMES!A105</f>
        <v>25/26</v>
      </c>
      <c r="B105" s="3">
        <f>RAW_GAMES!B105</f>
        <v>45926</v>
      </c>
      <c r="C105" t="str">
        <f>RAW_GAMES!E105</f>
        <v>MBL</v>
      </c>
      <c r="D105" s="7">
        <f>RAW_GAMES!O105</f>
        <v>4</v>
      </c>
      <c r="E105">
        <f>RAW_GAMES!N105</f>
        <v>1</v>
      </c>
      <c r="F105" s="7">
        <f>RAW_GAMES!Q105</f>
        <v>5</v>
      </c>
      <c r="G105">
        <f>RAW_GAMES!P105</f>
        <v>0</v>
      </c>
    </row>
    <row r="106" spans="1:7" x14ac:dyDescent="0.25">
      <c r="A106" t="str">
        <f>RAW_GAMES!A106</f>
        <v>25/26</v>
      </c>
      <c r="B106" s="3">
        <f>RAW_GAMES!B106</f>
        <v>45926</v>
      </c>
      <c r="C106" t="str">
        <f>RAW_GAMES!E106</f>
        <v>MHK</v>
      </c>
      <c r="D106" s="7">
        <f>RAW_GAMES!O106</f>
        <v>5</v>
      </c>
      <c r="E106">
        <f>RAW_GAMES!N106</f>
        <v>1</v>
      </c>
      <c r="F106" s="7">
        <f>RAW_GAMES!Q106</f>
        <v>3</v>
      </c>
      <c r="G106">
        <f>RAW_GAMES!P106</f>
        <v>0</v>
      </c>
    </row>
    <row r="107" spans="1:7" x14ac:dyDescent="0.25">
      <c r="A107" t="str">
        <f>RAW_GAMES!A107</f>
        <v>25/26</v>
      </c>
      <c r="B107" s="3">
        <f>RAW_GAMES!B107</f>
        <v>45926</v>
      </c>
      <c r="C107" t="str">
        <f>RAW_GAMES!E107</f>
        <v>OLO</v>
      </c>
      <c r="D107" s="7">
        <f>RAW_GAMES!O107</f>
        <v>3</v>
      </c>
      <c r="E107">
        <f>RAW_GAMES!N107</f>
        <v>1</v>
      </c>
      <c r="F107" s="7">
        <f>RAW_GAMES!Q107</f>
        <v>3</v>
      </c>
      <c r="G107">
        <f>RAW_GAMES!P107</f>
        <v>1</v>
      </c>
    </row>
    <row r="108" spans="1:7" x14ac:dyDescent="0.25">
      <c r="A108" t="str">
        <f>RAW_GAMES!A108</f>
        <v>25/26</v>
      </c>
      <c r="B108" s="3">
        <f>RAW_GAMES!B108</f>
        <v>45926</v>
      </c>
      <c r="C108" t="str">
        <f>RAW_GAMES!E108</f>
        <v>PLZ</v>
      </c>
      <c r="D108" s="7">
        <f>RAW_GAMES!O108</f>
        <v>4</v>
      </c>
      <c r="E108">
        <f>RAW_GAMES!N108</f>
        <v>2</v>
      </c>
      <c r="F108" s="7">
        <f>RAW_GAMES!Q108</f>
        <v>7</v>
      </c>
      <c r="G108">
        <f>RAW_GAMES!P108</f>
        <v>1</v>
      </c>
    </row>
    <row r="109" spans="1:7" x14ac:dyDescent="0.25">
      <c r="A109" t="str">
        <f>RAW_GAMES!A109</f>
        <v>25/26</v>
      </c>
      <c r="B109" s="3">
        <f>RAW_GAMES!B109</f>
        <v>45926</v>
      </c>
      <c r="C109" t="str">
        <f>RAW_GAMES!E109</f>
        <v>VIT</v>
      </c>
      <c r="D109" s="7">
        <f>RAW_GAMES!O109</f>
        <v>3</v>
      </c>
      <c r="E109">
        <f>RAW_GAMES!N109</f>
        <v>1</v>
      </c>
      <c r="F109" s="7">
        <f>RAW_GAMES!Q109</f>
        <v>3</v>
      </c>
      <c r="G109">
        <f>RAW_GAMES!P109</f>
        <v>1</v>
      </c>
    </row>
    <row r="110" spans="1:7" x14ac:dyDescent="0.25">
      <c r="A110" t="str">
        <f>RAW_GAMES!A110</f>
        <v>25/26</v>
      </c>
      <c r="B110" s="3">
        <f>RAW_GAMES!B110</f>
        <v>45928</v>
      </c>
      <c r="C110" t="str">
        <f>RAW_GAMES!E110</f>
        <v>PCE</v>
      </c>
      <c r="D110" s="7">
        <f>RAW_GAMES!O110</f>
        <v>2</v>
      </c>
      <c r="E110">
        <f>RAW_GAMES!N110</f>
        <v>0</v>
      </c>
      <c r="F110" s="7">
        <f>RAW_GAMES!Q110</f>
        <v>4</v>
      </c>
      <c r="G110">
        <f>RAW_GAMES!P110</f>
        <v>0</v>
      </c>
    </row>
    <row r="111" spans="1:7" x14ac:dyDescent="0.25">
      <c r="A111" t="str">
        <f>RAW_GAMES!A111</f>
        <v>25/26</v>
      </c>
      <c r="B111" s="3">
        <f>RAW_GAMES!B111</f>
        <v>45928</v>
      </c>
      <c r="C111" t="str">
        <f>RAW_GAMES!E111</f>
        <v>TRI</v>
      </c>
      <c r="D111" s="7">
        <f>RAW_GAMES!O111</f>
        <v>3</v>
      </c>
      <c r="E111">
        <f>RAW_GAMES!N111</f>
        <v>1</v>
      </c>
      <c r="F111" s="7">
        <f>RAW_GAMES!Q111</f>
        <v>3</v>
      </c>
      <c r="G111">
        <f>RAW_GAMES!P111</f>
        <v>1</v>
      </c>
    </row>
    <row r="112" spans="1:7" x14ac:dyDescent="0.25">
      <c r="A112" t="str">
        <f>RAW_GAMES!A112</f>
        <v>25/26</v>
      </c>
      <c r="B112" s="3">
        <f>RAW_GAMES!B112</f>
        <v>45928</v>
      </c>
      <c r="C112" t="str">
        <f>RAW_GAMES!E112</f>
        <v>SPA</v>
      </c>
      <c r="D112" s="7">
        <f>RAW_GAMES!O112</f>
        <v>6</v>
      </c>
      <c r="E112">
        <f>RAW_GAMES!N112</f>
        <v>1</v>
      </c>
      <c r="F112" s="7">
        <f>RAW_GAMES!Q112</f>
        <v>5</v>
      </c>
      <c r="G112">
        <f>RAW_GAMES!P112</f>
        <v>0</v>
      </c>
    </row>
    <row r="113" spans="1:7" x14ac:dyDescent="0.25">
      <c r="A113" t="str">
        <f>RAW_GAMES!A113</f>
        <v>25/26</v>
      </c>
      <c r="B113" s="3">
        <f>RAW_GAMES!B113</f>
        <v>45928</v>
      </c>
      <c r="C113" t="str">
        <f>RAW_GAMES!E113</f>
        <v>KOM</v>
      </c>
      <c r="D113" s="7">
        <f>RAW_GAMES!O113</f>
        <v>4</v>
      </c>
      <c r="E113">
        <f>RAW_GAMES!N113</f>
        <v>0</v>
      </c>
      <c r="F113" s="7">
        <f>RAW_GAMES!Q113</f>
        <v>2</v>
      </c>
      <c r="G113">
        <f>RAW_GAMES!P113</f>
        <v>0</v>
      </c>
    </row>
    <row r="114" spans="1:7" x14ac:dyDescent="0.25">
      <c r="A114" t="str">
        <f>RAW_GAMES!A114</f>
        <v>25/26</v>
      </c>
      <c r="B114" s="3">
        <f>RAW_GAMES!B114</f>
        <v>45928</v>
      </c>
      <c r="C114" t="str">
        <f>RAW_GAMES!E114</f>
        <v>CEB</v>
      </c>
      <c r="D114" s="7">
        <f>RAW_GAMES!O114</f>
        <v>4</v>
      </c>
      <c r="E114">
        <f>RAW_GAMES!N114</f>
        <v>1</v>
      </c>
      <c r="F114" s="7">
        <f>RAW_GAMES!Q114</f>
        <v>4</v>
      </c>
      <c r="G114">
        <f>RAW_GAMES!P114</f>
        <v>0</v>
      </c>
    </row>
    <row r="115" spans="1:7" x14ac:dyDescent="0.25">
      <c r="A115" t="str">
        <f>RAW_GAMES!A115</f>
        <v>25/26</v>
      </c>
      <c r="B115" s="3">
        <f>RAW_GAMES!B115</f>
        <v>45928</v>
      </c>
      <c r="C115" t="str">
        <f>RAW_GAMES!E115</f>
        <v>KLA</v>
      </c>
      <c r="D115" s="7">
        <f>RAW_GAMES!O115</f>
        <v>3</v>
      </c>
      <c r="E115">
        <f>RAW_GAMES!N115</f>
        <v>1</v>
      </c>
      <c r="F115" s="7">
        <f>RAW_GAMES!Q115</f>
        <v>3</v>
      </c>
      <c r="G115">
        <f>RAW_GAMES!P115</f>
        <v>1</v>
      </c>
    </row>
    <row r="116" spans="1:7" x14ac:dyDescent="0.25">
      <c r="A116" t="str">
        <f>RAW_GAMES!A116</f>
        <v>25/26</v>
      </c>
      <c r="B116" s="3">
        <f>RAW_GAMES!B116</f>
        <v>45928</v>
      </c>
      <c r="C116" t="str">
        <f>RAW_GAMES!E116</f>
        <v>KVA</v>
      </c>
      <c r="D116" s="7">
        <f>RAW_GAMES!O116</f>
        <v>7</v>
      </c>
      <c r="E116">
        <f>RAW_GAMES!N116</f>
        <v>1</v>
      </c>
      <c r="F116" s="7">
        <f>RAW_GAMES!Q116</f>
        <v>7</v>
      </c>
      <c r="G116">
        <f>RAW_GAMES!P116</f>
        <v>1</v>
      </c>
    </row>
    <row r="117" spans="1:7" x14ac:dyDescent="0.25">
      <c r="A117" t="str">
        <f>RAW_GAMES!A117</f>
        <v>25/26</v>
      </c>
      <c r="B117" s="3">
        <f>RAW_GAMES!B117</f>
        <v>45928</v>
      </c>
      <c r="C117" t="str">
        <f>RAW_GAMES!E117</f>
        <v>LIB</v>
      </c>
      <c r="D117" s="7">
        <f>RAW_GAMES!O117</f>
        <v>5</v>
      </c>
      <c r="E117">
        <f>RAW_GAMES!N117</f>
        <v>0</v>
      </c>
      <c r="F117" s="7">
        <f>RAW_GAMES!Q117</f>
        <v>6</v>
      </c>
      <c r="G117">
        <f>RAW_GAMES!P117</f>
        <v>1</v>
      </c>
    </row>
    <row r="118" spans="1:7" x14ac:dyDescent="0.25">
      <c r="A118" t="str">
        <f>RAW_GAMES!A118</f>
        <v>25/26</v>
      </c>
      <c r="B118" s="3">
        <f>RAW_GAMES!B118</f>
        <v>45928</v>
      </c>
      <c r="C118" t="str">
        <f>RAW_GAMES!E118</f>
        <v>LIT</v>
      </c>
      <c r="D118" s="7">
        <f>RAW_GAMES!O118</f>
        <v>4</v>
      </c>
      <c r="E118">
        <f>RAW_GAMES!N118</f>
        <v>0</v>
      </c>
      <c r="F118" s="7">
        <f>RAW_GAMES!Q118</f>
        <v>4</v>
      </c>
      <c r="G118">
        <f>RAW_GAMES!P118</f>
        <v>1</v>
      </c>
    </row>
    <row r="119" spans="1:7" x14ac:dyDescent="0.25">
      <c r="A119" t="str">
        <f>RAW_GAMES!A119</f>
        <v>25/26</v>
      </c>
      <c r="B119" s="3">
        <f>RAW_GAMES!B119</f>
        <v>45928</v>
      </c>
      <c r="C119" t="str">
        <f>RAW_GAMES!E119</f>
        <v>MBL</v>
      </c>
      <c r="D119" s="7">
        <f>RAW_GAMES!O119</f>
        <v>8</v>
      </c>
      <c r="E119">
        <f>RAW_GAMES!N119</f>
        <v>0</v>
      </c>
      <c r="F119" s="7">
        <f>RAW_GAMES!Q119</f>
        <v>4</v>
      </c>
      <c r="G119">
        <f>RAW_GAMES!P119</f>
        <v>0</v>
      </c>
    </row>
    <row r="120" spans="1:7" x14ac:dyDescent="0.25">
      <c r="A120" t="str">
        <f>RAW_GAMES!A120</f>
        <v>25/26</v>
      </c>
      <c r="B120" s="3">
        <f>RAW_GAMES!B120</f>
        <v>45928</v>
      </c>
      <c r="C120" t="str">
        <f>RAW_GAMES!E120</f>
        <v>MHK</v>
      </c>
      <c r="D120" s="7">
        <f>RAW_GAMES!O120</f>
        <v>6</v>
      </c>
      <c r="E120">
        <f>RAW_GAMES!N120</f>
        <v>2</v>
      </c>
      <c r="F120" s="7">
        <f>RAW_GAMES!Q120</f>
        <v>1</v>
      </c>
      <c r="G120">
        <f>RAW_GAMES!P120</f>
        <v>0</v>
      </c>
    </row>
    <row r="121" spans="1:7" x14ac:dyDescent="0.25">
      <c r="A121" t="str">
        <f>RAW_GAMES!A121</f>
        <v>25/26</v>
      </c>
      <c r="B121" s="3">
        <f>RAW_GAMES!B121</f>
        <v>45928</v>
      </c>
      <c r="C121" t="str">
        <f>RAW_GAMES!E121</f>
        <v>OLO</v>
      </c>
      <c r="D121" s="7">
        <f>RAW_GAMES!O121</f>
        <v>4</v>
      </c>
      <c r="E121">
        <f>RAW_GAMES!N121</f>
        <v>0</v>
      </c>
      <c r="F121" s="7">
        <f>RAW_GAMES!Q121</f>
        <v>8</v>
      </c>
      <c r="G121">
        <f>RAW_GAMES!P121</f>
        <v>0</v>
      </c>
    </row>
    <row r="122" spans="1:7" x14ac:dyDescent="0.25">
      <c r="A122" t="str">
        <f>RAW_GAMES!A122</f>
        <v>25/26</v>
      </c>
      <c r="B122" s="3">
        <f>RAW_GAMES!B122</f>
        <v>45928</v>
      </c>
      <c r="C122" t="str">
        <f>RAW_GAMES!E122</f>
        <v>PLZ</v>
      </c>
      <c r="D122" s="7">
        <f>RAW_GAMES!O122</f>
        <v>7</v>
      </c>
      <c r="E122">
        <f>RAW_GAMES!N122</f>
        <v>1</v>
      </c>
      <c r="F122" s="7">
        <f>RAW_GAMES!Q122</f>
        <v>7</v>
      </c>
      <c r="G122">
        <f>RAW_GAMES!P122</f>
        <v>1</v>
      </c>
    </row>
    <row r="123" spans="1:7" x14ac:dyDescent="0.25">
      <c r="A123" t="str">
        <f>RAW_GAMES!A123</f>
        <v>25/26</v>
      </c>
      <c r="B123" s="3">
        <f>RAW_GAMES!B123</f>
        <v>45928</v>
      </c>
      <c r="C123" t="str">
        <f>RAW_GAMES!E123</f>
        <v>VIT</v>
      </c>
      <c r="D123" s="7">
        <f>RAW_GAMES!O123</f>
        <v>1</v>
      </c>
      <c r="E123">
        <f>RAW_GAMES!N123</f>
        <v>0</v>
      </c>
      <c r="F123" s="7">
        <f>RAW_GAMES!Q123</f>
        <v>6</v>
      </c>
      <c r="G123">
        <f>RAW_GAMES!P123</f>
        <v>2</v>
      </c>
    </row>
    <row r="124" spans="1:7" x14ac:dyDescent="0.25">
      <c r="A124" t="str">
        <f>RAW_GAMES!A124</f>
        <v>25/26</v>
      </c>
      <c r="B124" s="3">
        <f>RAW_GAMES!B124</f>
        <v>45930</v>
      </c>
      <c r="C124" t="str">
        <f>RAW_GAMES!E124</f>
        <v>PCE</v>
      </c>
      <c r="D124" s="7">
        <f>RAW_GAMES!O124</f>
        <v>4</v>
      </c>
      <c r="E124">
        <f>RAW_GAMES!N124</f>
        <v>1</v>
      </c>
      <c r="F124" s="7">
        <f>RAW_GAMES!Q124</f>
        <v>3</v>
      </c>
      <c r="G124">
        <f>RAW_GAMES!P124</f>
        <v>0</v>
      </c>
    </row>
    <row r="125" spans="1:7" x14ac:dyDescent="0.25">
      <c r="A125" t="str">
        <f>RAW_GAMES!A125</f>
        <v>25/26</v>
      </c>
      <c r="B125" s="3">
        <f>RAW_GAMES!B125</f>
        <v>45930</v>
      </c>
      <c r="C125" t="str">
        <f>RAW_GAMES!E125</f>
        <v>TRI</v>
      </c>
      <c r="D125" s="7">
        <f>RAW_GAMES!O125</f>
        <v>4</v>
      </c>
      <c r="E125">
        <f>RAW_GAMES!N125</f>
        <v>0</v>
      </c>
      <c r="F125" s="7">
        <f>RAW_GAMES!Q125</f>
        <v>2</v>
      </c>
      <c r="G125">
        <f>RAW_GAMES!P125</f>
        <v>0</v>
      </c>
    </row>
    <row r="126" spans="1:7" x14ac:dyDescent="0.25">
      <c r="A126" t="str">
        <f>RAW_GAMES!A126</f>
        <v>25/26</v>
      </c>
      <c r="B126" s="3">
        <f>RAW_GAMES!B126</f>
        <v>45930</v>
      </c>
      <c r="C126" t="str">
        <f>RAW_GAMES!E126</f>
        <v>SPA</v>
      </c>
      <c r="D126" s="7">
        <f>RAW_GAMES!O126</f>
        <v>6</v>
      </c>
      <c r="E126">
        <f>RAW_GAMES!N126</f>
        <v>0</v>
      </c>
      <c r="F126" s="7">
        <f>RAW_GAMES!Q126</f>
        <v>6</v>
      </c>
      <c r="G126">
        <f>RAW_GAMES!P126</f>
        <v>0</v>
      </c>
    </row>
    <row r="127" spans="1:7" x14ac:dyDescent="0.25">
      <c r="A127" t="str">
        <f>RAW_GAMES!A127</f>
        <v>25/26</v>
      </c>
      <c r="B127" s="3">
        <f>RAW_GAMES!B127</f>
        <v>45930</v>
      </c>
      <c r="C127" t="str">
        <f>RAW_GAMES!E127</f>
        <v>KOM</v>
      </c>
      <c r="D127" s="7">
        <f>RAW_GAMES!O127</f>
        <v>2</v>
      </c>
      <c r="E127">
        <f>RAW_GAMES!N127</f>
        <v>0</v>
      </c>
      <c r="F127" s="7">
        <f>RAW_GAMES!Q127</f>
        <v>4</v>
      </c>
      <c r="G127">
        <f>RAW_GAMES!P127</f>
        <v>0</v>
      </c>
    </row>
    <row r="128" spans="1:7" x14ac:dyDescent="0.25">
      <c r="A128" t="str">
        <f>RAW_GAMES!A128</f>
        <v>25/26</v>
      </c>
      <c r="B128" s="3">
        <f>RAW_GAMES!B128</f>
        <v>45930</v>
      </c>
      <c r="C128" t="str">
        <f>RAW_GAMES!E128</f>
        <v>CEB</v>
      </c>
      <c r="D128" s="7">
        <f>RAW_GAMES!O128</f>
        <v>3</v>
      </c>
      <c r="E128">
        <f>RAW_GAMES!N128</f>
        <v>0</v>
      </c>
      <c r="F128" s="7">
        <f>RAW_GAMES!Q128</f>
        <v>4</v>
      </c>
      <c r="G128">
        <f>RAW_GAMES!P128</f>
        <v>1</v>
      </c>
    </row>
    <row r="129" spans="1:7" x14ac:dyDescent="0.25">
      <c r="A129" t="str">
        <f>RAW_GAMES!A129</f>
        <v>25/26</v>
      </c>
      <c r="B129" s="3">
        <f>RAW_GAMES!B129</f>
        <v>45930</v>
      </c>
      <c r="C129" t="str">
        <f>RAW_GAMES!E129</f>
        <v>KLA</v>
      </c>
      <c r="D129" s="7">
        <f>RAW_GAMES!O129</f>
        <v>4</v>
      </c>
      <c r="E129">
        <f>RAW_GAMES!N129</f>
        <v>0</v>
      </c>
      <c r="F129" s="7">
        <f>RAW_GAMES!Q129</f>
        <v>3</v>
      </c>
      <c r="G129">
        <f>RAW_GAMES!P129</f>
        <v>0</v>
      </c>
    </row>
    <row r="130" spans="1:7" x14ac:dyDescent="0.25">
      <c r="A130" t="str">
        <f>RAW_GAMES!A130</f>
        <v>25/26</v>
      </c>
      <c r="B130" s="3">
        <f>RAW_GAMES!B130</f>
        <v>45930</v>
      </c>
      <c r="C130" t="str">
        <f>RAW_GAMES!E130</f>
        <v>KVA</v>
      </c>
      <c r="D130" s="7">
        <f>RAW_GAMES!O130</f>
        <v>3</v>
      </c>
      <c r="E130">
        <f>RAW_GAMES!N130</f>
        <v>0</v>
      </c>
      <c r="F130" s="7">
        <f>RAW_GAMES!Q130</f>
        <v>4</v>
      </c>
      <c r="G130">
        <f>RAW_GAMES!P130</f>
        <v>0</v>
      </c>
    </row>
    <row r="131" spans="1:7" x14ac:dyDescent="0.25">
      <c r="A131" t="str">
        <f>RAW_GAMES!A131</f>
        <v>25/26</v>
      </c>
      <c r="B131" s="3">
        <f>RAW_GAMES!B131</f>
        <v>45930</v>
      </c>
      <c r="C131" t="str">
        <f>RAW_GAMES!E131</f>
        <v>LIB</v>
      </c>
      <c r="D131" s="7">
        <f>RAW_GAMES!O131</f>
        <v>2</v>
      </c>
      <c r="E131">
        <f>RAW_GAMES!N131</f>
        <v>0</v>
      </c>
      <c r="F131" s="7">
        <f>RAW_GAMES!Q131</f>
        <v>3</v>
      </c>
      <c r="G131">
        <f>RAW_GAMES!P131</f>
        <v>0</v>
      </c>
    </row>
    <row r="132" spans="1:7" x14ac:dyDescent="0.25">
      <c r="A132" t="str">
        <f>RAW_GAMES!A132</f>
        <v>25/26</v>
      </c>
      <c r="B132" s="3">
        <f>RAW_GAMES!B132</f>
        <v>45930</v>
      </c>
      <c r="C132" t="str">
        <f>RAW_GAMES!E132</f>
        <v>LIT</v>
      </c>
      <c r="D132" s="7">
        <f>RAW_GAMES!O132</f>
        <v>3</v>
      </c>
      <c r="E132">
        <f>RAW_GAMES!N132</f>
        <v>0</v>
      </c>
      <c r="F132" s="7">
        <f>RAW_GAMES!Q132</f>
        <v>4</v>
      </c>
      <c r="G132">
        <f>RAW_GAMES!P132</f>
        <v>1</v>
      </c>
    </row>
    <row r="133" spans="1:7" x14ac:dyDescent="0.25">
      <c r="A133" t="str">
        <f>RAW_GAMES!A133</f>
        <v>25/26</v>
      </c>
      <c r="B133" s="3">
        <f>RAW_GAMES!B133</f>
        <v>45930</v>
      </c>
      <c r="C133" t="str">
        <f>RAW_GAMES!E133</f>
        <v>MBL</v>
      </c>
      <c r="D133" s="7">
        <f>RAW_GAMES!O133</f>
        <v>3</v>
      </c>
      <c r="E133">
        <f>RAW_GAMES!N133</f>
        <v>0</v>
      </c>
      <c r="F133" s="7">
        <f>RAW_GAMES!Q133</f>
        <v>2</v>
      </c>
      <c r="G133">
        <f>RAW_GAMES!P133</f>
        <v>0</v>
      </c>
    </row>
    <row r="134" spans="1:7" x14ac:dyDescent="0.25">
      <c r="A134" t="str">
        <f>RAW_GAMES!A134</f>
        <v>25/26</v>
      </c>
      <c r="B134" s="3">
        <f>RAW_GAMES!B134</f>
        <v>45930</v>
      </c>
      <c r="C134" t="str">
        <f>RAW_GAMES!E134</f>
        <v>MHK</v>
      </c>
      <c r="D134" s="7">
        <f>RAW_GAMES!O134</f>
        <v>5</v>
      </c>
      <c r="E134">
        <f>RAW_GAMES!N134</f>
        <v>0</v>
      </c>
      <c r="F134" s="7">
        <f>RAW_GAMES!Q134</f>
        <v>3</v>
      </c>
      <c r="G134">
        <f>RAW_GAMES!P134</f>
        <v>0</v>
      </c>
    </row>
    <row r="135" spans="1:7" x14ac:dyDescent="0.25">
      <c r="A135" t="str">
        <f>RAW_GAMES!A135</f>
        <v>25/26</v>
      </c>
      <c r="B135" s="3">
        <f>RAW_GAMES!B135</f>
        <v>45930</v>
      </c>
      <c r="C135" t="str">
        <f>RAW_GAMES!E135</f>
        <v>OLO</v>
      </c>
      <c r="D135" s="7">
        <f>RAW_GAMES!O135</f>
        <v>3</v>
      </c>
      <c r="E135">
        <f>RAW_GAMES!N135</f>
        <v>0</v>
      </c>
      <c r="F135" s="7">
        <f>RAW_GAMES!Q135</f>
        <v>5</v>
      </c>
      <c r="G135">
        <f>RAW_GAMES!P135</f>
        <v>0</v>
      </c>
    </row>
    <row r="136" spans="1:7" x14ac:dyDescent="0.25">
      <c r="A136" t="str">
        <f>RAW_GAMES!A136</f>
        <v>25/26</v>
      </c>
      <c r="B136" s="3">
        <f>RAW_GAMES!B136</f>
        <v>45930</v>
      </c>
      <c r="C136" t="str">
        <f>RAW_GAMES!E136</f>
        <v>PLZ</v>
      </c>
      <c r="D136" s="7">
        <f>RAW_GAMES!O136</f>
        <v>6</v>
      </c>
      <c r="E136">
        <f>RAW_GAMES!N136</f>
        <v>0</v>
      </c>
      <c r="F136" s="7">
        <f>RAW_GAMES!Q136</f>
        <v>6</v>
      </c>
      <c r="G136">
        <f>RAW_GAMES!P136</f>
        <v>0</v>
      </c>
    </row>
    <row r="137" spans="1:7" x14ac:dyDescent="0.25">
      <c r="A137" t="str">
        <f>RAW_GAMES!A137</f>
        <v>25/26</v>
      </c>
      <c r="B137" s="3">
        <f>RAW_GAMES!B137</f>
        <v>45930</v>
      </c>
      <c r="C137" t="str">
        <f>RAW_GAMES!E137</f>
        <v>VIT</v>
      </c>
      <c r="D137" s="7">
        <f>RAW_GAMES!O137</f>
        <v>4</v>
      </c>
      <c r="E137">
        <f>RAW_GAMES!N137</f>
        <v>1</v>
      </c>
      <c r="F137" s="7">
        <f>RAW_GAMES!Q137</f>
        <v>3</v>
      </c>
      <c r="G137">
        <f>RAW_GAMES!P137</f>
        <v>0</v>
      </c>
    </row>
    <row r="138" spans="1:7" x14ac:dyDescent="0.25">
      <c r="A138" t="str">
        <f>RAW_GAMES!A138</f>
        <v>25/26</v>
      </c>
      <c r="B138" s="3">
        <f>RAW_GAMES!B138</f>
        <v>45933</v>
      </c>
      <c r="C138" t="str">
        <f>RAW_GAMES!E138</f>
        <v>PCE</v>
      </c>
      <c r="D138" s="7">
        <f>RAW_GAMES!O138</f>
        <v>3</v>
      </c>
      <c r="E138">
        <f>RAW_GAMES!N138</f>
        <v>0</v>
      </c>
      <c r="F138" s="7">
        <f>RAW_GAMES!Q138</f>
        <v>4</v>
      </c>
      <c r="G138">
        <f>RAW_GAMES!P138</f>
        <v>0</v>
      </c>
    </row>
    <row r="139" spans="1:7" x14ac:dyDescent="0.25">
      <c r="A139" t="str">
        <f>RAW_GAMES!A139</f>
        <v>25/26</v>
      </c>
      <c r="B139" s="3">
        <f>RAW_GAMES!B139</f>
        <v>45933</v>
      </c>
      <c r="C139" t="str">
        <f>RAW_GAMES!E139</f>
        <v>TRI</v>
      </c>
      <c r="D139" s="7">
        <f>RAW_GAMES!O139</f>
        <v>5</v>
      </c>
      <c r="E139">
        <f>RAW_GAMES!N139</f>
        <v>0</v>
      </c>
      <c r="F139" s="7">
        <f>RAW_GAMES!Q139</f>
        <v>2</v>
      </c>
      <c r="G139">
        <f>RAW_GAMES!P139</f>
        <v>1</v>
      </c>
    </row>
    <row r="140" spans="1:7" x14ac:dyDescent="0.25">
      <c r="A140" t="str">
        <f>RAW_GAMES!A140</f>
        <v>25/26</v>
      </c>
      <c r="B140" s="3">
        <f>RAW_GAMES!B140</f>
        <v>45933</v>
      </c>
      <c r="C140" t="str">
        <f>RAW_GAMES!E140</f>
        <v>SPA</v>
      </c>
      <c r="D140" s="7">
        <f>RAW_GAMES!O140</f>
        <v>4</v>
      </c>
      <c r="E140">
        <f>RAW_GAMES!N140</f>
        <v>0</v>
      </c>
      <c r="F140" s="7">
        <f>RAW_GAMES!Q140</f>
        <v>5</v>
      </c>
      <c r="G140">
        <f>RAW_GAMES!P140</f>
        <v>0</v>
      </c>
    </row>
    <row r="141" spans="1:7" x14ac:dyDescent="0.25">
      <c r="A141" t="str">
        <f>RAW_GAMES!A141</f>
        <v>25/26</v>
      </c>
      <c r="B141" s="3">
        <f>RAW_GAMES!B141</f>
        <v>45933</v>
      </c>
      <c r="C141" t="str">
        <f>RAW_GAMES!E141</f>
        <v>KOM</v>
      </c>
      <c r="D141" s="7">
        <f>RAW_GAMES!O141</f>
        <v>6</v>
      </c>
      <c r="E141">
        <f>RAW_GAMES!N141</f>
        <v>0</v>
      </c>
      <c r="F141" s="7">
        <f>RAW_GAMES!Q141</f>
        <v>3</v>
      </c>
      <c r="G141">
        <f>RAW_GAMES!P141</f>
        <v>0</v>
      </c>
    </row>
    <row r="142" spans="1:7" x14ac:dyDescent="0.25">
      <c r="A142" t="str">
        <f>RAW_GAMES!A142</f>
        <v>25/26</v>
      </c>
      <c r="B142" s="3">
        <f>RAW_GAMES!B142</f>
        <v>45933</v>
      </c>
      <c r="C142" t="str">
        <f>RAW_GAMES!E142</f>
        <v>CEB</v>
      </c>
      <c r="D142" s="7">
        <f>RAW_GAMES!O142</f>
        <v>3</v>
      </c>
      <c r="E142">
        <f>RAW_GAMES!N142</f>
        <v>2</v>
      </c>
      <c r="F142" s="7">
        <f>RAW_GAMES!Q142</f>
        <v>3</v>
      </c>
      <c r="G142">
        <f>RAW_GAMES!P142</f>
        <v>1</v>
      </c>
    </row>
    <row r="143" spans="1:7" x14ac:dyDescent="0.25">
      <c r="A143" t="str">
        <f>RAW_GAMES!A143</f>
        <v>25/26</v>
      </c>
      <c r="B143" s="3">
        <f>RAW_GAMES!B143</f>
        <v>45933</v>
      </c>
      <c r="C143" t="str">
        <f>RAW_GAMES!E143</f>
        <v>KLA</v>
      </c>
      <c r="D143" s="7">
        <f>RAW_GAMES!O143</f>
        <v>3</v>
      </c>
      <c r="E143">
        <f>RAW_GAMES!N143</f>
        <v>0</v>
      </c>
      <c r="F143" s="7">
        <f>RAW_GAMES!Q143</f>
        <v>6</v>
      </c>
      <c r="G143">
        <f>RAW_GAMES!P143</f>
        <v>0</v>
      </c>
    </row>
    <row r="144" spans="1:7" x14ac:dyDescent="0.25">
      <c r="A144" t="str">
        <f>RAW_GAMES!A144</f>
        <v>25/26</v>
      </c>
      <c r="B144" s="3">
        <f>RAW_GAMES!B144</f>
        <v>45933</v>
      </c>
      <c r="C144" t="str">
        <f>RAW_GAMES!E144</f>
        <v>KVA</v>
      </c>
      <c r="D144" s="7">
        <f>RAW_GAMES!O144</f>
        <v>4</v>
      </c>
      <c r="E144">
        <f>RAW_GAMES!N144</f>
        <v>0</v>
      </c>
      <c r="F144" s="7">
        <f>RAW_GAMES!Q144</f>
        <v>3</v>
      </c>
      <c r="G144">
        <f>RAW_GAMES!P144</f>
        <v>0</v>
      </c>
    </row>
    <row r="145" spans="1:7" x14ac:dyDescent="0.25">
      <c r="A145" t="str">
        <f>RAW_GAMES!A145</f>
        <v>25/26</v>
      </c>
      <c r="B145" s="3">
        <f>RAW_GAMES!B145</f>
        <v>45933</v>
      </c>
      <c r="C145" t="str">
        <f>RAW_GAMES!E145</f>
        <v>LIB</v>
      </c>
      <c r="D145" s="7">
        <f>RAW_GAMES!O145</f>
        <v>2</v>
      </c>
      <c r="E145">
        <f>RAW_GAMES!N145</f>
        <v>0</v>
      </c>
      <c r="F145" s="7">
        <f>RAW_GAMES!Q145</f>
        <v>5</v>
      </c>
      <c r="G145">
        <f>RAW_GAMES!P145</f>
        <v>0</v>
      </c>
    </row>
    <row r="146" spans="1:7" x14ac:dyDescent="0.25">
      <c r="A146" t="str">
        <f>RAW_GAMES!A146</f>
        <v>25/26</v>
      </c>
      <c r="B146" s="3">
        <f>RAW_GAMES!B146</f>
        <v>45933</v>
      </c>
      <c r="C146" t="str">
        <f>RAW_GAMES!E146</f>
        <v>LIT</v>
      </c>
      <c r="D146" s="7">
        <f>RAW_GAMES!O146</f>
        <v>4</v>
      </c>
      <c r="E146">
        <f>RAW_GAMES!N146</f>
        <v>0</v>
      </c>
      <c r="F146" s="7">
        <f>RAW_GAMES!Q146</f>
        <v>3</v>
      </c>
      <c r="G146">
        <f>RAW_GAMES!P146</f>
        <v>0</v>
      </c>
    </row>
    <row r="147" spans="1:7" x14ac:dyDescent="0.25">
      <c r="A147" t="str">
        <f>RAW_GAMES!A147</f>
        <v>25/26</v>
      </c>
      <c r="B147" s="3">
        <f>RAW_GAMES!B147</f>
        <v>45933</v>
      </c>
      <c r="C147" t="str">
        <f>RAW_GAMES!E147</f>
        <v>MBL</v>
      </c>
      <c r="D147" s="7">
        <f>RAW_GAMES!O147</f>
        <v>3</v>
      </c>
      <c r="E147">
        <f>RAW_GAMES!N147</f>
        <v>1</v>
      </c>
      <c r="F147" s="7">
        <f>RAW_GAMES!Q147</f>
        <v>3</v>
      </c>
      <c r="G147">
        <f>RAW_GAMES!P147</f>
        <v>2</v>
      </c>
    </row>
    <row r="148" spans="1:7" x14ac:dyDescent="0.25">
      <c r="A148" t="str">
        <f>RAW_GAMES!A148</f>
        <v>25/26</v>
      </c>
      <c r="B148" s="3">
        <f>RAW_GAMES!B148</f>
        <v>45933</v>
      </c>
      <c r="C148" t="str">
        <f>RAW_GAMES!E148</f>
        <v>MHK</v>
      </c>
      <c r="D148" s="7">
        <f>RAW_GAMES!O148</f>
        <v>5</v>
      </c>
      <c r="E148">
        <f>RAW_GAMES!N148</f>
        <v>0</v>
      </c>
      <c r="F148" s="7">
        <f>RAW_GAMES!Q148</f>
        <v>4</v>
      </c>
      <c r="G148">
        <f>RAW_GAMES!P148</f>
        <v>0</v>
      </c>
    </row>
    <row r="149" spans="1:7" x14ac:dyDescent="0.25">
      <c r="A149" t="str">
        <f>RAW_GAMES!A149</f>
        <v>25/26</v>
      </c>
      <c r="B149" s="3">
        <f>RAW_GAMES!B149</f>
        <v>45933</v>
      </c>
      <c r="C149" t="str">
        <f>RAW_GAMES!E149</f>
        <v>OLO</v>
      </c>
      <c r="D149" s="7">
        <f>RAW_GAMES!O149</f>
        <v>5</v>
      </c>
      <c r="E149">
        <f>RAW_GAMES!N149</f>
        <v>0</v>
      </c>
      <c r="F149" s="7">
        <f>RAW_GAMES!Q149</f>
        <v>2</v>
      </c>
      <c r="G149">
        <f>RAW_GAMES!P149</f>
        <v>0</v>
      </c>
    </row>
    <row r="150" spans="1:7" x14ac:dyDescent="0.25">
      <c r="A150" t="str">
        <f>RAW_GAMES!A150</f>
        <v>25/26</v>
      </c>
      <c r="B150" s="3">
        <f>RAW_GAMES!B150</f>
        <v>45933</v>
      </c>
      <c r="C150" t="str">
        <f>RAW_GAMES!E150</f>
        <v>PLZ</v>
      </c>
      <c r="D150" s="7">
        <f>RAW_GAMES!O150</f>
        <v>3</v>
      </c>
      <c r="E150">
        <f>RAW_GAMES!N150</f>
        <v>0</v>
      </c>
      <c r="F150" s="7">
        <f>RAW_GAMES!Q150</f>
        <v>4</v>
      </c>
      <c r="G150">
        <f>RAW_GAMES!P150</f>
        <v>0</v>
      </c>
    </row>
    <row r="151" spans="1:7" x14ac:dyDescent="0.25">
      <c r="A151" t="str">
        <f>RAW_GAMES!A151</f>
        <v>25/26</v>
      </c>
      <c r="B151" s="3">
        <f>RAW_GAMES!B151</f>
        <v>45933</v>
      </c>
      <c r="C151" t="str">
        <f>RAW_GAMES!E151</f>
        <v>VIT</v>
      </c>
      <c r="D151" s="7">
        <f>RAW_GAMES!O151</f>
        <v>2</v>
      </c>
      <c r="E151">
        <f>RAW_GAMES!N151</f>
        <v>1</v>
      </c>
      <c r="F151" s="7">
        <f>RAW_GAMES!Q151</f>
        <v>5</v>
      </c>
      <c r="G151">
        <f>RAW_GAMES!P151</f>
        <v>0</v>
      </c>
    </row>
    <row r="152" spans="1:7" x14ac:dyDescent="0.25">
      <c r="A152" t="str">
        <f>RAW_GAMES!A152</f>
        <v>25/26</v>
      </c>
      <c r="B152" s="3">
        <f>RAW_GAMES!B152</f>
        <v>45935</v>
      </c>
      <c r="C152" t="str">
        <f>RAW_GAMES!E152</f>
        <v>PCE</v>
      </c>
      <c r="D152" s="7">
        <f>RAW_GAMES!O152</f>
        <v>5</v>
      </c>
      <c r="E152">
        <f>RAW_GAMES!N152</f>
        <v>1</v>
      </c>
      <c r="F152" s="7">
        <f>RAW_GAMES!Q152</f>
        <v>4</v>
      </c>
      <c r="G152">
        <f>RAW_GAMES!P152</f>
        <v>1</v>
      </c>
    </row>
    <row r="153" spans="1:7" x14ac:dyDescent="0.25">
      <c r="A153" t="str">
        <f>RAW_GAMES!A153</f>
        <v>25/26</v>
      </c>
      <c r="B153" s="3">
        <f>RAW_GAMES!B153</f>
        <v>45935</v>
      </c>
      <c r="C153" t="str">
        <f>RAW_GAMES!E153</f>
        <v>TRI</v>
      </c>
      <c r="D153" s="7">
        <f>RAW_GAMES!O153</f>
        <v>5</v>
      </c>
      <c r="E153">
        <f>RAW_GAMES!N153</f>
        <v>1</v>
      </c>
      <c r="F153" s="7">
        <f>RAW_GAMES!Q153</f>
        <v>3</v>
      </c>
      <c r="G153">
        <f>RAW_GAMES!P153</f>
        <v>0</v>
      </c>
    </row>
    <row r="154" spans="1:7" x14ac:dyDescent="0.25">
      <c r="A154" t="str">
        <f>RAW_GAMES!A154</f>
        <v>25/26</v>
      </c>
      <c r="B154" s="3">
        <f>RAW_GAMES!B154</f>
        <v>45935</v>
      </c>
      <c r="C154" t="str">
        <f>RAW_GAMES!E154</f>
        <v>SPA</v>
      </c>
      <c r="D154" s="7">
        <f>RAW_GAMES!O154</f>
        <v>6</v>
      </c>
      <c r="E154">
        <f>RAW_GAMES!N154</f>
        <v>1</v>
      </c>
      <c r="F154" s="7">
        <f>RAW_GAMES!Q154</f>
        <v>5</v>
      </c>
      <c r="G154">
        <f>RAW_GAMES!P154</f>
        <v>1</v>
      </c>
    </row>
    <row r="155" spans="1:7" x14ac:dyDescent="0.25">
      <c r="A155" t="str">
        <f>RAW_GAMES!A155</f>
        <v>25/26</v>
      </c>
      <c r="B155" s="3">
        <f>RAW_GAMES!B155</f>
        <v>45935</v>
      </c>
      <c r="C155" t="str">
        <f>RAW_GAMES!E155</f>
        <v>KOM</v>
      </c>
      <c r="D155" s="7">
        <f>RAW_GAMES!O155</f>
        <v>3</v>
      </c>
      <c r="E155">
        <f>RAW_GAMES!N155</f>
        <v>0</v>
      </c>
      <c r="F155" s="7">
        <f>RAW_GAMES!Q155</f>
        <v>0</v>
      </c>
      <c r="G155">
        <f>RAW_GAMES!P155</f>
        <v>0</v>
      </c>
    </row>
    <row r="156" spans="1:7" x14ac:dyDescent="0.25">
      <c r="A156" t="str">
        <f>RAW_GAMES!A156</f>
        <v>25/26</v>
      </c>
      <c r="B156" s="3">
        <f>RAW_GAMES!B156</f>
        <v>45935</v>
      </c>
      <c r="C156" t="str">
        <f>RAW_GAMES!E156</f>
        <v>CEB</v>
      </c>
      <c r="D156" s="7">
        <f>RAW_GAMES!O156</f>
        <v>7</v>
      </c>
      <c r="E156">
        <f>RAW_GAMES!N156</f>
        <v>1</v>
      </c>
      <c r="F156" s="7">
        <f>RAW_GAMES!Q156</f>
        <v>1</v>
      </c>
      <c r="G156">
        <f>RAW_GAMES!P156</f>
        <v>0</v>
      </c>
    </row>
    <row r="157" spans="1:7" x14ac:dyDescent="0.25">
      <c r="A157" t="str">
        <f>RAW_GAMES!A157</f>
        <v>25/26</v>
      </c>
      <c r="B157" s="3">
        <f>RAW_GAMES!B157</f>
        <v>45935</v>
      </c>
      <c r="C157" t="str">
        <f>RAW_GAMES!E157</f>
        <v>KLA</v>
      </c>
      <c r="D157" s="7">
        <f>RAW_GAMES!O157</f>
        <v>5</v>
      </c>
      <c r="E157">
        <f>RAW_GAMES!N157</f>
        <v>1</v>
      </c>
      <c r="F157" s="7">
        <f>RAW_GAMES!Q157</f>
        <v>6</v>
      </c>
      <c r="G157">
        <f>RAW_GAMES!P157</f>
        <v>1</v>
      </c>
    </row>
    <row r="158" spans="1:7" x14ac:dyDescent="0.25">
      <c r="A158" t="str">
        <f>RAW_GAMES!A158</f>
        <v>25/26</v>
      </c>
      <c r="B158" s="3">
        <f>RAW_GAMES!B158</f>
        <v>45935</v>
      </c>
      <c r="C158" t="str">
        <f>RAW_GAMES!E158</f>
        <v>KVA</v>
      </c>
      <c r="D158" s="7">
        <f>RAW_GAMES!O158</f>
        <v>0</v>
      </c>
      <c r="E158">
        <f>RAW_GAMES!N158</f>
        <v>0</v>
      </c>
      <c r="F158" s="7">
        <f>RAW_GAMES!Q158</f>
        <v>3</v>
      </c>
      <c r="G158">
        <f>RAW_GAMES!P158</f>
        <v>0</v>
      </c>
    </row>
    <row r="159" spans="1:7" x14ac:dyDescent="0.25">
      <c r="A159" t="str">
        <f>RAW_GAMES!A159</f>
        <v>25/26</v>
      </c>
      <c r="B159" s="3">
        <f>RAW_GAMES!B159</f>
        <v>45935</v>
      </c>
      <c r="C159" t="str">
        <f>RAW_GAMES!E159</f>
        <v>LIB</v>
      </c>
      <c r="D159" s="7">
        <f>RAW_GAMES!O159</f>
        <v>5</v>
      </c>
      <c r="E159">
        <f>RAW_GAMES!N159</f>
        <v>1</v>
      </c>
      <c r="F159" s="7">
        <f>RAW_GAMES!Q159</f>
        <v>2</v>
      </c>
      <c r="G159">
        <f>RAW_GAMES!P159</f>
        <v>1</v>
      </c>
    </row>
    <row r="160" spans="1:7" x14ac:dyDescent="0.25">
      <c r="A160" t="str">
        <f>RAW_GAMES!A160</f>
        <v>25/26</v>
      </c>
      <c r="B160" s="3">
        <f>RAW_GAMES!B160</f>
        <v>45935</v>
      </c>
      <c r="C160" t="str">
        <f>RAW_GAMES!E160</f>
        <v>LIT</v>
      </c>
      <c r="D160" s="7">
        <f>RAW_GAMES!O160</f>
        <v>3</v>
      </c>
      <c r="E160">
        <f>RAW_GAMES!N160</f>
        <v>0</v>
      </c>
      <c r="F160" s="7">
        <f>RAW_GAMES!Q160</f>
        <v>5</v>
      </c>
      <c r="G160">
        <f>RAW_GAMES!P160</f>
        <v>1</v>
      </c>
    </row>
    <row r="161" spans="1:7" x14ac:dyDescent="0.25">
      <c r="A161" t="str">
        <f>RAW_GAMES!A161</f>
        <v>25/26</v>
      </c>
      <c r="B161" s="3">
        <f>RAW_GAMES!B161</f>
        <v>45935</v>
      </c>
      <c r="C161" t="str">
        <f>RAW_GAMES!E161</f>
        <v>MHK</v>
      </c>
      <c r="D161" s="7">
        <f>RAW_GAMES!O161</f>
        <v>2</v>
      </c>
      <c r="E161">
        <f>RAW_GAMES!N161</f>
        <v>1</v>
      </c>
      <c r="F161" s="7">
        <f>RAW_GAMES!Q161</f>
        <v>5</v>
      </c>
      <c r="G161">
        <f>RAW_GAMES!P161</f>
        <v>1</v>
      </c>
    </row>
    <row r="162" spans="1:7" x14ac:dyDescent="0.25">
      <c r="A162" t="str">
        <f>RAW_GAMES!A162</f>
        <v>25/26</v>
      </c>
      <c r="B162" s="3">
        <f>RAW_GAMES!B162</f>
        <v>45935</v>
      </c>
      <c r="C162" t="str">
        <f>RAW_GAMES!E162</f>
        <v>OLO</v>
      </c>
      <c r="D162" s="7">
        <f>RAW_GAMES!O162</f>
        <v>1</v>
      </c>
      <c r="E162">
        <f>RAW_GAMES!N162</f>
        <v>0</v>
      </c>
      <c r="F162" s="7">
        <f>RAW_GAMES!Q162</f>
        <v>7</v>
      </c>
      <c r="G162">
        <f>RAW_GAMES!P162</f>
        <v>1</v>
      </c>
    </row>
    <row r="163" spans="1:7" x14ac:dyDescent="0.25">
      <c r="A163" t="str">
        <f>RAW_GAMES!A163</f>
        <v>25/26</v>
      </c>
      <c r="B163" s="3">
        <f>RAW_GAMES!B163</f>
        <v>45935</v>
      </c>
      <c r="C163" t="str">
        <f>RAW_GAMES!E163</f>
        <v>VIT</v>
      </c>
      <c r="D163" s="7">
        <f>RAW_GAMES!O163</f>
        <v>4</v>
      </c>
      <c r="E163">
        <f>RAW_GAMES!N163</f>
        <v>1</v>
      </c>
      <c r="F163" s="7">
        <f>RAW_GAMES!Q163</f>
        <v>5</v>
      </c>
      <c r="G163">
        <f>RAW_GAMES!P163</f>
        <v>1</v>
      </c>
    </row>
    <row r="164" spans="1:7" x14ac:dyDescent="0.25">
      <c r="A164" t="str">
        <f>RAW_GAMES!A164</f>
        <v>25/26</v>
      </c>
      <c r="B164" s="3">
        <f>RAW_GAMES!B164</f>
        <v>45938</v>
      </c>
      <c r="C164" t="str">
        <f>RAW_GAMES!E164</f>
        <v>MBL</v>
      </c>
      <c r="D164" s="7">
        <f>RAW_GAMES!O164</f>
        <v>3</v>
      </c>
      <c r="E164">
        <f>RAW_GAMES!N164</f>
        <v>0</v>
      </c>
      <c r="F164" s="7">
        <f>RAW_GAMES!Q164</f>
        <v>3</v>
      </c>
      <c r="G164">
        <f>RAW_GAMES!P164</f>
        <v>0</v>
      </c>
    </row>
    <row r="165" spans="1:7" x14ac:dyDescent="0.25">
      <c r="A165" t="str">
        <f>RAW_GAMES!A165</f>
        <v>25/26</v>
      </c>
      <c r="B165" s="3">
        <f>RAW_GAMES!B165</f>
        <v>45938</v>
      </c>
      <c r="C165" t="str">
        <f>RAW_GAMES!E165</f>
        <v>PLZ</v>
      </c>
      <c r="D165" s="7">
        <f>RAW_GAMES!O165</f>
        <v>3</v>
      </c>
      <c r="E165">
        <f>RAW_GAMES!N165</f>
        <v>0</v>
      </c>
      <c r="F165" s="7">
        <f>RAW_GAMES!Q165</f>
        <v>3</v>
      </c>
      <c r="G165">
        <f>RAW_GAMES!P165</f>
        <v>0</v>
      </c>
    </row>
    <row r="166" spans="1:7" x14ac:dyDescent="0.25">
      <c r="A166" t="str">
        <f>RAW_GAMES!A166</f>
        <v>25/26</v>
      </c>
      <c r="B166" s="3">
        <f>RAW_GAMES!B166</f>
        <v>45940</v>
      </c>
      <c r="C166" t="str">
        <f>RAW_GAMES!E166</f>
        <v>PCE</v>
      </c>
      <c r="D166" s="7">
        <f>RAW_GAMES!O166</f>
        <v>7</v>
      </c>
      <c r="E166">
        <f>RAW_GAMES!N166</f>
        <v>3</v>
      </c>
      <c r="F166" s="7">
        <f>RAW_GAMES!Q166</f>
        <v>7</v>
      </c>
      <c r="G166">
        <f>RAW_GAMES!P166</f>
        <v>3</v>
      </c>
    </row>
    <row r="167" spans="1:7" x14ac:dyDescent="0.25">
      <c r="A167" t="str">
        <f>RAW_GAMES!A167</f>
        <v>25/26</v>
      </c>
      <c r="B167" s="3">
        <f>RAW_GAMES!B167</f>
        <v>45940</v>
      </c>
      <c r="C167" t="str">
        <f>RAW_GAMES!E167</f>
        <v>TRI</v>
      </c>
      <c r="D167" s="7">
        <f>RAW_GAMES!O167</f>
        <v>2</v>
      </c>
      <c r="E167">
        <f>RAW_GAMES!N167</f>
        <v>0</v>
      </c>
      <c r="F167" s="7">
        <f>RAW_GAMES!Q167</f>
        <v>3</v>
      </c>
      <c r="G167">
        <f>RAW_GAMES!P167</f>
        <v>0</v>
      </c>
    </row>
    <row r="168" spans="1:7" x14ac:dyDescent="0.25">
      <c r="A168" t="str">
        <f>RAW_GAMES!A168</f>
        <v>25/26</v>
      </c>
      <c r="B168" s="3">
        <f>RAW_GAMES!B168</f>
        <v>45940</v>
      </c>
      <c r="C168" t="str">
        <f>RAW_GAMES!E168</f>
        <v>SPA</v>
      </c>
      <c r="D168" s="7">
        <f>RAW_GAMES!O168</f>
        <v>7</v>
      </c>
      <c r="E168">
        <f>RAW_GAMES!N168</f>
        <v>3</v>
      </c>
      <c r="F168" s="7">
        <f>RAW_GAMES!Q168</f>
        <v>7</v>
      </c>
      <c r="G168">
        <f>RAW_GAMES!P168</f>
        <v>3</v>
      </c>
    </row>
    <row r="169" spans="1:7" x14ac:dyDescent="0.25">
      <c r="A169" t="str">
        <f>RAW_GAMES!A169</f>
        <v>25/26</v>
      </c>
      <c r="B169" s="3">
        <f>RAW_GAMES!B169</f>
        <v>45940</v>
      </c>
      <c r="C169" t="str">
        <f>RAW_GAMES!E169</f>
        <v>KOM</v>
      </c>
      <c r="D169" s="7">
        <f>RAW_GAMES!O169</f>
        <v>3</v>
      </c>
      <c r="E169">
        <f>RAW_GAMES!N169</f>
        <v>1</v>
      </c>
      <c r="F169" s="7">
        <f>RAW_GAMES!Q169</f>
        <v>6</v>
      </c>
      <c r="G169">
        <f>RAW_GAMES!P169</f>
        <v>1</v>
      </c>
    </row>
    <row r="170" spans="1:7" x14ac:dyDescent="0.25">
      <c r="A170" t="str">
        <f>RAW_GAMES!A170</f>
        <v>25/26</v>
      </c>
      <c r="B170" s="3">
        <f>RAW_GAMES!B170</f>
        <v>45940</v>
      </c>
      <c r="C170" t="str">
        <f>RAW_GAMES!E170</f>
        <v>CEB</v>
      </c>
      <c r="D170" s="7">
        <f>RAW_GAMES!O170</f>
        <v>4</v>
      </c>
      <c r="E170">
        <f>RAW_GAMES!N170</f>
        <v>0</v>
      </c>
      <c r="F170" s="7">
        <f>RAW_GAMES!Q170</f>
        <v>2</v>
      </c>
      <c r="G170">
        <f>RAW_GAMES!P170</f>
        <v>0</v>
      </c>
    </row>
    <row r="171" spans="1:7" x14ac:dyDescent="0.25">
      <c r="A171" t="str">
        <f>RAW_GAMES!A171</f>
        <v>25/26</v>
      </c>
      <c r="B171" s="3">
        <f>RAW_GAMES!B171</f>
        <v>45940</v>
      </c>
      <c r="C171" t="str">
        <f>RAW_GAMES!E171</f>
        <v>KLA</v>
      </c>
      <c r="D171" s="7">
        <f>RAW_GAMES!O171</f>
        <v>4</v>
      </c>
      <c r="E171">
        <f>RAW_GAMES!N171</f>
        <v>0</v>
      </c>
      <c r="F171" s="7">
        <f>RAW_GAMES!Q171</f>
        <v>4</v>
      </c>
      <c r="G171">
        <f>RAW_GAMES!P171</f>
        <v>0</v>
      </c>
    </row>
    <row r="172" spans="1:7" x14ac:dyDescent="0.25">
      <c r="A172" t="str">
        <f>RAW_GAMES!A172</f>
        <v>25/26</v>
      </c>
      <c r="B172" s="3">
        <f>RAW_GAMES!B172</f>
        <v>45940</v>
      </c>
      <c r="C172" t="str">
        <f>RAW_GAMES!E172</f>
        <v>KVA</v>
      </c>
      <c r="D172" s="7">
        <f>RAW_GAMES!O172</f>
        <v>3</v>
      </c>
      <c r="E172">
        <f>RAW_GAMES!N172</f>
        <v>0</v>
      </c>
      <c r="F172" s="7">
        <f>RAW_GAMES!Q172</f>
        <v>2</v>
      </c>
      <c r="G172">
        <f>RAW_GAMES!P172</f>
        <v>0</v>
      </c>
    </row>
    <row r="173" spans="1:7" x14ac:dyDescent="0.25">
      <c r="A173" t="str">
        <f>RAW_GAMES!A173</f>
        <v>25/26</v>
      </c>
      <c r="B173" s="3">
        <f>RAW_GAMES!B173</f>
        <v>45940</v>
      </c>
      <c r="C173" t="str">
        <f>RAW_GAMES!E173</f>
        <v>LIB</v>
      </c>
      <c r="D173" s="7">
        <f>RAW_GAMES!O173</f>
        <v>2</v>
      </c>
      <c r="E173">
        <f>RAW_GAMES!N173</f>
        <v>0</v>
      </c>
      <c r="F173" s="7">
        <f>RAW_GAMES!Q173</f>
        <v>4</v>
      </c>
      <c r="G173">
        <f>RAW_GAMES!P173</f>
        <v>0</v>
      </c>
    </row>
    <row r="174" spans="1:7" x14ac:dyDescent="0.25">
      <c r="A174" t="str">
        <f>RAW_GAMES!A174</f>
        <v>25/26</v>
      </c>
      <c r="B174" s="3">
        <f>RAW_GAMES!B174</f>
        <v>45940</v>
      </c>
      <c r="C174" t="str">
        <f>RAW_GAMES!E174</f>
        <v>LIT</v>
      </c>
      <c r="D174" s="7">
        <f>RAW_GAMES!O174</f>
        <v>4</v>
      </c>
      <c r="E174">
        <f>RAW_GAMES!N174</f>
        <v>0</v>
      </c>
      <c r="F174" s="7">
        <f>RAW_GAMES!Q174</f>
        <v>4</v>
      </c>
      <c r="G174">
        <f>RAW_GAMES!P174</f>
        <v>0</v>
      </c>
    </row>
    <row r="175" spans="1:7" x14ac:dyDescent="0.25">
      <c r="A175" t="str">
        <f>RAW_GAMES!A175</f>
        <v>25/26</v>
      </c>
      <c r="B175" s="3">
        <f>RAW_GAMES!B175</f>
        <v>45940</v>
      </c>
      <c r="C175" t="str">
        <f>RAW_GAMES!E175</f>
        <v>MBL</v>
      </c>
      <c r="D175" s="7">
        <f>RAW_GAMES!O175</f>
        <v>4</v>
      </c>
      <c r="E175">
        <f>RAW_GAMES!N175</f>
        <v>1</v>
      </c>
      <c r="F175" s="7">
        <f>RAW_GAMES!Q175</f>
        <v>3</v>
      </c>
      <c r="G175">
        <f>RAW_GAMES!P175</f>
        <v>1</v>
      </c>
    </row>
    <row r="176" spans="1:7" x14ac:dyDescent="0.25">
      <c r="A176" t="str">
        <f>RAW_GAMES!A176</f>
        <v>25/26</v>
      </c>
      <c r="B176" s="3">
        <f>RAW_GAMES!B176</f>
        <v>45940</v>
      </c>
      <c r="C176" t="str">
        <f>RAW_GAMES!E176</f>
        <v>MHK</v>
      </c>
      <c r="D176" s="7">
        <f>RAW_GAMES!O176</f>
        <v>3</v>
      </c>
      <c r="E176">
        <f>RAW_GAMES!N176</f>
        <v>1</v>
      </c>
      <c r="F176" s="7">
        <f>RAW_GAMES!Q176</f>
        <v>4</v>
      </c>
      <c r="G176">
        <f>RAW_GAMES!P176</f>
        <v>1</v>
      </c>
    </row>
    <row r="177" spans="1:7" x14ac:dyDescent="0.25">
      <c r="A177" t="str">
        <f>RAW_GAMES!A177</f>
        <v>25/26</v>
      </c>
      <c r="B177" s="3">
        <f>RAW_GAMES!B177</f>
        <v>45940</v>
      </c>
      <c r="C177" t="str">
        <f>RAW_GAMES!E177</f>
        <v>OLO</v>
      </c>
      <c r="D177" s="7">
        <f>RAW_GAMES!O177</f>
        <v>6</v>
      </c>
      <c r="E177">
        <f>RAW_GAMES!N177</f>
        <v>1</v>
      </c>
      <c r="F177" s="7">
        <f>RAW_GAMES!Q177</f>
        <v>3</v>
      </c>
      <c r="G177">
        <f>RAW_GAMES!P177</f>
        <v>1</v>
      </c>
    </row>
    <row r="178" spans="1:7" x14ac:dyDescent="0.25">
      <c r="A178" t="str">
        <f>RAW_GAMES!A178</f>
        <v>25/26</v>
      </c>
      <c r="B178" s="3">
        <f>RAW_GAMES!B178</f>
        <v>45942</v>
      </c>
      <c r="C178" t="str">
        <f>RAW_GAMES!E178</f>
        <v>PCE</v>
      </c>
      <c r="D178" s="7">
        <f>RAW_GAMES!O178</f>
        <v>5</v>
      </c>
      <c r="E178">
        <f>RAW_GAMES!N178</f>
        <v>1</v>
      </c>
      <c r="F178" s="7">
        <f>RAW_GAMES!Q178</f>
        <v>6</v>
      </c>
      <c r="G178">
        <f>RAW_GAMES!P178</f>
        <v>0</v>
      </c>
    </row>
    <row r="179" spans="1:7" x14ac:dyDescent="0.25">
      <c r="A179" t="str">
        <f>RAW_GAMES!A179</f>
        <v>25/26</v>
      </c>
      <c r="B179" s="3">
        <f>RAW_GAMES!B179</f>
        <v>45942</v>
      </c>
      <c r="C179" t="str">
        <f>RAW_GAMES!E179</f>
        <v>TRI</v>
      </c>
      <c r="D179" s="7">
        <f>RAW_GAMES!O179</f>
        <v>2</v>
      </c>
      <c r="E179">
        <f>RAW_GAMES!N179</f>
        <v>1</v>
      </c>
      <c r="F179" s="7">
        <f>RAW_GAMES!Q179</f>
        <v>2</v>
      </c>
      <c r="G179">
        <f>RAW_GAMES!P179</f>
        <v>0</v>
      </c>
    </row>
    <row r="180" spans="1:7" x14ac:dyDescent="0.25">
      <c r="A180" t="str">
        <f>RAW_GAMES!A180</f>
        <v>25/26</v>
      </c>
      <c r="B180" s="3">
        <f>RAW_GAMES!B180</f>
        <v>45942</v>
      </c>
      <c r="C180" t="str">
        <f>RAW_GAMES!E180</f>
        <v>SPA</v>
      </c>
      <c r="D180" s="7">
        <f>RAW_GAMES!O180</f>
        <v>8</v>
      </c>
      <c r="E180">
        <f>RAW_GAMES!N180</f>
        <v>0</v>
      </c>
      <c r="F180" s="7">
        <f>RAW_GAMES!Q180</f>
        <v>5</v>
      </c>
      <c r="G180">
        <f>RAW_GAMES!P180</f>
        <v>0</v>
      </c>
    </row>
    <row r="181" spans="1:7" x14ac:dyDescent="0.25">
      <c r="A181" t="str">
        <f>RAW_GAMES!A181</f>
        <v>25/26</v>
      </c>
      <c r="B181" s="3">
        <f>RAW_GAMES!B181</f>
        <v>45942</v>
      </c>
      <c r="C181" t="str">
        <f>RAW_GAMES!E181</f>
        <v>KOM</v>
      </c>
      <c r="D181" s="7">
        <f>RAW_GAMES!O181</f>
        <v>4</v>
      </c>
      <c r="E181">
        <f>RAW_GAMES!N181</f>
        <v>2</v>
      </c>
      <c r="F181" s="7">
        <f>RAW_GAMES!Q181</f>
        <v>4</v>
      </c>
      <c r="G181">
        <f>RAW_GAMES!P181</f>
        <v>0</v>
      </c>
    </row>
    <row r="182" spans="1:7" x14ac:dyDescent="0.25">
      <c r="A182" t="str">
        <f>RAW_GAMES!A182</f>
        <v>25/26</v>
      </c>
      <c r="B182" s="3">
        <f>RAW_GAMES!B182</f>
        <v>45942</v>
      </c>
      <c r="C182" t="str">
        <f>RAW_GAMES!E182</f>
        <v>CEB</v>
      </c>
      <c r="D182" s="7">
        <f>RAW_GAMES!O182</f>
        <v>5</v>
      </c>
      <c r="E182">
        <f>RAW_GAMES!N182</f>
        <v>0</v>
      </c>
      <c r="F182" s="7">
        <f>RAW_GAMES!Q182</f>
        <v>8</v>
      </c>
      <c r="G182">
        <f>RAW_GAMES!P182</f>
        <v>0</v>
      </c>
    </row>
    <row r="183" spans="1:7" x14ac:dyDescent="0.25">
      <c r="A183" t="str">
        <f>RAW_GAMES!A183</f>
        <v>25/26</v>
      </c>
      <c r="B183" s="3">
        <f>RAW_GAMES!B183</f>
        <v>45942</v>
      </c>
      <c r="C183" t="str">
        <f>RAW_GAMES!E183</f>
        <v>KLA</v>
      </c>
      <c r="D183" s="7">
        <f>RAW_GAMES!O183</f>
        <v>2</v>
      </c>
      <c r="E183">
        <f>RAW_GAMES!N183</f>
        <v>0</v>
      </c>
      <c r="F183" s="7">
        <f>RAW_GAMES!Q183</f>
        <v>5</v>
      </c>
      <c r="G183">
        <f>RAW_GAMES!P183</f>
        <v>0</v>
      </c>
    </row>
    <row r="184" spans="1:7" x14ac:dyDescent="0.25">
      <c r="A184" t="str">
        <f>RAW_GAMES!A184</f>
        <v>25/26</v>
      </c>
      <c r="B184" s="3">
        <f>RAW_GAMES!B184</f>
        <v>45942</v>
      </c>
      <c r="C184" t="str">
        <f>RAW_GAMES!E184</f>
        <v>KVA</v>
      </c>
      <c r="D184" s="7">
        <f>RAW_GAMES!O184</f>
        <v>3</v>
      </c>
      <c r="E184">
        <f>RAW_GAMES!N184</f>
        <v>0</v>
      </c>
      <c r="F184" s="7">
        <f>RAW_GAMES!Q184</f>
        <v>3</v>
      </c>
      <c r="G184">
        <f>RAW_GAMES!P184</f>
        <v>1</v>
      </c>
    </row>
    <row r="185" spans="1:7" x14ac:dyDescent="0.25">
      <c r="A185" t="str">
        <f>RAW_GAMES!A185</f>
        <v>25/26</v>
      </c>
      <c r="B185" s="3">
        <f>RAW_GAMES!B185</f>
        <v>45942</v>
      </c>
      <c r="C185" t="str">
        <f>RAW_GAMES!E185</f>
        <v>LIB</v>
      </c>
      <c r="D185" s="7">
        <f>RAW_GAMES!O185</f>
        <v>2</v>
      </c>
      <c r="E185">
        <f>RAW_GAMES!N185</f>
        <v>0</v>
      </c>
      <c r="F185" s="7">
        <f>RAW_GAMES!Q185</f>
        <v>4</v>
      </c>
      <c r="G185">
        <f>RAW_GAMES!P185</f>
        <v>0</v>
      </c>
    </row>
    <row r="186" spans="1:7" x14ac:dyDescent="0.25">
      <c r="A186" t="str">
        <f>RAW_GAMES!A186</f>
        <v>25/26</v>
      </c>
      <c r="B186" s="3">
        <f>RAW_GAMES!B186</f>
        <v>45942</v>
      </c>
      <c r="C186" t="str">
        <f>RAW_GAMES!E186</f>
        <v>LIT</v>
      </c>
      <c r="D186" s="7">
        <f>RAW_GAMES!O186</f>
        <v>4</v>
      </c>
      <c r="E186">
        <f>RAW_GAMES!N186</f>
        <v>0</v>
      </c>
      <c r="F186" s="7">
        <f>RAW_GAMES!Q186</f>
        <v>4</v>
      </c>
      <c r="G186">
        <f>RAW_GAMES!P186</f>
        <v>2</v>
      </c>
    </row>
    <row r="187" spans="1:7" x14ac:dyDescent="0.25">
      <c r="A187" t="str">
        <f>RAW_GAMES!A187</f>
        <v>25/26</v>
      </c>
      <c r="B187" s="3">
        <f>RAW_GAMES!B187</f>
        <v>45942</v>
      </c>
      <c r="C187" t="str">
        <f>RAW_GAMES!E187</f>
        <v>MBL</v>
      </c>
      <c r="D187" s="7">
        <f>RAW_GAMES!O187</f>
        <v>5</v>
      </c>
      <c r="E187">
        <f>RAW_GAMES!N187</f>
        <v>0</v>
      </c>
      <c r="F187" s="7">
        <f>RAW_GAMES!Q187</f>
        <v>2</v>
      </c>
      <c r="G187">
        <f>RAW_GAMES!P187</f>
        <v>0</v>
      </c>
    </row>
    <row r="188" spans="1:7" x14ac:dyDescent="0.25">
      <c r="A188" t="str">
        <f>RAW_GAMES!A188</f>
        <v>25/26</v>
      </c>
      <c r="B188" s="3">
        <f>RAW_GAMES!B188</f>
        <v>45942</v>
      </c>
      <c r="C188" t="str">
        <f>RAW_GAMES!E188</f>
        <v>MHK</v>
      </c>
      <c r="D188" s="7">
        <f>RAW_GAMES!O188</f>
        <v>6</v>
      </c>
      <c r="E188">
        <f>RAW_GAMES!N188</f>
        <v>0</v>
      </c>
      <c r="F188" s="7">
        <f>RAW_GAMES!Q188</f>
        <v>5</v>
      </c>
      <c r="G188">
        <f>RAW_GAMES!P188</f>
        <v>1</v>
      </c>
    </row>
    <row r="189" spans="1:7" x14ac:dyDescent="0.25">
      <c r="A189" t="str">
        <f>RAW_GAMES!A189</f>
        <v>25/26</v>
      </c>
      <c r="B189" s="3">
        <f>RAW_GAMES!B189</f>
        <v>45942</v>
      </c>
      <c r="C189" t="str">
        <f>RAW_GAMES!E189</f>
        <v>OLO</v>
      </c>
      <c r="D189" s="7">
        <f>RAW_GAMES!O189</f>
        <v>2</v>
      </c>
      <c r="E189">
        <f>RAW_GAMES!N189</f>
        <v>0</v>
      </c>
      <c r="F189" s="7">
        <f>RAW_GAMES!Q189</f>
        <v>2</v>
      </c>
      <c r="G189">
        <f>RAW_GAMES!P189</f>
        <v>1</v>
      </c>
    </row>
    <row r="190" spans="1:7" x14ac:dyDescent="0.25">
      <c r="A190" t="str">
        <f>RAW_GAMES!A190</f>
        <v>25/26</v>
      </c>
      <c r="B190" s="3">
        <f>RAW_GAMES!B190</f>
        <v>45942</v>
      </c>
      <c r="C190" t="str">
        <f>RAW_GAMES!E190</f>
        <v>PLZ</v>
      </c>
      <c r="D190" s="7">
        <f>RAW_GAMES!O190</f>
        <v>4</v>
      </c>
      <c r="E190">
        <f>RAW_GAMES!N190</f>
        <v>0</v>
      </c>
      <c r="F190" s="7">
        <f>RAW_GAMES!Q190</f>
        <v>2</v>
      </c>
      <c r="G190">
        <f>RAW_GAMES!P190</f>
        <v>0</v>
      </c>
    </row>
    <row r="191" spans="1:7" x14ac:dyDescent="0.25">
      <c r="A191" t="str">
        <f>RAW_GAMES!A191</f>
        <v>25/26</v>
      </c>
      <c r="B191" s="3">
        <f>RAW_GAMES!B191</f>
        <v>45942</v>
      </c>
      <c r="C191" t="str">
        <f>RAW_GAMES!E191</f>
        <v>VIT</v>
      </c>
      <c r="D191" s="7">
        <f>RAW_GAMES!O191</f>
        <v>3</v>
      </c>
      <c r="E191">
        <f>RAW_GAMES!N191</f>
        <v>1</v>
      </c>
      <c r="F191" s="7">
        <f>RAW_GAMES!Q191</f>
        <v>3</v>
      </c>
      <c r="G191">
        <f>RAW_GAMES!P191</f>
        <v>0</v>
      </c>
    </row>
    <row r="192" spans="1:7" x14ac:dyDescent="0.25">
      <c r="A192" t="str">
        <f>RAW_GAMES!A192</f>
        <v>25/26</v>
      </c>
      <c r="B192" s="3">
        <f>RAW_GAMES!B192</f>
        <v>45945</v>
      </c>
      <c r="C192" t="str">
        <f>RAW_GAMES!E192</f>
        <v>LIT</v>
      </c>
      <c r="D192" s="7">
        <f>RAW_GAMES!O192</f>
        <v>4</v>
      </c>
      <c r="E192">
        <f>RAW_GAMES!N192</f>
        <v>0</v>
      </c>
      <c r="F192" s="7">
        <f>RAW_GAMES!Q192</f>
        <v>7</v>
      </c>
      <c r="G192">
        <f>RAW_GAMES!P192</f>
        <v>2</v>
      </c>
    </row>
    <row r="193" spans="1:7" x14ac:dyDescent="0.25">
      <c r="A193" t="str">
        <f>RAW_GAMES!A193</f>
        <v>25/26</v>
      </c>
      <c r="B193" s="3">
        <f>RAW_GAMES!B193</f>
        <v>45945</v>
      </c>
      <c r="C193" t="str">
        <f>RAW_GAMES!E193</f>
        <v>VIT</v>
      </c>
      <c r="D193" s="7">
        <f>RAW_GAMES!O193</f>
        <v>7</v>
      </c>
      <c r="E193">
        <f>RAW_GAMES!N193</f>
        <v>2</v>
      </c>
      <c r="F193" s="7">
        <f>RAW_GAMES!Q193</f>
        <v>4</v>
      </c>
      <c r="G193">
        <f>RAW_GAMES!P193</f>
        <v>0</v>
      </c>
    </row>
    <row r="194" spans="1:7" x14ac:dyDescent="0.25">
      <c r="A194" t="str">
        <f>RAW_GAMES!A194</f>
        <v>25/26</v>
      </c>
      <c r="B194" s="3">
        <f>RAW_GAMES!B194</f>
        <v>45946</v>
      </c>
      <c r="C194" t="str">
        <f>RAW_GAMES!E194</f>
        <v>OLO</v>
      </c>
      <c r="D194" s="7">
        <f>RAW_GAMES!O194</f>
        <v>2</v>
      </c>
      <c r="E194">
        <f>RAW_GAMES!N194</f>
        <v>0</v>
      </c>
      <c r="F194" s="7">
        <f>RAW_GAMES!Q194</f>
        <v>2</v>
      </c>
      <c r="G194">
        <f>RAW_GAMES!P194</f>
        <v>1</v>
      </c>
    </row>
    <row r="195" spans="1:7" x14ac:dyDescent="0.25">
      <c r="A195" t="str">
        <f>RAW_GAMES!A195</f>
        <v>25/26</v>
      </c>
      <c r="B195" s="3">
        <f>RAW_GAMES!B195</f>
        <v>45946</v>
      </c>
      <c r="C195" t="str">
        <f>RAW_GAMES!E195</f>
        <v>PLZ</v>
      </c>
      <c r="D195" s="7">
        <f>RAW_GAMES!O195</f>
        <v>2</v>
      </c>
      <c r="E195">
        <f>RAW_GAMES!N195</f>
        <v>1</v>
      </c>
      <c r="F195" s="7">
        <f>RAW_GAMES!Q195</f>
        <v>2</v>
      </c>
      <c r="G195">
        <f>RAW_GAMES!P195</f>
        <v>0</v>
      </c>
    </row>
    <row r="196" spans="1:7" x14ac:dyDescent="0.25">
      <c r="A196" t="str">
        <f>RAW_GAMES!A196</f>
        <v>25/26</v>
      </c>
      <c r="B196" s="3">
        <f>RAW_GAMES!B196</f>
        <v>45947</v>
      </c>
      <c r="C196" t="str">
        <f>RAW_GAMES!E196</f>
        <v>PCE</v>
      </c>
      <c r="D196" s="7">
        <f>RAW_GAMES!O196</f>
        <v>3</v>
      </c>
      <c r="E196">
        <f>RAW_GAMES!N196</f>
        <v>0</v>
      </c>
      <c r="F196" s="7">
        <f>RAW_GAMES!Q196</f>
        <v>4</v>
      </c>
      <c r="G196">
        <f>RAW_GAMES!P196</f>
        <v>0</v>
      </c>
    </row>
    <row r="197" spans="1:7" x14ac:dyDescent="0.25">
      <c r="A197" t="str">
        <f>RAW_GAMES!A197</f>
        <v>25/26</v>
      </c>
      <c r="B197" s="3">
        <f>RAW_GAMES!B197</f>
        <v>45947</v>
      </c>
      <c r="C197" t="str">
        <f>RAW_GAMES!E197</f>
        <v>KOM</v>
      </c>
      <c r="D197" s="7">
        <f>RAW_GAMES!O197</f>
        <v>2</v>
      </c>
      <c r="E197">
        <f>RAW_GAMES!N197</f>
        <v>0</v>
      </c>
      <c r="F197" s="7">
        <f>RAW_GAMES!Q197</f>
        <v>6</v>
      </c>
      <c r="G197">
        <f>RAW_GAMES!P197</f>
        <v>2</v>
      </c>
    </row>
    <row r="198" spans="1:7" x14ac:dyDescent="0.25">
      <c r="A198" t="str">
        <f>RAW_GAMES!A198</f>
        <v>25/26</v>
      </c>
      <c r="B198" s="3">
        <f>RAW_GAMES!B198</f>
        <v>45947</v>
      </c>
      <c r="C198" t="str">
        <f>RAW_GAMES!E198</f>
        <v>KLA</v>
      </c>
      <c r="D198" s="7">
        <f>RAW_GAMES!O198</f>
        <v>5</v>
      </c>
      <c r="E198">
        <f>RAW_GAMES!N198</f>
        <v>1</v>
      </c>
      <c r="F198" s="7">
        <f>RAW_GAMES!Q198</f>
        <v>7</v>
      </c>
      <c r="G198">
        <f>RAW_GAMES!P198</f>
        <v>1</v>
      </c>
    </row>
    <row r="199" spans="1:7" x14ac:dyDescent="0.25">
      <c r="A199" t="str">
        <f>RAW_GAMES!A199</f>
        <v>25/26</v>
      </c>
      <c r="B199" s="3">
        <f>RAW_GAMES!B199</f>
        <v>45947</v>
      </c>
      <c r="C199" t="str">
        <f>RAW_GAMES!E199</f>
        <v>KVA</v>
      </c>
      <c r="D199" s="7">
        <f>RAW_GAMES!O199</f>
        <v>4</v>
      </c>
      <c r="E199">
        <f>RAW_GAMES!N199</f>
        <v>0</v>
      </c>
      <c r="F199" s="7">
        <f>RAW_GAMES!Q199</f>
        <v>2</v>
      </c>
      <c r="G199">
        <f>RAW_GAMES!P199</f>
        <v>0</v>
      </c>
    </row>
    <row r="200" spans="1:7" x14ac:dyDescent="0.25">
      <c r="A200" t="str">
        <f>RAW_GAMES!A200</f>
        <v>25/26</v>
      </c>
      <c r="B200" s="3">
        <f>RAW_GAMES!B200</f>
        <v>45947</v>
      </c>
      <c r="C200" t="str">
        <f>RAW_GAMES!E200</f>
        <v>LIB</v>
      </c>
      <c r="D200" s="7">
        <f>RAW_GAMES!O200</f>
        <v>4</v>
      </c>
      <c r="E200">
        <f>RAW_GAMES!N200</f>
        <v>0</v>
      </c>
      <c r="F200" s="7">
        <f>RAW_GAMES!Q200</f>
        <v>3</v>
      </c>
      <c r="G200">
        <f>RAW_GAMES!P200</f>
        <v>0</v>
      </c>
    </row>
    <row r="201" spans="1:7" x14ac:dyDescent="0.25">
      <c r="A201" t="str">
        <f>RAW_GAMES!A201</f>
        <v>25/26</v>
      </c>
      <c r="B201" s="3">
        <f>RAW_GAMES!B201</f>
        <v>45947</v>
      </c>
      <c r="C201" t="str">
        <f>RAW_GAMES!E201</f>
        <v>LIT</v>
      </c>
      <c r="D201" s="7">
        <f>RAW_GAMES!O201</f>
        <v>2</v>
      </c>
      <c r="E201">
        <f>RAW_GAMES!N201</f>
        <v>0</v>
      </c>
      <c r="F201" s="7">
        <f>RAW_GAMES!Q201</f>
        <v>4</v>
      </c>
      <c r="G201">
        <f>RAW_GAMES!P201</f>
        <v>0</v>
      </c>
    </row>
    <row r="202" spans="1:7" x14ac:dyDescent="0.25">
      <c r="A202" t="str">
        <f>RAW_GAMES!A202</f>
        <v>25/26</v>
      </c>
      <c r="B202" s="3">
        <f>RAW_GAMES!B202</f>
        <v>45947</v>
      </c>
      <c r="C202" t="str">
        <f>RAW_GAMES!E202</f>
        <v>MBL</v>
      </c>
      <c r="D202" s="7">
        <f>RAW_GAMES!O202</f>
        <v>6</v>
      </c>
      <c r="E202">
        <f>RAW_GAMES!N202</f>
        <v>2</v>
      </c>
      <c r="F202" s="7">
        <f>RAW_GAMES!Q202</f>
        <v>2</v>
      </c>
      <c r="G202">
        <f>RAW_GAMES!P202</f>
        <v>0</v>
      </c>
    </row>
    <row r="203" spans="1:7" x14ac:dyDescent="0.25">
      <c r="A203" t="str">
        <f>RAW_GAMES!A203</f>
        <v>25/26</v>
      </c>
      <c r="B203" s="3">
        <f>RAW_GAMES!B203</f>
        <v>45947</v>
      </c>
      <c r="C203" t="str">
        <f>RAW_GAMES!E203</f>
        <v>VIT</v>
      </c>
      <c r="D203" s="7">
        <f>RAW_GAMES!O203</f>
        <v>7</v>
      </c>
      <c r="E203">
        <f>RAW_GAMES!N203</f>
        <v>1</v>
      </c>
      <c r="F203" s="7">
        <f>RAW_GAMES!Q203</f>
        <v>5</v>
      </c>
      <c r="G203">
        <f>RAW_GAMES!P203</f>
        <v>1</v>
      </c>
    </row>
    <row r="204" spans="1:7" x14ac:dyDescent="0.25">
      <c r="A204" t="str">
        <f>RAW_GAMES!A204</f>
        <v>25/26</v>
      </c>
      <c r="B204" s="3">
        <f>RAW_GAMES!B204</f>
        <v>45949</v>
      </c>
      <c r="C204" t="str">
        <f>RAW_GAMES!E204</f>
        <v>PCE</v>
      </c>
      <c r="D204" s="7">
        <f>RAW_GAMES!O204</f>
        <v>3</v>
      </c>
      <c r="E204">
        <f>RAW_GAMES!N204</f>
        <v>1</v>
      </c>
      <c r="F204" s="7">
        <f>RAW_GAMES!Q204</f>
        <v>3</v>
      </c>
      <c r="G204">
        <f>RAW_GAMES!P204</f>
        <v>0</v>
      </c>
    </row>
    <row r="205" spans="1:7" x14ac:dyDescent="0.25">
      <c r="A205" t="str">
        <f>RAW_GAMES!A205</f>
        <v>25/26</v>
      </c>
      <c r="B205" s="3">
        <f>RAW_GAMES!B205</f>
        <v>45949</v>
      </c>
      <c r="C205" t="str">
        <f>RAW_GAMES!E205</f>
        <v>TRI</v>
      </c>
      <c r="D205" s="7">
        <f>RAW_GAMES!O205</f>
        <v>5</v>
      </c>
      <c r="E205">
        <f>RAW_GAMES!N205</f>
        <v>0</v>
      </c>
      <c r="F205" s="7">
        <f>RAW_GAMES!Q205</f>
        <v>7</v>
      </c>
      <c r="G205">
        <f>RAW_GAMES!P205</f>
        <v>0</v>
      </c>
    </row>
    <row r="206" spans="1:7" x14ac:dyDescent="0.25">
      <c r="A206" t="str">
        <f>RAW_GAMES!A206</f>
        <v>25/26</v>
      </c>
      <c r="B206" s="3">
        <f>RAW_GAMES!B206</f>
        <v>45949</v>
      </c>
      <c r="C206" t="str">
        <f>RAW_GAMES!E206</f>
        <v>SPA</v>
      </c>
      <c r="D206" s="7">
        <f>RAW_GAMES!O206</f>
        <v>8</v>
      </c>
      <c r="E206">
        <f>RAW_GAMES!N206</f>
        <v>2</v>
      </c>
      <c r="F206" s="7">
        <f>RAW_GAMES!Q206</f>
        <v>4</v>
      </c>
      <c r="G206">
        <f>RAW_GAMES!P206</f>
        <v>0</v>
      </c>
    </row>
    <row r="207" spans="1:7" x14ac:dyDescent="0.25">
      <c r="A207" t="str">
        <f>RAW_GAMES!A207</f>
        <v>25/26</v>
      </c>
      <c r="B207" s="3">
        <f>RAW_GAMES!B207</f>
        <v>45949</v>
      </c>
      <c r="C207" t="str">
        <f>RAW_GAMES!E207</f>
        <v>KOM</v>
      </c>
      <c r="D207" s="7">
        <f>RAW_GAMES!O207</f>
        <v>4</v>
      </c>
      <c r="E207">
        <f>RAW_GAMES!N207</f>
        <v>0</v>
      </c>
      <c r="F207" s="7">
        <f>RAW_GAMES!Q207</f>
        <v>8</v>
      </c>
      <c r="G207">
        <f>RAW_GAMES!P207</f>
        <v>2</v>
      </c>
    </row>
    <row r="208" spans="1:7" x14ac:dyDescent="0.25">
      <c r="A208" t="str">
        <f>RAW_GAMES!A208</f>
        <v>25/26</v>
      </c>
      <c r="B208" s="3">
        <f>RAW_GAMES!B208</f>
        <v>45949</v>
      </c>
      <c r="C208" t="str">
        <f>RAW_GAMES!E208</f>
        <v>CEB</v>
      </c>
      <c r="D208" s="7">
        <f>RAW_GAMES!O208</f>
        <v>3</v>
      </c>
      <c r="E208">
        <f>RAW_GAMES!N208</f>
        <v>0</v>
      </c>
      <c r="F208" s="7">
        <f>RAW_GAMES!Q208</f>
        <v>3</v>
      </c>
      <c r="G208">
        <f>RAW_GAMES!P208</f>
        <v>0</v>
      </c>
    </row>
    <row r="209" spans="1:7" x14ac:dyDescent="0.25">
      <c r="A209" t="str">
        <f>RAW_GAMES!A209</f>
        <v>25/26</v>
      </c>
      <c r="B209" s="3">
        <f>RAW_GAMES!B209</f>
        <v>45949</v>
      </c>
      <c r="C209" t="str">
        <f>RAW_GAMES!E209</f>
        <v>KLA</v>
      </c>
      <c r="D209" s="7">
        <f>RAW_GAMES!O209</f>
        <v>4</v>
      </c>
      <c r="E209">
        <f>RAW_GAMES!N209</f>
        <v>0</v>
      </c>
      <c r="F209" s="7">
        <f>RAW_GAMES!Q209</f>
        <v>3</v>
      </c>
      <c r="G209">
        <f>RAW_GAMES!P209</f>
        <v>0</v>
      </c>
    </row>
    <row r="210" spans="1:7" x14ac:dyDescent="0.25">
      <c r="A210" t="str">
        <f>RAW_GAMES!A210</f>
        <v>25/26</v>
      </c>
      <c r="B210" s="3">
        <f>RAW_GAMES!B210</f>
        <v>45949</v>
      </c>
      <c r="C210" t="str">
        <f>RAW_GAMES!E210</f>
        <v>KVA</v>
      </c>
      <c r="D210" s="7">
        <f>RAW_GAMES!O210</f>
        <v>4</v>
      </c>
      <c r="E210">
        <f>RAW_GAMES!N210</f>
        <v>2</v>
      </c>
      <c r="F210" s="7">
        <f>RAW_GAMES!Q210</f>
        <v>1</v>
      </c>
      <c r="G210">
        <f>RAW_GAMES!P210</f>
        <v>0</v>
      </c>
    </row>
    <row r="211" spans="1:7" x14ac:dyDescent="0.25">
      <c r="A211" t="str">
        <f>RAW_GAMES!A211</f>
        <v>25/26</v>
      </c>
      <c r="B211" s="3">
        <f>RAW_GAMES!B211</f>
        <v>45949</v>
      </c>
      <c r="C211" t="str">
        <f>RAW_GAMES!E211</f>
        <v>LIB</v>
      </c>
      <c r="D211" s="7">
        <f>RAW_GAMES!O211</f>
        <v>7</v>
      </c>
      <c r="E211">
        <f>RAW_GAMES!N211</f>
        <v>0</v>
      </c>
      <c r="F211" s="7">
        <f>RAW_GAMES!Q211</f>
        <v>5</v>
      </c>
      <c r="G211">
        <f>RAW_GAMES!P211</f>
        <v>0</v>
      </c>
    </row>
    <row r="212" spans="1:7" x14ac:dyDescent="0.25">
      <c r="A212" t="str">
        <f>RAW_GAMES!A212</f>
        <v>25/26</v>
      </c>
      <c r="B212" s="3">
        <f>RAW_GAMES!B212</f>
        <v>45949</v>
      </c>
      <c r="C212" t="str">
        <f>RAW_GAMES!E212</f>
        <v>MBL</v>
      </c>
      <c r="D212" s="7">
        <f>RAW_GAMES!O212</f>
        <v>3</v>
      </c>
      <c r="E212">
        <f>RAW_GAMES!N212</f>
        <v>0</v>
      </c>
      <c r="F212" s="7">
        <f>RAW_GAMES!Q212</f>
        <v>3</v>
      </c>
      <c r="G212">
        <f>RAW_GAMES!P212</f>
        <v>1</v>
      </c>
    </row>
    <row r="213" spans="1:7" x14ac:dyDescent="0.25">
      <c r="A213" t="str">
        <f>RAW_GAMES!A213</f>
        <v>25/26</v>
      </c>
      <c r="B213" s="3">
        <f>RAW_GAMES!B213</f>
        <v>45949</v>
      </c>
      <c r="C213" t="str">
        <f>RAW_GAMES!E213</f>
        <v>MHK</v>
      </c>
      <c r="D213" s="7">
        <f>RAW_GAMES!O213</f>
        <v>3</v>
      </c>
      <c r="E213">
        <f>RAW_GAMES!N213</f>
        <v>0</v>
      </c>
      <c r="F213" s="7">
        <f>RAW_GAMES!Q213</f>
        <v>4</v>
      </c>
      <c r="G213">
        <f>RAW_GAMES!P213</f>
        <v>0</v>
      </c>
    </row>
    <row r="214" spans="1:7" x14ac:dyDescent="0.25">
      <c r="A214" t="str">
        <f>RAW_GAMES!A214</f>
        <v>25/26</v>
      </c>
      <c r="B214" s="3">
        <f>RAW_GAMES!B214</f>
        <v>45949</v>
      </c>
      <c r="C214" t="str">
        <f>RAW_GAMES!E214</f>
        <v>OLO</v>
      </c>
      <c r="D214" s="7">
        <f>RAW_GAMES!O214</f>
        <v>1</v>
      </c>
      <c r="E214">
        <f>RAW_GAMES!N214</f>
        <v>0</v>
      </c>
      <c r="F214" s="7">
        <f>RAW_GAMES!Q214</f>
        <v>4</v>
      </c>
      <c r="G214">
        <f>RAW_GAMES!P214</f>
        <v>2</v>
      </c>
    </row>
    <row r="215" spans="1:7" x14ac:dyDescent="0.25">
      <c r="A215" t="str">
        <f>RAW_GAMES!A215</f>
        <v>25/26</v>
      </c>
      <c r="B215" s="3">
        <f>RAW_GAMES!B215</f>
        <v>45949</v>
      </c>
      <c r="C215" t="str">
        <f>RAW_GAMES!E215</f>
        <v>PLZ</v>
      </c>
      <c r="D215" s="7">
        <f>RAW_GAMES!O215</f>
        <v>3</v>
      </c>
      <c r="E215">
        <f>RAW_GAMES!N215</f>
        <v>0</v>
      </c>
      <c r="F215" s="7">
        <f>RAW_GAMES!Q215</f>
        <v>3</v>
      </c>
      <c r="G215">
        <f>RAW_GAMES!P215</f>
        <v>0</v>
      </c>
    </row>
    <row r="216" spans="1:7" x14ac:dyDescent="0.25">
      <c r="A216" t="str">
        <f>RAW_GAMES!A216</f>
        <v>25/26</v>
      </c>
      <c r="B216" s="3">
        <f>RAW_GAMES!B216</f>
        <v>45951</v>
      </c>
      <c r="C216" t="str">
        <f>RAW_GAMES!E216</f>
        <v>TRI</v>
      </c>
      <c r="D216" s="7">
        <f>RAW_GAMES!O216</f>
        <v>5</v>
      </c>
      <c r="E216">
        <f>RAW_GAMES!N216</f>
        <v>2</v>
      </c>
      <c r="F216" s="7">
        <f>RAW_GAMES!Q216</f>
        <v>5</v>
      </c>
      <c r="G216">
        <f>RAW_GAMES!P216</f>
        <v>0</v>
      </c>
    </row>
    <row r="217" spans="1:7" x14ac:dyDescent="0.25">
      <c r="A217" t="str">
        <f>RAW_GAMES!A217</f>
        <v>25/26</v>
      </c>
      <c r="B217" s="3">
        <f>RAW_GAMES!B217</f>
        <v>45951</v>
      </c>
      <c r="C217" t="str">
        <f>RAW_GAMES!E217</f>
        <v>SPA</v>
      </c>
      <c r="D217" s="7">
        <f>RAW_GAMES!O217</f>
        <v>5</v>
      </c>
      <c r="E217">
        <f>RAW_GAMES!N217</f>
        <v>0</v>
      </c>
      <c r="F217" s="7">
        <f>RAW_GAMES!Q217</f>
        <v>5</v>
      </c>
      <c r="G217">
        <f>RAW_GAMES!P217</f>
        <v>2</v>
      </c>
    </row>
    <row r="218" spans="1:7" x14ac:dyDescent="0.25">
      <c r="A218" t="str">
        <f>RAW_GAMES!A218</f>
        <v>25/26</v>
      </c>
      <c r="B218" s="3">
        <f>RAW_GAMES!B218</f>
        <v>45951</v>
      </c>
      <c r="C218" t="str">
        <f>RAW_GAMES!E218</f>
        <v>CEB</v>
      </c>
      <c r="D218" s="7">
        <f>RAW_GAMES!O218</f>
        <v>2</v>
      </c>
      <c r="E218">
        <f>RAW_GAMES!N218</f>
        <v>0</v>
      </c>
      <c r="F218" s="7">
        <f>RAW_GAMES!Q218</f>
        <v>3</v>
      </c>
      <c r="G218">
        <f>RAW_GAMES!P218</f>
        <v>0</v>
      </c>
    </row>
    <row r="219" spans="1:7" x14ac:dyDescent="0.25">
      <c r="A219" t="str">
        <f>RAW_GAMES!A219</f>
        <v>25/26</v>
      </c>
      <c r="B219" s="3">
        <f>RAW_GAMES!B219</f>
        <v>45951</v>
      </c>
      <c r="C219" t="str">
        <f>RAW_GAMES!E219</f>
        <v>LIT</v>
      </c>
      <c r="D219" s="7">
        <f>RAW_GAMES!O219</f>
        <v>2</v>
      </c>
      <c r="E219">
        <f>RAW_GAMES!N219</f>
        <v>0</v>
      </c>
      <c r="F219" s="7">
        <f>RAW_GAMES!Q219</f>
        <v>6</v>
      </c>
      <c r="G219">
        <f>RAW_GAMES!P219</f>
        <v>1</v>
      </c>
    </row>
    <row r="220" spans="1:7" x14ac:dyDescent="0.25">
      <c r="A220" t="str">
        <f>RAW_GAMES!A220</f>
        <v>25/26</v>
      </c>
      <c r="B220" s="3">
        <f>RAW_GAMES!B220</f>
        <v>45951</v>
      </c>
      <c r="C220" t="str">
        <f>RAW_GAMES!E220</f>
        <v>MHK</v>
      </c>
      <c r="D220" s="7">
        <f>RAW_GAMES!O220</f>
        <v>3</v>
      </c>
      <c r="E220">
        <f>RAW_GAMES!N220</f>
        <v>0</v>
      </c>
      <c r="F220" s="7">
        <f>RAW_GAMES!Q220</f>
        <v>2</v>
      </c>
      <c r="G220">
        <f>RAW_GAMES!P220</f>
        <v>0</v>
      </c>
    </row>
    <row r="221" spans="1:7" x14ac:dyDescent="0.25">
      <c r="A221" t="str">
        <f>RAW_GAMES!A221</f>
        <v>25/26</v>
      </c>
      <c r="B221" s="3">
        <f>RAW_GAMES!B221</f>
        <v>45951</v>
      </c>
      <c r="C221" t="str">
        <f>RAW_GAMES!E221</f>
        <v>OLO</v>
      </c>
      <c r="D221" s="7">
        <f>RAW_GAMES!O221</f>
        <v>6</v>
      </c>
      <c r="E221">
        <f>RAW_GAMES!N221</f>
        <v>1</v>
      </c>
      <c r="F221" s="7">
        <f>RAW_GAMES!Q221</f>
        <v>2</v>
      </c>
      <c r="G221">
        <f>RAW_GAMES!P221</f>
        <v>0</v>
      </c>
    </row>
    <row r="222" spans="1:7" x14ac:dyDescent="0.25">
      <c r="A222" t="str">
        <f>RAW_GAMES!A222</f>
        <v>25/26</v>
      </c>
      <c r="B222" s="3">
        <f>RAW_GAMES!B222</f>
        <v>45952</v>
      </c>
      <c r="C222" t="str">
        <f>RAW_GAMES!E222</f>
        <v>SPA</v>
      </c>
      <c r="D222" s="7">
        <f>RAW_GAMES!O222</f>
        <v>4</v>
      </c>
      <c r="E222">
        <f>RAW_GAMES!N222</f>
        <v>1</v>
      </c>
      <c r="F222" s="7">
        <f>RAW_GAMES!Q222</f>
        <v>4</v>
      </c>
      <c r="G222">
        <f>RAW_GAMES!P222</f>
        <v>1</v>
      </c>
    </row>
    <row r="223" spans="1:7" x14ac:dyDescent="0.25">
      <c r="A223" t="str">
        <f>RAW_GAMES!A223</f>
        <v>25/26</v>
      </c>
      <c r="B223" s="3">
        <f>RAW_GAMES!B223</f>
        <v>45952</v>
      </c>
      <c r="C223" t="str">
        <f>RAW_GAMES!E223</f>
        <v>VIT</v>
      </c>
      <c r="D223" s="7">
        <f>RAW_GAMES!O223</f>
        <v>4</v>
      </c>
      <c r="E223">
        <f>RAW_GAMES!N223</f>
        <v>1</v>
      </c>
      <c r="F223" s="7">
        <f>RAW_GAMES!Q223</f>
        <v>4</v>
      </c>
      <c r="G223">
        <f>RAW_GAMES!P223</f>
        <v>1</v>
      </c>
    </row>
    <row r="224" spans="1:7" x14ac:dyDescent="0.25">
      <c r="A224" t="str">
        <f>RAW_GAMES!A224</f>
        <v>25/26</v>
      </c>
      <c r="B224" s="3">
        <f>RAW_GAMES!B224</f>
        <v>45953</v>
      </c>
      <c r="C224" t="str">
        <f>RAW_GAMES!E224</f>
        <v>PCE</v>
      </c>
      <c r="D224" s="7">
        <f>RAW_GAMES!O224</f>
        <v>4</v>
      </c>
      <c r="E224">
        <f>RAW_GAMES!N224</f>
        <v>1</v>
      </c>
      <c r="F224" s="7">
        <f>RAW_GAMES!Q224</f>
        <v>5</v>
      </c>
      <c r="G224">
        <f>RAW_GAMES!P224</f>
        <v>1</v>
      </c>
    </row>
    <row r="225" spans="1:7" x14ac:dyDescent="0.25">
      <c r="A225" t="str">
        <f>RAW_GAMES!A225</f>
        <v>25/26</v>
      </c>
      <c r="B225" s="3">
        <f>RAW_GAMES!B225</f>
        <v>45953</v>
      </c>
      <c r="C225" t="str">
        <f>RAW_GAMES!E225</f>
        <v>CEB</v>
      </c>
      <c r="D225" s="7">
        <f>RAW_GAMES!O225</f>
        <v>5</v>
      </c>
      <c r="E225">
        <f>RAW_GAMES!N225</f>
        <v>1</v>
      </c>
      <c r="F225" s="7">
        <f>RAW_GAMES!Q225</f>
        <v>4</v>
      </c>
      <c r="G225">
        <f>RAW_GAMES!P225</f>
        <v>1</v>
      </c>
    </row>
    <row r="226" spans="1:7" x14ac:dyDescent="0.25">
      <c r="A226" t="str">
        <f>RAW_GAMES!A226</f>
        <v>25/26</v>
      </c>
      <c r="B226" s="3">
        <f>RAW_GAMES!B226</f>
        <v>45954</v>
      </c>
      <c r="C226" t="str">
        <f>RAW_GAMES!E226</f>
        <v>TRI</v>
      </c>
      <c r="D226" s="7">
        <f>RAW_GAMES!O226</f>
        <v>5</v>
      </c>
      <c r="E226">
        <f>RAW_GAMES!N226</f>
        <v>1</v>
      </c>
      <c r="F226" s="7">
        <f>RAW_GAMES!Q226</f>
        <v>1</v>
      </c>
      <c r="G226">
        <f>RAW_GAMES!P226</f>
        <v>0</v>
      </c>
    </row>
    <row r="227" spans="1:7" x14ac:dyDescent="0.25">
      <c r="A227" t="str">
        <f>RAW_GAMES!A227</f>
        <v>25/26</v>
      </c>
      <c r="B227" s="3">
        <f>RAW_GAMES!B227</f>
        <v>45954</v>
      </c>
      <c r="C227" t="str">
        <f>RAW_GAMES!E227</f>
        <v>SPA</v>
      </c>
      <c r="D227" s="7">
        <f>RAW_GAMES!O227</f>
        <v>5</v>
      </c>
      <c r="E227">
        <f>RAW_GAMES!N227</f>
        <v>0</v>
      </c>
      <c r="F227" s="7">
        <f>RAW_GAMES!Q227</f>
        <v>5</v>
      </c>
      <c r="G227">
        <f>RAW_GAMES!P227</f>
        <v>0</v>
      </c>
    </row>
    <row r="228" spans="1:7" x14ac:dyDescent="0.25">
      <c r="A228" t="str">
        <f>RAW_GAMES!A228</f>
        <v>25/26</v>
      </c>
      <c r="B228" s="3">
        <f>RAW_GAMES!B228</f>
        <v>45954</v>
      </c>
      <c r="C228" t="str">
        <f>RAW_GAMES!E228</f>
        <v>KVA</v>
      </c>
      <c r="D228" s="7">
        <f>RAW_GAMES!O228</f>
        <v>5</v>
      </c>
      <c r="E228">
        <f>RAW_GAMES!N228</f>
        <v>0</v>
      </c>
      <c r="F228" s="7">
        <f>RAW_GAMES!Q228</f>
        <v>5</v>
      </c>
      <c r="G228">
        <f>RAW_GAMES!P228</f>
        <v>0</v>
      </c>
    </row>
    <row r="229" spans="1:7" x14ac:dyDescent="0.25">
      <c r="A229" t="str">
        <f>RAW_GAMES!A229</f>
        <v>25/26</v>
      </c>
      <c r="B229" s="3">
        <f>RAW_GAMES!B229</f>
        <v>45954</v>
      </c>
      <c r="C229" t="str">
        <f>RAW_GAMES!E229</f>
        <v>KOM</v>
      </c>
      <c r="D229" s="7">
        <f>RAW_GAMES!O229</f>
        <v>5</v>
      </c>
      <c r="E229">
        <f>RAW_GAMES!N229</f>
        <v>2</v>
      </c>
      <c r="F229" s="7">
        <f>RAW_GAMES!Q229</f>
        <v>3</v>
      </c>
      <c r="G229">
        <f>RAW_GAMES!P229</f>
        <v>0</v>
      </c>
    </row>
    <row r="230" spans="1:7" x14ac:dyDescent="0.25">
      <c r="A230" t="str">
        <f>RAW_GAMES!A230</f>
        <v>25/26</v>
      </c>
      <c r="B230" s="3">
        <f>RAW_GAMES!B230</f>
        <v>45954</v>
      </c>
      <c r="C230" t="str">
        <f>RAW_GAMES!E230</f>
        <v>KLA</v>
      </c>
      <c r="D230" s="7">
        <f>RAW_GAMES!O230</f>
        <v>5</v>
      </c>
      <c r="E230">
        <f>RAW_GAMES!N230</f>
        <v>1</v>
      </c>
      <c r="F230" s="7">
        <f>RAW_GAMES!Q230</f>
        <v>6</v>
      </c>
      <c r="G230">
        <f>RAW_GAMES!P230</f>
        <v>1</v>
      </c>
    </row>
    <row r="231" spans="1:7" x14ac:dyDescent="0.25">
      <c r="A231" t="str">
        <f>RAW_GAMES!A231</f>
        <v>25/26</v>
      </c>
      <c r="B231" s="3">
        <f>RAW_GAMES!B231</f>
        <v>45954</v>
      </c>
      <c r="C231" t="str">
        <f>RAW_GAMES!E231</f>
        <v>LIB</v>
      </c>
      <c r="D231" s="7">
        <f>RAW_GAMES!O231</f>
        <v>5</v>
      </c>
      <c r="E231">
        <f>RAW_GAMES!N231</f>
        <v>0</v>
      </c>
      <c r="F231" s="7">
        <f>RAW_GAMES!Q231</f>
        <v>7</v>
      </c>
      <c r="G231">
        <f>RAW_GAMES!P231</f>
        <v>3</v>
      </c>
    </row>
    <row r="232" spans="1:7" x14ac:dyDescent="0.25">
      <c r="A232" t="str">
        <f>RAW_GAMES!A232</f>
        <v>25/26</v>
      </c>
      <c r="B232" s="3">
        <f>RAW_GAMES!B232</f>
        <v>45954</v>
      </c>
      <c r="C232" t="str">
        <f>RAW_GAMES!E232</f>
        <v>LIT</v>
      </c>
      <c r="D232" s="7">
        <f>RAW_GAMES!O232</f>
        <v>7</v>
      </c>
      <c r="E232">
        <f>RAW_GAMES!N232</f>
        <v>3</v>
      </c>
      <c r="F232" s="7">
        <f>RAW_GAMES!Q232</f>
        <v>5</v>
      </c>
      <c r="G232">
        <f>RAW_GAMES!P232</f>
        <v>0</v>
      </c>
    </row>
    <row r="233" spans="1:7" x14ac:dyDescent="0.25">
      <c r="A233" t="str">
        <f>RAW_GAMES!A233</f>
        <v>25/26</v>
      </c>
      <c r="B233" s="3">
        <f>RAW_GAMES!B233</f>
        <v>45954</v>
      </c>
      <c r="C233" t="str">
        <f>RAW_GAMES!E233</f>
        <v>MBL</v>
      </c>
      <c r="D233" s="7">
        <f>RAW_GAMES!O233</f>
        <v>1</v>
      </c>
      <c r="E233">
        <f>RAW_GAMES!N233</f>
        <v>0</v>
      </c>
      <c r="F233" s="7">
        <f>RAW_GAMES!Q233</f>
        <v>5</v>
      </c>
      <c r="G233">
        <f>RAW_GAMES!P233</f>
        <v>1</v>
      </c>
    </row>
    <row r="234" spans="1:7" x14ac:dyDescent="0.25">
      <c r="A234" t="str">
        <f>RAW_GAMES!A234</f>
        <v>25/26</v>
      </c>
      <c r="B234" s="3">
        <f>RAW_GAMES!B234</f>
        <v>45954</v>
      </c>
      <c r="C234" t="str">
        <f>RAW_GAMES!E234</f>
        <v>MHK</v>
      </c>
      <c r="D234" s="7">
        <f>RAW_GAMES!O234</f>
        <v>4</v>
      </c>
      <c r="E234">
        <f>RAW_GAMES!N234</f>
        <v>1</v>
      </c>
      <c r="F234" s="7">
        <f>RAW_GAMES!Q234</f>
        <v>4</v>
      </c>
      <c r="G234">
        <f>RAW_GAMES!P234</f>
        <v>0</v>
      </c>
    </row>
    <row r="235" spans="1:7" x14ac:dyDescent="0.25">
      <c r="A235" t="str">
        <f>RAW_GAMES!A235</f>
        <v>25/26</v>
      </c>
      <c r="B235" s="3">
        <f>RAW_GAMES!B235</f>
        <v>45954</v>
      </c>
      <c r="C235" t="str">
        <f>RAW_GAMES!E235</f>
        <v>OLO</v>
      </c>
      <c r="D235" s="7">
        <f>RAW_GAMES!O235</f>
        <v>6</v>
      </c>
      <c r="E235">
        <f>RAW_GAMES!N235</f>
        <v>1</v>
      </c>
      <c r="F235" s="7">
        <f>RAW_GAMES!Q235</f>
        <v>5</v>
      </c>
      <c r="G235">
        <f>RAW_GAMES!P235</f>
        <v>1</v>
      </c>
    </row>
    <row r="236" spans="1:7" x14ac:dyDescent="0.25">
      <c r="A236" t="str">
        <f>RAW_GAMES!A236</f>
        <v>25/26</v>
      </c>
      <c r="B236" s="3">
        <f>RAW_GAMES!B236</f>
        <v>45954</v>
      </c>
      <c r="C236" t="str">
        <f>RAW_GAMES!E236</f>
        <v>PLZ</v>
      </c>
      <c r="D236" s="7">
        <f>RAW_GAMES!O236</f>
        <v>4</v>
      </c>
      <c r="E236">
        <f>RAW_GAMES!N236</f>
        <v>0</v>
      </c>
      <c r="F236" s="7">
        <f>RAW_GAMES!Q236</f>
        <v>4</v>
      </c>
      <c r="G236">
        <f>RAW_GAMES!P236</f>
        <v>1</v>
      </c>
    </row>
    <row r="237" spans="1:7" x14ac:dyDescent="0.25">
      <c r="A237" t="str">
        <f>RAW_GAMES!A237</f>
        <v>25/26</v>
      </c>
      <c r="B237" s="3">
        <f>RAW_GAMES!B237</f>
        <v>45954</v>
      </c>
      <c r="C237" t="str">
        <f>RAW_GAMES!E237</f>
        <v>VIT</v>
      </c>
      <c r="D237" s="7">
        <f>RAW_GAMES!O237</f>
        <v>3</v>
      </c>
      <c r="E237">
        <f>RAW_GAMES!N237</f>
        <v>0</v>
      </c>
      <c r="F237" s="7">
        <f>RAW_GAMES!Q237</f>
        <v>5</v>
      </c>
      <c r="G237">
        <f>RAW_GAMES!P237</f>
        <v>2</v>
      </c>
    </row>
    <row r="238" spans="1:7" x14ac:dyDescent="0.25">
      <c r="A238" t="str">
        <f>RAW_GAMES!A238</f>
        <v>25/26</v>
      </c>
      <c r="B238" s="3">
        <f>RAW_GAMES!B238</f>
        <v>45956</v>
      </c>
      <c r="C238" t="str">
        <f>RAW_GAMES!E238</f>
        <v>PCE</v>
      </c>
      <c r="D238" s="7">
        <f>RAW_GAMES!O238</f>
        <v>7</v>
      </c>
      <c r="E238">
        <f>RAW_GAMES!N238</f>
        <v>0</v>
      </c>
      <c r="F238" s="7">
        <f>RAW_GAMES!Q238</f>
        <v>9</v>
      </c>
      <c r="G238">
        <f>RAW_GAMES!P238</f>
        <v>2</v>
      </c>
    </row>
    <row r="239" spans="1:7" x14ac:dyDescent="0.25">
      <c r="A239" t="str">
        <f>RAW_GAMES!A239</f>
        <v>25/26</v>
      </c>
      <c r="B239" s="3">
        <f>RAW_GAMES!B239</f>
        <v>45956</v>
      </c>
      <c r="C239" t="str">
        <f>RAW_GAMES!E239</f>
        <v>TRI</v>
      </c>
      <c r="D239" s="7">
        <f>RAW_GAMES!O239</f>
        <v>2</v>
      </c>
      <c r="E239">
        <f>RAW_GAMES!N239</f>
        <v>1</v>
      </c>
      <c r="F239" s="7">
        <f>RAW_GAMES!Q239</f>
        <v>8</v>
      </c>
      <c r="G239">
        <f>RAW_GAMES!P239</f>
        <v>0</v>
      </c>
    </row>
    <row r="240" spans="1:7" x14ac:dyDescent="0.25">
      <c r="A240" t="str">
        <f>RAW_GAMES!A240</f>
        <v>25/26</v>
      </c>
      <c r="B240" s="3">
        <f>RAW_GAMES!B240</f>
        <v>45956</v>
      </c>
      <c r="C240" t="str">
        <f>RAW_GAMES!E240</f>
        <v>SPA</v>
      </c>
      <c r="D240" s="7">
        <f>RAW_GAMES!O240</f>
        <v>5</v>
      </c>
      <c r="E240">
        <f>RAW_GAMES!N240</f>
        <v>1</v>
      </c>
      <c r="F240" s="7">
        <f>RAW_GAMES!Q240</f>
        <v>6</v>
      </c>
      <c r="G240">
        <f>RAW_GAMES!P240</f>
        <v>0</v>
      </c>
    </row>
    <row r="241" spans="1:7" x14ac:dyDescent="0.25">
      <c r="A241" t="str">
        <f>RAW_GAMES!A241</f>
        <v>25/26</v>
      </c>
      <c r="B241" s="3">
        <f>RAW_GAMES!B241</f>
        <v>45956</v>
      </c>
      <c r="C241" t="str">
        <f>RAW_GAMES!E241</f>
        <v>KOM</v>
      </c>
      <c r="D241" s="7">
        <f>RAW_GAMES!O241</f>
        <v>2</v>
      </c>
      <c r="E241">
        <f>RAW_GAMES!N241</f>
        <v>0</v>
      </c>
      <c r="F241" s="7">
        <f>RAW_GAMES!Q241</f>
        <v>2</v>
      </c>
      <c r="G241">
        <f>RAW_GAMES!P241</f>
        <v>2</v>
      </c>
    </row>
    <row r="242" spans="1:7" x14ac:dyDescent="0.25">
      <c r="A242" t="str">
        <f>RAW_GAMES!A242</f>
        <v>25/26</v>
      </c>
      <c r="B242" s="3">
        <f>RAW_GAMES!B242</f>
        <v>45956</v>
      </c>
      <c r="C242" t="str">
        <f>RAW_GAMES!E242</f>
        <v>CEB</v>
      </c>
      <c r="D242" s="7">
        <f>RAW_GAMES!O242</f>
        <v>5</v>
      </c>
      <c r="E242">
        <f>RAW_GAMES!N242</f>
        <v>0</v>
      </c>
      <c r="F242" s="7">
        <f>RAW_GAMES!Q242</f>
        <v>4</v>
      </c>
      <c r="G242">
        <f>RAW_GAMES!P242</f>
        <v>1</v>
      </c>
    </row>
    <row r="243" spans="1:7" x14ac:dyDescent="0.25">
      <c r="A243" t="str">
        <f>RAW_GAMES!A243</f>
        <v>25/26</v>
      </c>
      <c r="B243" s="3">
        <f>RAW_GAMES!B243</f>
        <v>45956</v>
      </c>
      <c r="C243" t="str">
        <f>RAW_GAMES!E243</f>
        <v>KLA</v>
      </c>
      <c r="D243" s="7">
        <f>RAW_GAMES!O243</f>
        <v>4</v>
      </c>
      <c r="E243">
        <f>RAW_GAMES!N243</f>
        <v>1</v>
      </c>
      <c r="F243" s="7">
        <f>RAW_GAMES!Q243</f>
        <v>5</v>
      </c>
      <c r="G243">
        <f>RAW_GAMES!P243</f>
        <v>0</v>
      </c>
    </row>
    <row r="244" spans="1:7" x14ac:dyDescent="0.25">
      <c r="A244" t="str">
        <f>RAW_GAMES!A244</f>
        <v>25/26</v>
      </c>
      <c r="B244" s="3">
        <f>RAW_GAMES!B244</f>
        <v>45956</v>
      </c>
      <c r="C244" t="str">
        <f>RAW_GAMES!E244</f>
        <v>KVA</v>
      </c>
      <c r="D244" s="7">
        <f>RAW_GAMES!O244</f>
        <v>2</v>
      </c>
      <c r="E244">
        <f>RAW_GAMES!N244</f>
        <v>1</v>
      </c>
      <c r="F244" s="7">
        <f>RAW_GAMES!Q244</f>
        <v>4</v>
      </c>
      <c r="G244">
        <f>RAW_GAMES!P244</f>
        <v>2</v>
      </c>
    </row>
    <row r="245" spans="1:7" x14ac:dyDescent="0.25">
      <c r="A245" t="str">
        <f>RAW_GAMES!A245</f>
        <v>25/26</v>
      </c>
      <c r="B245" s="3">
        <f>RAW_GAMES!B245</f>
        <v>45956</v>
      </c>
      <c r="C245" t="str">
        <f>RAW_GAMES!E245</f>
        <v>LIB</v>
      </c>
      <c r="D245" s="7">
        <f>RAW_GAMES!O245</f>
        <v>2</v>
      </c>
      <c r="E245">
        <f>RAW_GAMES!N245</f>
        <v>2</v>
      </c>
      <c r="F245" s="7">
        <f>RAW_GAMES!Q245</f>
        <v>2</v>
      </c>
      <c r="G245">
        <f>RAW_GAMES!P245</f>
        <v>0</v>
      </c>
    </row>
    <row r="246" spans="1:7" x14ac:dyDescent="0.25">
      <c r="A246" t="str">
        <f>RAW_GAMES!A246</f>
        <v>25/26</v>
      </c>
      <c r="B246" s="3">
        <f>RAW_GAMES!B246</f>
        <v>45956</v>
      </c>
      <c r="C246" t="str">
        <f>RAW_GAMES!E246</f>
        <v>LIT</v>
      </c>
      <c r="D246" s="7">
        <f>RAW_GAMES!O246</f>
        <v>6</v>
      </c>
      <c r="E246">
        <f>RAW_GAMES!N246</f>
        <v>0</v>
      </c>
      <c r="F246" s="7">
        <f>RAW_GAMES!Q246</f>
        <v>5</v>
      </c>
      <c r="G246">
        <f>RAW_GAMES!P246</f>
        <v>1</v>
      </c>
    </row>
    <row r="247" spans="1:7" x14ac:dyDescent="0.25">
      <c r="A247" t="str">
        <f>RAW_GAMES!A247</f>
        <v>25/26</v>
      </c>
      <c r="B247" s="3">
        <f>RAW_GAMES!B247</f>
        <v>45956</v>
      </c>
      <c r="C247" t="str">
        <f>RAW_GAMES!E247</f>
        <v>MBL</v>
      </c>
      <c r="D247" s="7">
        <f>RAW_GAMES!O247</f>
        <v>4</v>
      </c>
      <c r="E247">
        <f>RAW_GAMES!N247</f>
        <v>1</v>
      </c>
      <c r="F247" s="7">
        <f>RAW_GAMES!Q247</f>
        <v>3</v>
      </c>
      <c r="G247">
        <f>RAW_GAMES!P247</f>
        <v>1</v>
      </c>
    </row>
    <row r="248" spans="1:7" x14ac:dyDescent="0.25">
      <c r="A248" t="str">
        <f>RAW_GAMES!A248</f>
        <v>25/26</v>
      </c>
      <c r="B248" s="3">
        <f>RAW_GAMES!B248</f>
        <v>45956</v>
      </c>
      <c r="C248" t="str">
        <f>RAW_GAMES!E248</f>
        <v>MHK</v>
      </c>
      <c r="D248" s="7">
        <f>RAW_GAMES!O248</f>
        <v>4</v>
      </c>
      <c r="E248">
        <f>RAW_GAMES!N248</f>
        <v>2</v>
      </c>
      <c r="F248" s="7">
        <f>RAW_GAMES!Q248</f>
        <v>2</v>
      </c>
      <c r="G248">
        <f>RAW_GAMES!P248</f>
        <v>1</v>
      </c>
    </row>
    <row r="249" spans="1:7" x14ac:dyDescent="0.25">
      <c r="A249" t="str">
        <f>RAW_GAMES!A249</f>
        <v>25/26</v>
      </c>
      <c r="B249" s="3">
        <f>RAW_GAMES!B249</f>
        <v>45956</v>
      </c>
      <c r="C249" t="str">
        <f>RAW_GAMES!E249</f>
        <v>OLO</v>
      </c>
      <c r="D249" s="7">
        <f>RAW_GAMES!O249</f>
        <v>9</v>
      </c>
      <c r="E249">
        <f>RAW_GAMES!N249</f>
        <v>2</v>
      </c>
      <c r="F249" s="7">
        <f>RAW_GAMES!Q249</f>
        <v>7</v>
      </c>
      <c r="G249">
        <f>RAW_GAMES!P249</f>
        <v>0</v>
      </c>
    </row>
    <row r="250" spans="1:7" x14ac:dyDescent="0.25">
      <c r="A250" t="str">
        <f>RAW_GAMES!A250</f>
        <v>25/26</v>
      </c>
      <c r="B250" s="3">
        <f>RAW_GAMES!B250</f>
        <v>45956</v>
      </c>
      <c r="C250" t="str">
        <f>RAW_GAMES!E250</f>
        <v>PLZ</v>
      </c>
      <c r="D250" s="7">
        <f>RAW_GAMES!O250</f>
        <v>8</v>
      </c>
      <c r="E250">
        <f>RAW_GAMES!N250</f>
        <v>0</v>
      </c>
      <c r="F250" s="7">
        <f>RAW_GAMES!Q250</f>
        <v>2</v>
      </c>
      <c r="G250">
        <f>RAW_GAMES!P250</f>
        <v>1</v>
      </c>
    </row>
    <row r="251" spans="1:7" x14ac:dyDescent="0.25">
      <c r="A251" t="str">
        <f>RAW_GAMES!A251</f>
        <v>25/26</v>
      </c>
      <c r="B251" s="3">
        <f>RAW_GAMES!B251</f>
        <v>45956</v>
      </c>
      <c r="C251" t="str">
        <f>RAW_GAMES!E251</f>
        <v>VIT</v>
      </c>
      <c r="D251" s="7">
        <f>RAW_GAMES!O251</f>
        <v>3</v>
      </c>
      <c r="E251">
        <f>RAW_GAMES!N251</f>
        <v>1</v>
      </c>
      <c r="F251" s="7">
        <f>RAW_GAMES!Q251</f>
        <v>4</v>
      </c>
      <c r="G251">
        <f>RAW_GAMES!P251</f>
        <v>1</v>
      </c>
    </row>
    <row r="252" spans="1:7" x14ac:dyDescent="0.25">
      <c r="A252" t="str">
        <f>RAW_GAMES!A252</f>
        <v>25/26</v>
      </c>
      <c r="B252" s="3">
        <f>RAW_GAMES!B252</f>
        <v>45958</v>
      </c>
      <c r="C252" t="str">
        <f>RAW_GAMES!E252</f>
        <v>PCE</v>
      </c>
      <c r="D252" s="7">
        <f>RAW_GAMES!O252</f>
        <v>6</v>
      </c>
      <c r="E252">
        <f>RAW_GAMES!N252</f>
        <v>0</v>
      </c>
      <c r="F252" s="7">
        <f>RAW_GAMES!Q252</f>
        <v>5</v>
      </c>
      <c r="G252">
        <f>RAW_GAMES!P252</f>
        <v>0</v>
      </c>
    </row>
    <row r="253" spans="1:7" x14ac:dyDescent="0.25">
      <c r="A253" t="str">
        <f>RAW_GAMES!A253</f>
        <v>25/26</v>
      </c>
      <c r="B253" s="3">
        <f>RAW_GAMES!B253</f>
        <v>45958</v>
      </c>
      <c r="C253" t="str">
        <f>RAW_GAMES!E253</f>
        <v>TRI</v>
      </c>
      <c r="D253" s="7">
        <f>RAW_GAMES!O253</f>
        <v>6</v>
      </c>
      <c r="E253">
        <f>RAW_GAMES!N253</f>
        <v>2</v>
      </c>
      <c r="F253" s="7">
        <f>RAW_GAMES!Q253</f>
        <v>2</v>
      </c>
      <c r="G253">
        <f>RAW_GAMES!P253</f>
        <v>1</v>
      </c>
    </row>
    <row r="254" spans="1:7" x14ac:dyDescent="0.25">
      <c r="A254" t="str">
        <f>RAW_GAMES!A254</f>
        <v>25/26</v>
      </c>
      <c r="B254" s="3">
        <f>RAW_GAMES!B254</f>
        <v>45958</v>
      </c>
      <c r="C254" t="str">
        <f>RAW_GAMES!E254</f>
        <v>KOM</v>
      </c>
      <c r="D254" s="7">
        <f>RAW_GAMES!O254</f>
        <v>4</v>
      </c>
      <c r="E254">
        <f>RAW_GAMES!N254</f>
        <v>0</v>
      </c>
      <c r="F254" s="7">
        <f>RAW_GAMES!Q254</f>
        <v>2</v>
      </c>
      <c r="G254">
        <f>RAW_GAMES!P254</f>
        <v>1</v>
      </c>
    </row>
    <row r="255" spans="1:7" x14ac:dyDescent="0.25">
      <c r="A255" t="str">
        <f>RAW_GAMES!A255</f>
        <v>25/26</v>
      </c>
      <c r="B255" s="3">
        <f>RAW_GAMES!B255</f>
        <v>45958</v>
      </c>
      <c r="C255" t="str">
        <f>RAW_GAMES!E255</f>
        <v>CEB</v>
      </c>
      <c r="D255" s="7">
        <f>RAW_GAMES!O255</f>
        <v>2</v>
      </c>
      <c r="E255">
        <f>RAW_GAMES!N255</f>
        <v>1</v>
      </c>
      <c r="F255" s="7">
        <f>RAW_GAMES!Q255</f>
        <v>6</v>
      </c>
      <c r="G255">
        <f>RAW_GAMES!P255</f>
        <v>2</v>
      </c>
    </row>
    <row r="256" spans="1:7" x14ac:dyDescent="0.25">
      <c r="A256" t="str">
        <f>RAW_GAMES!A256</f>
        <v>25/26</v>
      </c>
      <c r="B256" s="3">
        <f>RAW_GAMES!B256</f>
        <v>45958</v>
      </c>
      <c r="C256" t="str">
        <f>RAW_GAMES!E256</f>
        <v>KLA</v>
      </c>
      <c r="D256" s="7">
        <f>RAW_GAMES!O256</f>
        <v>5</v>
      </c>
      <c r="E256">
        <f>RAW_GAMES!N256</f>
        <v>1</v>
      </c>
      <c r="F256" s="7">
        <f>RAW_GAMES!Q256</f>
        <v>4</v>
      </c>
      <c r="G256">
        <f>RAW_GAMES!P256</f>
        <v>0</v>
      </c>
    </row>
    <row r="257" spans="1:7" x14ac:dyDescent="0.25">
      <c r="A257" t="str">
        <f>RAW_GAMES!A257</f>
        <v>25/26</v>
      </c>
      <c r="B257" s="3">
        <f>RAW_GAMES!B257</f>
        <v>45958</v>
      </c>
      <c r="C257" t="str">
        <f>RAW_GAMES!E257</f>
        <v>KVA</v>
      </c>
      <c r="D257" s="7">
        <f>RAW_GAMES!O257</f>
        <v>6</v>
      </c>
      <c r="E257">
        <f>RAW_GAMES!N257</f>
        <v>2</v>
      </c>
      <c r="F257" s="7">
        <f>RAW_GAMES!Q257</f>
        <v>5</v>
      </c>
      <c r="G257">
        <f>RAW_GAMES!P257</f>
        <v>1</v>
      </c>
    </row>
    <row r="258" spans="1:7" x14ac:dyDescent="0.25">
      <c r="A258" t="str">
        <f>RAW_GAMES!A258</f>
        <v>25/26</v>
      </c>
      <c r="B258" s="3">
        <f>RAW_GAMES!B258</f>
        <v>45958</v>
      </c>
      <c r="C258" t="str">
        <f>RAW_GAMES!E258</f>
        <v>LIB</v>
      </c>
      <c r="D258" s="7">
        <f>RAW_GAMES!O258</f>
        <v>4</v>
      </c>
      <c r="E258">
        <f>RAW_GAMES!N258</f>
        <v>0</v>
      </c>
      <c r="F258" s="7">
        <f>RAW_GAMES!Q258</f>
        <v>5</v>
      </c>
      <c r="G258">
        <f>RAW_GAMES!P258</f>
        <v>1</v>
      </c>
    </row>
    <row r="259" spans="1:7" x14ac:dyDescent="0.25">
      <c r="A259" t="str">
        <f>RAW_GAMES!A259</f>
        <v>25/26</v>
      </c>
      <c r="B259" s="3">
        <f>RAW_GAMES!B259</f>
        <v>45958</v>
      </c>
      <c r="C259" t="str">
        <f>RAW_GAMES!E259</f>
        <v>LIT</v>
      </c>
      <c r="D259" s="7">
        <f>RAW_GAMES!O259</f>
        <v>5</v>
      </c>
      <c r="E259">
        <f>RAW_GAMES!N259</f>
        <v>1</v>
      </c>
      <c r="F259" s="7">
        <f>RAW_GAMES!Q259</f>
        <v>1</v>
      </c>
      <c r="G259">
        <f>RAW_GAMES!P259</f>
        <v>0</v>
      </c>
    </row>
    <row r="260" spans="1:7" x14ac:dyDescent="0.25">
      <c r="A260" t="str">
        <f>RAW_GAMES!A260</f>
        <v>25/26</v>
      </c>
      <c r="B260" s="3">
        <f>RAW_GAMES!B260</f>
        <v>45958</v>
      </c>
      <c r="C260" t="str">
        <f>RAW_GAMES!E260</f>
        <v>MBL</v>
      </c>
      <c r="D260" s="7">
        <f>RAW_GAMES!O260</f>
        <v>5</v>
      </c>
      <c r="E260">
        <f>RAW_GAMES!N260</f>
        <v>1</v>
      </c>
      <c r="F260" s="7">
        <f>RAW_GAMES!Q260</f>
        <v>6</v>
      </c>
      <c r="G260">
        <f>RAW_GAMES!P260</f>
        <v>2</v>
      </c>
    </row>
    <row r="261" spans="1:7" x14ac:dyDescent="0.25">
      <c r="A261" t="str">
        <f>RAW_GAMES!A261</f>
        <v>25/26</v>
      </c>
      <c r="B261" s="3">
        <f>RAW_GAMES!B261</f>
        <v>45958</v>
      </c>
      <c r="C261" t="str">
        <f>RAW_GAMES!E261</f>
        <v>MHK</v>
      </c>
      <c r="D261" s="7">
        <f>RAW_GAMES!O261</f>
        <v>2</v>
      </c>
      <c r="E261">
        <f>RAW_GAMES!N261</f>
        <v>1</v>
      </c>
      <c r="F261" s="7">
        <f>RAW_GAMES!Q261</f>
        <v>4</v>
      </c>
      <c r="G261">
        <f>RAW_GAMES!P261</f>
        <v>0</v>
      </c>
    </row>
    <row r="262" spans="1:7" x14ac:dyDescent="0.25">
      <c r="A262" t="str">
        <f>RAW_GAMES!A262</f>
        <v>25/26</v>
      </c>
      <c r="B262" s="3">
        <f>RAW_GAMES!B262</f>
        <v>45958</v>
      </c>
      <c r="C262" t="str">
        <f>RAW_GAMES!E262</f>
        <v>OLO</v>
      </c>
      <c r="D262" s="7">
        <f>RAW_GAMES!O262</f>
        <v>1</v>
      </c>
      <c r="E262">
        <f>RAW_GAMES!N262</f>
        <v>0</v>
      </c>
      <c r="F262" s="7">
        <f>RAW_GAMES!Q262</f>
        <v>5</v>
      </c>
      <c r="G262">
        <f>RAW_GAMES!P262</f>
        <v>1</v>
      </c>
    </row>
    <row r="263" spans="1:7" x14ac:dyDescent="0.25">
      <c r="A263" t="str">
        <f>RAW_GAMES!A263</f>
        <v>25/26</v>
      </c>
      <c r="B263" s="3">
        <f>RAW_GAMES!B263</f>
        <v>45958</v>
      </c>
      <c r="C263" t="str">
        <f>RAW_GAMES!E263</f>
        <v>PLZ</v>
      </c>
      <c r="D263" s="7">
        <f>RAW_GAMES!O263</f>
        <v>5</v>
      </c>
      <c r="E263">
        <f>RAW_GAMES!N263</f>
        <v>0</v>
      </c>
      <c r="F263" s="7">
        <f>RAW_GAMES!Q263</f>
        <v>6</v>
      </c>
      <c r="G263">
        <f>RAW_GAMES!P263</f>
        <v>0</v>
      </c>
    </row>
    <row r="264" spans="1:7" x14ac:dyDescent="0.25">
      <c r="A264" t="str">
        <f>RAW_GAMES!A264</f>
        <v>25/26</v>
      </c>
      <c r="B264" s="3">
        <f>RAW_GAMES!B264</f>
        <v>45959</v>
      </c>
      <c r="C264" t="str">
        <f>RAW_GAMES!E264</f>
        <v>SPA</v>
      </c>
      <c r="D264" s="7">
        <f>RAW_GAMES!O264</f>
        <v>2</v>
      </c>
      <c r="E264">
        <f>RAW_GAMES!N264</f>
        <v>1</v>
      </c>
      <c r="F264" s="7">
        <f>RAW_GAMES!Q264</f>
        <v>3</v>
      </c>
      <c r="G264">
        <f>RAW_GAMES!P264</f>
        <v>0</v>
      </c>
    </row>
    <row r="265" spans="1:7" x14ac:dyDescent="0.25">
      <c r="A265" t="str">
        <f>RAW_GAMES!A265</f>
        <v>25/26</v>
      </c>
      <c r="B265" s="3">
        <f>RAW_GAMES!B265</f>
        <v>45959</v>
      </c>
      <c r="C265" t="str">
        <f>RAW_GAMES!E265</f>
        <v>VIT</v>
      </c>
      <c r="D265" s="7">
        <f>RAW_GAMES!O265</f>
        <v>3</v>
      </c>
      <c r="E265">
        <f>RAW_GAMES!N265</f>
        <v>0</v>
      </c>
      <c r="F265" s="7">
        <f>RAW_GAMES!Q265</f>
        <v>2</v>
      </c>
      <c r="G265">
        <f>RAW_GAMES!P265</f>
        <v>1</v>
      </c>
    </row>
    <row r="266" spans="1:7" x14ac:dyDescent="0.25">
      <c r="A266" t="str">
        <f>RAW_GAMES!A266</f>
        <v>25/26</v>
      </c>
      <c r="B266" s="3">
        <f>RAW_GAMES!B266</f>
        <v>45961</v>
      </c>
      <c r="C266" t="str">
        <f>RAW_GAMES!E266</f>
        <v>CEB</v>
      </c>
      <c r="D266" s="7">
        <f>RAW_GAMES!O266</f>
        <v>2</v>
      </c>
      <c r="E266">
        <f>RAW_GAMES!N266</f>
        <v>0</v>
      </c>
      <c r="F266" s="7">
        <f>RAW_GAMES!Q266</f>
        <v>3</v>
      </c>
      <c r="G266">
        <f>RAW_GAMES!P266</f>
        <v>1</v>
      </c>
    </row>
    <row r="267" spans="1:7" x14ac:dyDescent="0.25">
      <c r="A267" t="str">
        <f>RAW_GAMES!A267</f>
        <v>25/26</v>
      </c>
      <c r="B267" s="3">
        <f>RAW_GAMES!B267</f>
        <v>45961</v>
      </c>
      <c r="C267" t="str">
        <f>RAW_GAMES!E267</f>
        <v>LIB</v>
      </c>
      <c r="D267" s="7">
        <f>RAW_GAMES!O267</f>
        <v>6</v>
      </c>
      <c r="E267">
        <f>RAW_GAMES!N267</f>
        <v>2</v>
      </c>
      <c r="F267" s="7">
        <f>RAW_GAMES!Q267</f>
        <v>6</v>
      </c>
      <c r="G267">
        <f>RAW_GAMES!P267</f>
        <v>0</v>
      </c>
    </row>
    <row r="268" spans="1:7" x14ac:dyDescent="0.25">
      <c r="A268" t="str">
        <f>RAW_GAMES!A268</f>
        <v>25/26</v>
      </c>
      <c r="B268" s="3">
        <f>RAW_GAMES!B268</f>
        <v>45961</v>
      </c>
      <c r="C268" t="str">
        <f>RAW_GAMES!E268</f>
        <v>MBL</v>
      </c>
      <c r="D268" s="7">
        <f>RAW_GAMES!O268</f>
        <v>4</v>
      </c>
      <c r="E268">
        <f>RAW_GAMES!N268</f>
        <v>0</v>
      </c>
      <c r="F268" s="7">
        <f>RAW_GAMES!Q268</f>
        <v>3</v>
      </c>
      <c r="G268">
        <f>RAW_GAMES!P268</f>
        <v>0</v>
      </c>
    </row>
    <row r="269" spans="1:7" x14ac:dyDescent="0.25">
      <c r="A269" t="str">
        <f>RAW_GAMES!A269</f>
        <v>25/26</v>
      </c>
      <c r="B269" s="3">
        <f>RAW_GAMES!B269</f>
        <v>45961</v>
      </c>
      <c r="C269" t="str">
        <f>RAW_GAMES!E269</f>
        <v>MHK</v>
      </c>
      <c r="D269" s="7">
        <f>RAW_GAMES!O269</f>
        <v>3</v>
      </c>
      <c r="E269">
        <f>RAW_GAMES!N269</f>
        <v>0</v>
      </c>
      <c r="F269" s="7">
        <f>RAW_GAMES!Q269</f>
        <v>3</v>
      </c>
      <c r="G269">
        <f>RAW_GAMES!P269</f>
        <v>1</v>
      </c>
    </row>
    <row r="270" spans="1:7" x14ac:dyDescent="0.25">
      <c r="A270" t="str">
        <f>RAW_GAMES!A270</f>
        <v>25/26</v>
      </c>
      <c r="B270" s="3">
        <f>RAW_GAMES!B270</f>
        <v>45961</v>
      </c>
      <c r="C270" t="str">
        <f>RAW_GAMES!E270</f>
        <v>OLO</v>
      </c>
      <c r="D270" s="7">
        <f>RAW_GAMES!O270</f>
        <v>2</v>
      </c>
      <c r="E270">
        <f>RAW_GAMES!N270</f>
        <v>0</v>
      </c>
      <c r="F270" s="7">
        <f>RAW_GAMES!Q270</f>
        <v>3</v>
      </c>
      <c r="G270">
        <f>RAW_GAMES!P270</f>
        <v>1</v>
      </c>
    </row>
    <row r="271" spans="1:7" x14ac:dyDescent="0.25">
      <c r="A271" t="str">
        <f>RAW_GAMES!A271</f>
        <v>25/26</v>
      </c>
      <c r="B271" s="3">
        <f>RAW_GAMES!B271</f>
        <v>45961</v>
      </c>
      <c r="C271" t="str">
        <f>RAW_GAMES!E271</f>
        <v>PCE</v>
      </c>
      <c r="D271" s="7">
        <f>RAW_GAMES!O271</f>
        <v>8</v>
      </c>
      <c r="E271">
        <f>RAW_GAMES!N271</f>
        <v>4</v>
      </c>
      <c r="F271" s="7">
        <f>RAW_GAMES!Q271</f>
        <v>7</v>
      </c>
      <c r="G271">
        <f>RAW_GAMES!P271</f>
        <v>2</v>
      </c>
    </row>
    <row r="272" spans="1:7" x14ac:dyDescent="0.25">
      <c r="A272" t="str">
        <f>RAW_GAMES!A272</f>
        <v>25/26</v>
      </c>
      <c r="B272" s="3">
        <f>RAW_GAMES!B272</f>
        <v>45961</v>
      </c>
      <c r="C272" t="str">
        <f>RAW_GAMES!E272</f>
        <v>PLZ</v>
      </c>
      <c r="D272" s="7">
        <f>RAW_GAMES!O272</f>
        <v>3</v>
      </c>
      <c r="E272">
        <f>RAW_GAMES!N272</f>
        <v>1</v>
      </c>
      <c r="F272" s="7">
        <f>RAW_GAMES!Q272</f>
        <v>4</v>
      </c>
      <c r="G272">
        <f>RAW_GAMES!P272</f>
        <v>2</v>
      </c>
    </row>
    <row r="273" spans="1:7" x14ac:dyDescent="0.25">
      <c r="A273" t="str">
        <f>RAW_GAMES!A273</f>
        <v>25/26</v>
      </c>
      <c r="B273" s="3">
        <f>RAW_GAMES!B273</f>
        <v>45961</v>
      </c>
      <c r="C273" t="str">
        <f>RAW_GAMES!E273</f>
        <v>KLA</v>
      </c>
      <c r="D273" s="7">
        <f>RAW_GAMES!O273</f>
        <v>7</v>
      </c>
      <c r="E273">
        <f>RAW_GAMES!N273</f>
        <v>2</v>
      </c>
      <c r="F273" s="7">
        <f>RAW_GAMES!Q273</f>
        <v>8</v>
      </c>
      <c r="G273">
        <f>RAW_GAMES!P273</f>
        <v>4</v>
      </c>
    </row>
    <row r="274" spans="1:7" x14ac:dyDescent="0.25">
      <c r="A274" t="str">
        <f>RAW_GAMES!A274</f>
        <v>25/26</v>
      </c>
      <c r="B274" s="3">
        <f>RAW_GAMES!B274</f>
        <v>45961</v>
      </c>
      <c r="C274" t="str">
        <f>RAW_GAMES!E274</f>
        <v>KOM</v>
      </c>
      <c r="D274" s="7">
        <f>RAW_GAMES!O274</f>
        <v>4</v>
      </c>
      <c r="E274">
        <f>RAW_GAMES!N274</f>
        <v>2</v>
      </c>
      <c r="F274" s="7">
        <f>RAW_GAMES!Q274</f>
        <v>3</v>
      </c>
      <c r="G274">
        <f>RAW_GAMES!P274</f>
        <v>1</v>
      </c>
    </row>
    <row r="275" spans="1:7" x14ac:dyDescent="0.25">
      <c r="A275" t="str">
        <f>RAW_GAMES!A275</f>
        <v>25/26</v>
      </c>
      <c r="B275" s="3">
        <f>RAW_GAMES!B275</f>
        <v>45961</v>
      </c>
      <c r="C275" t="str">
        <f>RAW_GAMES!E275</f>
        <v>KVA</v>
      </c>
      <c r="D275" s="7">
        <f>RAW_GAMES!O275</f>
        <v>3</v>
      </c>
      <c r="E275">
        <f>RAW_GAMES!N275</f>
        <v>1</v>
      </c>
      <c r="F275" s="7">
        <f>RAW_GAMES!Q275</f>
        <v>2</v>
      </c>
      <c r="G275">
        <f>RAW_GAMES!P275</f>
        <v>0</v>
      </c>
    </row>
    <row r="276" spans="1:7" x14ac:dyDescent="0.25">
      <c r="A276" t="str">
        <f>RAW_GAMES!A276</f>
        <v>25/26</v>
      </c>
      <c r="B276" s="3">
        <f>RAW_GAMES!B276</f>
        <v>45961</v>
      </c>
      <c r="C276" t="str">
        <f>RAW_GAMES!E276</f>
        <v>LIT</v>
      </c>
      <c r="D276" s="7">
        <f>RAW_GAMES!O276</f>
        <v>3</v>
      </c>
      <c r="E276">
        <f>RAW_GAMES!N276</f>
        <v>0</v>
      </c>
      <c r="F276" s="7">
        <f>RAW_GAMES!Q276</f>
        <v>4</v>
      </c>
      <c r="G276">
        <f>RAW_GAMES!P276</f>
        <v>0</v>
      </c>
    </row>
    <row r="277" spans="1:7" x14ac:dyDescent="0.25">
      <c r="A277" t="str">
        <f>RAW_GAMES!A277</f>
        <v>25/26</v>
      </c>
      <c r="B277" s="3">
        <f>RAW_GAMES!B277</f>
        <v>45961</v>
      </c>
      <c r="C277" t="str">
        <f>RAW_GAMES!E277</f>
        <v>SPA</v>
      </c>
      <c r="D277" s="7">
        <f>RAW_GAMES!O277</f>
        <v>3</v>
      </c>
      <c r="E277">
        <f>RAW_GAMES!N277</f>
        <v>1</v>
      </c>
      <c r="F277" s="7">
        <f>RAW_GAMES!Q277</f>
        <v>2</v>
      </c>
      <c r="G277">
        <f>RAW_GAMES!P277</f>
        <v>0</v>
      </c>
    </row>
    <row r="278" spans="1:7" x14ac:dyDescent="0.25">
      <c r="A278" t="str">
        <f>RAW_GAMES!A278</f>
        <v>25/26</v>
      </c>
      <c r="B278" s="3">
        <f>RAW_GAMES!B278</f>
        <v>45961</v>
      </c>
      <c r="C278" t="str">
        <f>RAW_GAMES!E278</f>
        <v>TRI</v>
      </c>
      <c r="D278" s="7">
        <f>RAW_GAMES!O278</f>
        <v>3</v>
      </c>
      <c r="E278">
        <f>RAW_GAMES!N278</f>
        <v>1</v>
      </c>
      <c r="F278" s="7">
        <f>RAW_GAMES!Q278</f>
        <v>3</v>
      </c>
      <c r="G278">
        <f>RAW_GAMES!P278</f>
        <v>0</v>
      </c>
    </row>
    <row r="279" spans="1:7" x14ac:dyDescent="0.25">
      <c r="A279" t="str">
        <f>RAW_GAMES!A279</f>
        <v>25/26</v>
      </c>
      <c r="B279" s="3">
        <f>RAW_GAMES!B279</f>
        <v>45961</v>
      </c>
      <c r="C279" t="str">
        <f>RAW_GAMES!E279</f>
        <v>VIT</v>
      </c>
      <c r="D279" s="7">
        <f>RAW_GAMES!O279</f>
        <v>6</v>
      </c>
      <c r="E279">
        <f>RAW_GAMES!N279</f>
        <v>0</v>
      </c>
      <c r="F279" s="7">
        <f>RAW_GAMES!Q279</f>
        <v>6</v>
      </c>
      <c r="G279">
        <f>RAW_GAMES!P279</f>
        <v>2</v>
      </c>
    </row>
    <row r="280" spans="1:7" x14ac:dyDescent="0.25">
      <c r="A280" t="str">
        <f>RAW_GAMES!A280</f>
        <v>25/26</v>
      </c>
      <c r="B280" s="3">
        <f>RAW_GAMES!B280</f>
        <v>45963</v>
      </c>
      <c r="C280" t="str">
        <f>RAW_GAMES!E280</f>
        <v>TRI</v>
      </c>
      <c r="D280" s="7">
        <f>RAW_GAMES!O280</f>
        <v>7</v>
      </c>
      <c r="E280">
        <f>RAW_GAMES!N280</f>
        <v>2</v>
      </c>
      <c r="F280" s="7">
        <f>RAW_GAMES!Q280</f>
        <v>2</v>
      </c>
      <c r="G280">
        <f>RAW_GAMES!P280</f>
        <v>0</v>
      </c>
    </row>
    <row r="281" spans="1:7" x14ac:dyDescent="0.25">
      <c r="A281" t="str">
        <f>RAW_GAMES!A281</f>
        <v>25/26</v>
      </c>
      <c r="B281" s="3">
        <f>RAW_GAMES!B281</f>
        <v>45963</v>
      </c>
      <c r="C281" t="str">
        <f>RAW_GAMES!E281</f>
        <v>SPA</v>
      </c>
      <c r="D281" s="7">
        <f>RAW_GAMES!O281</f>
        <v>2</v>
      </c>
      <c r="E281">
        <f>RAW_GAMES!N281</f>
        <v>0</v>
      </c>
      <c r="F281" s="7">
        <f>RAW_GAMES!Q281</f>
        <v>1</v>
      </c>
      <c r="G281">
        <f>RAW_GAMES!P281</f>
        <v>0</v>
      </c>
    </row>
    <row r="282" spans="1:7" x14ac:dyDescent="0.25">
      <c r="A282" t="str">
        <f>RAW_GAMES!A282</f>
        <v>25/26</v>
      </c>
      <c r="B282" s="3">
        <f>RAW_GAMES!B282</f>
        <v>45963</v>
      </c>
      <c r="C282" t="str">
        <f>RAW_GAMES!E282</f>
        <v>KOM</v>
      </c>
      <c r="D282" s="7">
        <f>RAW_GAMES!O282</f>
        <v>6</v>
      </c>
      <c r="E282">
        <f>RAW_GAMES!N282</f>
        <v>0</v>
      </c>
      <c r="F282" s="7">
        <f>RAW_GAMES!Q282</f>
        <v>2</v>
      </c>
      <c r="G282">
        <f>RAW_GAMES!P282</f>
        <v>1</v>
      </c>
    </row>
    <row r="283" spans="1:7" x14ac:dyDescent="0.25">
      <c r="A283" t="str">
        <f>RAW_GAMES!A283</f>
        <v>25/26</v>
      </c>
      <c r="B283" s="3">
        <f>RAW_GAMES!B283</f>
        <v>45963</v>
      </c>
      <c r="C283" t="str">
        <f>RAW_GAMES!E283</f>
        <v>KLA</v>
      </c>
      <c r="D283" s="7">
        <f>RAW_GAMES!O283</f>
        <v>5</v>
      </c>
      <c r="E283">
        <f>RAW_GAMES!N283</f>
        <v>0</v>
      </c>
      <c r="F283" s="7">
        <f>RAW_GAMES!Q283</f>
        <v>2</v>
      </c>
      <c r="G283">
        <f>RAW_GAMES!P283</f>
        <v>0</v>
      </c>
    </row>
    <row r="284" spans="1:7" x14ac:dyDescent="0.25">
      <c r="A284" t="str">
        <f>RAW_GAMES!A284</f>
        <v>25/26</v>
      </c>
      <c r="B284" s="3">
        <f>RAW_GAMES!B284</f>
        <v>45963</v>
      </c>
      <c r="C284" t="str">
        <f>RAW_GAMES!E284</f>
        <v>LIT</v>
      </c>
      <c r="D284" s="7">
        <f>RAW_GAMES!O284</f>
        <v>6</v>
      </c>
      <c r="E284">
        <f>RAW_GAMES!N284</f>
        <v>0</v>
      </c>
      <c r="F284" s="7">
        <f>RAW_GAMES!Q284</f>
        <v>8</v>
      </c>
      <c r="G284">
        <f>RAW_GAMES!P284</f>
        <v>1</v>
      </c>
    </row>
    <row r="285" spans="1:7" x14ac:dyDescent="0.25">
      <c r="A285" t="str">
        <f>RAW_GAMES!A285</f>
        <v>25/26</v>
      </c>
      <c r="B285" s="3">
        <f>RAW_GAMES!B285</f>
        <v>45963</v>
      </c>
      <c r="C285" t="str">
        <f>RAW_GAMES!E285</f>
        <v>VIT</v>
      </c>
      <c r="D285" s="7">
        <f>RAW_GAMES!O285</f>
        <v>6</v>
      </c>
      <c r="E285">
        <f>RAW_GAMES!N285</f>
        <v>0</v>
      </c>
      <c r="F285" s="7">
        <f>RAW_GAMES!Q285</f>
        <v>7</v>
      </c>
      <c r="G285">
        <f>RAW_GAMES!P285</f>
        <v>2</v>
      </c>
    </row>
    <row r="286" spans="1:7" x14ac:dyDescent="0.25">
      <c r="A286" t="str">
        <f>RAW_GAMES!A286</f>
        <v>25/26</v>
      </c>
      <c r="B286" s="3">
        <f>RAW_GAMES!B286</f>
        <v>45963</v>
      </c>
      <c r="C286" t="str">
        <f>RAW_GAMES!E286</f>
        <v>PCE</v>
      </c>
      <c r="D286" s="7">
        <f>RAW_GAMES!O286</f>
        <v>2</v>
      </c>
      <c r="E286">
        <f>RAW_GAMES!N286</f>
        <v>0</v>
      </c>
      <c r="F286" s="7">
        <f>RAW_GAMES!Q286</f>
        <v>7</v>
      </c>
      <c r="G286">
        <f>RAW_GAMES!P286</f>
        <v>2</v>
      </c>
    </row>
    <row r="287" spans="1:7" x14ac:dyDescent="0.25">
      <c r="A287" t="str">
        <f>RAW_GAMES!A287</f>
        <v>25/26</v>
      </c>
      <c r="B287" s="3">
        <f>RAW_GAMES!B287</f>
        <v>45963</v>
      </c>
      <c r="C287" t="str">
        <f>RAW_GAMES!E287</f>
        <v>CEB</v>
      </c>
      <c r="D287" s="7">
        <f>RAW_GAMES!O287</f>
        <v>2</v>
      </c>
      <c r="E287">
        <f>RAW_GAMES!N287</f>
        <v>1</v>
      </c>
      <c r="F287" s="7">
        <f>RAW_GAMES!Q287</f>
        <v>6</v>
      </c>
      <c r="G287">
        <f>RAW_GAMES!P287</f>
        <v>0</v>
      </c>
    </row>
    <row r="288" spans="1:7" x14ac:dyDescent="0.25">
      <c r="A288" t="str">
        <f>RAW_GAMES!A288</f>
        <v>25/26</v>
      </c>
      <c r="B288" s="3">
        <f>RAW_GAMES!B288</f>
        <v>45963</v>
      </c>
      <c r="C288" t="str">
        <f>RAW_GAMES!E288</f>
        <v>MBL</v>
      </c>
      <c r="D288" s="7">
        <f>RAW_GAMES!O288</f>
        <v>1</v>
      </c>
      <c r="E288">
        <f>RAW_GAMES!N288</f>
        <v>0</v>
      </c>
      <c r="F288" s="7">
        <f>RAW_GAMES!Q288</f>
        <v>2</v>
      </c>
      <c r="G288">
        <f>RAW_GAMES!P288</f>
        <v>0</v>
      </c>
    </row>
    <row r="289" spans="1:7" x14ac:dyDescent="0.25">
      <c r="A289" t="str">
        <f>RAW_GAMES!A289</f>
        <v>25/26</v>
      </c>
      <c r="B289" s="3">
        <f>RAW_GAMES!B289</f>
        <v>45963</v>
      </c>
      <c r="C289" t="str">
        <f>RAW_GAMES!E289</f>
        <v>MHK</v>
      </c>
      <c r="D289" s="7">
        <f>RAW_GAMES!O289</f>
        <v>8</v>
      </c>
      <c r="E289">
        <f>RAW_GAMES!N289</f>
        <v>1</v>
      </c>
      <c r="F289" s="7">
        <f>RAW_GAMES!Q289</f>
        <v>6</v>
      </c>
      <c r="G289">
        <f>RAW_GAMES!P289</f>
        <v>0</v>
      </c>
    </row>
    <row r="290" spans="1:7" x14ac:dyDescent="0.25">
      <c r="A290" t="str">
        <f>RAW_GAMES!A290</f>
        <v>25/26</v>
      </c>
      <c r="B290" s="3">
        <f>RAW_GAMES!B290</f>
        <v>45963</v>
      </c>
      <c r="C290" t="str">
        <f>RAW_GAMES!E290</f>
        <v>OLO</v>
      </c>
      <c r="D290" s="7">
        <f>RAW_GAMES!O290</f>
        <v>7</v>
      </c>
      <c r="E290">
        <f>RAW_GAMES!N290</f>
        <v>2</v>
      </c>
      <c r="F290" s="7">
        <f>RAW_GAMES!Q290</f>
        <v>6</v>
      </c>
      <c r="G290">
        <f>RAW_GAMES!P290</f>
        <v>0</v>
      </c>
    </row>
    <row r="291" spans="1:7" x14ac:dyDescent="0.25">
      <c r="A291" t="str">
        <f>RAW_GAMES!A291</f>
        <v>25/26</v>
      </c>
      <c r="B291" s="3">
        <f>RAW_GAMES!B291</f>
        <v>45963</v>
      </c>
      <c r="C291" t="str">
        <f>RAW_GAMES!E291</f>
        <v>PLZ</v>
      </c>
      <c r="D291" s="7">
        <f>RAW_GAMES!O291</f>
        <v>2</v>
      </c>
      <c r="E291">
        <f>RAW_GAMES!N291</f>
        <v>0</v>
      </c>
      <c r="F291" s="7">
        <f>RAW_GAMES!Q291</f>
        <v>5</v>
      </c>
      <c r="G291">
        <f>RAW_GAMES!P291</f>
        <v>0</v>
      </c>
    </row>
    <row r="292" spans="1:7" x14ac:dyDescent="0.25">
      <c r="A292" t="str">
        <f>RAW_GAMES!A292</f>
        <v>25/26</v>
      </c>
      <c r="B292" s="3">
        <f>RAW_GAMES!B292</f>
        <v>45970</v>
      </c>
      <c r="C292" t="str">
        <f>RAW_GAMES!E292</f>
        <v>SPA</v>
      </c>
      <c r="D292" s="7">
        <f>RAW_GAMES!O292</f>
        <v>3</v>
      </c>
      <c r="E292">
        <f>RAW_GAMES!N292</f>
        <v>1</v>
      </c>
      <c r="F292" s="7">
        <f>RAW_GAMES!Q292</f>
        <v>4</v>
      </c>
      <c r="G292">
        <f>RAW_GAMES!P292</f>
        <v>0</v>
      </c>
    </row>
    <row r="293" spans="1:7" x14ac:dyDescent="0.25">
      <c r="A293" t="str">
        <f>RAW_GAMES!A293</f>
        <v>25/26</v>
      </c>
      <c r="B293" s="3">
        <f>RAW_GAMES!B293</f>
        <v>45970</v>
      </c>
      <c r="C293" t="str">
        <f>RAW_GAMES!E293</f>
        <v>LIB</v>
      </c>
      <c r="D293" s="7">
        <f>RAW_GAMES!O293</f>
        <v>4</v>
      </c>
      <c r="E293">
        <f>RAW_GAMES!N293</f>
        <v>0</v>
      </c>
      <c r="F293" s="7">
        <f>RAW_GAMES!Q293</f>
        <v>3</v>
      </c>
      <c r="G293">
        <f>RAW_GAMES!P293</f>
        <v>1</v>
      </c>
    </row>
    <row r="294" spans="1:7" x14ac:dyDescent="0.25">
      <c r="A294" t="str">
        <f>RAW_GAMES!A294</f>
        <v>25/26</v>
      </c>
      <c r="B294" s="3">
        <f>RAW_GAMES!B294</f>
        <v>45973</v>
      </c>
      <c r="C294" t="str">
        <f>RAW_GAMES!E294</f>
        <v>CEB</v>
      </c>
      <c r="D294" s="7">
        <f>RAW_GAMES!O294</f>
        <v>2</v>
      </c>
      <c r="E294">
        <f>RAW_GAMES!N294</f>
        <v>0</v>
      </c>
      <c r="F294" s="7">
        <f>RAW_GAMES!Q294</f>
        <v>3</v>
      </c>
      <c r="G294">
        <f>RAW_GAMES!P294</f>
        <v>0</v>
      </c>
    </row>
    <row r="295" spans="1:7" x14ac:dyDescent="0.25">
      <c r="A295" t="str">
        <f>RAW_GAMES!A295</f>
        <v>25/26</v>
      </c>
      <c r="B295" s="3">
        <f>RAW_GAMES!B295</f>
        <v>45973</v>
      </c>
      <c r="C295" t="str">
        <f>RAW_GAMES!E295</f>
        <v>LIB</v>
      </c>
      <c r="D295" s="7">
        <f>RAW_GAMES!O295</f>
        <v>7</v>
      </c>
      <c r="E295">
        <f>RAW_GAMES!N295</f>
        <v>1</v>
      </c>
      <c r="F295" s="7">
        <f>RAW_GAMES!Q295</f>
        <v>4</v>
      </c>
      <c r="G295">
        <f>RAW_GAMES!P295</f>
        <v>0</v>
      </c>
    </row>
    <row r="296" spans="1:7" x14ac:dyDescent="0.25">
      <c r="A296" t="str">
        <f>RAW_GAMES!A296</f>
        <v>25/26</v>
      </c>
      <c r="B296" s="3">
        <f>RAW_GAMES!B296</f>
        <v>45973</v>
      </c>
      <c r="C296" t="str">
        <f>RAW_GAMES!E296</f>
        <v>OLO</v>
      </c>
      <c r="D296" s="7">
        <f>RAW_GAMES!O296</f>
        <v>4</v>
      </c>
      <c r="E296">
        <f>RAW_GAMES!N296</f>
        <v>0</v>
      </c>
      <c r="F296" s="7">
        <f>RAW_GAMES!Q296</f>
        <v>7</v>
      </c>
      <c r="G296">
        <f>RAW_GAMES!P296</f>
        <v>1</v>
      </c>
    </row>
    <row r="297" spans="1:7" x14ac:dyDescent="0.25">
      <c r="A297" t="str">
        <f>RAW_GAMES!A297</f>
        <v>25/26</v>
      </c>
      <c r="B297" s="3">
        <f>RAW_GAMES!B297</f>
        <v>45973</v>
      </c>
      <c r="C297" t="str">
        <f>RAW_GAMES!E297</f>
        <v>VIT</v>
      </c>
      <c r="D297" s="7">
        <f>RAW_GAMES!O297</f>
        <v>3</v>
      </c>
      <c r="E297">
        <f>RAW_GAMES!N297</f>
        <v>0</v>
      </c>
      <c r="F297" s="7">
        <f>RAW_GAMES!Q297</f>
        <v>2</v>
      </c>
      <c r="G297">
        <f>RAW_GAMES!P297</f>
        <v>0</v>
      </c>
    </row>
    <row r="298" spans="1:7" x14ac:dyDescent="0.25">
      <c r="A298" t="str">
        <f>RAW_GAMES!A298</f>
        <v>25/26</v>
      </c>
      <c r="B298" s="3">
        <f>RAW_GAMES!B298</f>
        <v>45975</v>
      </c>
      <c r="C298" t="str">
        <f>RAW_GAMES!E298</f>
        <v>TRI</v>
      </c>
      <c r="D298" s="7">
        <f>RAW_GAMES!O298</f>
        <v>2</v>
      </c>
      <c r="E298">
        <f>RAW_GAMES!N298</f>
        <v>0</v>
      </c>
      <c r="F298" s="7">
        <f>RAW_GAMES!Q298</f>
        <v>5</v>
      </c>
      <c r="G298">
        <f>RAW_GAMES!P298</f>
        <v>2</v>
      </c>
    </row>
    <row r="299" spans="1:7" x14ac:dyDescent="0.25">
      <c r="A299" t="str">
        <f>RAW_GAMES!A299</f>
        <v>25/26</v>
      </c>
      <c r="B299" s="3">
        <f>RAW_GAMES!B299</f>
        <v>45975</v>
      </c>
      <c r="C299" t="str">
        <f>RAW_GAMES!E299</f>
        <v>SPA</v>
      </c>
      <c r="D299" s="7">
        <f>RAW_GAMES!O299</f>
        <v>4</v>
      </c>
      <c r="E299">
        <f>RAW_GAMES!N299</f>
        <v>0</v>
      </c>
      <c r="F299" s="7">
        <f>RAW_GAMES!Q299</f>
        <v>6</v>
      </c>
      <c r="G299">
        <f>RAW_GAMES!P299</f>
        <v>2</v>
      </c>
    </row>
    <row r="300" spans="1:7" x14ac:dyDescent="0.25">
      <c r="A300" t="str">
        <f>RAW_GAMES!A300</f>
        <v>25/26</v>
      </c>
      <c r="B300" s="3">
        <f>RAW_GAMES!B300</f>
        <v>45975</v>
      </c>
      <c r="C300" t="str">
        <f>RAW_GAMES!E300</f>
        <v>CEB</v>
      </c>
      <c r="D300" s="7">
        <f>RAW_GAMES!O300</f>
        <v>5</v>
      </c>
      <c r="E300">
        <f>RAW_GAMES!N300</f>
        <v>0</v>
      </c>
      <c r="F300" s="7">
        <f>RAW_GAMES!Q300</f>
        <v>4</v>
      </c>
      <c r="G300">
        <f>RAW_GAMES!P300</f>
        <v>0</v>
      </c>
    </row>
    <row r="301" spans="1:7" x14ac:dyDescent="0.25">
      <c r="A301" t="str">
        <f>RAW_GAMES!A301</f>
        <v>25/26</v>
      </c>
      <c r="B301" s="3">
        <f>RAW_GAMES!B301</f>
        <v>45975</v>
      </c>
      <c r="C301" t="str">
        <f>RAW_GAMES!E301</f>
        <v>KLA</v>
      </c>
      <c r="D301" s="7">
        <f>RAW_GAMES!O301</f>
        <v>5</v>
      </c>
      <c r="E301">
        <f>RAW_GAMES!N301</f>
        <v>2</v>
      </c>
      <c r="F301" s="7">
        <f>RAW_GAMES!Q301</f>
        <v>2</v>
      </c>
      <c r="G301">
        <f>RAW_GAMES!P301</f>
        <v>0</v>
      </c>
    </row>
    <row r="302" spans="1:7" x14ac:dyDescent="0.25">
      <c r="A302" t="str">
        <f>RAW_GAMES!A302</f>
        <v>25/26</v>
      </c>
      <c r="B302" s="3">
        <f>RAW_GAMES!B302</f>
        <v>45975</v>
      </c>
      <c r="C302" t="str">
        <f>RAW_GAMES!E302</f>
        <v>KVA</v>
      </c>
      <c r="D302" s="7">
        <f>RAW_GAMES!O302</f>
        <v>6</v>
      </c>
      <c r="E302">
        <f>RAW_GAMES!N302</f>
        <v>1</v>
      </c>
      <c r="F302" s="7">
        <f>RAW_GAMES!Q302</f>
        <v>5</v>
      </c>
      <c r="G302">
        <f>RAW_GAMES!P302</f>
        <v>1</v>
      </c>
    </row>
    <row r="303" spans="1:7" x14ac:dyDescent="0.25">
      <c r="A303" t="str">
        <f>RAW_GAMES!A303</f>
        <v>25/26</v>
      </c>
      <c r="B303" s="3">
        <f>RAW_GAMES!B303</f>
        <v>45975</v>
      </c>
      <c r="C303" t="str">
        <f>RAW_GAMES!E303</f>
        <v>LIB</v>
      </c>
      <c r="D303" s="7">
        <f>RAW_GAMES!O303</f>
        <v>6</v>
      </c>
      <c r="E303">
        <f>RAW_GAMES!N303</f>
        <v>2</v>
      </c>
      <c r="F303" s="7">
        <f>RAW_GAMES!Q303</f>
        <v>4</v>
      </c>
      <c r="G303">
        <f>RAW_GAMES!P303</f>
        <v>0</v>
      </c>
    </row>
    <row r="304" spans="1:7" x14ac:dyDescent="0.25">
      <c r="A304" t="str">
        <f>RAW_GAMES!A304</f>
        <v>25/26</v>
      </c>
      <c r="B304" s="3">
        <f>RAW_GAMES!B304</f>
        <v>45975</v>
      </c>
      <c r="C304" t="str">
        <f>RAW_GAMES!E304</f>
        <v>LIT</v>
      </c>
      <c r="D304" s="7">
        <f>RAW_GAMES!O304</f>
        <v>4</v>
      </c>
      <c r="E304">
        <f>RAW_GAMES!N304</f>
        <v>0</v>
      </c>
      <c r="F304" s="7">
        <f>RAW_GAMES!Q304</f>
        <v>5</v>
      </c>
      <c r="G304">
        <f>RAW_GAMES!P304</f>
        <v>0</v>
      </c>
    </row>
    <row r="305" spans="1:7" x14ac:dyDescent="0.25">
      <c r="A305" t="str">
        <f>RAW_GAMES!A305</f>
        <v>25/26</v>
      </c>
      <c r="B305" s="3">
        <f>RAW_GAMES!B305</f>
        <v>45975</v>
      </c>
      <c r="C305" t="str">
        <f>RAW_GAMES!E305</f>
        <v>MBL</v>
      </c>
      <c r="D305" s="7">
        <f>RAW_GAMES!O305</f>
        <v>3</v>
      </c>
      <c r="E305">
        <f>RAW_GAMES!N305</f>
        <v>1</v>
      </c>
      <c r="F305" s="7">
        <f>RAW_GAMES!Q305</f>
        <v>4</v>
      </c>
      <c r="G305">
        <f>RAW_GAMES!P305</f>
        <v>1</v>
      </c>
    </row>
    <row r="306" spans="1:7" x14ac:dyDescent="0.25">
      <c r="A306" t="str">
        <f>RAW_GAMES!A306</f>
        <v>25/26</v>
      </c>
      <c r="B306" s="3">
        <f>RAW_GAMES!B306</f>
        <v>45975</v>
      </c>
      <c r="C306" t="str">
        <f>RAW_GAMES!E306</f>
        <v>MHK</v>
      </c>
      <c r="D306" s="7">
        <f>RAW_GAMES!O306</f>
        <v>5</v>
      </c>
      <c r="E306">
        <f>RAW_GAMES!N306</f>
        <v>0</v>
      </c>
      <c r="F306" s="7">
        <f>RAW_GAMES!Q306</f>
        <v>5</v>
      </c>
      <c r="G306">
        <f>RAW_GAMES!P306</f>
        <v>0</v>
      </c>
    </row>
    <row r="307" spans="1:7" x14ac:dyDescent="0.25">
      <c r="A307" t="str">
        <f>RAW_GAMES!A307</f>
        <v>25/26</v>
      </c>
      <c r="B307" s="3">
        <f>RAW_GAMES!B307</f>
        <v>45975</v>
      </c>
      <c r="C307" t="str">
        <f>RAW_GAMES!E307</f>
        <v>OLO</v>
      </c>
      <c r="D307" s="7">
        <f>RAW_GAMES!O307</f>
        <v>4</v>
      </c>
      <c r="E307">
        <f>RAW_GAMES!N307</f>
        <v>1</v>
      </c>
      <c r="F307" s="7">
        <f>RAW_GAMES!Q307</f>
        <v>3</v>
      </c>
      <c r="G307">
        <f>RAW_GAMES!P307</f>
        <v>1</v>
      </c>
    </row>
    <row r="308" spans="1:7" x14ac:dyDescent="0.25">
      <c r="A308" t="str">
        <f>RAW_GAMES!A308</f>
        <v>25/26</v>
      </c>
      <c r="B308" s="3">
        <f>RAW_GAMES!B308</f>
        <v>45975</v>
      </c>
      <c r="C308" t="str">
        <f>RAW_GAMES!E308</f>
        <v>PLZ</v>
      </c>
      <c r="D308" s="7">
        <f>RAW_GAMES!O308</f>
        <v>5</v>
      </c>
      <c r="E308">
        <f>RAW_GAMES!N308</f>
        <v>1</v>
      </c>
      <c r="F308" s="7">
        <f>RAW_GAMES!Q308</f>
        <v>6</v>
      </c>
      <c r="G308">
        <f>RAW_GAMES!P308</f>
        <v>1</v>
      </c>
    </row>
    <row r="309" spans="1:7" x14ac:dyDescent="0.25">
      <c r="A309" t="str">
        <f>RAW_GAMES!A309</f>
        <v>25/26</v>
      </c>
      <c r="B309" s="3">
        <f>RAW_GAMES!B309</f>
        <v>45975</v>
      </c>
      <c r="C309" t="str">
        <f>RAW_GAMES!E309</f>
        <v>VIT</v>
      </c>
      <c r="D309" s="7">
        <f>RAW_GAMES!O309</f>
        <v>5</v>
      </c>
      <c r="E309">
        <f>RAW_GAMES!N309</f>
        <v>0</v>
      </c>
      <c r="F309" s="7">
        <f>RAW_GAMES!Q309</f>
        <v>5</v>
      </c>
      <c r="G309">
        <f>RAW_GAMES!P309</f>
        <v>0</v>
      </c>
    </row>
    <row r="310" spans="1:7" x14ac:dyDescent="0.25">
      <c r="A310" t="str">
        <f>RAW_GAMES!A310</f>
        <v>25/26</v>
      </c>
      <c r="B310" s="3">
        <f>RAW_GAMES!B310</f>
        <v>45977</v>
      </c>
      <c r="C310" t="str">
        <f>RAW_GAMES!E310</f>
        <v>PCE</v>
      </c>
      <c r="D310" s="7">
        <f>RAW_GAMES!O310</f>
        <v>4</v>
      </c>
      <c r="E310">
        <f>RAW_GAMES!N310</f>
        <v>1</v>
      </c>
      <c r="F310" s="7">
        <f>RAW_GAMES!Q310</f>
        <v>6</v>
      </c>
      <c r="G310">
        <f>RAW_GAMES!P310</f>
        <v>0</v>
      </c>
    </row>
    <row r="311" spans="1:7" x14ac:dyDescent="0.25">
      <c r="A311" t="str">
        <f>RAW_GAMES!A311</f>
        <v>25/26</v>
      </c>
      <c r="B311" s="3">
        <f>RAW_GAMES!B311</f>
        <v>45977</v>
      </c>
      <c r="C311" t="str">
        <f>RAW_GAMES!E311</f>
        <v>TRI</v>
      </c>
      <c r="D311" s="7">
        <f>RAW_GAMES!O311</f>
        <v>2</v>
      </c>
      <c r="E311">
        <f>RAW_GAMES!N311</f>
        <v>0</v>
      </c>
      <c r="F311" s="7">
        <f>RAW_GAMES!Q311</f>
        <v>5</v>
      </c>
      <c r="G311">
        <f>RAW_GAMES!P311</f>
        <v>0</v>
      </c>
    </row>
    <row r="312" spans="1:7" x14ac:dyDescent="0.25">
      <c r="A312" t="str">
        <f>RAW_GAMES!A312</f>
        <v>25/26</v>
      </c>
      <c r="B312" s="3">
        <f>RAW_GAMES!B312</f>
        <v>45977</v>
      </c>
      <c r="C312" t="str">
        <f>RAW_GAMES!E312</f>
        <v>SPA</v>
      </c>
      <c r="D312" s="7">
        <f>RAW_GAMES!O312</f>
        <v>3</v>
      </c>
      <c r="E312">
        <f>RAW_GAMES!N312</f>
        <v>2</v>
      </c>
      <c r="F312" s="7">
        <f>RAW_GAMES!Q312</f>
        <v>5</v>
      </c>
      <c r="G312">
        <f>RAW_GAMES!P312</f>
        <v>3</v>
      </c>
    </row>
    <row r="313" spans="1:7" x14ac:dyDescent="0.25">
      <c r="A313" t="str">
        <f>RAW_GAMES!A313</f>
        <v>25/26</v>
      </c>
      <c r="B313" s="3">
        <f>RAW_GAMES!B313</f>
        <v>45977</v>
      </c>
      <c r="C313" t="str">
        <f>RAW_GAMES!E313</f>
        <v>KOM</v>
      </c>
      <c r="D313" s="7">
        <f>RAW_GAMES!O313</f>
        <v>5</v>
      </c>
      <c r="E313">
        <f>RAW_GAMES!N313</f>
        <v>0</v>
      </c>
      <c r="F313" s="7">
        <f>RAW_GAMES!Q313</f>
        <v>2</v>
      </c>
      <c r="G313">
        <f>RAW_GAMES!P313</f>
        <v>0</v>
      </c>
    </row>
    <row r="314" spans="1:7" x14ac:dyDescent="0.25">
      <c r="A314" t="str">
        <f>RAW_GAMES!A314</f>
        <v>25/26</v>
      </c>
      <c r="B314" s="3">
        <f>RAW_GAMES!B314</f>
        <v>45977</v>
      </c>
      <c r="C314" t="str">
        <f>RAW_GAMES!E314</f>
        <v>KLA</v>
      </c>
      <c r="D314" s="7">
        <f>RAW_GAMES!O314</f>
        <v>6</v>
      </c>
      <c r="E314">
        <f>RAW_GAMES!N314</f>
        <v>0</v>
      </c>
      <c r="F314" s="7">
        <f>RAW_GAMES!Q314</f>
        <v>4</v>
      </c>
      <c r="G314">
        <f>RAW_GAMES!P314</f>
        <v>1</v>
      </c>
    </row>
    <row r="315" spans="1:7" x14ac:dyDescent="0.25">
      <c r="A315" t="str">
        <f>RAW_GAMES!A315</f>
        <v>25/26</v>
      </c>
      <c r="B315" s="3">
        <f>RAW_GAMES!B315</f>
        <v>45977</v>
      </c>
      <c r="C315" t="str">
        <f>RAW_GAMES!E315</f>
        <v>KVA</v>
      </c>
      <c r="D315" s="7">
        <f>RAW_GAMES!O315</f>
        <v>4</v>
      </c>
      <c r="E315">
        <f>RAW_GAMES!N315</f>
        <v>1</v>
      </c>
      <c r="F315" s="7">
        <f>RAW_GAMES!Q315</f>
        <v>6</v>
      </c>
      <c r="G315">
        <f>RAW_GAMES!P315</f>
        <v>0</v>
      </c>
    </row>
    <row r="316" spans="1:7" x14ac:dyDescent="0.25">
      <c r="A316" t="str">
        <f>RAW_GAMES!A316</f>
        <v>25/26</v>
      </c>
      <c r="B316" s="3">
        <f>RAW_GAMES!B316</f>
        <v>45977</v>
      </c>
      <c r="C316" t="str">
        <f>RAW_GAMES!E316</f>
        <v>LIB</v>
      </c>
      <c r="D316" s="7">
        <f>RAW_GAMES!O316</f>
        <v>5</v>
      </c>
      <c r="E316">
        <f>RAW_GAMES!N316</f>
        <v>0</v>
      </c>
      <c r="F316" s="7">
        <f>RAW_GAMES!Q316</f>
        <v>6</v>
      </c>
      <c r="G316">
        <f>RAW_GAMES!P316</f>
        <v>1</v>
      </c>
    </row>
    <row r="317" spans="1:7" x14ac:dyDescent="0.25">
      <c r="A317" t="str">
        <f>RAW_GAMES!A317</f>
        <v>25/26</v>
      </c>
      <c r="B317" s="3">
        <f>RAW_GAMES!B317</f>
        <v>45977</v>
      </c>
      <c r="C317" t="str">
        <f>RAW_GAMES!E317</f>
        <v>LIT</v>
      </c>
      <c r="D317" s="7">
        <f>RAW_GAMES!O317</f>
        <v>6</v>
      </c>
      <c r="E317">
        <f>RAW_GAMES!N317</f>
        <v>0</v>
      </c>
      <c r="F317" s="7">
        <f>RAW_GAMES!Q317</f>
        <v>4</v>
      </c>
      <c r="G317">
        <f>RAW_GAMES!P317</f>
        <v>1</v>
      </c>
    </row>
    <row r="318" spans="1:7" x14ac:dyDescent="0.25">
      <c r="A318" t="str">
        <f>RAW_GAMES!A318</f>
        <v>25/26</v>
      </c>
      <c r="B318" s="3">
        <f>RAW_GAMES!B318</f>
        <v>45977</v>
      </c>
      <c r="C318" t="str">
        <f>RAW_GAMES!E318</f>
        <v>MBL</v>
      </c>
      <c r="D318" s="7">
        <f>RAW_GAMES!O318</f>
        <v>6</v>
      </c>
      <c r="E318">
        <f>RAW_GAMES!N318</f>
        <v>1</v>
      </c>
      <c r="F318" s="7">
        <f>RAW_GAMES!Q318</f>
        <v>5</v>
      </c>
      <c r="G318">
        <f>RAW_GAMES!P318</f>
        <v>0</v>
      </c>
    </row>
    <row r="319" spans="1:7" x14ac:dyDescent="0.25">
      <c r="A319" t="str">
        <f>RAW_GAMES!A319</f>
        <v>25/26</v>
      </c>
      <c r="B319" s="3">
        <f>RAW_GAMES!B319</f>
        <v>45977</v>
      </c>
      <c r="C319" t="str">
        <f>RAW_GAMES!E319</f>
        <v>PLZ</v>
      </c>
      <c r="D319" s="7">
        <f>RAW_GAMES!O319</f>
        <v>5</v>
      </c>
      <c r="E319">
        <f>RAW_GAMES!N319</f>
        <v>3</v>
      </c>
      <c r="F319" s="7">
        <f>RAW_GAMES!Q319</f>
        <v>3</v>
      </c>
      <c r="G319">
        <f>RAW_GAMES!P319</f>
        <v>2</v>
      </c>
    </row>
    <row r="320" spans="1:7" x14ac:dyDescent="0.25">
      <c r="A320" t="str">
        <f>RAW_GAMES!A320</f>
        <v>25/26</v>
      </c>
      <c r="B320" s="3">
        <f>RAW_GAMES!B320</f>
        <v>45978</v>
      </c>
      <c r="C320" t="str">
        <f>RAW_GAMES!E320</f>
        <v>MHK</v>
      </c>
      <c r="D320" s="7">
        <f>RAW_GAMES!O320</f>
        <v>4</v>
      </c>
      <c r="E320">
        <f>RAW_GAMES!N320</f>
        <v>2</v>
      </c>
      <c r="F320" s="7">
        <f>RAW_GAMES!Q320</f>
        <v>7</v>
      </c>
      <c r="G320">
        <f>RAW_GAMES!P320</f>
        <v>1</v>
      </c>
    </row>
    <row r="321" spans="1:7" x14ac:dyDescent="0.25">
      <c r="A321" t="str">
        <f>RAW_GAMES!A321</f>
        <v>25/26</v>
      </c>
      <c r="B321" s="3">
        <f>RAW_GAMES!B321</f>
        <v>45978</v>
      </c>
      <c r="C321" t="str">
        <f>RAW_GAMES!E321</f>
        <v>OLO</v>
      </c>
      <c r="D321" s="7">
        <f>RAW_GAMES!O321</f>
        <v>7</v>
      </c>
      <c r="E321">
        <f>RAW_GAMES!N321</f>
        <v>1</v>
      </c>
      <c r="F321" s="7">
        <f>RAW_GAMES!Q321</f>
        <v>4</v>
      </c>
      <c r="G321">
        <f>RAW_GAMES!P321</f>
        <v>2</v>
      </c>
    </row>
    <row r="322" spans="1:7" x14ac:dyDescent="0.25">
      <c r="A322" t="str">
        <f>RAW_GAMES!A322</f>
        <v>25/26</v>
      </c>
      <c r="B322" s="3">
        <f>RAW_GAMES!B322</f>
        <v>45981</v>
      </c>
      <c r="C322" t="str">
        <f>RAW_GAMES!E322</f>
        <v>PCE</v>
      </c>
      <c r="D322" s="7">
        <f>RAW_GAMES!O322</f>
        <v>4</v>
      </c>
      <c r="E322">
        <f>RAW_GAMES!N322</f>
        <v>1</v>
      </c>
      <c r="F322" s="7">
        <f>RAW_GAMES!Q322</f>
        <v>6</v>
      </c>
      <c r="G322">
        <f>RAW_GAMES!P322</f>
        <v>0</v>
      </c>
    </row>
    <row r="323" spans="1:7" x14ac:dyDescent="0.25">
      <c r="A323" t="str">
        <f>RAW_GAMES!A323</f>
        <v>25/26</v>
      </c>
      <c r="B323" s="3">
        <f>RAW_GAMES!B323</f>
        <v>45981</v>
      </c>
      <c r="C323" t="str">
        <f>RAW_GAMES!E323</f>
        <v>TRI</v>
      </c>
      <c r="D323" s="7">
        <f>RAW_GAMES!O323</f>
        <v>2</v>
      </c>
      <c r="E323">
        <f>RAW_GAMES!N323</f>
        <v>1</v>
      </c>
      <c r="F323" s="7">
        <f>RAW_GAMES!Q323</f>
        <v>2</v>
      </c>
      <c r="G323">
        <f>RAW_GAMES!P323</f>
        <v>1</v>
      </c>
    </row>
    <row r="324" spans="1:7" x14ac:dyDescent="0.25">
      <c r="A324" t="str">
        <f>RAW_GAMES!A324</f>
        <v>25/26</v>
      </c>
      <c r="B324" s="3">
        <f>RAW_GAMES!B324</f>
        <v>45981</v>
      </c>
      <c r="C324" t="str">
        <f>RAW_GAMES!E324</f>
        <v>KVA</v>
      </c>
      <c r="D324" s="7">
        <f>RAW_GAMES!O324</f>
        <v>6</v>
      </c>
      <c r="E324">
        <f>RAW_GAMES!N324</f>
        <v>0</v>
      </c>
      <c r="F324" s="7">
        <f>RAW_GAMES!Q324</f>
        <v>4</v>
      </c>
      <c r="G324">
        <f>RAW_GAMES!P324</f>
        <v>1</v>
      </c>
    </row>
    <row r="325" spans="1:7" x14ac:dyDescent="0.25">
      <c r="A325" t="str">
        <f>RAW_GAMES!A325</f>
        <v>25/26</v>
      </c>
      <c r="B325" s="3">
        <f>RAW_GAMES!B325</f>
        <v>45981</v>
      </c>
      <c r="C325" t="str">
        <f>RAW_GAMES!E325</f>
        <v>LIT</v>
      </c>
      <c r="D325" s="7">
        <f>RAW_GAMES!O325</f>
        <v>1</v>
      </c>
      <c r="E325">
        <f>RAW_GAMES!N325</f>
        <v>0</v>
      </c>
      <c r="F325" s="7">
        <f>RAW_GAMES!Q325</f>
        <v>4</v>
      </c>
      <c r="G325">
        <f>RAW_GAMES!P325</f>
        <v>2</v>
      </c>
    </row>
    <row r="326" spans="1:7" x14ac:dyDescent="0.25">
      <c r="A326" t="str">
        <f>RAW_GAMES!A326</f>
        <v>25/26</v>
      </c>
      <c r="B326" s="3">
        <f>RAW_GAMES!B326</f>
        <v>45981</v>
      </c>
      <c r="C326" t="str">
        <f>RAW_GAMES!E326</f>
        <v>PLZ</v>
      </c>
      <c r="D326" s="7">
        <f>RAW_GAMES!O326</f>
        <v>4</v>
      </c>
      <c r="E326">
        <f>RAW_GAMES!N326</f>
        <v>2</v>
      </c>
      <c r="F326" s="7">
        <f>RAW_GAMES!Q326</f>
        <v>1</v>
      </c>
      <c r="G326">
        <f>RAW_GAMES!P326</f>
        <v>0</v>
      </c>
    </row>
    <row r="327" spans="1:7" x14ac:dyDescent="0.25">
      <c r="A327" t="str">
        <f>RAW_GAMES!A327</f>
        <v>25/26</v>
      </c>
      <c r="B327" s="3">
        <f>RAW_GAMES!B327</f>
        <v>45981</v>
      </c>
      <c r="C327" t="str">
        <f>RAW_GAMES!E327</f>
        <v>VIT</v>
      </c>
      <c r="D327" s="7">
        <f>RAW_GAMES!O327</f>
        <v>2</v>
      </c>
      <c r="E327">
        <f>RAW_GAMES!N327</f>
        <v>1</v>
      </c>
      <c r="F327" s="7">
        <f>RAW_GAMES!Q327</f>
        <v>2</v>
      </c>
      <c r="G327">
        <f>RAW_GAMES!P327</f>
        <v>1</v>
      </c>
    </row>
    <row r="328" spans="1:7" x14ac:dyDescent="0.25">
      <c r="A328" t="str">
        <f>RAW_GAMES!A328</f>
        <v>25/26</v>
      </c>
      <c r="B328" s="3">
        <f>RAW_GAMES!B328</f>
        <v>45982</v>
      </c>
      <c r="C328" t="str">
        <f>RAW_GAMES!E328</f>
        <v>SPA</v>
      </c>
      <c r="D328" s="7">
        <f>RAW_GAMES!O328</f>
        <v>4</v>
      </c>
      <c r="E328">
        <f>RAW_GAMES!N328</f>
        <v>0</v>
      </c>
      <c r="F328" s="7">
        <f>RAW_GAMES!Q328</f>
        <v>7</v>
      </c>
      <c r="G328">
        <f>RAW_GAMES!P328</f>
        <v>0</v>
      </c>
    </row>
    <row r="329" spans="1:7" x14ac:dyDescent="0.25">
      <c r="A329" t="str">
        <f>RAW_GAMES!A329</f>
        <v>25/26</v>
      </c>
      <c r="B329" s="3">
        <f>RAW_GAMES!B329</f>
        <v>45982</v>
      </c>
      <c r="C329" t="str">
        <f>RAW_GAMES!E329</f>
        <v>KOM</v>
      </c>
      <c r="D329" s="7">
        <f>RAW_GAMES!O329</f>
        <v>2</v>
      </c>
      <c r="E329">
        <f>RAW_GAMES!N329</f>
        <v>1</v>
      </c>
      <c r="F329" s="7">
        <f>RAW_GAMES!Q329</f>
        <v>3</v>
      </c>
      <c r="G329">
        <f>RAW_GAMES!P329</f>
        <v>1</v>
      </c>
    </row>
    <row r="330" spans="1:7" x14ac:dyDescent="0.25">
      <c r="A330" t="str">
        <f>RAW_GAMES!A330</f>
        <v>25/26</v>
      </c>
      <c r="B330" s="3">
        <f>RAW_GAMES!B330</f>
        <v>45982</v>
      </c>
      <c r="C330" t="str">
        <f>RAW_GAMES!E330</f>
        <v>CEB</v>
      </c>
      <c r="D330" s="7">
        <f>RAW_GAMES!O330</f>
        <v>3</v>
      </c>
      <c r="E330">
        <f>RAW_GAMES!N330</f>
        <v>1</v>
      </c>
      <c r="F330" s="7">
        <f>RAW_GAMES!Q330</f>
        <v>3</v>
      </c>
      <c r="G330">
        <f>RAW_GAMES!P330</f>
        <v>1</v>
      </c>
    </row>
    <row r="331" spans="1:7" x14ac:dyDescent="0.25">
      <c r="A331" t="str">
        <f>RAW_GAMES!A331</f>
        <v>25/26</v>
      </c>
      <c r="B331" s="3">
        <f>RAW_GAMES!B331</f>
        <v>45982</v>
      </c>
      <c r="C331" t="str">
        <f>RAW_GAMES!E331</f>
        <v>KLA</v>
      </c>
      <c r="D331" s="7">
        <f>RAW_GAMES!O331</f>
        <v>3</v>
      </c>
      <c r="E331">
        <f>RAW_GAMES!N331</f>
        <v>1</v>
      </c>
      <c r="F331" s="7">
        <f>RAW_GAMES!Q331</f>
        <v>2</v>
      </c>
      <c r="G331">
        <f>RAW_GAMES!P331</f>
        <v>1</v>
      </c>
    </row>
    <row r="332" spans="1:7" x14ac:dyDescent="0.25">
      <c r="A332" t="str">
        <f>RAW_GAMES!A332</f>
        <v>25/26</v>
      </c>
      <c r="B332" s="3">
        <f>RAW_GAMES!B332</f>
        <v>45982</v>
      </c>
      <c r="C332" t="str">
        <f>RAW_GAMES!E332</f>
        <v>MBL</v>
      </c>
      <c r="D332" s="7">
        <f>RAW_GAMES!O332</f>
        <v>3</v>
      </c>
      <c r="E332">
        <f>RAW_GAMES!N332</f>
        <v>1</v>
      </c>
      <c r="F332" s="7">
        <f>RAW_GAMES!Q332</f>
        <v>3</v>
      </c>
      <c r="G332">
        <f>RAW_GAMES!P332</f>
        <v>1</v>
      </c>
    </row>
    <row r="333" spans="1:7" x14ac:dyDescent="0.25">
      <c r="A333" t="str">
        <f>RAW_GAMES!A333</f>
        <v>25/26</v>
      </c>
      <c r="B333" s="3">
        <f>RAW_GAMES!B333</f>
        <v>45982</v>
      </c>
      <c r="C333" t="str">
        <f>RAW_GAMES!E333</f>
        <v>MHK</v>
      </c>
      <c r="D333" s="7">
        <f>RAW_GAMES!O333</f>
        <v>7</v>
      </c>
      <c r="E333">
        <f>RAW_GAMES!N333</f>
        <v>0</v>
      </c>
      <c r="F333" s="7">
        <f>RAW_GAMES!Q333</f>
        <v>4</v>
      </c>
      <c r="G333">
        <f>RAW_GAMES!P333</f>
        <v>0</v>
      </c>
    </row>
    <row r="334" spans="1:7" x14ac:dyDescent="0.25">
      <c r="A334" t="str">
        <f>RAW_GAMES!A334</f>
        <v>25/26</v>
      </c>
      <c r="B334" s="3">
        <f>RAW_GAMES!B334</f>
        <v>45984</v>
      </c>
      <c r="C334" t="str">
        <f>RAW_GAMES!E334</f>
        <v>PCE</v>
      </c>
      <c r="D334" s="7">
        <f>RAW_GAMES!O334</f>
        <v>6</v>
      </c>
      <c r="E334">
        <f>RAW_GAMES!N334</f>
        <v>1</v>
      </c>
      <c r="F334" s="7">
        <f>RAW_GAMES!Q334</f>
        <v>6</v>
      </c>
      <c r="G334">
        <f>RAW_GAMES!P334</f>
        <v>1</v>
      </c>
    </row>
    <row r="335" spans="1:7" x14ac:dyDescent="0.25">
      <c r="A335" t="str">
        <f>RAW_GAMES!A335</f>
        <v>25/26</v>
      </c>
      <c r="B335" s="3">
        <f>RAW_GAMES!B335</f>
        <v>45984</v>
      </c>
      <c r="C335" t="str">
        <f>RAW_GAMES!E335</f>
        <v>TRI</v>
      </c>
      <c r="D335" s="7">
        <f>RAW_GAMES!O335</f>
        <v>9</v>
      </c>
      <c r="E335">
        <f>RAW_GAMES!N335</f>
        <v>2</v>
      </c>
      <c r="F335" s="7">
        <f>RAW_GAMES!Q335</f>
        <v>8</v>
      </c>
      <c r="G335">
        <f>RAW_GAMES!P335</f>
        <v>1</v>
      </c>
    </row>
    <row r="336" spans="1:7" x14ac:dyDescent="0.25">
      <c r="A336" t="str">
        <f>RAW_GAMES!A336</f>
        <v>25/26</v>
      </c>
      <c r="B336" s="3">
        <f>RAW_GAMES!B336</f>
        <v>45984</v>
      </c>
      <c r="C336" t="str">
        <f>RAW_GAMES!E336</f>
        <v>SPA</v>
      </c>
      <c r="D336" s="7">
        <f>RAW_GAMES!O336</f>
        <v>3</v>
      </c>
      <c r="E336">
        <f>RAW_GAMES!N336</f>
        <v>2</v>
      </c>
      <c r="F336" s="7">
        <f>RAW_GAMES!Q336</f>
        <v>7</v>
      </c>
      <c r="G336">
        <f>RAW_GAMES!P336</f>
        <v>1</v>
      </c>
    </row>
    <row r="337" spans="1:7" x14ac:dyDescent="0.25">
      <c r="A337" t="str">
        <f>RAW_GAMES!A337</f>
        <v>25/26</v>
      </c>
      <c r="B337" s="3">
        <f>RAW_GAMES!B337</f>
        <v>45984</v>
      </c>
      <c r="C337" t="str">
        <f>RAW_GAMES!E337</f>
        <v>KOM</v>
      </c>
      <c r="D337" s="7">
        <f>RAW_GAMES!O337</f>
        <v>3</v>
      </c>
      <c r="E337">
        <f>RAW_GAMES!N337</f>
        <v>1</v>
      </c>
      <c r="F337" s="7">
        <f>RAW_GAMES!Q337</f>
        <v>5</v>
      </c>
      <c r="G337">
        <f>RAW_GAMES!P337</f>
        <v>2</v>
      </c>
    </row>
    <row r="338" spans="1:7" x14ac:dyDescent="0.25">
      <c r="A338" t="str">
        <f>RAW_GAMES!A338</f>
        <v>25/26</v>
      </c>
      <c r="B338" s="3">
        <f>RAW_GAMES!B338</f>
        <v>45984</v>
      </c>
      <c r="C338" t="str">
        <f>RAW_GAMES!E338</f>
        <v>CEB</v>
      </c>
      <c r="D338" s="7">
        <f>RAW_GAMES!O338</f>
        <v>3</v>
      </c>
      <c r="E338">
        <f>RAW_GAMES!N338</f>
        <v>2</v>
      </c>
      <c r="F338" s="7">
        <f>RAW_GAMES!Q338</f>
        <v>4</v>
      </c>
      <c r="G338">
        <f>RAW_GAMES!P338</f>
        <v>1</v>
      </c>
    </row>
    <row r="339" spans="1:7" x14ac:dyDescent="0.25">
      <c r="A339" t="str">
        <f>RAW_GAMES!A339</f>
        <v>25/26</v>
      </c>
      <c r="B339" s="3">
        <f>RAW_GAMES!B339</f>
        <v>45984</v>
      </c>
      <c r="C339" t="str">
        <f>RAW_GAMES!E339</f>
        <v>KLA</v>
      </c>
      <c r="D339" s="7">
        <f>RAW_GAMES!O339</f>
        <v>7</v>
      </c>
      <c r="E339">
        <f>RAW_GAMES!N339</f>
        <v>1</v>
      </c>
      <c r="F339" s="7">
        <f>RAW_GAMES!Q339</f>
        <v>3</v>
      </c>
      <c r="G339">
        <f>RAW_GAMES!P339</f>
        <v>2</v>
      </c>
    </row>
    <row r="340" spans="1:7" x14ac:dyDescent="0.25">
      <c r="A340" t="str">
        <f>RAW_GAMES!A340</f>
        <v>25/26</v>
      </c>
      <c r="B340" s="3">
        <f>RAW_GAMES!B340</f>
        <v>45984</v>
      </c>
      <c r="C340" t="str">
        <f>RAW_GAMES!E340</f>
        <v>KVA</v>
      </c>
      <c r="D340" s="7">
        <f>RAW_GAMES!O340</f>
        <v>5</v>
      </c>
      <c r="E340">
        <f>RAW_GAMES!N340</f>
        <v>2</v>
      </c>
      <c r="F340" s="7">
        <f>RAW_GAMES!Q340</f>
        <v>3</v>
      </c>
      <c r="G340">
        <f>RAW_GAMES!P340</f>
        <v>1</v>
      </c>
    </row>
    <row r="341" spans="1:7" x14ac:dyDescent="0.25">
      <c r="A341" t="str">
        <f>RAW_GAMES!A341</f>
        <v>25/26</v>
      </c>
      <c r="B341" s="3">
        <f>RAW_GAMES!B341</f>
        <v>45984</v>
      </c>
      <c r="C341" t="str">
        <f>RAW_GAMES!E341</f>
        <v>LIB</v>
      </c>
      <c r="D341" s="7">
        <f>RAW_GAMES!O341</f>
        <v>5</v>
      </c>
      <c r="E341">
        <f>RAW_GAMES!N341</f>
        <v>2</v>
      </c>
      <c r="F341" s="7">
        <f>RAW_GAMES!Q341</f>
        <v>1</v>
      </c>
      <c r="G341">
        <f>RAW_GAMES!P341</f>
        <v>1</v>
      </c>
    </row>
    <row r="342" spans="1:7" x14ac:dyDescent="0.25">
      <c r="A342" t="str">
        <f>RAW_GAMES!A342</f>
        <v>25/26</v>
      </c>
      <c r="B342" s="3">
        <f>RAW_GAMES!B342</f>
        <v>45984</v>
      </c>
      <c r="C342" t="str">
        <f>RAW_GAMES!E342</f>
        <v>LIT</v>
      </c>
      <c r="D342" s="7">
        <f>RAW_GAMES!O342</f>
        <v>8</v>
      </c>
      <c r="E342">
        <f>RAW_GAMES!N342</f>
        <v>1</v>
      </c>
      <c r="F342" s="7">
        <f>RAW_GAMES!Q342</f>
        <v>9</v>
      </c>
      <c r="G342">
        <f>RAW_GAMES!P342</f>
        <v>2</v>
      </c>
    </row>
    <row r="343" spans="1:7" x14ac:dyDescent="0.25">
      <c r="A343" t="str">
        <f>RAW_GAMES!A343</f>
        <v>25/26</v>
      </c>
      <c r="B343" s="3">
        <f>RAW_GAMES!B343</f>
        <v>45984</v>
      </c>
      <c r="C343" t="str">
        <f>RAW_GAMES!E343</f>
        <v>MBL</v>
      </c>
      <c r="D343" s="7">
        <f>RAW_GAMES!O343</f>
        <v>3</v>
      </c>
      <c r="E343">
        <f>RAW_GAMES!N343</f>
        <v>1</v>
      </c>
      <c r="F343" s="7">
        <f>RAW_GAMES!Q343</f>
        <v>2</v>
      </c>
      <c r="G343">
        <f>RAW_GAMES!P343</f>
        <v>0</v>
      </c>
    </row>
    <row r="344" spans="1:7" x14ac:dyDescent="0.25">
      <c r="A344" t="str">
        <f>RAW_GAMES!A344</f>
        <v>25/26</v>
      </c>
      <c r="B344" s="3">
        <f>RAW_GAMES!B344</f>
        <v>45984</v>
      </c>
      <c r="C344" t="str">
        <f>RAW_GAMES!E344</f>
        <v>MHK</v>
      </c>
      <c r="D344" s="7">
        <f>RAW_GAMES!O344</f>
        <v>1</v>
      </c>
      <c r="E344">
        <f>RAW_GAMES!N344</f>
        <v>1</v>
      </c>
      <c r="F344" s="7">
        <f>RAW_GAMES!Q344</f>
        <v>5</v>
      </c>
      <c r="G344">
        <f>RAW_GAMES!P344</f>
        <v>2</v>
      </c>
    </row>
    <row r="345" spans="1:7" x14ac:dyDescent="0.25">
      <c r="A345" t="str">
        <f>RAW_GAMES!A345</f>
        <v>25/26</v>
      </c>
      <c r="B345" s="3">
        <f>RAW_GAMES!B345</f>
        <v>45984</v>
      </c>
      <c r="C345" t="str">
        <f>RAW_GAMES!E345</f>
        <v>OLO</v>
      </c>
      <c r="D345" s="7">
        <f>RAW_GAMES!O345</f>
        <v>4</v>
      </c>
      <c r="E345">
        <f>RAW_GAMES!N345</f>
        <v>1</v>
      </c>
      <c r="F345" s="7">
        <f>RAW_GAMES!Q345</f>
        <v>3</v>
      </c>
      <c r="G345">
        <f>RAW_GAMES!P345</f>
        <v>2</v>
      </c>
    </row>
    <row r="346" spans="1:7" x14ac:dyDescent="0.25">
      <c r="A346" t="str">
        <f>RAW_GAMES!A346</f>
        <v>25/26</v>
      </c>
      <c r="B346" s="3">
        <f>RAW_GAMES!B346</f>
        <v>45984</v>
      </c>
      <c r="C346" t="str">
        <f>RAW_GAMES!E346</f>
        <v>PLZ</v>
      </c>
      <c r="D346" s="7">
        <f>RAW_GAMES!O346</f>
        <v>2</v>
      </c>
      <c r="E346">
        <f>RAW_GAMES!N346</f>
        <v>0</v>
      </c>
      <c r="F346" s="7">
        <f>RAW_GAMES!Q346</f>
        <v>3</v>
      </c>
      <c r="G346">
        <f>RAW_GAMES!P346</f>
        <v>1</v>
      </c>
    </row>
    <row r="347" spans="1:7" x14ac:dyDescent="0.25">
      <c r="A347" t="str">
        <f>RAW_GAMES!A347</f>
        <v>25/26</v>
      </c>
      <c r="B347" s="3">
        <f>RAW_GAMES!B347</f>
        <v>45984</v>
      </c>
      <c r="C347" t="str">
        <f>RAW_GAMES!E347</f>
        <v>VIT</v>
      </c>
      <c r="D347" s="7">
        <f>RAW_GAMES!O347</f>
        <v>6</v>
      </c>
      <c r="E347">
        <f>RAW_GAMES!N347</f>
        <v>1</v>
      </c>
      <c r="F347" s="7">
        <f>RAW_GAMES!Q347</f>
        <v>6</v>
      </c>
      <c r="G347">
        <f>RAW_GAMES!P347</f>
        <v>1</v>
      </c>
    </row>
    <row r="348" spans="1:7" x14ac:dyDescent="0.25">
      <c r="A348" t="str">
        <f>RAW_GAMES!A348</f>
        <v>25/26</v>
      </c>
      <c r="B348" s="3">
        <f>RAW_GAMES!B348</f>
        <v>45986</v>
      </c>
      <c r="C348" t="str">
        <f>RAW_GAMES!E348</f>
        <v>PCE</v>
      </c>
      <c r="D348" s="7">
        <f>RAW_GAMES!O348</f>
        <v>5</v>
      </c>
      <c r="E348">
        <f>RAW_GAMES!N348</f>
        <v>0</v>
      </c>
      <c r="F348" s="7">
        <f>RAW_GAMES!Q348</f>
        <v>5</v>
      </c>
      <c r="G348">
        <f>RAW_GAMES!P348</f>
        <v>0</v>
      </c>
    </row>
    <row r="349" spans="1:7" x14ac:dyDescent="0.25">
      <c r="A349" t="str">
        <f>RAW_GAMES!A349</f>
        <v>25/26</v>
      </c>
      <c r="B349" s="3">
        <f>RAW_GAMES!B349</f>
        <v>45986</v>
      </c>
      <c r="C349" t="str">
        <f>RAW_GAMES!E349</f>
        <v>TRI</v>
      </c>
      <c r="D349" s="7">
        <f>RAW_GAMES!O349</f>
        <v>5</v>
      </c>
      <c r="E349">
        <f>RAW_GAMES!N349</f>
        <v>0</v>
      </c>
      <c r="F349" s="7">
        <f>RAW_GAMES!Q349</f>
        <v>4</v>
      </c>
      <c r="G349">
        <f>RAW_GAMES!P349</f>
        <v>0</v>
      </c>
    </row>
    <row r="350" spans="1:7" x14ac:dyDescent="0.25">
      <c r="A350" t="str">
        <f>RAW_GAMES!A350</f>
        <v>25/26</v>
      </c>
      <c r="B350" s="3">
        <f>RAW_GAMES!B350</f>
        <v>45986</v>
      </c>
      <c r="C350" t="str">
        <f>RAW_GAMES!E350</f>
        <v>SPA</v>
      </c>
      <c r="D350" s="7">
        <f>RAW_GAMES!O350</f>
        <v>5</v>
      </c>
      <c r="E350">
        <f>RAW_GAMES!N350</f>
        <v>0</v>
      </c>
      <c r="F350" s="7">
        <f>RAW_GAMES!Q350</f>
        <v>5</v>
      </c>
      <c r="G350">
        <f>RAW_GAMES!P350</f>
        <v>0</v>
      </c>
    </row>
    <row r="351" spans="1:7" x14ac:dyDescent="0.25">
      <c r="A351" t="str">
        <f>RAW_GAMES!A351</f>
        <v>25/26</v>
      </c>
      <c r="B351" s="3">
        <f>RAW_GAMES!B351</f>
        <v>45986</v>
      </c>
      <c r="C351" t="str">
        <f>RAW_GAMES!E351</f>
        <v>KOM</v>
      </c>
      <c r="D351" s="7">
        <f>RAW_GAMES!O351</f>
        <v>7</v>
      </c>
      <c r="E351">
        <f>RAW_GAMES!N351</f>
        <v>0</v>
      </c>
      <c r="F351" s="7">
        <f>RAW_GAMES!Q351</f>
        <v>4</v>
      </c>
      <c r="G351">
        <f>RAW_GAMES!P351</f>
        <v>1</v>
      </c>
    </row>
    <row r="352" spans="1:7" x14ac:dyDescent="0.25">
      <c r="A352" t="str">
        <f>RAW_GAMES!A352</f>
        <v>25/26</v>
      </c>
      <c r="B352" s="3">
        <f>RAW_GAMES!B352</f>
        <v>45986</v>
      </c>
      <c r="C352" t="str">
        <f>RAW_GAMES!E352</f>
        <v>CEB</v>
      </c>
      <c r="D352" s="7">
        <f>RAW_GAMES!O352</f>
        <v>2</v>
      </c>
      <c r="E352">
        <f>RAW_GAMES!N352</f>
        <v>0</v>
      </c>
      <c r="F352" s="7">
        <f>RAW_GAMES!Q352</f>
        <v>3</v>
      </c>
      <c r="G352">
        <f>RAW_GAMES!P352</f>
        <v>2</v>
      </c>
    </row>
    <row r="353" spans="1:7" x14ac:dyDescent="0.25">
      <c r="A353" t="str">
        <f>RAW_GAMES!A353</f>
        <v>25/26</v>
      </c>
      <c r="B353" s="3">
        <f>RAW_GAMES!B353</f>
        <v>45986</v>
      </c>
      <c r="C353" t="str">
        <f>RAW_GAMES!E353</f>
        <v>KLA</v>
      </c>
      <c r="D353" s="7">
        <f>RAW_GAMES!O353</f>
        <v>3</v>
      </c>
      <c r="E353">
        <f>RAW_GAMES!N353</f>
        <v>0</v>
      </c>
      <c r="F353" s="7">
        <f>RAW_GAMES!Q353</f>
        <v>2</v>
      </c>
      <c r="G353">
        <f>RAW_GAMES!P353</f>
        <v>0</v>
      </c>
    </row>
    <row r="354" spans="1:7" x14ac:dyDescent="0.25">
      <c r="A354" t="str">
        <f>RAW_GAMES!A354</f>
        <v>25/26</v>
      </c>
      <c r="B354" s="3">
        <f>RAW_GAMES!B354</f>
        <v>45986</v>
      </c>
      <c r="C354" t="str">
        <f>RAW_GAMES!E354</f>
        <v>KVA</v>
      </c>
      <c r="D354" s="7">
        <f>RAW_GAMES!O354</f>
        <v>4</v>
      </c>
      <c r="E354">
        <f>RAW_GAMES!N354</f>
        <v>0</v>
      </c>
      <c r="F354" s="7">
        <f>RAW_GAMES!Q354</f>
        <v>5</v>
      </c>
      <c r="G354">
        <f>RAW_GAMES!P354</f>
        <v>0</v>
      </c>
    </row>
    <row r="355" spans="1:7" x14ac:dyDescent="0.25">
      <c r="A355" t="str">
        <f>RAW_GAMES!A355</f>
        <v>25/26</v>
      </c>
      <c r="B355" s="3">
        <f>RAW_GAMES!B355</f>
        <v>45986</v>
      </c>
      <c r="C355" t="str">
        <f>RAW_GAMES!E355</f>
        <v>LIB</v>
      </c>
      <c r="D355" s="7">
        <f>RAW_GAMES!O355</f>
        <v>3</v>
      </c>
      <c r="E355">
        <f>RAW_GAMES!N355</f>
        <v>2</v>
      </c>
      <c r="F355" s="7">
        <f>RAW_GAMES!Q355</f>
        <v>2</v>
      </c>
      <c r="G355">
        <f>RAW_GAMES!P355</f>
        <v>0</v>
      </c>
    </row>
    <row r="356" spans="1:7" x14ac:dyDescent="0.25">
      <c r="A356" t="str">
        <f>RAW_GAMES!A356</f>
        <v>25/26</v>
      </c>
      <c r="B356" s="3">
        <f>RAW_GAMES!B356</f>
        <v>45986</v>
      </c>
      <c r="C356" t="str">
        <f>RAW_GAMES!E356</f>
        <v>LIT</v>
      </c>
      <c r="D356" s="7">
        <f>RAW_GAMES!O356</f>
        <v>2</v>
      </c>
      <c r="E356">
        <f>RAW_GAMES!N356</f>
        <v>0</v>
      </c>
      <c r="F356" s="7">
        <f>RAW_GAMES!Q356</f>
        <v>3</v>
      </c>
      <c r="G356">
        <f>RAW_GAMES!P356</f>
        <v>0</v>
      </c>
    </row>
    <row r="357" spans="1:7" x14ac:dyDescent="0.25">
      <c r="A357" t="str">
        <f>RAW_GAMES!A357</f>
        <v>25/26</v>
      </c>
      <c r="B357" s="3">
        <f>RAW_GAMES!B357</f>
        <v>45986</v>
      </c>
      <c r="C357" t="str">
        <f>RAW_GAMES!E357</f>
        <v>MBL</v>
      </c>
      <c r="D357" s="7">
        <f>RAW_GAMES!O357</f>
        <v>6</v>
      </c>
      <c r="E357">
        <f>RAW_GAMES!N357</f>
        <v>0</v>
      </c>
      <c r="F357" s="7">
        <f>RAW_GAMES!Q357</f>
        <v>5</v>
      </c>
      <c r="G357">
        <f>RAW_GAMES!P357</f>
        <v>0</v>
      </c>
    </row>
    <row r="358" spans="1:7" x14ac:dyDescent="0.25">
      <c r="A358" t="str">
        <f>RAW_GAMES!A358</f>
        <v>25/26</v>
      </c>
      <c r="B358" s="3">
        <f>RAW_GAMES!B358</f>
        <v>45986</v>
      </c>
      <c r="C358" t="str">
        <f>RAW_GAMES!E358</f>
        <v>MHK</v>
      </c>
      <c r="D358" s="7">
        <f>RAW_GAMES!O358</f>
        <v>5</v>
      </c>
      <c r="E358">
        <f>RAW_GAMES!N358</f>
        <v>0</v>
      </c>
      <c r="F358" s="7">
        <f>RAW_GAMES!Q358</f>
        <v>6</v>
      </c>
      <c r="G358">
        <f>RAW_GAMES!P358</f>
        <v>0</v>
      </c>
    </row>
    <row r="359" spans="1:7" x14ac:dyDescent="0.25">
      <c r="A359" t="str">
        <f>RAW_GAMES!A359</f>
        <v>25/26</v>
      </c>
      <c r="B359" s="3">
        <f>RAW_GAMES!B359</f>
        <v>45986</v>
      </c>
      <c r="C359" t="str">
        <f>RAW_GAMES!E359</f>
        <v>OLO</v>
      </c>
      <c r="D359" s="7">
        <f>RAW_GAMES!O359</f>
        <v>4</v>
      </c>
      <c r="E359">
        <f>RAW_GAMES!N359</f>
        <v>1</v>
      </c>
      <c r="F359" s="7">
        <f>RAW_GAMES!Q359</f>
        <v>7</v>
      </c>
      <c r="G359">
        <f>RAW_GAMES!P359</f>
        <v>0</v>
      </c>
    </row>
    <row r="360" spans="1:7" x14ac:dyDescent="0.25">
      <c r="A360" t="str">
        <f>RAW_GAMES!A360</f>
        <v>25/26</v>
      </c>
      <c r="B360" s="3">
        <f>RAW_GAMES!B360</f>
        <v>45987</v>
      </c>
      <c r="C360" t="str">
        <f>RAW_GAMES!E360</f>
        <v>PLZ</v>
      </c>
      <c r="D360" s="7">
        <f>RAW_GAMES!O360</f>
        <v>0</v>
      </c>
      <c r="E360">
        <f>RAW_GAMES!N360</f>
        <v>0</v>
      </c>
      <c r="F360" s="7">
        <f>RAW_GAMES!Q360</f>
        <v>2</v>
      </c>
      <c r="G360">
        <f>RAW_GAMES!P360</f>
        <v>0</v>
      </c>
    </row>
    <row r="361" spans="1:7" x14ac:dyDescent="0.25">
      <c r="A361" t="str">
        <f>RAW_GAMES!A361</f>
        <v>25/26</v>
      </c>
      <c r="B361" s="3">
        <f>RAW_GAMES!B361</f>
        <v>45987</v>
      </c>
      <c r="C361" t="str">
        <f>RAW_GAMES!E361</f>
        <v>VIT</v>
      </c>
      <c r="D361" s="7">
        <f>RAW_GAMES!O361</f>
        <v>2</v>
      </c>
      <c r="E361">
        <f>RAW_GAMES!N361</f>
        <v>0</v>
      </c>
      <c r="F361" s="7">
        <f>RAW_GAMES!Q361</f>
        <v>0</v>
      </c>
      <c r="G361">
        <f>RAW_GAMES!P361</f>
        <v>0</v>
      </c>
    </row>
    <row r="362" spans="1:7" x14ac:dyDescent="0.25">
      <c r="A362" t="str">
        <f>RAW_GAMES!A362</f>
        <v>25/26</v>
      </c>
      <c r="B362" s="3">
        <f>RAW_GAMES!B362</f>
        <v>45989</v>
      </c>
      <c r="C362" t="str">
        <f>RAW_GAMES!E362</f>
        <v>PCE</v>
      </c>
      <c r="D362" s="7">
        <f>RAW_GAMES!O362</f>
        <v>4</v>
      </c>
      <c r="E362">
        <f>RAW_GAMES!N362</f>
        <v>1</v>
      </c>
      <c r="F362" s="7">
        <f>RAW_GAMES!Q362</f>
        <v>2</v>
      </c>
      <c r="G362">
        <f>RAW_GAMES!P362</f>
        <v>0</v>
      </c>
    </row>
    <row r="363" spans="1:7" x14ac:dyDescent="0.25">
      <c r="A363" t="str">
        <f>RAW_GAMES!A363</f>
        <v>25/26</v>
      </c>
      <c r="B363" s="3">
        <f>RAW_GAMES!B363</f>
        <v>45989</v>
      </c>
      <c r="C363" t="str">
        <f>RAW_GAMES!E363</f>
        <v>TRI</v>
      </c>
      <c r="D363" s="7">
        <f>RAW_GAMES!O363</f>
        <v>3</v>
      </c>
      <c r="E363">
        <f>RAW_GAMES!N363</f>
        <v>1</v>
      </c>
      <c r="F363" s="7">
        <f>RAW_GAMES!Q363</f>
        <v>4</v>
      </c>
      <c r="G363">
        <f>RAW_GAMES!P363</f>
        <v>1</v>
      </c>
    </row>
    <row r="364" spans="1:7" x14ac:dyDescent="0.25">
      <c r="A364" t="str">
        <f>RAW_GAMES!A364</f>
        <v>25/26</v>
      </c>
      <c r="B364" s="3">
        <f>RAW_GAMES!B364</f>
        <v>45989</v>
      </c>
      <c r="C364" t="str">
        <f>RAW_GAMES!E364</f>
        <v>SPA</v>
      </c>
      <c r="D364" s="7">
        <f>RAW_GAMES!O364</f>
        <v>4</v>
      </c>
      <c r="E364">
        <f>RAW_GAMES!N364</f>
        <v>1</v>
      </c>
      <c r="F364" s="7">
        <f>RAW_GAMES!Q364</f>
        <v>4</v>
      </c>
      <c r="G364">
        <f>RAW_GAMES!P364</f>
        <v>0</v>
      </c>
    </row>
    <row r="365" spans="1:7" x14ac:dyDescent="0.25">
      <c r="A365" t="str">
        <f>RAW_GAMES!A365</f>
        <v>25/26</v>
      </c>
      <c r="B365" s="3">
        <f>RAW_GAMES!B365</f>
        <v>45989</v>
      </c>
      <c r="C365" t="str">
        <f>RAW_GAMES!E365</f>
        <v>KOM</v>
      </c>
      <c r="D365" s="7">
        <f>RAW_GAMES!O365</f>
        <v>2</v>
      </c>
      <c r="E365">
        <f>RAW_GAMES!N365</f>
        <v>0</v>
      </c>
      <c r="F365" s="7">
        <f>RAW_GAMES!Q365</f>
        <v>5</v>
      </c>
      <c r="G365">
        <f>RAW_GAMES!P365</f>
        <v>1</v>
      </c>
    </row>
    <row r="366" spans="1:7" x14ac:dyDescent="0.25">
      <c r="A366" t="str">
        <f>RAW_GAMES!A366</f>
        <v>25/26</v>
      </c>
      <c r="B366" s="3">
        <f>RAW_GAMES!B366</f>
        <v>45989</v>
      </c>
      <c r="C366" t="str">
        <f>RAW_GAMES!E366</f>
        <v>CEB</v>
      </c>
      <c r="D366" s="7">
        <f>RAW_GAMES!O366</f>
        <v>4</v>
      </c>
      <c r="E366">
        <f>RAW_GAMES!N366</f>
        <v>0</v>
      </c>
      <c r="F366" s="7">
        <f>RAW_GAMES!Q366</f>
        <v>4</v>
      </c>
      <c r="G366">
        <f>RAW_GAMES!P366</f>
        <v>1</v>
      </c>
    </row>
    <row r="367" spans="1:7" x14ac:dyDescent="0.25">
      <c r="A367" t="str">
        <f>RAW_GAMES!A367</f>
        <v>25/26</v>
      </c>
      <c r="B367" s="3">
        <f>RAW_GAMES!B367</f>
        <v>45989</v>
      </c>
      <c r="C367" t="str">
        <f>RAW_GAMES!E367</f>
        <v>KLA</v>
      </c>
      <c r="D367" s="7">
        <f>RAW_GAMES!O367</f>
        <v>2</v>
      </c>
      <c r="E367">
        <f>RAW_GAMES!N367</f>
        <v>1</v>
      </c>
      <c r="F367" s="7">
        <f>RAW_GAMES!Q367</f>
        <v>4</v>
      </c>
      <c r="G367">
        <f>RAW_GAMES!P367</f>
        <v>0</v>
      </c>
    </row>
    <row r="368" spans="1:7" x14ac:dyDescent="0.25">
      <c r="A368" t="str">
        <f>RAW_GAMES!A368</f>
        <v>25/26</v>
      </c>
      <c r="B368" s="3">
        <f>RAW_GAMES!B368</f>
        <v>45989</v>
      </c>
      <c r="C368" t="str">
        <f>RAW_GAMES!E368</f>
        <v>KVA</v>
      </c>
      <c r="D368" s="7">
        <f>RAW_GAMES!O368</f>
        <v>5</v>
      </c>
      <c r="E368">
        <f>RAW_GAMES!N368</f>
        <v>1</v>
      </c>
      <c r="F368" s="7">
        <f>RAW_GAMES!Q368</f>
        <v>4</v>
      </c>
      <c r="G368">
        <f>RAW_GAMES!P368</f>
        <v>0</v>
      </c>
    </row>
    <row r="369" spans="1:7" x14ac:dyDescent="0.25">
      <c r="A369" t="str">
        <f>RAW_GAMES!A369</f>
        <v>25/26</v>
      </c>
      <c r="B369" s="3">
        <f>RAW_GAMES!B369</f>
        <v>45989</v>
      </c>
      <c r="C369" t="str">
        <f>RAW_GAMES!E369</f>
        <v>LIB</v>
      </c>
      <c r="D369" s="7">
        <f>RAW_GAMES!O369</f>
        <v>6</v>
      </c>
      <c r="E369">
        <f>RAW_GAMES!N369</f>
        <v>0</v>
      </c>
      <c r="F369" s="7">
        <f>RAW_GAMES!Q369</f>
        <v>6</v>
      </c>
      <c r="G369">
        <f>RAW_GAMES!P369</f>
        <v>0</v>
      </c>
    </row>
    <row r="370" spans="1:7" x14ac:dyDescent="0.25">
      <c r="A370" t="str">
        <f>RAW_GAMES!A370</f>
        <v>25/26</v>
      </c>
      <c r="B370" s="3">
        <f>RAW_GAMES!B370</f>
        <v>45989</v>
      </c>
      <c r="C370" t="str">
        <f>RAW_GAMES!E370</f>
        <v>LIT</v>
      </c>
      <c r="D370" s="7">
        <f>RAW_GAMES!O370</f>
        <v>5</v>
      </c>
      <c r="E370">
        <f>RAW_GAMES!N370</f>
        <v>1</v>
      </c>
      <c r="F370" s="7">
        <f>RAW_GAMES!Q370</f>
        <v>2</v>
      </c>
      <c r="G370">
        <f>RAW_GAMES!P370</f>
        <v>0</v>
      </c>
    </row>
    <row r="371" spans="1:7" x14ac:dyDescent="0.25">
      <c r="A371" t="str">
        <f>RAW_GAMES!A371</f>
        <v>25/26</v>
      </c>
      <c r="B371" s="3">
        <f>RAW_GAMES!B371</f>
        <v>45989</v>
      </c>
      <c r="C371" t="str">
        <f>RAW_GAMES!E371</f>
        <v>MBL</v>
      </c>
      <c r="D371" s="7">
        <f>RAW_GAMES!O371</f>
        <v>4</v>
      </c>
      <c r="E371">
        <f>RAW_GAMES!N371</f>
        <v>0</v>
      </c>
      <c r="F371" s="7">
        <f>RAW_GAMES!Q371</f>
        <v>2</v>
      </c>
      <c r="G371">
        <f>RAW_GAMES!P371</f>
        <v>1</v>
      </c>
    </row>
    <row r="372" spans="1:7" x14ac:dyDescent="0.25">
      <c r="A372" t="str">
        <f>RAW_GAMES!A372</f>
        <v>25/26</v>
      </c>
      <c r="B372" s="3">
        <f>RAW_GAMES!B372</f>
        <v>45989</v>
      </c>
      <c r="C372" t="str">
        <f>RAW_GAMES!E372</f>
        <v>MHK</v>
      </c>
      <c r="D372" s="7">
        <f>RAW_GAMES!O372</f>
        <v>2</v>
      </c>
      <c r="E372">
        <f>RAW_GAMES!N372</f>
        <v>0</v>
      </c>
      <c r="F372" s="7">
        <f>RAW_GAMES!Q372</f>
        <v>4</v>
      </c>
      <c r="G372">
        <f>RAW_GAMES!P372</f>
        <v>1</v>
      </c>
    </row>
    <row r="373" spans="1:7" x14ac:dyDescent="0.25">
      <c r="A373" t="str">
        <f>RAW_GAMES!A373</f>
        <v>25/26</v>
      </c>
      <c r="B373" s="3">
        <f>RAW_GAMES!B373</f>
        <v>45989</v>
      </c>
      <c r="C373" t="str">
        <f>RAW_GAMES!E373</f>
        <v>OLO</v>
      </c>
      <c r="D373" s="7">
        <f>RAW_GAMES!O373</f>
        <v>4</v>
      </c>
      <c r="E373">
        <f>RAW_GAMES!N373</f>
        <v>1</v>
      </c>
      <c r="F373" s="7">
        <f>RAW_GAMES!Q373</f>
        <v>3</v>
      </c>
      <c r="G373">
        <f>RAW_GAMES!P373</f>
        <v>1</v>
      </c>
    </row>
    <row r="374" spans="1:7" x14ac:dyDescent="0.25">
      <c r="A374" t="str">
        <f>RAW_GAMES!A374</f>
        <v>25/26</v>
      </c>
      <c r="B374" s="3">
        <f>RAW_GAMES!B374</f>
        <v>45989</v>
      </c>
      <c r="C374" t="str">
        <f>RAW_GAMES!E374</f>
        <v>PLZ</v>
      </c>
      <c r="D374" s="7">
        <f>RAW_GAMES!O374</f>
        <v>6</v>
      </c>
      <c r="E374">
        <f>RAW_GAMES!N374</f>
        <v>0</v>
      </c>
      <c r="F374" s="7">
        <f>RAW_GAMES!Q374</f>
        <v>6</v>
      </c>
      <c r="G374">
        <f>RAW_GAMES!P374</f>
        <v>0</v>
      </c>
    </row>
    <row r="375" spans="1:7" x14ac:dyDescent="0.25">
      <c r="A375" t="str">
        <f>RAW_GAMES!A375</f>
        <v>25/26</v>
      </c>
      <c r="B375" s="3">
        <f>RAW_GAMES!B375</f>
        <v>45989</v>
      </c>
      <c r="C375" t="str">
        <f>RAW_GAMES!E375</f>
        <v>VIT</v>
      </c>
      <c r="D375" s="7">
        <f>RAW_GAMES!O375</f>
        <v>4</v>
      </c>
      <c r="E375">
        <f>RAW_GAMES!N375</f>
        <v>0</v>
      </c>
      <c r="F375" s="7">
        <f>RAW_GAMES!Q375</f>
        <v>5</v>
      </c>
      <c r="G375">
        <f>RAW_GAMES!P375</f>
        <v>1</v>
      </c>
    </row>
    <row r="376" spans="1:7" x14ac:dyDescent="0.25">
      <c r="A376" t="str">
        <f>RAW_GAMES!A376</f>
        <v>25/26</v>
      </c>
      <c r="B376" s="3">
        <f>RAW_GAMES!B376</f>
        <v>45991</v>
      </c>
      <c r="C376" t="str">
        <f>RAW_GAMES!E376</f>
        <v>PCE</v>
      </c>
      <c r="D376" s="7">
        <f>RAW_GAMES!O376</f>
        <v>5</v>
      </c>
      <c r="E376">
        <f>RAW_GAMES!N376</f>
        <v>0</v>
      </c>
      <c r="F376" s="7">
        <f>RAW_GAMES!Q376</f>
        <v>3</v>
      </c>
      <c r="G376">
        <f>RAW_GAMES!P376</f>
        <v>0</v>
      </c>
    </row>
    <row r="377" spans="1:7" x14ac:dyDescent="0.25">
      <c r="A377" t="str">
        <f>RAW_GAMES!A377</f>
        <v>25/26</v>
      </c>
      <c r="B377" s="3">
        <f>RAW_GAMES!B377</f>
        <v>45991</v>
      </c>
      <c r="C377" t="str">
        <f>RAW_GAMES!E377</f>
        <v>TRI</v>
      </c>
      <c r="D377" s="7">
        <f>RAW_GAMES!O377</f>
        <v>6</v>
      </c>
      <c r="E377">
        <f>RAW_GAMES!N377</f>
        <v>1</v>
      </c>
      <c r="F377" s="7">
        <f>RAW_GAMES!Q377</f>
        <v>4</v>
      </c>
      <c r="G377">
        <f>RAW_GAMES!P377</f>
        <v>2</v>
      </c>
    </row>
    <row r="378" spans="1:7" x14ac:dyDescent="0.25">
      <c r="A378" t="str">
        <f>RAW_GAMES!A378</f>
        <v>25/26</v>
      </c>
      <c r="B378" s="3">
        <f>RAW_GAMES!B378</f>
        <v>45991</v>
      </c>
      <c r="C378" t="str">
        <f>RAW_GAMES!E378</f>
        <v>SPA</v>
      </c>
      <c r="D378" s="7">
        <f>RAW_GAMES!O378</f>
        <v>4</v>
      </c>
      <c r="E378">
        <f>RAW_GAMES!N378</f>
        <v>2</v>
      </c>
      <c r="F378" s="7">
        <f>RAW_GAMES!Q378</f>
        <v>6</v>
      </c>
      <c r="G378">
        <f>RAW_GAMES!P378</f>
        <v>1</v>
      </c>
    </row>
    <row r="379" spans="1:7" x14ac:dyDescent="0.25">
      <c r="A379" t="str">
        <f>RAW_GAMES!A379</f>
        <v>25/26</v>
      </c>
      <c r="B379" s="3">
        <f>RAW_GAMES!B379</f>
        <v>45991</v>
      </c>
      <c r="C379" t="str">
        <f>RAW_GAMES!E379</f>
        <v>KOM</v>
      </c>
      <c r="D379" s="7">
        <f>RAW_GAMES!O379</f>
        <v>3</v>
      </c>
      <c r="E379">
        <f>RAW_GAMES!N379</f>
        <v>0</v>
      </c>
      <c r="F379" s="7">
        <f>RAW_GAMES!Q379</f>
        <v>3</v>
      </c>
      <c r="G379">
        <f>RAW_GAMES!P379</f>
        <v>0</v>
      </c>
    </row>
    <row r="380" spans="1:7" x14ac:dyDescent="0.25">
      <c r="A380" t="str">
        <f>RAW_GAMES!A380</f>
        <v>25/26</v>
      </c>
      <c r="B380" s="3">
        <f>RAW_GAMES!B380</f>
        <v>45991</v>
      </c>
      <c r="C380" t="str">
        <f>RAW_GAMES!E380</f>
        <v>CEB</v>
      </c>
      <c r="D380" s="7">
        <f>RAW_GAMES!O380</f>
        <v>2</v>
      </c>
      <c r="E380">
        <f>RAW_GAMES!N380</f>
        <v>0</v>
      </c>
      <c r="F380" s="7">
        <f>RAW_GAMES!Q380</f>
        <v>2</v>
      </c>
      <c r="G380">
        <f>RAW_GAMES!P380</f>
        <v>0</v>
      </c>
    </row>
    <row r="381" spans="1:7" x14ac:dyDescent="0.25">
      <c r="A381" t="str">
        <f>RAW_GAMES!A381</f>
        <v>25/26</v>
      </c>
      <c r="B381" s="3">
        <f>RAW_GAMES!B381</f>
        <v>45991</v>
      </c>
      <c r="C381" t="str">
        <f>RAW_GAMES!E381</f>
        <v>KLA</v>
      </c>
      <c r="D381" s="7">
        <f>RAW_GAMES!O381</f>
        <v>4</v>
      </c>
      <c r="E381">
        <f>RAW_GAMES!N381</f>
        <v>2</v>
      </c>
      <c r="F381" s="7">
        <f>RAW_GAMES!Q381</f>
        <v>7</v>
      </c>
      <c r="G381">
        <f>RAW_GAMES!P381</f>
        <v>0</v>
      </c>
    </row>
    <row r="382" spans="1:7" x14ac:dyDescent="0.25">
      <c r="A382" t="str">
        <f>RAW_GAMES!A382</f>
        <v>25/26</v>
      </c>
      <c r="B382" s="3">
        <f>RAW_GAMES!B382</f>
        <v>45991</v>
      </c>
      <c r="C382" t="str">
        <f>RAW_GAMES!E382</f>
        <v>KVA</v>
      </c>
      <c r="D382" s="7">
        <f>RAW_GAMES!O382</f>
        <v>4</v>
      </c>
      <c r="E382">
        <f>RAW_GAMES!N382</f>
        <v>1</v>
      </c>
      <c r="F382" s="7">
        <f>RAW_GAMES!Q382</f>
        <v>3</v>
      </c>
      <c r="G382">
        <f>RAW_GAMES!P382</f>
        <v>0</v>
      </c>
    </row>
    <row r="383" spans="1:7" x14ac:dyDescent="0.25">
      <c r="A383" t="str">
        <f>RAW_GAMES!A383</f>
        <v>25/26</v>
      </c>
      <c r="B383" s="3">
        <f>RAW_GAMES!B383</f>
        <v>45991</v>
      </c>
      <c r="C383" t="str">
        <f>RAW_GAMES!E383</f>
        <v>LIB</v>
      </c>
      <c r="D383" s="7">
        <f>RAW_GAMES!O383</f>
        <v>3</v>
      </c>
      <c r="E383">
        <f>RAW_GAMES!N383</f>
        <v>0</v>
      </c>
      <c r="F383" s="7">
        <f>RAW_GAMES!Q383</f>
        <v>5</v>
      </c>
      <c r="G383">
        <f>RAW_GAMES!P383</f>
        <v>0</v>
      </c>
    </row>
    <row r="384" spans="1:7" x14ac:dyDescent="0.25">
      <c r="A384" t="str">
        <f>RAW_GAMES!A384</f>
        <v>25/26</v>
      </c>
      <c r="B384" s="3">
        <f>RAW_GAMES!B384</f>
        <v>45991</v>
      </c>
      <c r="C384" t="str">
        <f>RAW_GAMES!E384</f>
        <v>LIT</v>
      </c>
      <c r="D384" s="7">
        <f>RAW_GAMES!O384</f>
        <v>3</v>
      </c>
      <c r="E384">
        <f>RAW_GAMES!N384</f>
        <v>0</v>
      </c>
      <c r="F384" s="7">
        <f>RAW_GAMES!Q384</f>
        <v>4</v>
      </c>
      <c r="G384">
        <f>RAW_GAMES!P384</f>
        <v>1</v>
      </c>
    </row>
    <row r="385" spans="1:7" x14ac:dyDescent="0.25">
      <c r="A385" t="str">
        <f>RAW_GAMES!A385</f>
        <v>25/26</v>
      </c>
      <c r="B385" s="3">
        <f>RAW_GAMES!B385</f>
        <v>45991</v>
      </c>
      <c r="C385" t="str">
        <f>RAW_GAMES!E385</f>
        <v>MBL</v>
      </c>
      <c r="D385" s="7">
        <f>RAW_GAMES!O385</f>
        <v>3</v>
      </c>
      <c r="E385">
        <f>RAW_GAMES!N385</f>
        <v>0</v>
      </c>
      <c r="F385" s="7">
        <f>RAW_GAMES!Q385</f>
        <v>3</v>
      </c>
      <c r="G385">
        <f>RAW_GAMES!P385</f>
        <v>0</v>
      </c>
    </row>
    <row r="386" spans="1:7" x14ac:dyDescent="0.25">
      <c r="A386" t="str">
        <f>RAW_GAMES!A386</f>
        <v>25/26</v>
      </c>
      <c r="B386" s="3">
        <f>RAW_GAMES!B386</f>
        <v>45991</v>
      </c>
      <c r="C386" t="str">
        <f>RAW_GAMES!E386</f>
        <v>MHK</v>
      </c>
      <c r="D386" s="7">
        <f>RAW_GAMES!O386</f>
        <v>2</v>
      </c>
      <c r="E386">
        <f>RAW_GAMES!N386</f>
        <v>0</v>
      </c>
      <c r="F386" s="7">
        <f>RAW_GAMES!Q386</f>
        <v>2</v>
      </c>
      <c r="G386">
        <f>RAW_GAMES!P386</f>
        <v>0</v>
      </c>
    </row>
    <row r="387" spans="1:7" x14ac:dyDescent="0.25">
      <c r="A387" t="str">
        <f>RAW_GAMES!A387</f>
        <v>25/26</v>
      </c>
      <c r="B387" s="3">
        <f>RAW_GAMES!B387</f>
        <v>45991</v>
      </c>
      <c r="C387" t="str">
        <f>RAW_GAMES!E387</f>
        <v>OLO</v>
      </c>
      <c r="D387" s="7">
        <f>RAW_GAMES!O387</f>
        <v>5</v>
      </c>
      <c r="E387">
        <f>RAW_GAMES!N387</f>
        <v>0</v>
      </c>
      <c r="F387" s="7">
        <f>RAW_GAMES!Q387</f>
        <v>2</v>
      </c>
      <c r="G387">
        <f>RAW_GAMES!P387</f>
        <v>0</v>
      </c>
    </row>
    <row r="388" spans="1:7" x14ac:dyDescent="0.25">
      <c r="A388" t="str">
        <f>RAW_GAMES!A388</f>
        <v>25/26</v>
      </c>
      <c r="B388" s="3">
        <f>RAW_GAMES!B388</f>
        <v>45991</v>
      </c>
      <c r="C388" t="str">
        <f>RAW_GAMES!E388</f>
        <v>PLZ</v>
      </c>
      <c r="D388" s="7">
        <f>RAW_GAMES!O388</f>
        <v>2</v>
      </c>
      <c r="E388">
        <f>RAW_GAMES!N388</f>
        <v>0</v>
      </c>
      <c r="F388" s="7">
        <f>RAW_GAMES!Q388</f>
        <v>5</v>
      </c>
      <c r="G388">
        <f>RAW_GAMES!P388</f>
        <v>0</v>
      </c>
    </row>
    <row r="389" spans="1:7" x14ac:dyDescent="0.25">
      <c r="A389" t="str">
        <f>RAW_GAMES!A389</f>
        <v>25/26</v>
      </c>
      <c r="B389" s="3">
        <f>RAW_GAMES!B389</f>
        <v>45991</v>
      </c>
      <c r="C389" t="str">
        <f>RAW_GAMES!E389</f>
        <v>VIT</v>
      </c>
      <c r="D389" s="7">
        <f>RAW_GAMES!O389</f>
        <v>7</v>
      </c>
      <c r="E389">
        <f>RAW_GAMES!N389</f>
        <v>0</v>
      </c>
      <c r="F389" s="7">
        <f>RAW_GAMES!Q389</f>
        <v>4</v>
      </c>
      <c r="G389">
        <f>RAW_GAMES!P389</f>
        <v>2</v>
      </c>
    </row>
    <row r="390" spans="1:7" x14ac:dyDescent="0.25">
      <c r="A390" t="str">
        <f>RAW_GAMES!A390</f>
        <v>25/26</v>
      </c>
      <c r="B390" s="3">
        <f>RAW_GAMES!B390</f>
        <v>45994</v>
      </c>
      <c r="C390" t="str">
        <f>RAW_GAMES!E390</f>
        <v>TRI</v>
      </c>
      <c r="D390" s="7">
        <f>RAW_GAMES!O390</f>
        <v>4</v>
      </c>
      <c r="E390">
        <f>RAW_GAMES!N390</f>
        <v>1</v>
      </c>
      <c r="F390" s="7">
        <f>RAW_GAMES!Q390</f>
        <v>2</v>
      </c>
      <c r="G390">
        <f>RAW_GAMES!P390</f>
        <v>0</v>
      </c>
    </row>
    <row r="391" spans="1:7" x14ac:dyDescent="0.25">
      <c r="A391" t="str">
        <f>RAW_GAMES!A391</f>
        <v>25/26</v>
      </c>
      <c r="B391" s="3">
        <f>RAW_GAMES!B391</f>
        <v>45994</v>
      </c>
      <c r="C391" t="str">
        <f>RAW_GAMES!E391</f>
        <v>MHK</v>
      </c>
      <c r="D391" s="7">
        <f>RAW_GAMES!O391</f>
        <v>2</v>
      </c>
      <c r="E391">
        <f>RAW_GAMES!N391</f>
        <v>0</v>
      </c>
      <c r="F391" s="7">
        <f>RAW_GAMES!Q391</f>
        <v>4</v>
      </c>
      <c r="G391">
        <f>RAW_GAMES!P391</f>
        <v>1</v>
      </c>
    </row>
    <row r="392" spans="1:7" x14ac:dyDescent="0.25">
      <c r="A392" t="str">
        <f>RAW_GAMES!A392</f>
        <v>25/26</v>
      </c>
      <c r="B392" s="3">
        <f>RAW_GAMES!B392</f>
        <v>45994</v>
      </c>
      <c r="C392" t="str">
        <f>RAW_GAMES!E392</f>
        <v>OLO</v>
      </c>
      <c r="D392" s="7">
        <f>RAW_GAMES!O392</f>
        <v>4</v>
      </c>
      <c r="E392">
        <f>RAW_GAMES!N392</f>
        <v>1</v>
      </c>
      <c r="F392" s="7">
        <f>RAW_GAMES!Q392</f>
        <v>5</v>
      </c>
      <c r="G392">
        <f>RAW_GAMES!P392</f>
        <v>0</v>
      </c>
    </row>
    <row r="393" spans="1:7" x14ac:dyDescent="0.25">
      <c r="A393" t="str">
        <f>RAW_GAMES!A393</f>
        <v>25/26</v>
      </c>
      <c r="B393" s="3">
        <f>RAW_GAMES!B393</f>
        <v>45994</v>
      </c>
      <c r="C393" t="str">
        <f>RAW_GAMES!E393</f>
        <v>VIT</v>
      </c>
      <c r="D393" s="7">
        <f>RAW_GAMES!O393</f>
        <v>5</v>
      </c>
      <c r="E393">
        <f>RAW_GAMES!N393</f>
        <v>0</v>
      </c>
      <c r="F393" s="7">
        <f>RAW_GAMES!Q393</f>
        <v>4</v>
      </c>
      <c r="G393">
        <f>RAW_GAMES!P393</f>
        <v>1</v>
      </c>
    </row>
    <row r="394" spans="1:7" x14ac:dyDescent="0.25">
      <c r="A394" t="str">
        <f>RAW_GAMES!A394</f>
        <v>25/26</v>
      </c>
      <c r="B394" s="3">
        <f>RAW_GAMES!B394</f>
        <v>45996</v>
      </c>
      <c r="C394" t="str">
        <f>RAW_GAMES!E394</f>
        <v>PCE</v>
      </c>
      <c r="D394" s="7">
        <f>RAW_GAMES!O394</f>
        <v>3</v>
      </c>
      <c r="E394">
        <f>RAW_GAMES!N394</f>
        <v>2</v>
      </c>
      <c r="F394" s="7">
        <f>RAW_GAMES!Q394</f>
        <v>2</v>
      </c>
      <c r="G394">
        <f>RAW_GAMES!P394</f>
        <v>1</v>
      </c>
    </row>
    <row r="395" spans="1:7" x14ac:dyDescent="0.25">
      <c r="A395" t="str">
        <f>RAW_GAMES!A395</f>
        <v>25/26</v>
      </c>
      <c r="B395" s="3">
        <f>RAW_GAMES!B395</f>
        <v>45996</v>
      </c>
      <c r="C395" t="str">
        <f>RAW_GAMES!E395</f>
        <v>TRI</v>
      </c>
      <c r="D395" s="7">
        <f>RAW_GAMES!O395</f>
        <v>1</v>
      </c>
      <c r="E395">
        <f>RAW_GAMES!N395</f>
        <v>0</v>
      </c>
      <c r="F395" s="7">
        <f>RAW_GAMES!Q395</f>
        <v>2</v>
      </c>
      <c r="G395">
        <f>RAW_GAMES!P395</f>
        <v>1</v>
      </c>
    </row>
    <row r="396" spans="1:7" x14ac:dyDescent="0.25">
      <c r="A396" t="str">
        <f>RAW_GAMES!A396</f>
        <v>25/26</v>
      </c>
      <c r="B396" s="3">
        <f>RAW_GAMES!B396</f>
        <v>45996</v>
      </c>
      <c r="C396" t="str">
        <f>RAW_GAMES!E396</f>
        <v>SPA</v>
      </c>
      <c r="D396" s="7">
        <f>RAW_GAMES!O396</f>
        <v>0</v>
      </c>
      <c r="E396">
        <f>RAW_GAMES!N396</f>
        <v>0</v>
      </c>
      <c r="F396" s="7">
        <f>RAW_GAMES!Q396</f>
        <v>5</v>
      </c>
      <c r="G396">
        <f>RAW_GAMES!P396</f>
        <v>0</v>
      </c>
    </row>
    <row r="397" spans="1:7" x14ac:dyDescent="0.25">
      <c r="A397" t="str">
        <f>RAW_GAMES!A397</f>
        <v>25/26</v>
      </c>
      <c r="B397" s="3">
        <f>RAW_GAMES!B397</f>
        <v>45996</v>
      </c>
      <c r="C397" t="str">
        <f>RAW_GAMES!E397</f>
        <v>KOM</v>
      </c>
      <c r="D397" s="7">
        <f>RAW_GAMES!O397</f>
        <v>5</v>
      </c>
      <c r="E397">
        <f>RAW_GAMES!N397</f>
        <v>0</v>
      </c>
      <c r="F397" s="7">
        <f>RAW_GAMES!Q397</f>
        <v>0</v>
      </c>
      <c r="G397">
        <f>RAW_GAMES!P397</f>
        <v>0</v>
      </c>
    </row>
    <row r="398" spans="1:7" x14ac:dyDescent="0.25">
      <c r="A398" t="str">
        <f>RAW_GAMES!A398</f>
        <v>25/26</v>
      </c>
      <c r="B398" s="3">
        <f>RAW_GAMES!B398</f>
        <v>45996</v>
      </c>
      <c r="C398" t="str">
        <f>RAW_GAMES!E398</f>
        <v>CEB</v>
      </c>
      <c r="D398" s="7">
        <f>RAW_GAMES!O398</f>
        <v>3</v>
      </c>
      <c r="E398">
        <f>RAW_GAMES!N398</f>
        <v>0</v>
      </c>
      <c r="F398" s="7">
        <f>RAW_GAMES!Q398</f>
        <v>6</v>
      </c>
      <c r="G398">
        <f>RAW_GAMES!P398</f>
        <v>1</v>
      </c>
    </row>
    <row r="399" spans="1:7" x14ac:dyDescent="0.25">
      <c r="A399" t="str">
        <f>RAW_GAMES!A399</f>
        <v>25/26</v>
      </c>
      <c r="B399" s="3">
        <f>RAW_GAMES!B399</f>
        <v>45996</v>
      </c>
      <c r="C399" t="str">
        <f>RAW_GAMES!E399</f>
        <v>KLA</v>
      </c>
      <c r="D399" s="7">
        <f>RAW_GAMES!O399</f>
        <v>6</v>
      </c>
      <c r="E399">
        <f>RAW_GAMES!N399</f>
        <v>0</v>
      </c>
      <c r="F399" s="7">
        <f>RAW_GAMES!Q399</f>
        <v>4</v>
      </c>
      <c r="G399">
        <f>RAW_GAMES!P399</f>
        <v>1</v>
      </c>
    </row>
    <row r="400" spans="1:7" x14ac:dyDescent="0.25">
      <c r="A400" t="str">
        <f>RAW_GAMES!A400</f>
        <v>25/26</v>
      </c>
      <c r="B400" s="3">
        <f>RAW_GAMES!B400</f>
        <v>45996</v>
      </c>
      <c r="C400" t="str">
        <f>RAW_GAMES!E400</f>
        <v>KVA</v>
      </c>
      <c r="D400" s="7">
        <f>RAW_GAMES!O400</f>
        <v>3</v>
      </c>
      <c r="E400">
        <f>RAW_GAMES!N400</f>
        <v>0</v>
      </c>
      <c r="F400" s="7">
        <f>RAW_GAMES!Q400</f>
        <v>4</v>
      </c>
      <c r="G400">
        <f>RAW_GAMES!P400</f>
        <v>1</v>
      </c>
    </row>
    <row r="401" spans="1:7" x14ac:dyDescent="0.25">
      <c r="A401" t="str">
        <f>RAW_GAMES!A401</f>
        <v>25/26</v>
      </c>
      <c r="B401" s="3">
        <f>RAW_GAMES!B401</f>
        <v>45996</v>
      </c>
      <c r="C401" t="str">
        <f>RAW_GAMES!E401</f>
        <v>LIB</v>
      </c>
      <c r="D401" s="7">
        <f>RAW_GAMES!O401</f>
        <v>2</v>
      </c>
      <c r="E401">
        <f>RAW_GAMES!N401</f>
        <v>1</v>
      </c>
      <c r="F401" s="7">
        <f>RAW_GAMES!Q401</f>
        <v>1</v>
      </c>
      <c r="G401">
        <f>RAW_GAMES!P401</f>
        <v>0</v>
      </c>
    </row>
    <row r="402" spans="1:7" x14ac:dyDescent="0.25">
      <c r="A402" t="str">
        <f>RAW_GAMES!A402</f>
        <v>25/26</v>
      </c>
      <c r="B402" s="3">
        <f>RAW_GAMES!B402</f>
        <v>45996</v>
      </c>
      <c r="C402" t="str">
        <f>RAW_GAMES!E402</f>
        <v>LIT</v>
      </c>
      <c r="D402" s="7">
        <f>RAW_GAMES!O408</f>
        <v>2</v>
      </c>
      <c r="E402">
        <f>RAW_GAMES!N408</f>
        <v>0</v>
      </c>
      <c r="F402" s="7">
        <f>RAW_GAMES!Q408</f>
        <v>6</v>
      </c>
      <c r="G402">
        <f>RAW_GAMES!P408</f>
        <v>0</v>
      </c>
    </row>
    <row r="403" spans="1:7" x14ac:dyDescent="0.25">
      <c r="A403" t="str">
        <f>RAW_GAMES!A403</f>
        <v>25/26</v>
      </c>
      <c r="B403" s="3">
        <f>RAW_GAMES!B403</f>
        <v>45996</v>
      </c>
      <c r="C403" t="str">
        <f>RAW_GAMES!E403</f>
        <v>MBL</v>
      </c>
      <c r="D403" s="7">
        <f>RAW_GAMES!O403</f>
        <v>2</v>
      </c>
      <c r="E403">
        <f>RAW_GAMES!N403</f>
        <v>1</v>
      </c>
      <c r="F403" s="7">
        <f>RAW_GAMES!Q403</f>
        <v>3</v>
      </c>
      <c r="G403">
        <f>RAW_GAMES!P403</f>
        <v>2</v>
      </c>
    </row>
    <row r="404" spans="1:7" x14ac:dyDescent="0.25">
      <c r="A404" t="str">
        <f>RAW_GAMES!A404</f>
        <v>25/26</v>
      </c>
      <c r="B404" s="3">
        <f>RAW_GAMES!B404</f>
        <v>45996</v>
      </c>
      <c r="C404" t="str">
        <f>RAW_GAMES!E404</f>
        <v>MHK</v>
      </c>
      <c r="D404" s="7">
        <f>RAW_GAMES!O404</f>
        <v>4</v>
      </c>
      <c r="E404">
        <f>RAW_GAMES!N404</f>
        <v>1</v>
      </c>
      <c r="F404" s="7">
        <f>RAW_GAMES!Q404</f>
        <v>6</v>
      </c>
      <c r="G404">
        <f>RAW_GAMES!P404</f>
        <v>0</v>
      </c>
    </row>
    <row r="405" spans="1:7" x14ac:dyDescent="0.25">
      <c r="A405" t="str">
        <f>RAW_GAMES!A405</f>
        <v>25/26</v>
      </c>
      <c r="B405" s="3">
        <f>RAW_GAMES!B405</f>
        <v>45996</v>
      </c>
      <c r="C405" t="str">
        <f>RAW_GAMES!E405</f>
        <v>OLO</v>
      </c>
      <c r="D405" s="7">
        <f>RAW_GAMES!O405</f>
        <v>4</v>
      </c>
      <c r="E405">
        <f>RAW_GAMES!N405</f>
        <v>1</v>
      </c>
      <c r="F405" s="7">
        <f>RAW_GAMES!Q405</f>
        <v>3</v>
      </c>
      <c r="G405">
        <f>RAW_GAMES!P405</f>
        <v>0</v>
      </c>
    </row>
    <row r="406" spans="1:7" x14ac:dyDescent="0.25">
      <c r="A406" t="str">
        <f>RAW_GAMES!A406</f>
        <v>25/26</v>
      </c>
      <c r="B406" s="3">
        <f>RAW_GAMES!B406</f>
        <v>45996</v>
      </c>
      <c r="C406" t="str">
        <f>RAW_GAMES!E406</f>
        <v>PLZ</v>
      </c>
      <c r="D406" s="7">
        <f>RAW_GAMES!O406</f>
        <v>6</v>
      </c>
      <c r="E406">
        <f>RAW_GAMES!N406</f>
        <v>1</v>
      </c>
      <c r="F406" s="7">
        <f>RAW_GAMES!Q406</f>
        <v>3</v>
      </c>
      <c r="G406">
        <f>RAW_GAMES!P406</f>
        <v>0</v>
      </c>
    </row>
    <row r="407" spans="1:7" x14ac:dyDescent="0.25">
      <c r="A407" t="str">
        <f>RAW_GAMES!A407</f>
        <v>25/26</v>
      </c>
      <c r="B407" s="3">
        <f>RAW_GAMES!B407</f>
        <v>45996</v>
      </c>
      <c r="C407" t="str">
        <f>RAW_GAMES!E407</f>
        <v>VIT</v>
      </c>
      <c r="D407" s="7">
        <f>RAW_GAMES!O407</f>
        <v>3</v>
      </c>
      <c r="E407">
        <f>RAW_GAMES!N407</f>
        <v>1</v>
      </c>
      <c r="F407" s="7">
        <f>RAW_GAMES!Q407</f>
        <v>2</v>
      </c>
      <c r="G407">
        <f>RAW_GAMES!P407</f>
        <v>0</v>
      </c>
    </row>
    <row r="408" spans="1:7" x14ac:dyDescent="0.25">
      <c r="A408" t="str">
        <f>RAW_GAMES!A408</f>
        <v>25/26</v>
      </c>
      <c r="B408" s="3">
        <f>RAW_GAMES!B408</f>
        <v>45998</v>
      </c>
      <c r="C408" t="str">
        <f>RAW_GAMES!E408</f>
        <v>PCE</v>
      </c>
      <c r="D408" s="7" t="e">
        <f>RAW_GAMES!#REF!</f>
        <v>#REF!</v>
      </c>
      <c r="E408" t="e">
        <f>RAW_GAMES!#REF!</f>
        <v>#REF!</v>
      </c>
      <c r="F408" s="7" t="e">
        <f>RAW_GAMES!#REF!</f>
        <v>#REF!</v>
      </c>
      <c r="G408" t="e">
        <f>RAW_GAMES!#REF!</f>
        <v>#REF!</v>
      </c>
    </row>
    <row r="409" spans="1:7" x14ac:dyDescent="0.25">
      <c r="A409" t="str">
        <f>RAW_GAMES!A409</f>
        <v>25/26</v>
      </c>
      <c r="B409" s="3">
        <f>RAW_GAMES!B409</f>
        <v>45998</v>
      </c>
      <c r="C409" t="str">
        <f>RAW_GAMES!E409</f>
        <v>TRI</v>
      </c>
      <c r="D409" s="7">
        <f>RAW_GAMES!O409</f>
        <v>2</v>
      </c>
      <c r="E409">
        <f>RAW_GAMES!N409</f>
        <v>0</v>
      </c>
      <c r="F409" s="7">
        <f>RAW_GAMES!Q409</f>
        <v>0</v>
      </c>
      <c r="G409">
        <f>RAW_GAMES!P409</f>
        <v>0</v>
      </c>
    </row>
    <row r="410" spans="1:7" x14ac:dyDescent="0.25">
      <c r="A410" t="str">
        <f>RAW_GAMES!A410</f>
        <v>25/26</v>
      </c>
      <c r="B410" s="3">
        <f>RAW_GAMES!B410</f>
        <v>45998</v>
      </c>
      <c r="C410" t="str">
        <f>RAW_GAMES!E410</f>
        <v>KOM</v>
      </c>
      <c r="D410" s="7">
        <f>RAW_GAMES!O410</f>
        <v>3</v>
      </c>
      <c r="E410">
        <f>RAW_GAMES!N410</f>
        <v>0</v>
      </c>
      <c r="F410" s="7">
        <f>RAW_GAMES!Q410</f>
        <v>4</v>
      </c>
      <c r="G410">
        <f>RAW_GAMES!P410</f>
        <v>1</v>
      </c>
    </row>
    <row r="411" spans="1:7" x14ac:dyDescent="0.25">
      <c r="A411" t="str">
        <f>RAW_GAMES!A411</f>
        <v>25/26</v>
      </c>
      <c r="B411" s="3">
        <f>RAW_GAMES!B411</f>
        <v>45998</v>
      </c>
      <c r="C411" t="str">
        <f>RAW_GAMES!E411</f>
        <v>CEB</v>
      </c>
      <c r="D411" s="7">
        <f>RAW_GAMES!O411</f>
        <v>6</v>
      </c>
      <c r="E411">
        <f>RAW_GAMES!N411</f>
        <v>0</v>
      </c>
      <c r="F411" s="7">
        <f>RAW_GAMES!Q411</f>
        <v>2</v>
      </c>
      <c r="G411">
        <f>RAW_GAMES!P411</f>
        <v>0</v>
      </c>
    </row>
    <row r="412" spans="1:7" x14ac:dyDescent="0.25">
      <c r="A412" t="str">
        <f>RAW_GAMES!A412</f>
        <v>25/26</v>
      </c>
      <c r="B412" s="3">
        <f>RAW_GAMES!B412</f>
        <v>45998</v>
      </c>
      <c r="C412" t="str">
        <f>RAW_GAMES!E412</f>
        <v>KLA</v>
      </c>
      <c r="D412" s="7">
        <f>RAW_GAMES!O412</f>
        <v>4</v>
      </c>
      <c r="E412">
        <f>RAW_GAMES!N412</f>
        <v>0</v>
      </c>
      <c r="F412" s="7">
        <f>RAW_GAMES!Q412</f>
        <v>5</v>
      </c>
      <c r="G412">
        <f>RAW_GAMES!P412</f>
        <v>0</v>
      </c>
    </row>
    <row r="413" spans="1:7" x14ac:dyDescent="0.25">
      <c r="A413" t="str">
        <f>RAW_GAMES!A413</f>
        <v>25/26</v>
      </c>
      <c r="B413" s="3">
        <f>RAW_GAMES!B413</f>
        <v>45998</v>
      </c>
      <c r="C413" t="str">
        <f>RAW_GAMES!E413</f>
        <v>SPA</v>
      </c>
      <c r="D413" s="7">
        <f>RAW_GAMES!O413</f>
        <v>7</v>
      </c>
      <c r="E413">
        <f>RAW_GAMES!N413</f>
        <v>1</v>
      </c>
      <c r="F413" s="7">
        <f>RAW_GAMES!Q413</f>
        <v>7</v>
      </c>
      <c r="G413">
        <f>RAW_GAMES!P413</f>
        <v>1</v>
      </c>
    </row>
    <row r="414" spans="1:7" x14ac:dyDescent="0.25">
      <c r="A414" t="str">
        <f>RAW_GAMES!A414</f>
        <v>25/26</v>
      </c>
      <c r="B414" s="3">
        <f>RAW_GAMES!B414</f>
        <v>45998</v>
      </c>
      <c r="C414" t="str">
        <f>RAW_GAMES!E414</f>
        <v>KVA</v>
      </c>
      <c r="D414" s="7">
        <f>RAW_GAMES!O414</f>
        <v>7</v>
      </c>
      <c r="E414">
        <f>RAW_GAMES!N414</f>
        <v>1</v>
      </c>
      <c r="F414" s="7">
        <f>RAW_GAMES!Q414</f>
        <v>7</v>
      </c>
      <c r="G414">
        <f>RAW_GAMES!P414</f>
        <v>1</v>
      </c>
    </row>
    <row r="415" spans="1:7" x14ac:dyDescent="0.25">
      <c r="A415" t="str">
        <f>RAW_GAMES!A415</f>
        <v>25/26</v>
      </c>
      <c r="B415" s="3">
        <f>RAW_GAMES!B415</f>
        <v>45998</v>
      </c>
      <c r="C415" t="str">
        <f>RAW_GAMES!E415</f>
        <v>LIB</v>
      </c>
      <c r="D415" s="7">
        <f>RAW_GAMES!O415</f>
        <v>4</v>
      </c>
      <c r="E415">
        <f>RAW_GAMES!N415</f>
        <v>0</v>
      </c>
      <c r="F415" s="7">
        <f>RAW_GAMES!Q415</f>
        <v>4</v>
      </c>
      <c r="G415">
        <f>RAW_GAMES!P415</f>
        <v>1</v>
      </c>
    </row>
    <row r="416" spans="1:7" x14ac:dyDescent="0.25">
      <c r="A416" t="str">
        <f>RAW_GAMES!A416</f>
        <v>25/26</v>
      </c>
      <c r="B416" s="3">
        <f>RAW_GAMES!B416</f>
        <v>45998</v>
      </c>
      <c r="C416" t="str">
        <f>RAW_GAMES!E416</f>
        <v>LIT</v>
      </c>
      <c r="D416" s="7">
        <f>RAW_GAMES!O416</f>
        <v>4</v>
      </c>
      <c r="E416">
        <f>RAW_GAMES!N416</f>
        <v>1</v>
      </c>
      <c r="F416" s="7">
        <f>RAW_GAMES!Q416</f>
        <v>4</v>
      </c>
      <c r="G416">
        <f>RAW_GAMES!P416</f>
        <v>0</v>
      </c>
    </row>
    <row r="417" spans="1:7" x14ac:dyDescent="0.25">
      <c r="A417" t="str">
        <f>RAW_GAMES!A417</f>
        <v>25/26</v>
      </c>
      <c r="B417" s="3">
        <f>RAW_GAMES!B417</f>
        <v>45998</v>
      </c>
      <c r="C417" t="str">
        <f>RAW_GAMES!E417</f>
        <v>MBL</v>
      </c>
      <c r="D417" s="7">
        <f>RAW_GAMES!O417</f>
        <v>0</v>
      </c>
      <c r="E417">
        <f>RAW_GAMES!N417</f>
        <v>0</v>
      </c>
      <c r="F417" s="7">
        <f>RAW_GAMES!Q417</f>
        <v>2</v>
      </c>
      <c r="G417">
        <f>RAW_GAMES!P417</f>
        <v>0</v>
      </c>
    </row>
    <row r="418" spans="1:7" x14ac:dyDescent="0.25">
      <c r="A418" t="str">
        <f>RAW_GAMES!A418</f>
        <v>25/26</v>
      </c>
      <c r="B418" s="3">
        <f>RAW_GAMES!B418</f>
        <v>45998</v>
      </c>
      <c r="C418" t="str">
        <f>RAW_GAMES!E418</f>
        <v>MHK</v>
      </c>
      <c r="D418" s="7">
        <f>RAW_GAMES!O418</f>
        <v>5</v>
      </c>
      <c r="E418">
        <f>RAW_GAMES!N418</f>
        <v>2</v>
      </c>
      <c r="F418" s="7">
        <f>RAW_GAMES!Q418</f>
        <v>8</v>
      </c>
      <c r="G418">
        <f>RAW_GAMES!P418</f>
        <v>1</v>
      </c>
    </row>
    <row r="419" spans="1:7" x14ac:dyDescent="0.25">
      <c r="A419" t="str">
        <f>RAW_GAMES!A419</f>
        <v>25/26</v>
      </c>
      <c r="B419" s="3">
        <f>RAW_GAMES!B419</f>
        <v>45998</v>
      </c>
      <c r="C419" t="str">
        <f>RAW_GAMES!E419</f>
        <v>OLO</v>
      </c>
      <c r="D419" s="7">
        <f>RAW_GAMES!O419</f>
        <v>5</v>
      </c>
      <c r="E419">
        <f>RAW_GAMES!N419</f>
        <v>0</v>
      </c>
      <c r="F419" s="7">
        <f>RAW_GAMES!Q419</f>
        <v>4</v>
      </c>
      <c r="G419">
        <f>RAW_GAMES!P419</f>
        <v>0</v>
      </c>
    </row>
    <row r="420" spans="1:7" x14ac:dyDescent="0.25">
      <c r="A420" t="str">
        <f>RAW_GAMES!A420</f>
        <v>25/26</v>
      </c>
      <c r="B420" s="3">
        <f>RAW_GAMES!B420</f>
        <v>45998</v>
      </c>
      <c r="C420" t="str">
        <f>RAW_GAMES!E420</f>
        <v>PLZ</v>
      </c>
      <c r="D420" s="7">
        <f>RAW_GAMES!O420</f>
        <v>8</v>
      </c>
      <c r="E420">
        <f>RAW_GAMES!N420</f>
        <v>1</v>
      </c>
      <c r="F420" s="7">
        <f>RAW_GAMES!Q420</f>
        <v>5</v>
      </c>
      <c r="G420">
        <f>RAW_GAMES!P420</f>
        <v>2</v>
      </c>
    </row>
    <row r="421" spans="1:7" x14ac:dyDescent="0.25">
      <c r="A421" t="str">
        <f>RAW_GAMES!A421</f>
        <v>25/26</v>
      </c>
      <c r="B421" s="3">
        <f>RAW_GAMES!B421</f>
        <v>45998</v>
      </c>
      <c r="C421" t="str">
        <f>RAW_GAMES!E421</f>
        <v>VIT</v>
      </c>
      <c r="D421" s="7">
        <f>RAW_GAMES!O421</f>
        <v>4</v>
      </c>
      <c r="E421">
        <f>RAW_GAMES!N421</f>
        <v>1</v>
      </c>
      <c r="F421" s="7">
        <f>RAW_GAMES!Q421</f>
        <v>3</v>
      </c>
      <c r="G421">
        <f>RAW_GAMES!P421</f>
        <v>0</v>
      </c>
    </row>
    <row r="422" spans="1:7" x14ac:dyDescent="0.25">
      <c r="A422" t="str">
        <f>RAW_GAMES!A422</f>
        <v>25/26</v>
      </c>
      <c r="B422" s="3">
        <f>RAW_GAMES!B422</f>
        <v>46008</v>
      </c>
      <c r="C422" t="str">
        <f>RAW_GAMES!E422</f>
        <v>PCE</v>
      </c>
      <c r="D422" s="7">
        <f>RAW_GAMES!O422</f>
        <v>4</v>
      </c>
      <c r="E422">
        <f>RAW_GAMES!N422</f>
        <v>1</v>
      </c>
      <c r="F422" s="7">
        <f>RAW_GAMES!Q422</f>
        <v>4</v>
      </c>
      <c r="G422">
        <f>RAW_GAMES!P422</f>
        <v>1</v>
      </c>
    </row>
    <row r="423" spans="1:7" x14ac:dyDescent="0.25">
      <c r="A423" t="str">
        <f>RAW_GAMES!A423</f>
        <v>25/26</v>
      </c>
      <c r="B423" s="3">
        <f>RAW_GAMES!B423</f>
        <v>46008</v>
      </c>
      <c r="C423" t="str">
        <f>RAW_GAMES!E423</f>
        <v>TRI</v>
      </c>
      <c r="D423" s="7">
        <f>RAW_GAMES!O423</f>
        <v>4</v>
      </c>
      <c r="E423">
        <f>RAW_GAMES!N423</f>
        <v>0</v>
      </c>
      <c r="F423" s="7">
        <f>RAW_GAMES!Q423</f>
        <v>6</v>
      </c>
      <c r="G423">
        <f>RAW_GAMES!P423</f>
        <v>1</v>
      </c>
    </row>
    <row r="424" spans="1:7" x14ac:dyDescent="0.25">
      <c r="A424" t="str">
        <f>RAW_GAMES!A424</f>
        <v>25/26</v>
      </c>
      <c r="B424" s="3">
        <f>RAW_GAMES!B424</f>
        <v>46008</v>
      </c>
      <c r="C424" t="str">
        <f>RAW_GAMES!E424</f>
        <v>MHK</v>
      </c>
      <c r="D424" s="7">
        <f>RAW_GAMES!O424</f>
        <v>6</v>
      </c>
      <c r="E424">
        <f>RAW_GAMES!N424</f>
        <v>1</v>
      </c>
      <c r="F424" s="7">
        <f>RAW_GAMES!Q424</f>
        <v>4</v>
      </c>
      <c r="G424">
        <f>RAW_GAMES!P424</f>
        <v>0</v>
      </c>
    </row>
    <row r="425" spans="1:7" x14ac:dyDescent="0.25">
      <c r="A425" t="str">
        <f>RAW_GAMES!A425</f>
        <v>25/26</v>
      </c>
      <c r="B425" s="3">
        <f>RAW_GAMES!B425</f>
        <v>46008</v>
      </c>
      <c r="C425" t="str">
        <f>RAW_GAMES!E425</f>
        <v>OLO</v>
      </c>
      <c r="D425" s="7">
        <f>RAW_GAMES!O425</f>
        <v>4</v>
      </c>
      <c r="E425">
        <f>RAW_GAMES!N425</f>
        <v>1</v>
      </c>
      <c r="F425" s="7">
        <f>RAW_GAMES!Q425</f>
        <v>4</v>
      </c>
      <c r="G425">
        <f>RAW_GAMES!P425</f>
        <v>1</v>
      </c>
    </row>
    <row r="426" spans="1:7" x14ac:dyDescent="0.25">
      <c r="A426" t="str">
        <f>RAW_GAMES!A426</f>
        <v>25/26</v>
      </c>
      <c r="B426" s="3">
        <f>RAW_GAMES!B426</f>
        <v>46008</v>
      </c>
      <c r="C426" t="str">
        <f>RAW_GAMES!E426</f>
        <v>PLZ</v>
      </c>
      <c r="D426" s="7">
        <f>RAW_GAMES!O426</f>
        <v>0</v>
      </c>
      <c r="E426">
        <f>RAW_GAMES!N426</f>
        <v>0</v>
      </c>
      <c r="F426" s="7">
        <f>RAW_GAMES!Q426</f>
        <v>2</v>
      </c>
      <c r="G426">
        <f>RAW_GAMES!P426</f>
        <v>0</v>
      </c>
    </row>
    <row r="427" spans="1:7" x14ac:dyDescent="0.25">
      <c r="A427" t="str">
        <f>RAW_GAMES!A427</f>
        <v>25/26</v>
      </c>
      <c r="B427" s="3">
        <f>RAW_GAMES!B427</f>
        <v>46008</v>
      </c>
      <c r="C427" t="str">
        <f>RAW_GAMES!E427</f>
        <v>VIT</v>
      </c>
      <c r="D427" s="7">
        <f>RAW_GAMES!O427</f>
        <v>2</v>
      </c>
      <c r="E427">
        <f>RAW_GAMES!N427</f>
        <v>0</v>
      </c>
      <c r="F427" s="7">
        <f>RAW_GAMES!Q427</f>
        <v>0</v>
      </c>
      <c r="G427">
        <f>RAW_GAMES!P427</f>
        <v>0</v>
      </c>
    </row>
    <row r="428" spans="1:7" x14ac:dyDescent="0.25">
      <c r="A428" t="str">
        <f>RAW_GAMES!A428</f>
        <v>25/26</v>
      </c>
      <c r="B428" s="3">
        <f>RAW_GAMES!B428</f>
        <v>46010</v>
      </c>
      <c r="C428" t="str">
        <f>RAW_GAMES!E428</f>
        <v>TRI</v>
      </c>
      <c r="D428" s="7">
        <f>RAW_GAMES!O428</f>
        <v>6</v>
      </c>
      <c r="E428">
        <f>RAW_GAMES!N428</f>
        <v>0</v>
      </c>
      <c r="F428" s="7">
        <f>RAW_GAMES!Q428</f>
        <v>6</v>
      </c>
      <c r="G428">
        <f>RAW_GAMES!P428</f>
        <v>0</v>
      </c>
    </row>
    <row r="429" spans="1:7" x14ac:dyDescent="0.25">
      <c r="A429" t="str">
        <f>RAW_GAMES!A429</f>
        <v>25/26</v>
      </c>
      <c r="B429" s="3">
        <f>RAW_GAMES!B429</f>
        <v>46010</v>
      </c>
      <c r="C429" t="str">
        <f>RAW_GAMES!E429</f>
        <v>SPA</v>
      </c>
      <c r="D429" s="7">
        <f>RAW_GAMES!O429</f>
        <v>4</v>
      </c>
      <c r="E429">
        <f>RAW_GAMES!N429</f>
        <v>1</v>
      </c>
      <c r="F429" s="7">
        <f>RAW_GAMES!Q429</f>
        <v>6</v>
      </c>
      <c r="G429">
        <f>RAW_GAMES!P429</f>
        <v>0</v>
      </c>
    </row>
    <row r="430" spans="1:7" x14ac:dyDescent="0.25">
      <c r="A430" t="str">
        <f>RAW_GAMES!A430</f>
        <v>25/26</v>
      </c>
      <c r="B430" s="3">
        <f>RAW_GAMES!B430</f>
        <v>46010</v>
      </c>
      <c r="C430" t="str">
        <f>RAW_GAMES!E430</f>
        <v>KOM</v>
      </c>
      <c r="D430" s="7">
        <f>RAW_GAMES!O430</f>
        <v>2</v>
      </c>
      <c r="E430">
        <f>RAW_GAMES!N430</f>
        <v>0</v>
      </c>
      <c r="F430" s="7">
        <f>RAW_GAMES!Q430</f>
        <v>4</v>
      </c>
      <c r="G430">
        <f>RAW_GAMES!P430</f>
        <v>0</v>
      </c>
    </row>
    <row r="431" spans="1:7" x14ac:dyDescent="0.25">
      <c r="A431" t="str">
        <f>RAW_GAMES!A431</f>
        <v>25/26</v>
      </c>
      <c r="B431" s="3">
        <f>RAW_GAMES!B431</f>
        <v>46010</v>
      </c>
      <c r="C431" t="str">
        <f>RAW_GAMES!E431</f>
        <v>CEB</v>
      </c>
      <c r="D431" s="7">
        <f>RAW_GAMES!O431</f>
        <v>6</v>
      </c>
      <c r="E431">
        <f>RAW_GAMES!N431</f>
        <v>0</v>
      </c>
      <c r="F431" s="7">
        <f>RAW_GAMES!Q431</f>
        <v>3</v>
      </c>
      <c r="G431">
        <f>RAW_GAMES!P431</f>
        <v>0</v>
      </c>
    </row>
    <row r="432" spans="1:7" x14ac:dyDescent="0.25">
      <c r="A432" t="str">
        <f>RAW_GAMES!A432</f>
        <v>25/26</v>
      </c>
      <c r="B432" s="3">
        <f>RAW_GAMES!B432</f>
        <v>46010</v>
      </c>
      <c r="C432" t="str">
        <f>RAW_GAMES!E432</f>
        <v>KLA</v>
      </c>
      <c r="D432" s="7">
        <f>RAW_GAMES!O432</f>
        <v>3</v>
      </c>
      <c r="E432">
        <f>RAW_GAMES!N432</f>
        <v>0</v>
      </c>
      <c r="F432" s="7">
        <f>RAW_GAMES!Q432</f>
        <v>6</v>
      </c>
      <c r="G432">
        <f>RAW_GAMES!P432</f>
        <v>0</v>
      </c>
    </row>
    <row r="433" spans="1:7" x14ac:dyDescent="0.25">
      <c r="A433" t="str">
        <f>RAW_GAMES!A433</f>
        <v>25/26</v>
      </c>
      <c r="B433" s="3">
        <f>RAW_GAMES!B433</f>
        <v>46010</v>
      </c>
      <c r="C433" t="str">
        <f>RAW_GAMES!E433</f>
        <v>KVA</v>
      </c>
      <c r="D433" s="7">
        <f>RAW_GAMES!O433</f>
        <v>2</v>
      </c>
      <c r="E433">
        <f>RAW_GAMES!N433</f>
        <v>1</v>
      </c>
      <c r="F433" s="7">
        <f>RAW_GAMES!Q433</f>
        <v>2</v>
      </c>
      <c r="G433">
        <f>RAW_GAMES!P433</f>
        <v>0</v>
      </c>
    </row>
    <row r="434" spans="1:7" x14ac:dyDescent="0.25">
      <c r="A434" t="str">
        <f>RAW_GAMES!A434</f>
        <v>25/26</v>
      </c>
      <c r="B434" s="3">
        <f>RAW_GAMES!B434</f>
        <v>46010</v>
      </c>
      <c r="C434" t="str">
        <f>RAW_GAMES!E434</f>
        <v>LIB</v>
      </c>
      <c r="D434" s="7">
        <f>RAW_GAMES!O434</f>
        <v>4</v>
      </c>
      <c r="E434">
        <f>RAW_GAMES!N434</f>
        <v>0</v>
      </c>
      <c r="F434" s="7">
        <f>RAW_GAMES!Q434</f>
        <v>2</v>
      </c>
      <c r="G434">
        <f>RAW_GAMES!P434</f>
        <v>0</v>
      </c>
    </row>
    <row r="435" spans="1:7" x14ac:dyDescent="0.25">
      <c r="A435" t="str">
        <f>RAW_GAMES!A435</f>
        <v>25/26</v>
      </c>
      <c r="B435" s="3">
        <f>RAW_GAMES!B435</f>
        <v>46010</v>
      </c>
      <c r="C435" t="str">
        <f>RAW_GAMES!E435</f>
        <v>LIT</v>
      </c>
      <c r="D435" s="7">
        <f>RAW_GAMES!O435</f>
        <v>6</v>
      </c>
      <c r="E435">
        <f>RAW_GAMES!N435</f>
        <v>0</v>
      </c>
      <c r="F435" s="7">
        <f>RAW_GAMES!Q435</f>
        <v>4</v>
      </c>
      <c r="G435">
        <f>RAW_GAMES!P435</f>
        <v>1</v>
      </c>
    </row>
    <row r="436" spans="1:7" x14ac:dyDescent="0.25">
      <c r="A436" t="str">
        <f>RAW_GAMES!A436</f>
        <v>25/26</v>
      </c>
      <c r="B436" s="3">
        <f>RAW_GAMES!B436</f>
        <v>46010</v>
      </c>
      <c r="C436" t="str">
        <f>RAW_GAMES!E436</f>
        <v>MBL</v>
      </c>
      <c r="D436" s="7">
        <f>RAW_GAMES!O436</f>
        <v>2</v>
      </c>
      <c r="E436">
        <f>RAW_GAMES!N436</f>
        <v>1</v>
      </c>
      <c r="F436" s="7">
        <f>RAW_GAMES!Q436</f>
        <v>3</v>
      </c>
      <c r="G436">
        <f>RAW_GAMES!P436</f>
        <v>0</v>
      </c>
    </row>
    <row r="437" spans="1:7" x14ac:dyDescent="0.25">
      <c r="A437" t="str">
        <f>RAW_GAMES!A437</f>
        <v>25/26</v>
      </c>
      <c r="B437" s="3">
        <f>RAW_GAMES!B437</f>
        <v>46010</v>
      </c>
      <c r="C437" t="str">
        <f>RAW_GAMES!E437</f>
        <v>MHK</v>
      </c>
      <c r="D437" s="7">
        <f>RAW_GAMES!O437</f>
        <v>2</v>
      </c>
      <c r="E437">
        <f>RAW_GAMES!N437</f>
        <v>0</v>
      </c>
      <c r="F437" s="7">
        <f>RAW_GAMES!Q437</f>
        <v>2</v>
      </c>
      <c r="G437">
        <f>RAW_GAMES!P437</f>
        <v>1</v>
      </c>
    </row>
    <row r="438" spans="1:7" x14ac:dyDescent="0.25">
      <c r="A438" t="str">
        <f>RAW_GAMES!A438</f>
        <v>25/26</v>
      </c>
      <c r="B438" s="3">
        <f>RAW_GAMES!B438</f>
        <v>46010</v>
      </c>
      <c r="C438" t="str">
        <f>RAW_GAMES!E438</f>
        <v>PLZ</v>
      </c>
      <c r="D438" s="7">
        <f>RAW_GAMES!O438</f>
        <v>6</v>
      </c>
      <c r="E438">
        <f>RAW_GAMES!N438</f>
        <v>0</v>
      </c>
      <c r="F438" s="7">
        <f>RAW_GAMES!Q438</f>
        <v>6</v>
      </c>
      <c r="G438">
        <f>RAW_GAMES!P438</f>
        <v>0</v>
      </c>
    </row>
    <row r="439" spans="1:7" x14ac:dyDescent="0.25">
      <c r="A439" t="str">
        <f>RAW_GAMES!A439</f>
        <v>25/26</v>
      </c>
      <c r="B439" s="3">
        <f>RAW_GAMES!B439</f>
        <v>46010</v>
      </c>
      <c r="C439" t="str">
        <f>RAW_GAMES!E439</f>
        <v>VIT</v>
      </c>
      <c r="D439" s="7">
        <f>RAW_GAMES!O439</f>
        <v>3</v>
      </c>
      <c r="E439">
        <f>RAW_GAMES!N439</f>
        <v>0</v>
      </c>
      <c r="F439" s="7">
        <f>RAW_GAMES!Q439</f>
        <v>2</v>
      </c>
      <c r="G439">
        <f>RAW_GAMES!P439</f>
        <v>1</v>
      </c>
    </row>
    <row r="440" spans="1:7" x14ac:dyDescent="0.25">
      <c r="A440" t="str">
        <f>RAW_GAMES!A440</f>
        <v>25/26</v>
      </c>
      <c r="B440" s="3">
        <f>RAW_GAMES!B440</f>
        <v>46012</v>
      </c>
      <c r="C440" t="str">
        <f>RAW_GAMES!E440</f>
        <v>PCE</v>
      </c>
      <c r="D440" s="7">
        <f>RAW_GAMES!O440</f>
        <v>3</v>
      </c>
      <c r="E440">
        <f>RAW_GAMES!N440</f>
        <v>1</v>
      </c>
      <c r="F440" s="7">
        <f>RAW_GAMES!Q440</f>
        <v>6</v>
      </c>
      <c r="G440">
        <f>RAW_GAMES!P440</f>
        <v>0</v>
      </c>
    </row>
    <row r="441" spans="1:7" x14ac:dyDescent="0.25">
      <c r="A441" t="str">
        <f>RAW_GAMES!A441</f>
        <v>25/26</v>
      </c>
      <c r="B441" s="3">
        <f>RAW_GAMES!B441</f>
        <v>46012</v>
      </c>
      <c r="C441" t="str">
        <f>RAW_GAMES!E441</f>
        <v>TRI</v>
      </c>
      <c r="D441" s="7">
        <f>RAW_GAMES!O441</f>
        <v>5</v>
      </c>
      <c r="E441">
        <f>RAW_GAMES!N441</f>
        <v>0</v>
      </c>
      <c r="F441" s="7">
        <f>RAW_GAMES!Q441</f>
        <v>2</v>
      </c>
      <c r="G441">
        <f>RAW_GAMES!P441</f>
        <v>0</v>
      </c>
    </row>
    <row r="442" spans="1:7" x14ac:dyDescent="0.25">
      <c r="A442" t="str">
        <f>RAW_GAMES!A442</f>
        <v>25/26</v>
      </c>
      <c r="B442" s="3">
        <f>RAW_GAMES!B442</f>
        <v>46012</v>
      </c>
      <c r="C442" t="str">
        <f>RAW_GAMES!E442</f>
        <v>SPA</v>
      </c>
      <c r="D442" s="7">
        <f>RAW_GAMES!O442</f>
        <v>6</v>
      </c>
      <c r="E442">
        <f>RAW_GAMES!N442</f>
        <v>2</v>
      </c>
      <c r="F442" s="7">
        <f>RAW_GAMES!Q442</f>
        <v>3</v>
      </c>
      <c r="G442">
        <f>RAW_GAMES!P442</f>
        <v>3</v>
      </c>
    </row>
    <row r="443" spans="1:7" x14ac:dyDescent="0.25">
      <c r="A443" t="str">
        <f>RAW_GAMES!A443</f>
        <v>25/26</v>
      </c>
      <c r="B443" s="3">
        <f>RAW_GAMES!B443</f>
        <v>46012</v>
      </c>
      <c r="C443" t="str">
        <f>RAW_GAMES!E443</f>
        <v>KOM</v>
      </c>
      <c r="D443" s="7">
        <f>RAW_GAMES!O443</f>
        <v>2</v>
      </c>
      <c r="E443">
        <f>RAW_GAMES!N443</f>
        <v>0</v>
      </c>
      <c r="F443" s="7">
        <f>RAW_GAMES!Q443</f>
        <v>4</v>
      </c>
      <c r="G443">
        <f>RAW_GAMES!P443</f>
        <v>0</v>
      </c>
    </row>
    <row r="444" spans="1:7" x14ac:dyDescent="0.25">
      <c r="A444" t="str">
        <f>RAW_GAMES!A444</f>
        <v>25/26</v>
      </c>
      <c r="B444" s="3">
        <f>RAW_GAMES!B444</f>
        <v>46012</v>
      </c>
      <c r="C444" t="str">
        <f>RAW_GAMES!E444</f>
        <v>CEB</v>
      </c>
      <c r="D444" s="7">
        <f>RAW_GAMES!O444</f>
        <v>2</v>
      </c>
      <c r="E444">
        <f>RAW_GAMES!N444</f>
        <v>0</v>
      </c>
      <c r="F444" s="7">
        <f>RAW_GAMES!Q444</f>
        <v>5</v>
      </c>
      <c r="G444">
        <f>RAW_GAMES!P444</f>
        <v>0</v>
      </c>
    </row>
    <row r="445" spans="1:7" x14ac:dyDescent="0.25">
      <c r="A445" t="str">
        <f>RAW_GAMES!A445</f>
        <v>25/26</v>
      </c>
      <c r="B445" s="3">
        <f>RAW_GAMES!B445</f>
        <v>46012</v>
      </c>
      <c r="C445" t="str">
        <f>RAW_GAMES!E445</f>
        <v>KLA</v>
      </c>
      <c r="D445" s="7">
        <f>RAW_GAMES!O445</f>
        <v>3</v>
      </c>
      <c r="E445">
        <f>RAW_GAMES!N445</f>
        <v>0</v>
      </c>
      <c r="F445" s="7">
        <f>RAW_GAMES!Q445</f>
        <v>4</v>
      </c>
      <c r="G445">
        <f>RAW_GAMES!P445</f>
        <v>0</v>
      </c>
    </row>
    <row r="446" spans="1:7" x14ac:dyDescent="0.25">
      <c r="A446" t="str">
        <f>RAW_GAMES!A446</f>
        <v>25/26</v>
      </c>
      <c r="B446" s="3">
        <f>RAW_GAMES!B446</f>
        <v>46012</v>
      </c>
      <c r="C446" t="str">
        <f>RAW_GAMES!E446</f>
        <v>KVA</v>
      </c>
      <c r="D446" s="7">
        <f>RAW_GAMES!O446</f>
        <v>4</v>
      </c>
      <c r="E446">
        <f>RAW_GAMES!N446</f>
        <v>1</v>
      </c>
      <c r="F446" s="7">
        <f>RAW_GAMES!Q446</f>
        <v>7</v>
      </c>
      <c r="G446">
        <f>RAW_GAMES!P446</f>
        <v>0</v>
      </c>
    </row>
    <row r="447" spans="1:7" x14ac:dyDescent="0.25">
      <c r="A447" t="str">
        <f>RAW_GAMES!A447</f>
        <v>25/26</v>
      </c>
      <c r="B447" s="3">
        <f>RAW_GAMES!B447</f>
        <v>46012</v>
      </c>
      <c r="C447" t="str">
        <f>RAW_GAMES!E447</f>
        <v>LIB</v>
      </c>
      <c r="D447" s="7">
        <f>RAW_GAMES!O447</f>
        <v>4</v>
      </c>
      <c r="E447">
        <f>RAW_GAMES!N447</f>
        <v>0</v>
      </c>
      <c r="F447" s="7">
        <f>RAW_GAMES!Q447</f>
        <v>3</v>
      </c>
      <c r="G447">
        <f>RAW_GAMES!P447</f>
        <v>0</v>
      </c>
    </row>
    <row r="448" spans="1:7" x14ac:dyDescent="0.25">
      <c r="A448" t="str">
        <f>RAW_GAMES!A448</f>
        <v>25/26</v>
      </c>
      <c r="B448" s="3">
        <f>RAW_GAMES!B448</f>
        <v>46012</v>
      </c>
      <c r="C448" t="str">
        <f>RAW_GAMES!E448</f>
        <v>LIT</v>
      </c>
      <c r="D448" s="7">
        <f>RAW_GAMES!O448</f>
        <v>3</v>
      </c>
      <c r="E448">
        <f>RAW_GAMES!N448</f>
        <v>0</v>
      </c>
      <c r="F448" s="7">
        <f>RAW_GAMES!Q448</f>
        <v>2</v>
      </c>
      <c r="G448">
        <f>RAW_GAMES!P448</f>
        <v>0</v>
      </c>
    </row>
    <row r="449" spans="1:7" x14ac:dyDescent="0.25">
      <c r="A449" t="str">
        <f>RAW_GAMES!A449</f>
        <v>25/26</v>
      </c>
      <c r="B449" s="3">
        <f>RAW_GAMES!B449</f>
        <v>46012</v>
      </c>
      <c r="C449" t="str">
        <f>RAW_GAMES!E449</f>
        <v>MBL</v>
      </c>
      <c r="D449" s="7">
        <f>RAW_GAMES!O449</f>
        <v>7</v>
      </c>
      <c r="E449">
        <f>RAW_GAMES!N449</f>
        <v>0</v>
      </c>
      <c r="F449" s="7">
        <f>RAW_GAMES!Q449</f>
        <v>4</v>
      </c>
      <c r="G449">
        <f>RAW_GAMES!P449</f>
        <v>1</v>
      </c>
    </row>
    <row r="450" spans="1:7" x14ac:dyDescent="0.25">
      <c r="A450" t="str">
        <f>RAW_GAMES!A450</f>
        <v>25/26</v>
      </c>
      <c r="B450" s="3">
        <f>RAW_GAMES!B450</f>
        <v>46012</v>
      </c>
      <c r="C450" t="str">
        <f>RAW_GAMES!E450</f>
        <v>MHK</v>
      </c>
      <c r="D450" s="7">
        <f>RAW_GAMES!O450</f>
        <v>4</v>
      </c>
      <c r="E450">
        <f>RAW_GAMES!N450</f>
        <v>0</v>
      </c>
      <c r="F450" s="7">
        <f>RAW_GAMES!Q450</f>
        <v>2</v>
      </c>
      <c r="G450">
        <f>RAW_GAMES!P450</f>
        <v>0</v>
      </c>
    </row>
    <row r="451" spans="1:7" x14ac:dyDescent="0.25">
      <c r="A451" t="str">
        <f>RAW_GAMES!A451</f>
        <v>25/26</v>
      </c>
      <c r="B451" s="3">
        <f>RAW_GAMES!B451</f>
        <v>46012</v>
      </c>
      <c r="C451" t="str">
        <f>RAW_GAMES!E451</f>
        <v>OLO</v>
      </c>
      <c r="D451" s="7">
        <f>RAW_GAMES!O451</f>
        <v>2</v>
      </c>
      <c r="E451">
        <f>RAW_GAMES!N451</f>
        <v>0</v>
      </c>
      <c r="F451" s="7">
        <f>RAW_GAMES!Q451</f>
        <v>3</v>
      </c>
      <c r="G451">
        <f>RAW_GAMES!P451</f>
        <v>0</v>
      </c>
    </row>
    <row r="452" spans="1:7" x14ac:dyDescent="0.25">
      <c r="A452" t="str">
        <f>RAW_GAMES!A452</f>
        <v>25/26</v>
      </c>
      <c r="B452" s="3">
        <f>RAW_GAMES!B452</f>
        <v>46012</v>
      </c>
      <c r="C452" t="str">
        <f>RAW_GAMES!E452</f>
        <v>PLZ</v>
      </c>
      <c r="D452" s="7">
        <f>RAW_GAMES!O452</f>
        <v>6</v>
      </c>
      <c r="E452">
        <f>RAW_GAMES!N452</f>
        <v>0</v>
      </c>
      <c r="F452" s="7">
        <f>RAW_GAMES!Q452</f>
        <v>3</v>
      </c>
      <c r="G452">
        <f>RAW_GAMES!P452</f>
        <v>1</v>
      </c>
    </row>
    <row r="453" spans="1:7" x14ac:dyDescent="0.25">
      <c r="A453" t="str">
        <f>RAW_GAMES!A453</f>
        <v>25/26</v>
      </c>
      <c r="B453" s="3">
        <f>RAW_GAMES!B453</f>
        <v>46012</v>
      </c>
      <c r="C453" t="str">
        <f>RAW_GAMES!E453</f>
        <v>VIT</v>
      </c>
      <c r="D453" s="7">
        <f>RAW_GAMES!O453</f>
        <v>3</v>
      </c>
      <c r="E453">
        <f>RAW_GAMES!N453</f>
        <v>3</v>
      </c>
      <c r="F453" s="7">
        <f>RAW_GAMES!Q453</f>
        <v>6</v>
      </c>
      <c r="G453">
        <f>RAW_GAMES!P453</f>
        <v>2</v>
      </c>
    </row>
    <row r="454" spans="1:7" x14ac:dyDescent="0.25">
      <c r="A454" t="str">
        <f>RAW_GAMES!A454</f>
        <v>25/26</v>
      </c>
      <c r="B454" s="3">
        <f>RAW_GAMES!B454</f>
        <v>46014</v>
      </c>
      <c r="C454" t="str">
        <f>RAW_GAMES!E454</f>
        <v>PCE</v>
      </c>
      <c r="D454" s="7">
        <f>RAW_GAMES!O454</f>
        <v>5</v>
      </c>
      <c r="E454">
        <f>RAW_GAMES!N454</f>
        <v>1</v>
      </c>
      <c r="F454" s="7">
        <f>RAW_GAMES!Q454</f>
        <v>4</v>
      </c>
      <c r="G454">
        <f>RAW_GAMES!P454</f>
        <v>0</v>
      </c>
    </row>
    <row r="455" spans="1:7" x14ac:dyDescent="0.25">
      <c r="A455" t="str">
        <f>RAW_GAMES!A455</f>
        <v>25/26</v>
      </c>
      <c r="B455" s="3">
        <f>RAW_GAMES!B455</f>
        <v>46014</v>
      </c>
      <c r="C455" t="str">
        <f>RAW_GAMES!E455</f>
        <v>SPA</v>
      </c>
      <c r="D455" s="7">
        <f>RAW_GAMES!O455</f>
        <v>3</v>
      </c>
      <c r="E455">
        <f>RAW_GAMES!N455</f>
        <v>1</v>
      </c>
      <c r="F455" s="7">
        <f>RAW_GAMES!Q455</f>
        <v>2</v>
      </c>
      <c r="G455">
        <f>RAW_GAMES!P455</f>
        <v>0</v>
      </c>
    </row>
    <row r="456" spans="1:7" x14ac:dyDescent="0.25">
      <c r="A456" t="str">
        <f>RAW_GAMES!A456</f>
        <v>25/26</v>
      </c>
      <c r="B456" s="3">
        <f>RAW_GAMES!B456</f>
        <v>46014</v>
      </c>
      <c r="C456" t="str">
        <f>RAW_GAMES!E456</f>
        <v>KOM</v>
      </c>
      <c r="D456" s="7">
        <f>RAW_GAMES!O456</f>
        <v>3</v>
      </c>
      <c r="E456">
        <f>RAW_GAMES!N456</f>
        <v>0</v>
      </c>
      <c r="F456" s="7">
        <f>RAW_GAMES!Q456</f>
        <v>2</v>
      </c>
      <c r="G456">
        <f>RAW_GAMES!P456</f>
        <v>1</v>
      </c>
    </row>
    <row r="457" spans="1:7" x14ac:dyDescent="0.25">
      <c r="A457" t="str">
        <f>RAW_GAMES!A457</f>
        <v>25/26</v>
      </c>
      <c r="B457" s="3">
        <f>RAW_GAMES!B457</f>
        <v>46014</v>
      </c>
      <c r="C457" t="str">
        <f>RAW_GAMES!E457</f>
        <v>CEB</v>
      </c>
      <c r="D457" s="7">
        <f>RAW_GAMES!O457</f>
        <v>4</v>
      </c>
      <c r="E457">
        <f>RAW_GAMES!N457</f>
        <v>0</v>
      </c>
      <c r="F457" s="7">
        <f>RAW_GAMES!Q457</f>
        <v>6</v>
      </c>
      <c r="G457">
        <f>RAW_GAMES!P457</f>
        <v>0</v>
      </c>
    </row>
    <row r="458" spans="1:7" x14ac:dyDescent="0.25">
      <c r="A458" t="str">
        <f>RAW_GAMES!A458</f>
        <v>25/26</v>
      </c>
      <c r="B458" s="3">
        <f>RAW_GAMES!B458</f>
        <v>46014</v>
      </c>
      <c r="C458" t="str">
        <f>RAW_GAMES!E458</f>
        <v>KLA</v>
      </c>
      <c r="D458" s="7">
        <f>RAW_GAMES!O458</f>
        <v>4</v>
      </c>
      <c r="E458">
        <f>RAW_GAMES!N458</f>
        <v>0</v>
      </c>
      <c r="F458" s="7">
        <f>RAW_GAMES!Q458</f>
        <v>5</v>
      </c>
      <c r="G458">
        <f>RAW_GAMES!P458</f>
        <v>1</v>
      </c>
    </row>
    <row r="459" spans="1:7" x14ac:dyDescent="0.25">
      <c r="A459" t="str">
        <f>RAW_GAMES!A459</f>
        <v>25/26</v>
      </c>
      <c r="B459" s="3">
        <f>RAW_GAMES!B459</f>
        <v>46014</v>
      </c>
      <c r="C459" t="str">
        <f>RAW_GAMES!E459</f>
        <v>KVA</v>
      </c>
      <c r="D459" s="7">
        <f>RAW_GAMES!O459</f>
        <v>6</v>
      </c>
      <c r="E459">
        <f>RAW_GAMES!N459</f>
        <v>0</v>
      </c>
      <c r="F459" s="7">
        <f>RAW_GAMES!Q459</f>
        <v>4</v>
      </c>
      <c r="G459">
        <f>RAW_GAMES!P459</f>
        <v>0</v>
      </c>
    </row>
    <row r="460" spans="1:7" x14ac:dyDescent="0.25">
      <c r="A460" t="str">
        <f>RAW_GAMES!A460</f>
        <v>25/26</v>
      </c>
      <c r="B460" s="3">
        <f>RAW_GAMES!B460</f>
        <v>46014</v>
      </c>
      <c r="C460" t="str">
        <f>RAW_GAMES!E460</f>
        <v>LIB</v>
      </c>
      <c r="D460" s="7">
        <f>RAW_GAMES!O460</f>
        <v>2</v>
      </c>
      <c r="E460">
        <f>RAW_GAMES!N460</f>
        <v>0</v>
      </c>
      <c r="F460" s="7">
        <f>RAW_GAMES!Q460</f>
        <v>4</v>
      </c>
      <c r="G460">
        <f>RAW_GAMES!P460</f>
        <v>1</v>
      </c>
    </row>
    <row r="461" spans="1:7" x14ac:dyDescent="0.25">
      <c r="A461" t="str">
        <f>RAW_GAMES!A461</f>
        <v>25/26</v>
      </c>
      <c r="B461" s="3">
        <f>RAW_GAMES!B461</f>
        <v>46014</v>
      </c>
      <c r="C461" t="str">
        <f>RAW_GAMES!E461</f>
        <v>LIT</v>
      </c>
      <c r="D461" s="7">
        <f>RAW_GAMES!O461</f>
        <v>5</v>
      </c>
      <c r="E461">
        <f>RAW_GAMES!N461</f>
        <v>0</v>
      </c>
      <c r="F461" s="7">
        <f>RAW_GAMES!Q461</f>
        <v>4</v>
      </c>
      <c r="G461">
        <f>RAW_GAMES!P461</f>
        <v>0</v>
      </c>
    </row>
    <row r="462" spans="1:7" x14ac:dyDescent="0.25">
      <c r="A462" t="str">
        <f>RAW_GAMES!A462</f>
        <v>25/26</v>
      </c>
      <c r="B462" s="3">
        <f>RAW_GAMES!B462</f>
        <v>46014</v>
      </c>
      <c r="C462" t="str">
        <f>RAW_GAMES!E462</f>
        <v>MBL</v>
      </c>
      <c r="D462" s="7">
        <f>RAW_GAMES!O462</f>
        <v>4</v>
      </c>
      <c r="E462">
        <f>RAW_GAMES!N462</f>
        <v>0</v>
      </c>
      <c r="F462" s="7">
        <f>RAW_GAMES!Q462</f>
        <v>5</v>
      </c>
      <c r="G462">
        <f>RAW_GAMES!P462</f>
        <v>0</v>
      </c>
    </row>
    <row r="463" spans="1:7" x14ac:dyDescent="0.25">
      <c r="A463" t="str">
        <f>RAW_GAMES!A463</f>
        <v>25/26</v>
      </c>
      <c r="B463" s="3">
        <f>RAW_GAMES!B463</f>
        <v>46014</v>
      </c>
      <c r="C463" t="str">
        <f>RAW_GAMES!E463</f>
        <v>OLO</v>
      </c>
      <c r="D463" s="7">
        <f>RAW_GAMES!O463</f>
        <v>2</v>
      </c>
      <c r="E463">
        <f>RAW_GAMES!N463</f>
        <v>0</v>
      </c>
      <c r="F463" s="7">
        <f>RAW_GAMES!Q463</f>
        <v>3</v>
      </c>
      <c r="G463">
        <f>RAW_GAMES!P463</f>
        <v>1</v>
      </c>
    </row>
    <row r="464" spans="1:7" x14ac:dyDescent="0.25">
      <c r="A464" t="str">
        <f>RAW_GAMES!A464</f>
        <v>25/26</v>
      </c>
      <c r="B464" s="3">
        <f>RAW_GAMES!B464</f>
        <v>46014</v>
      </c>
      <c r="C464" t="str">
        <f>RAW_GAMES!E464</f>
        <v>PLZ</v>
      </c>
      <c r="D464" s="7">
        <f>RAW_GAMES!O464</f>
        <v>2</v>
      </c>
      <c r="E464">
        <f>RAW_GAMES!N464</f>
        <v>1</v>
      </c>
      <c r="F464" s="7">
        <f>RAW_GAMES!Q464</f>
        <v>3</v>
      </c>
      <c r="G464">
        <f>RAW_GAMES!P464</f>
        <v>0</v>
      </c>
    </row>
    <row r="465" spans="1:7" x14ac:dyDescent="0.25">
      <c r="A465" t="str">
        <f>RAW_GAMES!A465</f>
        <v>25/26</v>
      </c>
      <c r="B465" s="3">
        <f>RAW_GAMES!B465</f>
        <v>46014</v>
      </c>
      <c r="C465" t="str">
        <f>RAW_GAMES!E465</f>
        <v>VIT</v>
      </c>
      <c r="D465" s="7">
        <f>RAW_GAMES!O465</f>
        <v>4</v>
      </c>
      <c r="E465">
        <f>RAW_GAMES!N465</f>
        <v>1</v>
      </c>
      <c r="F465" s="7">
        <f>RAW_GAMES!Q465</f>
        <v>2</v>
      </c>
      <c r="G465">
        <f>RAW_GAMES!P465</f>
        <v>0</v>
      </c>
    </row>
    <row r="466" spans="1:7" x14ac:dyDescent="0.25">
      <c r="A466" t="str">
        <f>RAW_GAMES!A466</f>
        <v>25/26</v>
      </c>
      <c r="B466" s="3">
        <f>RAW_GAMES!B466</f>
        <v>46017</v>
      </c>
      <c r="C466" t="str">
        <f>RAW_GAMES!E466</f>
        <v>PCE</v>
      </c>
      <c r="D466" s="7">
        <f>RAW_GAMES!O466</f>
        <v>5</v>
      </c>
      <c r="E466">
        <f>RAW_GAMES!N466</f>
        <v>2</v>
      </c>
      <c r="F466" s="7">
        <f>RAW_GAMES!Q466</f>
        <v>1</v>
      </c>
      <c r="G466">
        <f>RAW_GAMES!P466</f>
        <v>0</v>
      </c>
    </row>
    <row r="467" spans="1:7" x14ac:dyDescent="0.25">
      <c r="A467" t="str">
        <f>RAW_GAMES!A467</f>
        <v>25/26</v>
      </c>
      <c r="B467" s="3">
        <f>RAW_GAMES!B467</f>
        <v>46017</v>
      </c>
      <c r="C467" t="str">
        <f>RAW_GAMES!E467</f>
        <v>TRI</v>
      </c>
      <c r="D467" s="7">
        <f>RAW_GAMES!O467</f>
        <v>1</v>
      </c>
      <c r="E467">
        <f>RAW_GAMES!N467</f>
        <v>0</v>
      </c>
      <c r="F467" s="7">
        <f>RAW_GAMES!Q467</f>
        <v>5</v>
      </c>
      <c r="G467">
        <f>RAW_GAMES!P467</f>
        <v>2</v>
      </c>
    </row>
    <row r="468" spans="1:7" x14ac:dyDescent="0.25">
      <c r="A468" t="str">
        <f>RAW_GAMES!A468</f>
        <v>25/26</v>
      </c>
      <c r="B468" s="3">
        <f>RAW_GAMES!B468</f>
        <v>46017</v>
      </c>
      <c r="C468" t="str">
        <f>RAW_GAMES!E468</f>
        <v>KOM</v>
      </c>
      <c r="D468" s="7">
        <f>RAW_GAMES!O468</f>
        <v>5</v>
      </c>
      <c r="E468">
        <f>RAW_GAMES!N468</f>
        <v>1</v>
      </c>
      <c r="F468" s="7">
        <f>RAW_GAMES!Q468</f>
        <v>4</v>
      </c>
      <c r="G468">
        <f>RAW_GAMES!P468</f>
        <v>1</v>
      </c>
    </row>
    <row r="469" spans="1:7" x14ac:dyDescent="0.25">
      <c r="A469" t="str">
        <f>RAW_GAMES!A469</f>
        <v>25/26</v>
      </c>
      <c r="B469" s="3">
        <f>RAW_GAMES!B469</f>
        <v>46017</v>
      </c>
      <c r="C469" t="str">
        <f>RAW_GAMES!E469</f>
        <v>CEB</v>
      </c>
      <c r="D469" s="7">
        <f>RAW_GAMES!O469</f>
        <v>4</v>
      </c>
      <c r="E469">
        <f>RAW_GAMES!N469</f>
        <v>1</v>
      </c>
      <c r="F469" s="7">
        <f>RAW_GAMES!Q469</f>
        <v>5</v>
      </c>
      <c r="G469">
        <f>RAW_GAMES!P469</f>
        <v>1</v>
      </c>
    </row>
    <row r="470" spans="1:7" x14ac:dyDescent="0.25">
      <c r="A470" t="str">
        <f>RAW_GAMES!A470</f>
        <v>25/26</v>
      </c>
      <c r="B470" s="3">
        <f>RAW_GAMES!B470</f>
        <v>46017</v>
      </c>
      <c r="C470" t="str">
        <f>RAW_GAMES!E470</f>
        <v>KLA</v>
      </c>
      <c r="D470" s="7">
        <f>RAW_GAMES!O470</f>
        <v>3</v>
      </c>
      <c r="E470">
        <f>RAW_GAMES!N470</f>
        <v>0</v>
      </c>
      <c r="F470" s="7">
        <f>RAW_GAMES!Q470</f>
        <v>4</v>
      </c>
      <c r="G470">
        <f>RAW_GAMES!P470</f>
        <v>0</v>
      </c>
    </row>
    <row r="471" spans="1:7" x14ac:dyDescent="0.25">
      <c r="A471" t="str">
        <f>RAW_GAMES!A471</f>
        <v>25/26</v>
      </c>
      <c r="B471" s="3">
        <f>RAW_GAMES!B471</f>
        <v>46017</v>
      </c>
      <c r="C471" t="str">
        <f>RAW_GAMES!E471</f>
        <v>KVA</v>
      </c>
      <c r="D471" s="7">
        <f>RAW_GAMES!O471</f>
        <v>4</v>
      </c>
      <c r="E471">
        <f>RAW_GAMES!N471</f>
        <v>1</v>
      </c>
      <c r="F471" s="7">
        <f>RAW_GAMES!Q471</f>
        <v>4</v>
      </c>
      <c r="G471">
        <f>RAW_GAMES!P471</f>
        <v>0</v>
      </c>
    </row>
    <row r="472" spans="1:7" x14ac:dyDescent="0.25">
      <c r="A472" t="str">
        <f>RAW_GAMES!A472</f>
        <v>25/26</v>
      </c>
      <c r="B472" s="3">
        <f>RAW_GAMES!B472</f>
        <v>46017</v>
      </c>
      <c r="C472" t="str">
        <f>RAW_GAMES!E472</f>
        <v>LIB</v>
      </c>
      <c r="D472" s="7">
        <f>RAW_GAMES!O472</f>
        <v>4</v>
      </c>
      <c r="E472">
        <f>RAW_GAMES!N472</f>
        <v>0</v>
      </c>
      <c r="F472" s="7">
        <f>RAW_GAMES!Q472</f>
        <v>4</v>
      </c>
      <c r="G472">
        <f>RAW_GAMES!P472</f>
        <v>1</v>
      </c>
    </row>
    <row r="473" spans="1:7" x14ac:dyDescent="0.25">
      <c r="A473" t="str">
        <f>RAW_GAMES!A473</f>
        <v>25/26</v>
      </c>
      <c r="B473" s="3">
        <f>RAW_GAMES!B473</f>
        <v>46017</v>
      </c>
      <c r="C473" t="str">
        <f>RAW_GAMES!E473</f>
        <v>LIT</v>
      </c>
      <c r="D473" s="7">
        <f>RAW_GAMES!O473</f>
        <v>6</v>
      </c>
      <c r="E473">
        <f>RAW_GAMES!N473</f>
        <v>1</v>
      </c>
      <c r="F473" s="7">
        <f>RAW_GAMES!Q473</f>
        <v>8</v>
      </c>
      <c r="G473">
        <f>RAW_GAMES!P473</f>
        <v>2</v>
      </c>
    </row>
    <row r="474" spans="1:7" x14ac:dyDescent="0.25">
      <c r="A474" t="str">
        <f>RAW_GAMES!A474</f>
        <v>25/26</v>
      </c>
      <c r="B474" s="3">
        <f>RAW_GAMES!B474</f>
        <v>46017</v>
      </c>
      <c r="C474" t="str">
        <f>RAW_GAMES!E474</f>
        <v>MHK</v>
      </c>
      <c r="D474" s="7">
        <f>RAW_GAMES!O474</f>
        <v>8</v>
      </c>
      <c r="E474">
        <f>RAW_GAMES!N474</f>
        <v>2</v>
      </c>
      <c r="F474" s="7">
        <f>RAW_GAMES!Q474</f>
        <v>6</v>
      </c>
      <c r="G474">
        <f>RAW_GAMES!P474</f>
        <v>1</v>
      </c>
    </row>
    <row r="475" spans="1:7" x14ac:dyDescent="0.25">
      <c r="A475" t="str">
        <f>RAW_GAMES!A475</f>
        <v>25/26</v>
      </c>
      <c r="B475" s="3">
        <f>RAW_GAMES!B475</f>
        <v>46017</v>
      </c>
      <c r="C475" t="str">
        <f>RAW_GAMES!E475</f>
        <v>OLO</v>
      </c>
      <c r="D475" s="7">
        <f>RAW_GAMES!O475</f>
        <v>1</v>
      </c>
      <c r="E475">
        <f>RAW_GAMES!N475</f>
        <v>0</v>
      </c>
      <c r="F475" s="7">
        <f>RAW_GAMES!Q475</f>
        <v>3</v>
      </c>
      <c r="G475">
        <f>RAW_GAMES!P475</f>
        <v>1</v>
      </c>
    </row>
    <row r="476" spans="1:7" x14ac:dyDescent="0.25">
      <c r="A476" t="str">
        <f>RAW_GAMES!A476</f>
        <v>25/26</v>
      </c>
      <c r="B476" s="3">
        <f>RAW_GAMES!B476</f>
        <v>46017</v>
      </c>
      <c r="C476" t="str">
        <f>RAW_GAMES!E476</f>
        <v>PLZ</v>
      </c>
      <c r="D476" s="7">
        <f>RAW_GAMES!O476</f>
        <v>4</v>
      </c>
      <c r="E476">
        <f>RAW_GAMES!N476</f>
        <v>0</v>
      </c>
      <c r="F476" s="7">
        <f>RAW_GAMES!Q476</f>
        <v>3</v>
      </c>
      <c r="G476">
        <f>RAW_GAMES!P476</f>
        <v>0</v>
      </c>
    </row>
    <row r="477" spans="1:7" x14ac:dyDescent="0.25">
      <c r="A477" t="str">
        <f>RAW_GAMES!A477</f>
        <v>25/26</v>
      </c>
      <c r="B477" s="3">
        <f>RAW_GAMES!B477</f>
        <v>46017</v>
      </c>
      <c r="C477" t="str">
        <f>RAW_GAMES!E477</f>
        <v>VIT</v>
      </c>
      <c r="D477" s="7">
        <f>RAW_GAMES!O477</f>
        <v>3</v>
      </c>
      <c r="E477">
        <f>RAW_GAMES!N477</f>
        <v>1</v>
      </c>
      <c r="F477" s="7">
        <f>RAW_GAMES!Q477</f>
        <v>1</v>
      </c>
      <c r="G477">
        <f>RAW_GAMES!P477</f>
        <v>0</v>
      </c>
    </row>
    <row r="478" spans="1:7" x14ac:dyDescent="0.25">
      <c r="A478" t="str">
        <f>RAW_GAMES!A478</f>
        <v>25/26</v>
      </c>
      <c r="B478" s="3">
        <f>RAW_GAMES!B478</f>
        <v>46019</v>
      </c>
      <c r="C478" t="str">
        <f>RAW_GAMES!E478</f>
        <v>PCE</v>
      </c>
      <c r="D478" s="7">
        <f>RAW_GAMES!O478</f>
        <v>4</v>
      </c>
      <c r="E478">
        <f>RAW_GAMES!N478</f>
        <v>1</v>
      </c>
      <c r="F478" s="7">
        <f>RAW_GAMES!Q478</f>
        <v>5</v>
      </c>
      <c r="G478">
        <f>RAW_GAMES!P478</f>
        <v>0</v>
      </c>
    </row>
    <row r="479" spans="1:7" x14ac:dyDescent="0.25">
      <c r="A479" t="str">
        <f>RAW_GAMES!A479</f>
        <v>25/26</v>
      </c>
      <c r="B479" s="3">
        <f>RAW_GAMES!B479</f>
        <v>46019</v>
      </c>
      <c r="C479" t="str">
        <f>RAW_GAMES!E479</f>
        <v>TRI</v>
      </c>
      <c r="D479" s="7">
        <f>RAW_GAMES!O479</f>
        <v>7</v>
      </c>
      <c r="E479">
        <f>RAW_GAMES!N479</f>
        <v>1</v>
      </c>
      <c r="F479" s="7">
        <f>RAW_GAMES!Q479</f>
        <v>3</v>
      </c>
      <c r="G479">
        <f>RAW_GAMES!P479</f>
        <v>1</v>
      </c>
    </row>
    <row r="480" spans="1:7" x14ac:dyDescent="0.25">
      <c r="A480" t="str">
        <f>RAW_GAMES!A480</f>
        <v>25/26</v>
      </c>
      <c r="B480" s="3">
        <f>RAW_GAMES!B480</f>
        <v>46019</v>
      </c>
      <c r="C480" t="str">
        <f>RAW_GAMES!E480</f>
        <v>KOM</v>
      </c>
      <c r="D480" s="7">
        <f>RAW_GAMES!O480</f>
        <v>5</v>
      </c>
      <c r="E480">
        <f>RAW_GAMES!N480</f>
        <v>0</v>
      </c>
      <c r="F480" s="7">
        <f>RAW_GAMES!Q480</f>
        <v>4</v>
      </c>
      <c r="G480">
        <f>RAW_GAMES!P480</f>
        <v>1</v>
      </c>
    </row>
    <row r="481" spans="1:7" x14ac:dyDescent="0.25">
      <c r="A481" t="str">
        <f>RAW_GAMES!A481</f>
        <v>25/26</v>
      </c>
      <c r="B481" s="3">
        <f>RAW_GAMES!B481</f>
        <v>46019</v>
      </c>
      <c r="C481" t="str">
        <f>RAW_GAMES!E481</f>
        <v>CEB</v>
      </c>
      <c r="D481" s="7">
        <f>RAW_GAMES!O481</f>
        <v>5</v>
      </c>
      <c r="E481">
        <f>RAW_GAMES!N481</f>
        <v>0</v>
      </c>
      <c r="F481" s="7">
        <f>RAW_GAMES!Q481</f>
        <v>7</v>
      </c>
      <c r="G481">
        <f>RAW_GAMES!P481</f>
        <v>1</v>
      </c>
    </row>
    <row r="482" spans="1:7" x14ac:dyDescent="0.25">
      <c r="A482" t="str">
        <f>RAW_GAMES!A482</f>
        <v>25/26</v>
      </c>
      <c r="B482" s="3">
        <f>RAW_GAMES!B482</f>
        <v>46019</v>
      </c>
      <c r="C482" t="str">
        <f>RAW_GAMES!E482</f>
        <v>KLA</v>
      </c>
      <c r="D482" s="7">
        <f>RAW_GAMES!O482</f>
        <v>3</v>
      </c>
      <c r="E482">
        <f>RAW_GAMES!N482</f>
        <v>1</v>
      </c>
      <c r="F482" s="7">
        <f>RAW_GAMES!Q482</f>
        <v>7</v>
      </c>
      <c r="G482">
        <f>RAW_GAMES!P482</f>
        <v>1</v>
      </c>
    </row>
    <row r="483" spans="1:7" x14ac:dyDescent="0.25">
      <c r="A483" t="str">
        <f>RAW_GAMES!A483</f>
        <v>25/26</v>
      </c>
      <c r="B483" s="3">
        <f>RAW_GAMES!B483</f>
        <v>46019</v>
      </c>
      <c r="C483" t="str">
        <f>RAW_GAMES!E483</f>
        <v>KVA</v>
      </c>
      <c r="D483" s="7">
        <f>RAW_GAMES!O483</f>
        <v>6</v>
      </c>
      <c r="E483">
        <f>RAW_GAMES!N483</f>
        <v>0</v>
      </c>
      <c r="F483" s="7">
        <f>RAW_GAMES!Q483</f>
        <v>3</v>
      </c>
      <c r="G483">
        <f>RAW_GAMES!P483</f>
        <v>0</v>
      </c>
    </row>
    <row r="484" spans="1:7" x14ac:dyDescent="0.25">
      <c r="A484" t="str">
        <f>RAW_GAMES!A484</f>
        <v>25/26</v>
      </c>
      <c r="B484" s="3">
        <f>RAW_GAMES!B484</f>
        <v>46019</v>
      </c>
      <c r="C484" t="str">
        <f>RAW_GAMES!E484</f>
        <v>LIT</v>
      </c>
      <c r="D484" s="7">
        <f>RAW_GAMES!O484</f>
        <v>7</v>
      </c>
      <c r="E484">
        <f>RAW_GAMES!N484</f>
        <v>1</v>
      </c>
      <c r="F484" s="7">
        <f>RAW_GAMES!Q484</f>
        <v>5</v>
      </c>
      <c r="G484">
        <f>RAW_GAMES!P484</f>
        <v>0</v>
      </c>
    </row>
    <row r="485" spans="1:7" x14ac:dyDescent="0.25">
      <c r="A485" t="str">
        <f>RAW_GAMES!A485</f>
        <v>25/26</v>
      </c>
      <c r="B485" s="3">
        <f>RAW_GAMES!B485</f>
        <v>46019</v>
      </c>
      <c r="C485" t="str">
        <f>RAW_GAMES!E485</f>
        <v>MBL</v>
      </c>
      <c r="D485" s="7">
        <f>RAW_GAMES!O485</f>
        <v>3</v>
      </c>
      <c r="E485">
        <f>RAW_GAMES!N485</f>
        <v>2</v>
      </c>
      <c r="F485" s="7">
        <f>RAW_GAMES!Q485</f>
        <v>3</v>
      </c>
      <c r="G485">
        <f>RAW_GAMES!P485</f>
        <v>1</v>
      </c>
    </row>
    <row r="486" spans="1:7" x14ac:dyDescent="0.25">
      <c r="A486" t="str">
        <f>RAW_GAMES!A486</f>
        <v>25/26</v>
      </c>
      <c r="B486" s="3">
        <f>RAW_GAMES!B486</f>
        <v>46019</v>
      </c>
      <c r="C486" t="str">
        <f>RAW_GAMES!E486</f>
        <v>MHK</v>
      </c>
      <c r="D486" s="7">
        <f>RAW_GAMES!O486</f>
        <v>2</v>
      </c>
      <c r="E486">
        <f>RAW_GAMES!N486</f>
        <v>0</v>
      </c>
      <c r="F486" s="7">
        <f>RAW_GAMES!Q486</f>
        <v>7</v>
      </c>
      <c r="G486">
        <f>RAW_GAMES!P486</f>
        <v>1</v>
      </c>
    </row>
    <row r="487" spans="1:7" x14ac:dyDescent="0.25">
      <c r="A487" t="str">
        <f>RAW_GAMES!A487</f>
        <v>25/26</v>
      </c>
      <c r="B487" s="3">
        <f>RAW_GAMES!B487</f>
        <v>46019</v>
      </c>
      <c r="C487" t="str">
        <f>RAW_GAMES!E487</f>
        <v>OLO</v>
      </c>
      <c r="D487" s="7">
        <f>RAW_GAMES!O487</f>
        <v>3</v>
      </c>
      <c r="E487">
        <f>RAW_GAMES!N487</f>
        <v>1</v>
      </c>
      <c r="F487" s="7">
        <f>RAW_GAMES!Q487</f>
        <v>3</v>
      </c>
      <c r="G487">
        <f>RAW_GAMES!P487</f>
        <v>2</v>
      </c>
    </row>
    <row r="488" spans="1:7" x14ac:dyDescent="0.25">
      <c r="A488" t="str">
        <f>RAW_GAMES!A488</f>
        <v>25/26</v>
      </c>
      <c r="B488" s="3">
        <f>RAW_GAMES!B488</f>
        <v>46019</v>
      </c>
      <c r="C488" t="str">
        <f>RAW_GAMES!E488</f>
        <v>PLZ</v>
      </c>
      <c r="D488" s="7">
        <f>RAW_GAMES!O488</f>
        <v>3</v>
      </c>
      <c r="E488">
        <f>RAW_GAMES!N488</f>
        <v>0</v>
      </c>
      <c r="F488" s="7">
        <f>RAW_GAMES!Q488</f>
        <v>6</v>
      </c>
      <c r="G488">
        <f>RAW_GAMES!P488</f>
        <v>0</v>
      </c>
    </row>
    <row r="489" spans="1:7" x14ac:dyDescent="0.25">
      <c r="A489" t="str">
        <f>RAW_GAMES!A489</f>
        <v>25/26</v>
      </c>
      <c r="B489" s="3">
        <f>RAW_GAMES!B489</f>
        <v>46019</v>
      </c>
      <c r="C489" t="str">
        <f>RAW_GAMES!E489</f>
        <v>VIT</v>
      </c>
      <c r="D489" s="7">
        <f>RAW_GAMES!O489</f>
        <v>7</v>
      </c>
      <c r="E489">
        <f>RAW_GAMES!N489</f>
        <v>1</v>
      </c>
      <c r="F489" s="7">
        <f>RAW_GAMES!Q489</f>
        <v>2</v>
      </c>
      <c r="G489">
        <f>RAW_GAMES!P489</f>
        <v>0</v>
      </c>
    </row>
    <row r="490" spans="1:7" x14ac:dyDescent="0.25">
      <c r="A490" t="str">
        <f>RAW_GAMES!A490</f>
        <v>25/26</v>
      </c>
      <c r="B490" s="3">
        <f>RAW_GAMES!B490</f>
        <v>46021</v>
      </c>
      <c r="C490" t="str">
        <f>RAW_GAMES!E490</f>
        <v>PCE</v>
      </c>
      <c r="D490" s="7">
        <f>RAW_GAMES!O490</f>
        <v>5</v>
      </c>
      <c r="E490">
        <f>RAW_GAMES!N490</f>
        <v>2</v>
      </c>
      <c r="F490" s="7">
        <f>RAW_GAMES!Q490</f>
        <v>3</v>
      </c>
      <c r="G490">
        <f>RAW_GAMES!P490</f>
        <v>0</v>
      </c>
    </row>
    <row r="491" spans="1:7" x14ac:dyDescent="0.25">
      <c r="A491" t="str">
        <f>RAW_GAMES!A491</f>
        <v>25/26</v>
      </c>
      <c r="B491" s="3">
        <f>RAW_GAMES!B491</f>
        <v>46021</v>
      </c>
      <c r="C491" t="str">
        <f>RAW_GAMES!E491</f>
        <v>TRI</v>
      </c>
      <c r="D491" s="7">
        <f>RAW_GAMES!O491</f>
        <v>4</v>
      </c>
      <c r="E491">
        <f>RAW_GAMES!N491</f>
        <v>0</v>
      </c>
      <c r="F491" s="7">
        <f>RAW_GAMES!Q491</f>
        <v>5</v>
      </c>
      <c r="G491">
        <f>RAW_GAMES!P491</f>
        <v>0</v>
      </c>
    </row>
    <row r="492" spans="1:7" x14ac:dyDescent="0.25">
      <c r="A492" t="str">
        <f>RAW_GAMES!A492</f>
        <v>25/26</v>
      </c>
      <c r="B492" s="3">
        <f>RAW_GAMES!B492</f>
        <v>46021</v>
      </c>
      <c r="C492" t="str">
        <f>RAW_GAMES!E492</f>
        <v>KOM</v>
      </c>
      <c r="D492" s="7">
        <f>RAW_GAMES!O492</f>
        <v>5</v>
      </c>
      <c r="E492">
        <f>RAW_GAMES!N492</f>
        <v>0</v>
      </c>
      <c r="F492" s="7">
        <f>RAW_GAMES!Q492</f>
        <v>4</v>
      </c>
      <c r="G492">
        <f>RAW_GAMES!P492</f>
        <v>0</v>
      </c>
    </row>
    <row r="493" spans="1:7" x14ac:dyDescent="0.25">
      <c r="A493" t="str">
        <f>RAW_GAMES!A493</f>
        <v>25/26</v>
      </c>
      <c r="B493" s="3">
        <f>RAW_GAMES!B493</f>
        <v>46021</v>
      </c>
      <c r="C493" t="str">
        <f>RAW_GAMES!E493</f>
        <v>CEB</v>
      </c>
      <c r="D493" s="7">
        <f>RAW_GAMES!O493</f>
        <v>3</v>
      </c>
      <c r="E493">
        <f>RAW_GAMES!N493</f>
        <v>0</v>
      </c>
      <c r="F493" s="7">
        <f>RAW_GAMES!Q493</f>
        <v>2</v>
      </c>
      <c r="G493">
        <f>RAW_GAMES!P493</f>
        <v>0</v>
      </c>
    </row>
    <row r="494" spans="1:7" x14ac:dyDescent="0.25">
      <c r="A494" t="str">
        <f>RAW_GAMES!A494</f>
        <v>25/26</v>
      </c>
      <c r="B494" s="3">
        <f>RAW_GAMES!B494</f>
        <v>46021</v>
      </c>
      <c r="C494" t="str">
        <f>RAW_GAMES!E494</f>
        <v>KLA</v>
      </c>
      <c r="D494" s="7">
        <f>RAW_GAMES!O494</f>
        <v>7</v>
      </c>
      <c r="E494">
        <f>RAW_GAMES!N494</f>
        <v>1</v>
      </c>
      <c r="F494" s="7">
        <f>RAW_GAMES!Q494</f>
        <v>6</v>
      </c>
      <c r="G494">
        <f>RAW_GAMES!P494</f>
        <v>0</v>
      </c>
    </row>
    <row r="495" spans="1:7" x14ac:dyDescent="0.25">
      <c r="A495" t="str">
        <f>RAW_GAMES!A495</f>
        <v>25/26</v>
      </c>
      <c r="B495" s="3">
        <f>RAW_GAMES!B495</f>
        <v>46021</v>
      </c>
      <c r="C495" t="str">
        <f>RAW_GAMES!E495</f>
        <v>KVA</v>
      </c>
      <c r="D495" s="7">
        <f>RAW_GAMES!O495</f>
        <v>6</v>
      </c>
      <c r="E495">
        <f>RAW_GAMES!N495</f>
        <v>0</v>
      </c>
      <c r="F495" s="7">
        <f>RAW_GAMES!Q495</f>
        <v>7</v>
      </c>
      <c r="G495">
        <f>RAW_GAMES!P495</f>
        <v>1</v>
      </c>
    </row>
    <row r="496" spans="1:7" x14ac:dyDescent="0.25">
      <c r="A496" t="str">
        <f>RAW_GAMES!A496</f>
        <v>25/26</v>
      </c>
      <c r="B496" s="3">
        <f>RAW_GAMES!B496</f>
        <v>46021</v>
      </c>
      <c r="C496" t="str">
        <f>RAW_GAMES!E496</f>
        <v>LIB</v>
      </c>
      <c r="D496" s="7">
        <f>RAW_GAMES!O496</f>
        <v>1</v>
      </c>
      <c r="E496">
        <f>RAW_GAMES!N496</f>
        <v>0</v>
      </c>
      <c r="F496" s="7">
        <f>RAW_GAMES!Q496</f>
        <v>1</v>
      </c>
      <c r="G496">
        <f>RAW_GAMES!P496</f>
        <v>0</v>
      </c>
    </row>
    <row r="497" spans="1:7" x14ac:dyDescent="0.25">
      <c r="A497" t="str">
        <f>RAW_GAMES!A497</f>
        <v>25/26</v>
      </c>
      <c r="B497" s="3">
        <f>RAW_GAMES!B497</f>
        <v>46021</v>
      </c>
      <c r="C497" t="str">
        <f>RAW_GAMES!E497</f>
        <v>LIT</v>
      </c>
      <c r="D497" s="7">
        <f>RAW_GAMES!O497</f>
        <v>3</v>
      </c>
      <c r="E497">
        <f>RAW_GAMES!N497</f>
        <v>0</v>
      </c>
      <c r="F497" s="7">
        <f>RAW_GAMES!Q497</f>
        <v>5</v>
      </c>
      <c r="G497">
        <f>RAW_GAMES!P497</f>
        <v>2</v>
      </c>
    </row>
    <row r="498" spans="1:7" x14ac:dyDescent="0.25">
      <c r="A498" t="str">
        <f>RAW_GAMES!A498</f>
        <v>25/26</v>
      </c>
      <c r="B498" s="3">
        <f>RAW_GAMES!B498</f>
        <v>46021</v>
      </c>
      <c r="C498" t="str">
        <f>RAW_GAMES!E498</f>
        <v>MBL</v>
      </c>
      <c r="D498" s="7">
        <f>RAW_GAMES!O498</f>
        <v>1</v>
      </c>
      <c r="E498">
        <f>RAW_GAMES!N498</f>
        <v>0</v>
      </c>
      <c r="F498" s="7">
        <f>RAW_GAMES!Q498</f>
        <v>1</v>
      </c>
      <c r="G498">
        <f>RAW_GAMES!P498</f>
        <v>0</v>
      </c>
    </row>
    <row r="499" spans="1:7" x14ac:dyDescent="0.25">
      <c r="A499" t="str">
        <f>RAW_GAMES!A499</f>
        <v>25/26</v>
      </c>
      <c r="B499" s="3">
        <f>RAW_GAMES!B499</f>
        <v>46021</v>
      </c>
      <c r="C499" t="str">
        <f>RAW_GAMES!E499</f>
        <v>MHK</v>
      </c>
      <c r="D499" s="7">
        <f>RAW_GAMES!O499</f>
        <v>2</v>
      </c>
      <c r="E499">
        <f>RAW_GAMES!N499</f>
        <v>0</v>
      </c>
      <c r="F499" s="7">
        <f>RAW_GAMES!Q499</f>
        <v>5</v>
      </c>
      <c r="G499">
        <f>RAW_GAMES!P499</f>
        <v>1</v>
      </c>
    </row>
    <row r="500" spans="1:7" x14ac:dyDescent="0.25">
      <c r="A500" t="str">
        <f>RAW_GAMES!A500</f>
        <v>25/26</v>
      </c>
      <c r="B500" s="3">
        <f>RAW_GAMES!B500</f>
        <v>46021</v>
      </c>
      <c r="C500" t="str">
        <f>RAW_GAMES!E500</f>
        <v>OLO</v>
      </c>
      <c r="D500" s="7">
        <f>RAW_GAMES!O500</f>
        <v>5</v>
      </c>
      <c r="E500">
        <f>RAW_GAMES!N500</f>
        <v>1</v>
      </c>
      <c r="F500" s="7">
        <f>RAW_GAMES!Q500</f>
        <v>2</v>
      </c>
      <c r="G500">
        <f>RAW_GAMES!P500</f>
        <v>0</v>
      </c>
    </row>
    <row r="501" spans="1:7" x14ac:dyDescent="0.25">
      <c r="A501" t="str">
        <f>RAW_GAMES!A501</f>
        <v>25/26</v>
      </c>
      <c r="B501" s="3">
        <f>RAW_GAMES!B501</f>
        <v>46021</v>
      </c>
      <c r="C501" t="str">
        <f>RAW_GAMES!E501</f>
        <v>VIT</v>
      </c>
      <c r="D501" s="7">
        <f>RAW_GAMES!O501</f>
        <v>2</v>
      </c>
      <c r="E501">
        <f>RAW_GAMES!N501</f>
        <v>0</v>
      </c>
      <c r="F501" s="7">
        <f>RAW_GAMES!Q501</f>
        <v>3</v>
      </c>
      <c r="G501">
        <f>RAW_GAMES!P501</f>
        <v>0</v>
      </c>
    </row>
    <row r="502" spans="1:7" x14ac:dyDescent="0.25">
      <c r="A502" t="str">
        <f>RAW_GAMES!A502</f>
        <v>25/26</v>
      </c>
      <c r="B502" s="3">
        <f>RAW_GAMES!B502</f>
        <v>46024</v>
      </c>
      <c r="C502" t="str">
        <f>RAW_GAMES!E502</f>
        <v>PCE</v>
      </c>
      <c r="D502" s="7">
        <f>RAW_GAMES!O502</f>
        <v>5</v>
      </c>
      <c r="E502">
        <f>RAW_GAMES!N502</f>
        <v>1</v>
      </c>
      <c r="F502" s="7">
        <f>RAW_GAMES!Q502</f>
        <v>5</v>
      </c>
      <c r="G502">
        <f>RAW_GAMES!P502</f>
        <v>1</v>
      </c>
    </row>
    <row r="503" spans="1:7" x14ac:dyDescent="0.25">
      <c r="A503" t="str">
        <f>RAW_GAMES!A503</f>
        <v>25/26</v>
      </c>
      <c r="B503" s="3">
        <f>RAW_GAMES!B503</f>
        <v>46024</v>
      </c>
      <c r="C503" t="str">
        <f>RAW_GAMES!E503</f>
        <v>TRI</v>
      </c>
      <c r="D503" s="7">
        <f>RAW_GAMES!O503</f>
        <v>0</v>
      </c>
      <c r="E503">
        <f>RAW_GAMES!N503</f>
        <v>0</v>
      </c>
      <c r="F503" s="7">
        <f>RAW_GAMES!Q503</f>
        <v>3</v>
      </c>
      <c r="G503">
        <f>RAW_GAMES!P503</f>
        <v>0</v>
      </c>
    </row>
    <row r="504" spans="1:7" x14ac:dyDescent="0.25">
      <c r="A504" t="str">
        <f>RAW_GAMES!A504</f>
        <v>25/26</v>
      </c>
      <c r="B504" s="3">
        <f>RAW_GAMES!B504</f>
        <v>46024</v>
      </c>
      <c r="C504" t="str">
        <f>RAW_GAMES!E504</f>
        <v>KOM</v>
      </c>
      <c r="D504" s="7">
        <f>RAW_GAMES!O504</f>
        <v>3</v>
      </c>
      <c r="E504">
        <f>RAW_GAMES!N504</f>
        <v>0</v>
      </c>
      <c r="F504" s="7">
        <f>RAW_GAMES!Q504</f>
        <v>1</v>
      </c>
      <c r="G504">
        <f>RAW_GAMES!P504</f>
        <v>0</v>
      </c>
    </row>
    <row r="505" spans="1:7" x14ac:dyDescent="0.25">
      <c r="A505" t="str">
        <f>RAW_GAMES!A505</f>
        <v>25/26</v>
      </c>
      <c r="B505" s="3">
        <f>RAW_GAMES!B505</f>
        <v>46024</v>
      </c>
      <c r="C505" t="str">
        <f>RAW_GAMES!E505</f>
        <v>CEB</v>
      </c>
      <c r="D505" s="7">
        <f>RAW_GAMES!O505</f>
        <v>3</v>
      </c>
      <c r="E505">
        <f>RAW_GAMES!N505</f>
        <v>0</v>
      </c>
      <c r="F505" s="7">
        <f>RAW_GAMES!Q505</f>
        <v>3</v>
      </c>
      <c r="G505">
        <f>RAW_GAMES!P505</f>
        <v>0</v>
      </c>
    </row>
    <row r="506" spans="1:7" x14ac:dyDescent="0.25">
      <c r="A506" t="str">
        <f>RAW_GAMES!A506</f>
        <v>25/26</v>
      </c>
      <c r="B506" s="3">
        <f>RAW_GAMES!B506</f>
        <v>46024</v>
      </c>
      <c r="C506" t="str">
        <f>RAW_GAMES!E506</f>
        <v>KLA</v>
      </c>
      <c r="D506" s="7">
        <f>RAW_GAMES!O506</f>
        <v>1</v>
      </c>
      <c r="E506">
        <f>RAW_GAMES!N506</f>
        <v>0</v>
      </c>
      <c r="F506" s="7">
        <f>RAW_GAMES!Q506</f>
        <v>3</v>
      </c>
      <c r="G506">
        <f>RAW_GAMES!P506</f>
        <v>0</v>
      </c>
    </row>
    <row r="507" spans="1:7" x14ac:dyDescent="0.25">
      <c r="A507" t="str">
        <f>RAW_GAMES!A507</f>
        <v>25/26</v>
      </c>
      <c r="B507" s="3">
        <f>RAW_GAMES!B507</f>
        <v>46024</v>
      </c>
      <c r="C507" t="str">
        <f>RAW_GAMES!E507</f>
        <v>KVA</v>
      </c>
      <c r="D507" s="7">
        <f>RAW_GAMES!O507</f>
        <v>5</v>
      </c>
      <c r="E507">
        <f>RAW_GAMES!N507</f>
        <v>1</v>
      </c>
      <c r="F507" s="7">
        <f>RAW_GAMES!Q507</f>
        <v>5</v>
      </c>
      <c r="G507">
        <f>RAW_GAMES!P507</f>
        <v>1</v>
      </c>
    </row>
    <row r="508" spans="1:7" x14ac:dyDescent="0.25">
      <c r="A508" t="str">
        <f>RAW_GAMES!A508</f>
        <v>25/26</v>
      </c>
      <c r="B508" s="3">
        <f>RAW_GAMES!B508</f>
        <v>46024</v>
      </c>
      <c r="C508" t="str">
        <f>RAW_GAMES!E508</f>
        <v>LIB</v>
      </c>
      <c r="D508" s="7">
        <f>RAW_GAMES!O508</f>
        <v>6</v>
      </c>
      <c r="E508">
        <f>RAW_GAMES!N508</f>
        <v>1</v>
      </c>
      <c r="F508" s="7">
        <f>RAW_GAMES!Q508</f>
        <v>9</v>
      </c>
      <c r="G508">
        <f>RAW_GAMES!P508</f>
        <v>2</v>
      </c>
    </row>
    <row r="509" spans="1:7" x14ac:dyDescent="0.25">
      <c r="A509" t="str">
        <f>RAW_GAMES!A509</f>
        <v>25/26</v>
      </c>
      <c r="B509" s="3">
        <f>RAW_GAMES!B509</f>
        <v>46024</v>
      </c>
      <c r="C509" t="str">
        <f>RAW_GAMES!E509</f>
        <v>LIT</v>
      </c>
      <c r="D509" s="7">
        <f>RAW_GAMES!O509</f>
        <v>5</v>
      </c>
      <c r="E509">
        <f>RAW_GAMES!N509</f>
        <v>0</v>
      </c>
      <c r="F509" s="7">
        <f>RAW_GAMES!Q509</f>
        <v>6</v>
      </c>
      <c r="G509">
        <f>RAW_GAMES!P509</f>
        <v>2</v>
      </c>
    </row>
    <row r="510" spans="1:7" x14ac:dyDescent="0.25">
      <c r="A510" t="str">
        <f>RAW_GAMES!A510</f>
        <v>25/26</v>
      </c>
      <c r="B510" s="3">
        <f>RAW_GAMES!B510</f>
        <v>46024</v>
      </c>
      <c r="C510" t="str">
        <f>RAW_GAMES!E510</f>
        <v>MBL</v>
      </c>
      <c r="D510" s="7">
        <f>RAW_GAMES!O510</f>
        <v>3</v>
      </c>
      <c r="E510">
        <f>RAW_GAMES!N510</f>
        <v>0</v>
      </c>
      <c r="F510" s="7">
        <f>RAW_GAMES!Q510</f>
        <v>3</v>
      </c>
      <c r="G510">
        <f>RAW_GAMES!P510</f>
        <v>0</v>
      </c>
    </row>
    <row r="511" spans="1:7" x14ac:dyDescent="0.25">
      <c r="A511" t="str">
        <f>RAW_GAMES!A511</f>
        <v>25/26</v>
      </c>
      <c r="B511" s="3">
        <f>RAW_GAMES!B511</f>
        <v>46024</v>
      </c>
      <c r="C511" t="str">
        <f>RAW_GAMES!E511</f>
        <v>OLO</v>
      </c>
      <c r="D511" s="7">
        <f>RAW_GAMES!O511</f>
        <v>9</v>
      </c>
      <c r="E511">
        <f>RAW_GAMES!N511</f>
        <v>2</v>
      </c>
      <c r="F511" s="7">
        <f>RAW_GAMES!Q511</f>
        <v>6</v>
      </c>
      <c r="G511">
        <f>RAW_GAMES!P511</f>
        <v>1</v>
      </c>
    </row>
    <row r="512" spans="1:7" x14ac:dyDescent="0.25">
      <c r="A512" t="str">
        <f>RAW_GAMES!A512</f>
        <v>25/26</v>
      </c>
      <c r="B512" s="3">
        <f>RAW_GAMES!B512</f>
        <v>46024</v>
      </c>
      <c r="C512" t="str">
        <f>RAW_GAMES!E512</f>
        <v>PLZ</v>
      </c>
      <c r="D512" s="7">
        <f>RAW_GAMES!O512</f>
        <v>6</v>
      </c>
      <c r="E512">
        <f>RAW_GAMES!N512</f>
        <v>2</v>
      </c>
      <c r="F512" s="7">
        <f>RAW_GAMES!Q512</f>
        <v>5</v>
      </c>
      <c r="G512">
        <f>RAW_GAMES!P512</f>
        <v>0</v>
      </c>
    </row>
    <row r="513" spans="1:7" x14ac:dyDescent="0.25">
      <c r="A513" t="str">
        <f>RAW_GAMES!A513</f>
        <v>25/26</v>
      </c>
      <c r="B513" s="3">
        <f>RAW_GAMES!B513</f>
        <v>46024</v>
      </c>
      <c r="C513" t="str">
        <f>RAW_GAMES!E513</f>
        <v>VIT</v>
      </c>
      <c r="D513" s="7">
        <f>RAW_GAMES!O513</f>
        <v>3</v>
      </c>
      <c r="E513">
        <f>RAW_GAMES!N513</f>
        <v>0</v>
      </c>
      <c r="F513" s="7">
        <f>RAW_GAMES!Q513</f>
        <v>0</v>
      </c>
      <c r="G513">
        <f>RAW_GAMES!P513</f>
        <v>0</v>
      </c>
    </row>
    <row r="514" spans="1:7" x14ac:dyDescent="0.25">
      <c r="A514" t="str">
        <f>RAW_GAMES!A514</f>
        <v>25/26</v>
      </c>
      <c r="B514" s="3">
        <f>RAW_GAMES!B514</f>
        <v>46026</v>
      </c>
      <c r="C514" t="str">
        <f>RAW_GAMES!E514</f>
        <v>PCE</v>
      </c>
      <c r="D514" s="7">
        <f>RAW_GAMES!O514</f>
        <v>4</v>
      </c>
      <c r="E514">
        <f>RAW_GAMES!N514</f>
        <v>0</v>
      </c>
      <c r="F514" s="7">
        <f>RAW_GAMES!Q514</f>
        <v>2</v>
      </c>
      <c r="G514">
        <f>RAW_GAMES!P514</f>
        <v>0</v>
      </c>
    </row>
    <row r="515" spans="1:7" x14ac:dyDescent="0.25">
      <c r="A515" t="str">
        <f>RAW_GAMES!A515</f>
        <v>25/26</v>
      </c>
      <c r="B515" s="3">
        <f>RAW_GAMES!B515</f>
        <v>46026</v>
      </c>
      <c r="C515" t="str">
        <f>RAW_GAMES!E515</f>
        <v>TRI</v>
      </c>
      <c r="D515" s="7">
        <f>RAW_GAMES!O515</f>
        <v>2</v>
      </c>
      <c r="E515">
        <f>RAW_GAMES!N515</f>
        <v>0</v>
      </c>
      <c r="F515" s="7">
        <f>RAW_GAMES!Q515</f>
        <v>2</v>
      </c>
      <c r="G515">
        <f>RAW_GAMES!P515</f>
        <v>0</v>
      </c>
    </row>
    <row r="516" spans="1:7" x14ac:dyDescent="0.25">
      <c r="A516" t="str">
        <f>RAW_GAMES!A516</f>
        <v>25/26</v>
      </c>
      <c r="B516" s="3">
        <f>RAW_GAMES!B516</f>
        <v>46026</v>
      </c>
      <c r="C516" t="str">
        <f>RAW_GAMES!E516</f>
        <v>SPA</v>
      </c>
      <c r="D516" s="7">
        <f>RAW_GAMES!O516</f>
        <v>4</v>
      </c>
      <c r="E516">
        <f>RAW_GAMES!N516</f>
        <v>1</v>
      </c>
      <c r="F516" s="7">
        <f>RAW_GAMES!Q516</f>
        <v>5</v>
      </c>
      <c r="G516">
        <f>RAW_GAMES!P516</f>
        <v>3</v>
      </c>
    </row>
    <row r="517" spans="1:7" x14ac:dyDescent="0.25">
      <c r="A517" t="str">
        <f>RAW_GAMES!A517</f>
        <v>25/26</v>
      </c>
      <c r="B517" s="3">
        <f>RAW_GAMES!B517</f>
        <v>46026</v>
      </c>
      <c r="C517" t="str">
        <f>RAW_GAMES!E517</f>
        <v>KOM</v>
      </c>
      <c r="D517" s="7">
        <f>RAW_GAMES!O517</f>
        <v>4</v>
      </c>
      <c r="E517">
        <f>RAW_GAMES!N517</f>
        <v>1</v>
      </c>
      <c r="F517" s="7">
        <f>RAW_GAMES!Q517</f>
        <v>4</v>
      </c>
      <c r="G517">
        <f>RAW_GAMES!P517</f>
        <v>0</v>
      </c>
    </row>
    <row r="518" spans="1:7" x14ac:dyDescent="0.25">
      <c r="A518" t="str">
        <f>RAW_GAMES!A518</f>
        <v>25/26</v>
      </c>
      <c r="B518" s="3">
        <f>RAW_GAMES!B518</f>
        <v>46026</v>
      </c>
      <c r="C518" t="str">
        <f>RAW_GAMES!E518</f>
        <v>CEB</v>
      </c>
      <c r="D518" s="7">
        <f>RAW_GAMES!O518</f>
        <v>3</v>
      </c>
      <c r="E518">
        <f>RAW_GAMES!N518</f>
        <v>0</v>
      </c>
      <c r="F518" s="7">
        <f>RAW_GAMES!Q518</f>
        <v>3</v>
      </c>
      <c r="G518">
        <f>RAW_GAMES!P518</f>
        <v>0</v>
      </c>
    </row>
    <row r="519" spans="1:7" x14ac:dyDescent="0.25">
      <c r="A519" t="str">
        <f>RAW_GAMES!A519</f>
        <v>25/26</v>
      </c>
      <c r="B519" s="3">
        <f>RAW_GAMES!B519</f>
        <v>46026</v>
      </c>
      <c r="C519" t="str">
        <f>RAW_GAMES!E519</f>
        <v>KLA</v>
      </c>
      <c r="D519" s="7">
        <f>RAW_GAMES!O519</f>
        <v>5</v>
      </c>
      <c r="E519">
        <f>RAW_GAMES!N519</f>
        <v>3</v>
      </c>
      <c r="F519" s="7">
        <f>RAW_GAMES!Q519</f>
        <v>4</v>
      </c>
      <c r="G519">
        <f>RAW_GAMES!P519</f>
        <v>1</v>
      </c>
    </row>
    <row r="520" spans="1:7" x14ac:dyDescent="0.25">
      <c r="A520" t="str">
        <f>RAW_GAMES!A520</f>
        <v>25/26</v>
      </c>
      <c r="B520" s="3">
        <f>RAW_GAMES!B520</f>
        <v>46026</v>
      </c>
      <c r="C520" t="str">
        <f>RAW_GAMES!E520</f>
        <v>KVA</v>
      </c>
      <c r="D520" s="7">
        <f>RAW_GAMES!O520</f>
        <v>4</v>
      </c>
      <c r="E520">
        <f>RAW_GAMES!N520</f>
        <v>0</v>
      </c>
      <c r="F520" s="7">
        <f>RAW_GAMES!Q520</f>
        <v>4</v>
      </c>
      <c r="G520">
        <f>RAW_GAMES!P520</f>
        <v>1</v>
      </c>
    </row>
    <row r="521" spans="1:7" x14ac:dyDescent="0.25">
      <c r="A521" t="str">
        <f>RAW_GAMES!A521</f>
        <v>25/26</v>
      </c>
      <c r="B521" s="3">
        <f>RAW_GAMES!B521</f>
        <v>46026</v>
      </c>
      <c r="C521" t="str">
        <f>RAW_GAMES!E521</f>
        <v>LIB</v>
      </c>
      <c r="D521" s="7">
        <f>RAW_GAMES!O521</f>
        <v>5</v>
      </c>
      <c r="E521">
        <f>RAW_GAMES!N521</f>
        <v>1</v>
      </c>
      <c r="F521" s="7">
        <f>RAW_GAMES!Q521</f>
        <v>3</v>
      </c>
      <c r="G521">
        <f>RAW_GAMES!P521</f>
        <v>0</v>
      </c>
    </row>
    <row r="522" spans="1:7" x14ac:dyDescent="0.25">
      <c r="A522" t="str">
        <f>RAW_GAMES!A522</f>
        <v>25/26</v>
      </c>
      <c r="B522" s="3">
        <f>RAW_GAMES!B522</f>
        <v>46026</v>
      </c>
      <c r="C522" t="str">
        <f>RAW_GAMES!E522</f>
        <v>LIT</v>
      </c>
      <c r="D522" s="7">
        <f>RAW_GAMES!O522</f>
        <v>2</v>
      </c>
      <c r="E522">
        <f>RAW_GAMES!N522</f>
        <v>0</v>
      </c>
      <c r="F522" s="7">
        <f>RAW_GAMES!Q522</f>
        <v>2</v>
      </c>
      <c r="G522">
        <f>RAW_GAMES!P522</f>
        <v>0</v>
      </c>
    </row>
    <row r="523" spans="1:7" x14ac:dyDescent="0.25">
      <c r="A523" t="str">
        <f>RAW_GAMES!A523</f>
        <v>25/26</v>
      </c>
      <c r="B523" s="3">
        <f>RAW_GAMES!B523</f>
        <v>46026</v>
      </c>
      <c r="C523" t="str">
        <f>RAW_GAMES!E523</f>
        <v>MBL</v>
      </c>
      <c r="D523" s="7">
        <f>RAW_GAMES!O523</f>
        <v>4</v>
      </c>
      <c r="E523">
        <f>RAW_GAMES!N523</f>
        <v>1</v>
      </c>
      <c r="F523" s="7">
        <f>RAW_GAMES!Q523</f>
        <v>6</v>
      </c>
      <c r="G523">
        <f>RAW_GAMES!P523</f>
        <v>2</v>
      </c>
    </row>
    <row r="524" spans="1:7" x14ac:dyDescent="0.25">
      <c r="A524" t="str">
        <f>RAW_GAMES!A524</f>
        <v>25/26</v>
      </c>
      <c r="B524" s="3">
        <f>RAW_GAMES!B524</f>
        <v>46026</v>
      </c>
      <c r="C524" t="str">
        <f>RAW_GAMES!E524</f>
        <v>MHK</v>
      </c>
      <c r="D524" s="7">
        <f>RAW_GAMES!O524</f>
        <v>3</v>
      </c>
      <c r="E524">
        <f>RAW_GAMES!N524</f>
        <v>0</v>
      </c>
      <c r="F524" s="7">
        <f>RAW_GAMES!Q524</f>
        <v>5</v>
      </c>
      <c r="G524">
        <f>RAW_GAMES!P524</f>
        <v>1</v>
      </c>
    </row>
    <row r="525" spans="1:7" x14ac:dyDescent="0.25">
      <c r="A525" t="str">
        <f>RAW_GAMES!A525</f>
        <v>25/26</v>
      </c>
      <c r="B525" s="3">
        <f>RAW_GAMES!B525</f>
        <v>46026</v>
      </c>
      <c r="C525" t="str">
        <f>RAW_GAMES!E525</f>
        <v>OLO</v>
      </c>
      <c r="D525" s="7">
        <f>RAW_GAMES!O525</f>
        <v>3</v>
      </c>
      <c r="E525">
        <f>RAW_GAMES!N525</f>
        <v>0</v>
      </c>
      <c r="F525" s="7">
        <f>RAW_GAMES!Q525</f>
        <v>3</v>
      </c>
      <c r="G525">
        <f>RAW_GAMES!P525</f>
        <v>0</v>
      </c>
    </row>
    <row r="526" spans="1:7" x14ac:dyDescent="0.25">
      <c r="A526" t="str">
        <f>RAW_GAMES!A526</f>
        <v>25/26</v>
      </c>
      <c r="B526" s="3">
        <f>RAW_GAMES!B526</f>
        <v>46026</v>
      </c>
      <c r="C526" t="str">
        <f>RAW_GAMES!E526</f>
        <v>PLZ</v>
      </c>
      <c r="D526" s="7">
        <f>RAW_GAMES!O526</f>
        <v>6</v>
      </c>
      <c r="E526">
        <f>RAW_GAMES!N526</f>
        <v>2</v>
      </c>
      <c r="F526" s="7">
        <f>RAW_GAMES!Q526</f>
        <v>4</v>
      </c>
      <c r="G526">
        <f>RAW_GAMES!P526</f>
        <v>1</v>
      </c>
    </row>
    <row r="527" spans="1:7" x14ac:dyDescent="0.25">
      <c r="A527" t="str">
        <f>RAW_GAMES!A527</f>
        <v>25/26</v>
      </c>
      <c r="B527" s="3">
        <f>RAW_GAMES!B527</f>
        <v>46026</v>
      </c>
      <c r="C527" t="str">
        <f>RAW_GAMES!E527</f>
        <v>VIT</v>
      </c>
      <c r="D527" s="7">
        <f>RAW_GAMES!O527</f>
        <v>2</v>
      </c>
      <c r="E527">
        <f>RAW_GAMES!N527</f>
        <v>0</v>
      </c>
      <c r="F527" s="7">
        <f>RAW_GAMES!Q527</f>
        <v>4</v>
      </c>
      <c r="G527">
        <f>RAW_GAMES!P527</f>
        <v>0</v>
      </c>
    </row>
    <row r="528" spans="1:7" x14ac:dyDescent="0.25">
      <c r="A528" t="str">
        <f>RAW_GAMES!A528</f>
        <v>25/26</v>
      </c>
      <c r="B528" s="3">
        <f>RAW_GAMES!B528</f>
        <v>46028</v>
      </c>
      <c r="C528" t="str">
        <f>RAW_GAMES!E528</f>
        <v>PCE</v>
      </c>
      <c r="D528" s="7">
        <f>RAW_GAMES!O528</f>
        <v>6</v>
      </c>
      <c r="E528">
        <f>RAW_GAMES!N528</f>
        <v>0</v>
      </c>
      <c r="F528" s="7">
        <f>RAW_GAMES!Q528</f>
        <v>7</v>
      </c>
      <c r="G528">
        <f>RAW_GAMES!P528</f>
        <v>0</v>
      </c>
    </row>
    <row r="529" spans="1:7" x14ac:dyDescent="0.25">
      <c r="A529" t="str">
        <f>RAW_GAMES!A529</f>
        <v>25/26</v>
      </c>
      <c r="B529" s="3">
        <f>RAW_GAMES!B529</f>
        <v>46028</v>
      </c>
      <c r="C529" t="str">
        <f>RAW_GAMES!E529</f>
        <v>SPA</v>
      </c>
      <c r="D529" s="7">
        <f>RAW_GAMES!O529</f>
        <v>7</v>
      </c>
      <c r="E529">
        <f>RAW_GAMES!N529</f>
        <v>0</v>
      </c>
      <c r="F529" s="7">
        <f>RAW_GAMES!Q529</f>
        <v>6</v>
      </c>
      <c r="G529">
        <f>RAW_GAMES!P529</f>
        <v>0</v>
      </c>
    </row>
    <row r="530" spans="1:7" x14ac:dyDescent="0.25">
      <c r="A530" t="str">
        <f>RAW_GAMES!A530</f>
        <v>25/26</v>
      </c>
      <c r="B530" s="3">
        <f>RAW_GAMES!B530</f>
        <v>46028</v>
      </c>
      <c r="C530" t="str">
        <f>RAW_GAMES!E530</f>
        <v>KOM</v>
      </c>
      <c r="D530" s="7">
        <f>RAW_GAMES!O530</f>
        <v>2</v>
      </c>
      <c r="E530">
        <f>RAW_GAMES!N530</f>
        <v>1</v>
      </c>
      <c r="F530" s="7">
        <f>RAW_GAMES!Q530</f>
        <v>3</v>
      </c>
      <c r="G530">
        <f>RAW_GAMES!P530</f>
        <v>1</v>
      </c>
    </row>
    <row r="531" spans="1:7" x14ac:dyDescent="0.25">
      <c r="A531" t="str">
        <f>RAW_GAMES!A531</f>
        <v>25/26</v>
      </c>
      <c r="B531" s="3">
        <f>RAW_GAMES!B531</f>
        <v>46028</v>
      </c>
      <c r="C531" t="str">
        <f>RAW_GAMES!E531</f>
        <v>KLA</v>
      </c>
      <c r="D531" s="7">
        <f>RAW_GAMES!O531</f>
        <v>3</v>
      </c>
      <c r="E531">
        <f>RAW_GAMES!N531</f>
        <v>0</v>
      </c>
      <c r="F531" s="7">
        <f>RAW_GAMES!Q531</f>
        <v>5</v>
      </c>
      <c r="G531">
        <f>RAW_GAMES!P531</f>
        <v>1</v>
      </c>
    </row>
    <row r="532" spans="1:7" x14ac:dyDescent="0.25">
      <c r="A532" t="str">
        <f>RAW_GAMES!A532</f>
        <v>25/26</v>
      </c>
      <c r="B532" s="3">
        <f>RAW_GAMES!B532</f>
        <v>46028</v>
      </c>
      <c r="C532" t="str">
        <f>RAW_GAMES!E532</f>
        <v>LIT</v>
      </c>
      <c r="D532" s="7">
        <f>RAW_GAMES!O532</f>
        <v>5</v>
      </c>
      <c r="E532">
        <f>RAW_GAMES!N532</f>
        <v>1</v>
      </c>
      <c r="F532" s="7">
        <f>RAW_GAMES!Q532</f>
        <v>3</v>
      </c>
      <c r="G532">
        <f>RAW_GAMES!P532</f>
        <v>0</v>
      </c>
    </row>
    <row r="533" spans="1:7" x14ac:dyDescent="0.25">
      <c r="A533" t="str">
        <f>RAW_GAMES!A533</f>
        <v>25/26</v>
      </c>
      <c r="B533" s="3">
        <f>RAW_GAMES!B533</f>
        <v>46028</v>
      </c>
      <c r="C533" t="str">
        <f>RAW_GAMES!E533</f>
        <v>OLO</v>
      </c>
      <c r="D533" s="7">
        <f>RAW_GAMES!O533</f>
        <v>3</v>
      </c>
      <c r="E533">
        <f>RAW_GAMES!N533</f>
        <v>1</v>
      </c>
      <c r="F533" s="7">
        <f>RAW_GAMES!Q533</f>
        <v>2</v>
      </c>
      <c r="G533">
        <f>RAW_GAMES!P533</f>
        <v>1</v>
      </c>
    </row>
    <row r="534" spans="1:7" x14ac:dyDescent="0.25">
      <c r="A534" t="str">
        <f>RAW_GAMES!A534</f>
        <v>25/26</v>
      </c>
      <c r="B534" s="3">
        <f>RAW_GAMES!B534</f>
        <v>46028</v>
      </c>
      <c r="C534" t="str">
        <f>RAW_GAMES!E534</f>
        <v>PLZ</v>
      </c>
      <c r="D534" s="7">
        <f>RAW_GAMES!O534</f>
        <v>1</v>
      </c>
      <c r="E534">
        <f>RAW_GAMES!N534</f>
        <v>1</v>
      </c>
      <c r="F534" s="7">
        <f>RAW_GAMES!Q534</f>
        <v>5</v>
      </c>
      <c r="G534">
        <f>RAW_GAMES!P534</f>
        <v>2</v>
      </c>
    </row>
    <row r="535" spans="1:7" x14ac:dyDescent="0.25">
      <c r="A535" t="str">
        <f>RAW_GAMES!A535</f>
        <v>25/26</v>
      </c>
      <c r="B535" s="3">
        <f>RAW_GAMES!B535</f>
        <v>46028</v>
      </c>
      <c r="C535" t="str">
        <f>RAW_GAMES!E535</f>
        <v>VIT</v>
      </c>
      <c r="D535" s="7">
        <f>RAW_GAMES!O535</f>
        <v>5</v>
      </c>
      <c r="E535">
        <f>RAW_GAMES!N535</f>
        <v>2</v>
      </c>
      <c r="F535" s="7">
        <f>RAW_GAMES!Q535</f>
        <v>1</v>
      </c>
      <c r="G535">
        <f>RAW_GAMES!P535</f>
        <v>1</v>
      </c>
    </row>
    <row r="536" spans="1:7" x14ac:dyDescent="0.25">
      <c r="A536" t="str">
        <f>RAW_GAMES!A536</f>
        <v>25/26</v>
      </c>
      <c r="B536" s="3">
        <f>RAW_GAMES!B536</f>
        <v>46029</v>
      </c>
      <c r="C536" t="str">
        <f>RAW_GAMES!E536</f>
        <v>TRI</v>
      </c>
      <c r="D536" s="7">
        <f>RAW_GAMES!O536</f>
        <v>2</v>
      </c>
      <c r="E536">
        <f>RAW_GAMES!N536</f>
        <v>0</v>
      </c>
      <c r="F536" s="7">
        <f>RAW_GAMES!Q536</f>
        <v>3</v>
      </c>
      <c r="G536">
        <f>RAW_GAMES!P536</f>
        <v>1</v>
      </c>
    </row>
    <row r="537" spans="1:7" x14ac:dyDescent="0.25">
      <c r="A537" t="str">
        <f>RAW_GAMES!A537</f>
        <v>25/26</v>
      </c>
      <c r="B537" s="3">
        <f>RAW_GAMES!B537</f>
        <v>46029</v>
      </c>
      <c r="C537" t="str">
        <f>RAW_GAMES!E537</f>
        <v>KVA</v>
      </c>
      <c r="D537" s="7">
        <f>RAW_GAMES!O537</f>
        <v>3</v>
      </c>
      <c r="E537">
        <f>RAW_GAMES!N537</f>
        <v>1</v>
      </c>
      <c r="F537" s="7">
        <f>RAW_GAMES!Q537</f>
        <v>2</v>
      </c>
      <c r="G537">
        <f>RAW_GAMES!P537</f>
        <v>0</v>
      </c>
    </row>
    <row r="538" spans="1:7" x14ac:dyDescent="0.25">
      <c r="A538" t="str">
        <f>RAW_GAMES!A538</f>
        <v>25/26</v>
      </c>
      <c r="B538" s="3">
        <f>RAW_GAMES!B538</f>
        <v>46031</v>
      </c>
      <c r="C538" t="str">
        <f>RAW_GAMES!E538</f>
        <v>PCE</v>
      </c>
      <c r="D538" s="7">
        <f>RAW_GAMES!O538</f>
        <v>4</v>
      </c>
      <c r="E538">
        <f>RAW_GAMES!N538</f>
        <v>0</v>
      </c>
      <c r="F538" s="7">
        <f>RAW_GAMES!Q538</f>
        <v>7</v>
      </c>
      <c r="G538">
        <f>RAW_GAMES!P538</f>
        <v>1</v>
      </c>
    </row>
    <row r="539" spans="1:7" x14ac:dyDescent="0.25">
      <c r="A539" t="str">
        <f>RAW_GAMES!A539</f>
        <v>25/26</v>
      </c>
      <c r="B539" s="3">
        <f>RAW_GAMES!B539</f>
        <v>46031</v>
      </c>
      <c r="C539" t="str">
        <f>RAW_GAMES!E539</f>
        <v>TRI</v>
      </c>
      <c r="D539" s="7">
        <f>RAW_GAMES!O539</f>
        <v>9</v>
      </c>
      <c r="E539">
        <f>RAW_GAMES!N539</f>
        <v>0</v>
      </c>
      <c r="F539" s="7">
        <f>RAW_GAMES!Q539</f>
        <v>5</v>
      </c>
      <c r="G539">
        <f>RAW_GAMES!P539</f>
        <v>2</v>
      </c>
    </row>
    <row r="540" spans="1:7" x14ac:dyDescent="0.25">
      <c r="A540" t="str">
        <f>RAW_GAMES!A540</f>
        <v>25/26</v>
      </c>
      <c r="B540" s="3">
        <f>RAW_GAMES!B540</f>
        <v>46031</v>
      </c>
      <c r="C540" t="str">
        <f>RAW_GAMES!E540</f>
        <v>KOM</v>
      </c>
      <c r="D540" s="7">
        <f>RAW_GAMES!O540</f>
        <v>3</v>
      </c>
      <c r="E540">
        <f>RAW_GAMES!N540</f>
        <v>1</v>
      </c>
      <c r="F540" s="7">
        <f>RAW_GAMES!Q540</f>
        <v>2</v>
      </c>
      <c r="G540">
        <f>RAW_GAMES!P540</f>
        <v>1</v>
      </c>
    </row>
    <row r="541" spans="1:7" x14ac:dyDescent="0.25">
      <c r="A541" t="str">
        <f>RAW_GAMES!A541</f>
        <v>25/26</v>
      </c>
      <c r="B541" s="3">
        <f>RAW_GAMES!B541</f>
        <v>46031</v>
      </c>
      <c r="C541" t="str">
        <f>RAW_GAMES!E541</f>
        <v>KLA</v>
      </c>
      <c r="D541" s="7">
        <f>RAW_GAMES!O541</f>
        <v>3</v>
      </c>
      <c r="E541">
        <f>RAW_GAMES!N541</f>
        <v>0</v>
      </c>
      <c r="F541" s="7">
        <f>RAW_GAMES!Q541</f>
        <v>4</v>
      </c>
      <c r="G541">
        <f>RAW_GAMES!P541</f>
        <v>0</v>
      </c>
    </row>
    <row r="542" spans="1:7" x14ac:dyDescent="0.25">
      <c r="A542" t="str">
        <f>RAW_GAMES!A542</f>
        <v>25/26</v>
      </c>
      <c r="B542" s="3">
        <f>RAW_GAMES!B542</f>
        <v>46031</v>
      </c>
      <c r="C542" t="str">
        <f>RAW_GAMES!E542</f>
        <v>KVA</v>
      </c>
      <c r="D542" s="7">
        <f>RAW_GAMES!O542</f>
        <v>5</v>
      </c>
      <c r="E542">
        <f>RAW_GAMES!N542</f>
        <v>2</v>
      </c>
      <c r="F542" s="7">
        <f>RAW_GAMES!Q542</f>
        <v>8</v>
      </c>
      <c r="G542">
        <f>RAW_GAMES!P542</f>
        <v>1</v>
      </c>
    </row>
    <row r="543" spans="1:7" x14ac:dyDescent="0.25">
      <c r="A543" t="str">
        <f>RAW_GAMES!A543</f>
        <v>25/26</v>
      </c>
      <c r="B543" s="3">
        <f>RAW_GAMES!B543</f>
        <v>46031</v>
      </c>
      <c r="C543" t="str">
        <f>RAW_GAMES!E543</f>
        <v>LIB</v>
      </c>
      <c r="D543" s="7">
        <f>RAW_GAMES!O543</f>
        <v>3</v>
      </c>
      <c r="E543">
        <f>RAW_GAMES!N543</f>
        <v>0</v>
      </c>
      <c r="F543" s="7">
        <f>RAW_GAMES!Q543</f>
        <v>2</v>
      </c>
      <c r="G543">
        <f>RAW_GAMES!P543</f>
        <v>0</v>
      </c>
    </row>
    <row r="544" spans="1:7" x14ac:dyDescent="0.25">
      <c r="A544" t="str">
        <f>RAW_GAMES!A544</f>
        <v>25/26</v>
      </c>
      <c r="B544" s="3">
        <f>RAW_GAMES!B544</f>
        <v>46031</v>
      </c>
      <c r="C544" t="str">
        <f>RAW_GAMES!E544</f>
        <v>LIT</v>
      </c>
      <c r="D544" s="7">
        <f>RAW_GAMES!O544</f>
        <v>2</v>
      </c>
      <c r="E544">
        <f>RAW_GAMES!N544</f>
        <v>1</v>
      </c>
      <c r="F544" s="7">
        <f>RAW_GAMES!Q544</f>
        <v>3</v>
      </c>
      <c r="G544">
        <f>RAW_GAMES!P544</f>
        <v>1</v>
      </c>
    </row>
    <row r="545" spans="1:7" x14ac:dyDescent="0.25">
      <c r="A545" t="str">
        <f>RAW_GAMES!A545</f>
        <v>25/26</v>
      </c>
      <c r="B545" s="3">
        <f>RAW_GAMES!B545</f>
        <v>46031</v>
      </c>
      <c r="C545" t="str">
        <f>RAW_GAMES!E545</f>
        <v>MBL</v>
      </c>
      <c r="D545" s="7">
        <f>RAW_GAMES!O545</f>
        <v>4</v>
      </c>
      <c r="E545">
        <f>RAW_GAMES!N545</f>
        <v>0</v>
      </c>
      <c r="F545" s="7">
        <f>RAW_GAMES!Q545</f>
        <v>3</v>
      </c>
      <c r="G545">
        <f>RAW_GAMES!P545</f>
        <v>0</v>
      </c>
    </row>
    <row r="546" spans="1:7" x14ac:dyDescent="0.25">
      <c r="A546" t="str">
        <f>RAW_GAMES!A546</f>
        <v>25/26</v>
      </c>
      <c r="B546" s="3">
        <f>RAW_GAMES!B546</f>
        <v>46031</v>
      </c>
      <c r="C546" t="str">
        <f>RAW_GAMES!E546</f>
        <v>MHK</v>
      </c>
      <c r="D546" s="7">
        <f>RAW_GAMES!O546</f>
        <v>7</v>
      </c>
      <c r="E546">
        <f>RAW_GAMES!N546</f>
        <v>1</v>
      </c>
      <c r="F546" s="7">
        <f>RAW_GAMES!Q546</f>
        <v>4</v>
      </c>
      <c r="G546">
        <f>RAW_GAMES!P546</f>
        <v>0</v>
      </c>
    </row>
    <row r="547" spans="1:7" x14ac:dyDescent="0.25">
      <c r="A547" t="str">
        <f>RAW_GAMES!A547</f>
        <v>25/26</v>
      </c>
      <c r="B547" s="3">
        <f>RAW_GAMES!B547</f>
        <v>46031</v>
      </c>
      <c r="C547" t="str">
        <f>RAW_GAMES!E547</f>
        <v>OLO</v>
      </c>
      <c r="D547" s="7">
        <f>RAW_GAMES!O547</f>
        <v>5</v>
      </c>
      <c r="E547">
        <f>RAW_GAMES!N547</f>
        <v>2</v>
      </c>
      <c r="F547" s="7">
        <f>RAW_GAMES!Q547</f>
        <v>9</v>
      </c>
      <c r="G547">
        <f>RAW_GAMES!P547</f>
        <v>0</v>
      </c>
    </row>
    <row r="548" spans="1:7" x14ac:dyDescent="0.25">
      <c r="A548" t="str">
        <f>RAW_GAMES!A548</f>
        <v>25/26</v>
      </c>
      <c r="B548" s="3">
        <f>RAW_GAMES!B548</f>
        <v>46031</v>
      </c>
      <c r="C548" t="str">
        <f>RAW_GAMES!E548</f>
        <v>PLZ</v>
      </c>
      <c r="D548" s="7">
        <f>RAW_GAMES!O548</f>
        <v>2</v>
      </c>
      <c r="E548">
        <f>RAW_GAMES!N548</f>
        <v>0</v>
      </c>
      <c r="F548" s="7">
        <f>RAW_GAMES!Q548</f>
        <v>3</v>
      </c>
      <c r="G548">
        <f>RAW_GAMES!P548</f>
        <v>0</v>
      </c>
    </row>
    <row r="549" spans="1:7" x14ac:dyDescent="0.25">
      <c r="A549" t="str">
        <f>RAW_GAMES!A549</f>
        <v>25/26</v>
      </c>
      <c r="B549" s="3">
        <f>RAW_GAMES!B549</f>
        <v>46031</v>
      </c>
      <c r="C549" t="str">
        <f>RAW_GAMES!E549</f>
        <v>VIT</v>
      </c>
      <c r="D549" s="7">
        <f>RAW_GAMES!O549</f>
        <v>8</v>
      </c>
      <c r="E549">
        <f>RAW_GAMES!N549</f>
        <v>1</v>
      </c>
      <c r="F549" s="7">
        <f>RAW_GAMES!Q549</f>
        <v>5</v>
      </c>
      <c r="G549">
        <f>RAW_GAMES!P549</f>
        <v>2</v>
      </c>
    </row>
    <row r="550" spans="1:7" x14ac:dyDescent="0.25">
      <c r="A550" t="str">
        <f>RAW_GAMES!A550</f>
        <v>25/26</v>
      </c>
      <c r="B550" s="3">
        <f>RAW_GAMES!B550</f>
        <v>46033</v>
      </c>
      <c r="C550" t="str">
        <f>RAW_GAMES!E550</f>
        <v>PCE</v>
      </c>
      <c r="D550" s="7">
        <f>RAW_GAMES!O550</f>
        <v>5</v>
      </c>
      <c r="E550">
        <f>RAW_GAMES!N550</f>
        <v>0</v>
      </c>
      <c r="F550" s="7">
        <f>RAW_GAMES!Q550</f>
        <v>6</v>
      </c>
      <c r="G550">
        <f>RAW_GAMES!P550</f>
        <v>0</v>
      </c>
    </row>
    <row r="551" spans="1:7" x14ac:dyDescent="0.25">
      <c r="A551" t="str">
        <f>RAW_GAMES!A551</f>
        <v>25/26</v>
      </c>
      <c r="B551" s="3">
        <f>RAW_GAMES!B551</f>
        <v>46033</v>
      </c>
      <c r="C551" t="str">
        <f>RAW_GAMES!E551</f>
        <v>TRI</v>
      </c>
      <c r="D551" s="7">
        <f>RAW_GAMES!O551</f>
        <v>5</v>
      </c>
      <c r="E551">
        <f>RAW_GAMES!N551</f>
        <v>2</v>
      </c>
      <c r="F551" s="7">
        <f>RAW_GAMES!Q551</f>
        <v>1</v>
      </c>
      <c r="G551">
        <f>RAW_GAMES!P551</f>
        <v>0</v>
      </c>
    </row>
    <row r="552" spans="1:7" x14ac:dyDescent="0.25">
      <c r="A552" t="str">
        <f>RAW_GAMES!A552</f>
        <v>25/26</v>
      </c>
      <c r="B552" s="3">
        <f>RAW_GAMES!B552</f>
        <v>46033</v>
      </c>
      <c r="C552" t="str">
        <f>RAW_GAMES!E552</f>
        <v>SPA</v>
      </c>
      <c r="D552" s="7">
        <f>RAW_GAMES!O552</f>
        <v>1</v>
      </c>
      <c r="E552">
        <f>RAW_GAMES!N552</f>
        <v>0</v>
      </c>
      <c r="F552" s="7">
        <f>RAW_GAMES!Q552</f>
        <v>5</v>
      </c>
      <c r="G552">
        <f>RAW_GAMES!P552</f>
        <v>2</v>
      </c>
    </row>
    <row r="553" spans="1:7" x14ac:dyDescent="0.25">
      <c r="A553" t="str">
        <f>RAW_GAMES!A553</f>
        <v>25/26</v>
      </c>
      <c r="B553" s="3">
        <f>RAW_GAMES!B553</f>
        <v>46033</v>
      </c>
      <c r="C553" t="str">
        <f>RAW_GAMES!E553</f>
        <v>KOM</v>
      </c>
      <c r="D553" s="7">
        <f>RAW_GAMES!O553</f>
        <v>6</v>
      </c>
      <c r="E553">
        <f>RAW_GAMES!N553</f>
        <v>1</v>
      </c>
      <c r="F553" s="7">
        <f>RAW_GAMES!Q553</f>
        <v>3</v>
      </c>
      <c r="G553">
        <f>RAW_GAMES!P553</f>
        <v>1</v>
      </c>
    </row>
    <row r="554" spans="1:7" x14ac:dyDescent="0.25">
      <c r="A554" t="str">
        <f>RAW_GAMES!A554</f>
        <v>25/26</v>
      </c>
      <c r="B554" s="3">
        <f>RAW_GAMES!B554</f>
        <v>46033</v>
      </c>
      <c r="C554" t="str">
        <f>RAW_GAMES!E554</f>
        <v>CEB</v>
      </c>
      <c r="D554" s="7">
        <f>RAW_GAMES!O554</f>
        <v>10</v>
      </c>
      <c r="E554">
        <f>RAW_GAMES!N554</f>
        <v>2</v>
      </c>
      <c r="F554" s="7">
        <f>RAW_GAMES!Q554</f>
        <v>5</v>
      </c>
      <c r="G554">
        <f>RAW_GAMES!P554</f>
        <v>0</v>
      </c>
    </row>
    <row r="555" spans="1:7" x14ac:dyDescent="0.25">
      <c r="A555" t="str">
        <f>RAW_GAMES!A555</f>
        <v>25/26</v>
      </c>
      <c r="B555" s="3">
        <f>RAW_GAMES!B555</f>
        <v>46033</v>
      </c>
      <c r="C555" t="str">
        <f>RAW_GAMES!E555</f>
        <v>KLA</v>
      </c>
      <c r="D555" s="7">
        <f>RAW_GAMES!O555</f>
        <v>4</v>
      </c>
      <c r="E555">
        <f>RAW_GAMES!N555</f>
        <v>1</v>
      </c>
      <c r="F555" s="7">
        <f>RAW_GAMES!Q555</f>
        <v>2</v>
      </c>
      <c r="G555">
        <f>RAW_GAMES!P555</f>
        <v>0</v>
      </c>
    </row>
    <row r="556" spans="1:7" x14ac:dyDescent="0.25">
      <c r="A556" t="str">
        <f>RAW_GAMES!A556</f>
        <v>25/26</v>
      </c>
      <c r="B556" s="3">
        <f>RAW_GAMES!B556</f>
        <v>46033</v>
      </c>
      <c r="C556" t="str">
        <f>RAW_GAMES!E556</f>
        <v>KVA</v>
      </c>
      <c r="D556" s="7">
        <f>RAW_GAMES!O556</f>
        <v>9</v>
      </c>
      <c r="E556">
        <f>RAW_GAMES!N556</f>
        <v>3</v>
      </c>
      <c r="F556" s="7">
        <f>RAW_GAMES!Q556</f>
        <v>2</v>
      </c>
      <c r="G556">
        <f>RAW_GAMES!P556</f>
        <v>0</v>
      </c>
    </row>
    <row r="557" spans="1:7" x14ac:dyDescent="0.25">
      <c r="A557" t="str">
        <f>RAW_GAMES!A557</f>
        <v>25/26</v>
      </c>
      <c r="B557" s="3">
        <f>RAW_GAMES!B557</f>
        <v>46033</v>
      </c>
      <c r="C557" t="str">
        <f>RAW_GAMES!E557</f>
        <v>LIB</v>
      </c>
      <c r="D557" s="7">
        <f>RAW_GAMES!O557</f>
        <v>6</v>
      </c>
      <c r="E557">
        <f>RAW_GAMES!N557</f>
        <v>0</v>
      </c>
      <c r="F557" s="7">
        <f>RAW_GAMES!Q557</f>
        <v>5</v>
      </c>
      <c r="G557">
        <f>RAW_GAMES!P557</f>
        <v>0</v>
      </c>
    </row>
    <row r="558" spans="1:7" x14ac:dyDescent="0.25">
      <c r="A558" t="str">
        <f>RAW_GAMES!A558</f>
        <v>25/26</v>
      </c>
      <c r="B558" s="3">
        <f>RAW_GAMES!B558</f>
        <v>46033</v>
      </c>
      <c r="C558" t="str">
        <f>RAW_GAMES!E558</f>
        <v>LIT</v>
      </c>
      <c r="D558" s="7">
        <f>RAW_GAMES!O558</f>
        <v>2</v>
      </c>
      <c r="E558">
        <f>RAW_GAMES!N558</f>
        <v>0</v>
      </c>
      <c r="F558" s="7">
        <f>RAW_GAMES!Q558</f>
        <v>9</v>
      </c>
      <c r="G558">
        <f>RAW_GAMES!P558</f>
        <v>3</v>
      </c>
    </row>
    <row r="559" spans="1:7" x14ac:dyDescent="0.25">
      <c r="A559" t="str">
        <f>RAW_GAMES!A559</f>
        <v>25/26</v>
      </c>
      <c r="B559" s="3">
        <f>RAW_GAMES!B559</f>
        <v>46033</v>
      </c>
      <c r="C559" t="str">
        <f>RAW_GAMES!E559</f>
        <v>MBL</v>
      </c>
      <c r="D559" s="7">
        <f>RAW_GAMES!O559</f>
        <v>3</v>
      </c>
      <c r="E559">
        <f>RAW_GAMES!N559</f>
        <v>1</v>
      </c>
      <c r="F559" s="7">
        <f>RAW_GAMES!Q559</f>
        <v>6</v>
      </c>
      <c r="G559">
        <f>RAW_GAMES!P559</f>
        <v>1</v>
      </c>
    </row>
    <row r="560" spans="1:7" x14ac:dyDescent="0.25">
      <c r="A560" t="str">
        <f>RAW_GAMES!A560</f>
        <v>25/26</v>
      </c>
      <c r="B560" s="3">
        <f>RAW_GAMES!B560</f>
        <v>46033</v>
      </c>
      <c r="C560" t="str">
        <f>RAW_GAMES!E560</f>
        <v>MHK</v>
      </c>
      <c r="D560" s="7">
        <f>RAW_GAMES!O560</f>
        <v>5</v>
      </c>
      <c r="E560">
        <f>RAW_GAMES!N560</f>
        <v>0</v>
      </c>
      <c r="F560" s="7">
        <f>RAW_GAMES!Q560</f>
        <v>10</v>
      </c>
      <c r="G560">
        <f>RAW_GAMES!P560</f>
        <v>2</v>
      </c>
    </row>
    <row r="561" spans="1:7" x14ac:dyDescent="0.25">
      <c r="A561" t="str">
        <f>RAW_GAMES!A561</f>
        <v>25/26</v>
      </c>
      <c r="B561" s="3">
        <f>RAW_GAMES!B561</f>
        <v>46033</v>
      </c>
      <c r="C561" t="str">
        <f>RAW_GAMES!E561</f>
        <v>VIT</v>
      </c>
      <c r="D561" s="7">
        <f>RAW_GAMES!O561</f>
        <v>2</v>
      </c>
      <c r="E561">
        <f>RAW_GAMES!N561</f>
        <v>0</v>
      </c>
      <c r="F561" s="7">
        <f>RAW_GAMES!Q561</f>
        <v>4</v>
      </c>
      <c r="G561">
        <f>RAW_GAMES!P561</f>
        <v>1</v>
      </c>
    </row>
    <row r="562" spans="1:7" x14ac:dyDescent="0.25">
      <c r="A562" t="str">
        <f>RAW_GAMES!A562</f>
        <v>25/26</v>
      </c>
      <c r="B562" s="3">
        <f>RAW_GAMES!B562</f>
        <v>46034</v>
      </c>
      <c r="C562" t="str">
        <f>RAW_GAMES!E562</f>
        <v>OLO</v>
      </c>
      <c r="D562" s="7">
        <f>RAW_GAMES!O562</f>
        <v>3</v>
      </c>
      <c r="E562">
        <f>RAW_GAMES!N562</f>
        <v>1</v>
      </c>
      <c r="F562" s="7">
        <f>RAW_GAMES!Q562</f>
        <v>4</v>
      </c>
      <c r="G562">
        <f>RAW_GAMES!P562</f>
        <v>1</v>
      </c>
    </row>
    <row r="563" spans="1:7" x14ac:dyDescent="0.25">
      <c r="A563" t="str">
        <f>RAW_GAMES!A563</f>
        <v>25/26</v>
      </c>
      <c r="B563" s="3">
        <f>RAW_GAMES!B563</f>
        <v>46034</v>
      </c>
      <c r="C563" t="str">
        <f>RAW_GAMES!E563</f>
        <v>PLZ</v>
      </c>
      <c r="D563" s="7">
        <f>RAW_GAMES!O563</f>
        <v>4</v>
      </c>
      <c r="E563">
        <f>RAW_GAMES!N563</f>
        <v>1</v>
      </c>
      <c r="F563" s="7">
        <f>RAW_GAMES!Q563</f>
        <v>3</v>
      </c>
      <c r="G563">
        <f>RAW_GAMES!P563</f>
        <v>1</v>
      </c>
    </row>
    <row r="564" spans="1:7" x14ac:dyDescent="0.25">
      <c r="A564" t="str">
        <f>RAW_GAMES!A564</f>
        <v>25/26</v>
      </c>
      <c r="B564" s="3">
        <f>RAW_GAMES!B564</f>
        <v>46035</v>
      </c>
      <c r="C564" t="str">
        <f>RAW_GAMES!E564</f>
        <v>SPA</v>
      </c>
      <c r="D564" s="7">
        <f>RAW_GAMES!O564</f>
        <v>4</v>
      </c>
      <c r="E564">
        <f>RAW_GAMES!N564</f>
        <v>3</v>
      </c>
      <c r="F564" s="7">
        <f>RAW_GAMES!Q564</f>
        <v>4</v>
      </c>
      <c r="G564">
        <f>RAW_GAMES!P564</f>
        <v>0</v>
      </c>
    </row>
    <row r="565" spans="1:7" x14ac:dyDescent="0.25">
      <c r="A565" t="str">
        <f>RAW_GAMES!A565</f>
        <v>25/26</v>
      </c>
      <c r="B565" s="3">
        <f>RAW_GAMES!B565</f>
        <v>46035</v>
      </c>
      <c r="C565" t="str">
        <f>RAW_GAMES!E565</f>
        <v>CEB</v>
      </c>
      <c r="D565" s="7">
        <f>RAW_GAMES!O565</f>
        <v>5</v>
      </c>
      <c r="E565">
        <f>RAW_GAMES!N565</f>
        <v>1</v>
      </c>
      <c r="F565" s="7">
        <f>RAW_GAMES!Q565</f>
        <v>3</v>
      </c>
      <c r="G565">
        <f>RAW_GAMES!P565</f>
        <v>0</v>
      </c>
    </row>
    <row r="566" spans="1:7" x14ac:dyDescent="0.25">
      <c r="A566" t="str">
        <f>RAW_GAMES!A566</f>
        <v>25/26</v>
      </c>
      <c r="B566" s="3">
        <f>RAW_GAMES!B566</f>
        <v>46035</v>
      </c>
      <c r="C566" t="str">
        <f>RAW_GAMES!E566</f>
        <v>LIB</v>
      </c>
      <c r="D566" s="7">
        <f>RAW_GAMES!O566</f>
        <v>3</v>
      </c>
      <c r="E566">
        <f>RAW_GAMES!N566</f>
        <v>0</v>
      </c>
      <c r="F566" s="7">
        <f>RAW_GAMES!Q566</f>
        <v>5</v>
      </c>
      <c r="G566">
        <f>RAW_GAMES!P566</f>
        <v>1</v>
      </c>
    </row>
    <row r="567" spans="1:7" x14ac:dyDescent="0.25">
      <c r="A567" t="str">
        <f>RAW_GAMES!A567</f>
        <v>25/26</v>
      </c>
      <c r="B567" s="3">
        <f>RAW_GAMES!B567</f>
        <v>46035</v>
      </c>
      <c r="C567" t="str">
        <f>RAW_GAMES!E567</f>
        <v>LIT</v>
      </c>
      <c r="D567" s="7">
        <f>RAW_GAMES!O567</f>
        <v>4</v>
      </c>
      <c r="E567">
        <f>RAW_GAMES!N567</f>
        <v>0</v>
      </c>
      <c r="F567" s="7">
        <f>RAW_GAMES!Q567</f>
        <v>4</v>
      </c>
      <c r="G567">
        <f>RAW_GAMES!P567</f>
        <v>3</v>
      </c>
    </row>
    <row r="568" spans="1:7" x14ac:dyDescent="0.25">
      <c r="A568" t="str">
        <f>RAW_GAMES!A568</f>
        <v>25/26</v>
      </c>
      <c r="B568" s="3">
        <f>RAW_GAMES!B568</f>
        <v>46035</v>
      </c>
      <c r="C568" t="str">
        <f>RAW_GAMES!E568</f>
        <v>MBL</v>
      </c>
      <c r="D568" s="7">
        <f>RAW_GAMES!O568</f>
        <v>4</v>
      </c>
      <c r="E568">
        <f>RAW_GAMES!N568</f>
        <v>0</v>
      </c>
      <c r="F568" s="7">
        <f>RAW_GAMES!Q568</f>
        <v>4</v>
      </c>
      <c r="G568">
        <f>RAW_GAMES!P568</f>
        <v>0</v>
      </c>
    </row>
    <row r="569" spans="1:7" x14ac:dyDescent="0.25">
      <c r="A569" t="str">
        <f>RAW_GAMES!A569</f>
        <v>25/26</v>
      </c>
      <c r="B569" s="3">
        <f>RAW_GAMES!B569</f>
        <v>46035</v>
      </c>
      <c r="C569" t="str">
        <f>RAW_GAMES!E569</f>
        <v>MHK</v>
      </c>
      <c r="D569" s="7">
        <f>RAW_GAMES!O569</f>
        <v>4</v>
      </c>
      <c r="E569">
        <f>RAW_GAMES!N569</f>
        <v>0</v>
      </c>
      <c r="F569" s="7">
        <f>RAW_GAMES!Q569</f>
        <v>4</v>
      </c>
      <c r="G569">
        <f>RAW_GAMES!P569</f>
        <v>0</v>
      </c>
    </row>
    <row r="570" spans="1:7" x14ac:dyDescent="0.25">
      <c r="A570" t="str">
        <f>RAW_GAMES!A570</f>
        <v>25/26</v>
      </c>
      <c r="B570" s="3">
        <f>RAW_GAMES!B570</f>
        <v>46037</v>
      </c>
      <c r="C570" t="str">
        <f>RAW_GAMES!E570</f>
        <v>SPA</v>
      </c>
      <c r="D570" s="7">
        <f>RAW_GAMES!O570</f>
        <v>4</v>
      </c>
      <c r="E570">
        <f>RAW_GAMES!N570</f>
        <v>1</v>
      </c>
      <c r="F570" s="7">
        <f>RAW_GAMES!Q570</f>
        <v>3</v>
      </c>
      <c r="G570">
        <f>RAW_GAMES!P570</f>
        <v>0</v>
      </c>
    </row>
    <row r="571" spans="1:7" x14ac:dyDescent="0.25">
      <c r="A571" t="str">
        <f>RAW_GAMES!A571</f>
        <v>25/26</v>
      </c>
      <c r="B571" s="3">
        <f>RAW_GAMES!B571</f>
        <v>46037</v>
      </c>
      <c r="C571" t="str">
        <f>RAW_GAMES!E571</f>
        <v>KOM</v>
      </c>
      <c r="D571" s="7">
        <f>RAW_GAMES!O571</f>
        <v>3</v>
      </c>
      <c r="E571">
        <f>RAW_GAMES!N571</f>
        <v>0</v>
      </c>
      <c r="F571" s="7">
        <f>RAW_GAMES!Q571</f>
        <v>4</v>
      </c>
      <c r="G571">
        <f>RAW_GAMES!P571</f>
        <v>1</v>
      </c>
    </row>
    <row r="572" spans="1:7" x14ac:dyDescent="0.25">
      <c r="A572" t="str">
        <f>RAW_GAMES!A572</f>
        <v>25/26</v>
      </c>
      <c r="B572" s="3">
        <f>RAW_GAMES!B572</f>
        <v>46038</v>
      </c>
      <c r="C572" t="str">
        <f>RAW_GAMES!E572</f>
        <v>PCE</v>
      </c>
      <c r="D572" s="7">
        <f>RAW_GAMES!O572</f>
        <v>5</v>
      </c>
      <c r="E572">
        <f>RAW_GAMES!N572</f>
        <v>0</v>
      </c>
      <c r="F572" s="7">
        <f>RAW_GAMES!Q572</f>
        <v>6</v>
      </c>
      <c r="G572">
        <f>RAW_GAMES!P572</f>
        <v>1</v>
      </c>
    </row>
    <row r="573" spans="1:7" x14ac:dyDescent="0.25">
      <c r="A573" t="str">
        <f>RAW_GAMES!A573</f>
        <v>25/26</v>
      </c>
      <c r="B573" s="3">
        <f>RAW_GAMES!B573</f>
        <v>46038</v>
      </c>
      <c r="C573" t="str">
        <f>RAW_GAMES!E573</f>
        <v>TRI</v>
      </c>
      <c r="D573" s="7">
        <f>RAW_GAMES!O573</f>
        <v>4</v>
      </c>
      <c r="E573">
        <f>RAW_GAMES!N573</f>
        <v>0</v>
      </c>
      <c r="F573" s="7">
        <f>RAW_GAMES!Q573</f>
        <v>4</v>
      </c>
      <c r="G573">
        <f>RAW_GAMES!P573</f>
        <v>1</v>
      </c>
    </row>
    <row r="574" spans="1:7" x14ac:dyDescent="0.25">
      <c r="A574" t="str">
        <f>RAW_GAMES!A574</f>
        <v>25/26</v>
      </c>
      <c r="B574" s="3">
        <f>RAW_GAMES!B574</f>
        <v>46038</v>
      </c>
      <c r="C574" t="str">
        <f>RAW_GAMES!E574</f>
        <v>CEB</v>
      </c>
      <c r="D574" s="7">
        <f>RAW_GAMES!O574</f>
        <v>6</v>
      </c>
      <c r="E574">
        <f>RAW_GAMES!N574</f>
        <v>1</v>
      </c>
      <c r="F574" s="7">
        <f>RAW_GAMES!Q574</f>
        <v>6</v>
      </c>
      <c r="G574">
        <f>RAW_GAMES!P574</f>
        <v>0</v>
      </c>
    </row>
    <row r="575" spans="1:7" x14ac:dyDescent="0.25">
      <c r="A575" t="str">
        <f>RAW_GAMES!A575</f>
        <v>25/26</v>
      </c>
      <c r="B575" s="3">
        <f>RAW_GAMES!B575</f>
        <v>46038</v>
      </c>
      <c r="C575" t="str">
        <f>RAW_GAMES!E575</f>
        <v>KLA</v>
      </c>
      <c r="D575" s="7">
        <f>RAW_GAMES!O575</f>
        <v>3</v>
      </c>
      <c r="E575">
        <f>RAW_GAMES!N575</f>
        <v>0</v>
      </c>
      <c r="F575" s="7">
        <f>RAW_GAMES!Q575</f>
        <v>5</v>
      </c>
      <c r="G575">
        <f>RAW_GAMES!P575</f>
        <v>1</v>
      </c>
    </row>
    <row r="576" spans="1:7" x14ac:dyDescent="0.25">
      <c r="A576" t="str">
        <f>RAW_GAMES!A576</f>
        <v>25/26</v>
      </c>
      <c r="B576" s="3">
        <f>RAW_GAMES!B576</f>
        <v>46038</v>
      </c>
      <c r="C576" t="str">
        <f>RAW_GAMES!E576</f>
        <v>KVA</v>
      </c>
      <c r="D576" s="7">
        <f>RAW_GAMES!O576</f>
        <v>3</v>
      </c>
      <c r="E576">
        <f>RAW_GAMES!N576</f>
        <v>2</v>
      </c>
      <c r="F576" s="7">
        <f>RAW_GAMES!Q576</f>
        <v>2</v>
      </c>
      <c r="G576">
        <f>RAW_GAMES!P576</f>
        <v>0</v>
      </c>
    </row>
    <row r="577" spans="1:7" x14ac:dyDescent="0.25">
      <c r="A577" t="str">
        <f>RAW_GAMES!A577</f>
        <v>25/26</v>
      </c>
      <c r="B577" s="3">
        <f>RAW_GAMES!B577</f>
        <v>46038</v>
      </c>
      <c r="C577" t="str">
        <f>RAW_GAMES!E577</f>
        <v>LIB</v>
      </c>
      <c r="D577" s="7">
        <f>RAW_GAMES!O577</f>
        <v>4</v>
      </c>
      <c r="E577">
        <f>RAW_GAMES!N577</f>
        <v>1</v>
      </c>
      <c r="F577" s="7">
        <f>RAW_GAMES!Q577</f>
        <v>4</v>
      </c>
      <c r="G577">
        <f>RAW_GAMES!P577</f>
        <v>0</v>
      </c>
    </row>
    <row r="578" spans="1:7" x14ac:dyDescent="0.25">
      <c r="A578" t="str">
        <f>RAW_GAMES!A578</f>
        <v>25/26</v>
      </c>
      <c r="B578" s="3">
        <f>RAW_GAMES!B578</f>
        <v>46038</v>
      </c>
      <c r="C578" t="str">
        <f>RAW_GAMES!E578</f>
        <v>LIT</v>
      </c>
      <c r="D578" s="7">
        <f>RAW_GAMES!O578</f>
        <v>5</v>
      </c>
      <c r="E578">
        <f>RAW_GAMES!N578</f>
        <v>0</v>
      </c>
      <c r="F578" s="7">
        <f>RAW_GAMES!Q578</f>
        <v>4</v>
      </c>
      <c r="G578">
        <f>RAW_GAMES!P578</f>
        <v>1</v>
      </c>
    </row>
    <row r="579" spans="1:7" x14ac:dyDescent="0.25">
      <c r="A579" t="str">
        <f>RAW_GAMES!A579</f>
        <v>25/26</v>
      </c>
      <c r="B579" s="3">
        <f>RAW_GAMES!B579</f>
        <v>46038</v>
      </c>
      <c r="C579" t="str">
        <f>RAW_GAMES!E579</f>
        <v>MBL</v>
      </c>
      <c r="D579" s="7">
        <f>RAW_GAMES!O579</f>
        <v>6</v>
      </c>
      <c r="E579">
        <f>RAW_GAMES!N579</f>
        <v>1</v>
      </c>
      <c r="F579" s="7">
        <f>RAW_GAMES!Q579</f>
        <v>5</v>
      </c>
      <c r="G579">
        <f>RAW_GAMES!P579</f>
        <v>0</v>
      </c>
    </row>
    <row r="580" spans="1:7" x14ac:dyDescent="0.25">
      <c r="A580" t="str">
        <f>RAW_GAMES!A580</f>
        <v>25/26</v>
      </c>
      <c r="B580" s="3">
        <f>RAW_GAMES!B580</f>
        <v>46038</v>
      </c>
      <c r="C580" t="str">
        <f>RAW_GAMES!E580</f>
        <v>MHK</v>
      </c>
      <c r="D580" s="7">
        <f>RAW_GAMES!O580</f>
        <v>5</v>
      </c>
      <c r="E580">
        <f>RAW_GAMES!N580</f>
        <v>1</v>
      </c>
      <c r="F580" s="7">
        <f>RAW_GAMES!Q580</f>
        <v>3</v>
      </c>
      <c r="G580">
        <f>RAW_GAMES!P580</f>
        <v>0</v>
      </c>
    </row>
    <row r="581" spans="1:7" x14ac:dyDescent="0.25">
      <c r="A581" t="str">
        <f>RAW_GAMES!A581</f>
        <v>25/26</v>
      </c>
      <c r="B581" s="3">
        <f>RAW_GAMES!B581</f>
        <v>46038</v>
      </c>
      <c r="C581" t="str">
        <f>RAW_GAMES!E581</f>
        <v>OLO</v>
      </c>
      <c r="D581" s="7">
        <f>RAW_GAMES!O581</f>
        <v>2</v>
      </c>
      <c r="E581">
        <f>RAW_GAMES!N581</f>
        <v>0</v>
      </c>
      <c r="F581" s="7">
        <f>RAW_GAMES!Q581</f>
        <v>3</v>
      </c>
      <c r="G581">
        <f>RAW_GAMES!P581</f>
        <v>2</v>
      </c>
    </row>
    <row r="582" spans="1:7" x14ac:dyDescent="0.25">
      <c r="A582" t="str">
        <f>RAW_GAMES!A582</f>
        <v>25/26</v>
      </c>
      <c r="B582" s="3">
        <f>RAW_GAMES!B582</f>
        <v>46038</v>
      </c>
      <c r="C582" t="str">
        <f>RAW_GAMES!E582</f>
        <v>PLZ</v>
      </c>
      <c r="D582" s="7">
        <f>RAW_GAMES!O582</f>
        <v>6</v>
      </c>
      <c r="E582">
        <f>RAW_GAMES!N582</f>
        <v>0</v>
      </c>
      <c r="F582" s="7">
        <f>RAW_GAMES!Q582</f>
        <v>6</v>
      </c>
      <c r="G582">
        <f>RAW_GAMES!P582</f>
        <v>1</v>
      </c>
    </row>
    <row r="583" spans="1:7" x14ac:dyDescent="0.25">
      <c r="A583" t="str">
        <f>RAW_GAMES!A583</f>
        <v>25/26</v>
      </c>
      <c r="B583" s="3">
        <f>RAW_GAMES!B583</f>
        <v>46038</v>
      </c>
      <c r="C583" t="str">
        <f>RAW_GAMES!E583</f>
        <v>VIT</v>
      </c>
      <c r="D583" s="7">
        <f>RAW_GAMES!O583</f>
        <v>4</v>
      </c>
      <c r="E583">
        <f>RAW_GAMES!N583</f>
        <v>1</v>
      </c>
      <c r="F583" s="7">
        <f>RAW_GAMES!Q583</f>
        <v>5</v>
      </c>
      <c r="G583">
        <f>RAW_GAMES!P583</f>
        <v>0</v>
      </c>
    </row>
    <row r="584" spans="1:7" x14ac:dyDescent="0.25">
      <c r="A584" t="str">
        <f>RAW_GAMES!A584</f>
        <v>25/26</v>
      </c>
      <c r="B584" s="3">
        <f>RAW_GAMES!B584</f>
        <v>46040</v>
      </c>
      <c r="C584" t="str">
        <f>RAW_GAMES!E584</f>
        <v>PCE</v>
      </c>
      <c r="D584" s="7">
        <f>RAW_GAMES!O584</f>
        <v>2</v>
      </c>
      <c r="E584">
        <f>RAW_GAMES!N584</f>
        <v>2</v>
      </c>
      <c r="F584" s="7">
        <f>RAW_GAMES!Q584</f>
        <v>4</v>
      </c>
      <c r="G584">
        <f>RAW_GAMES!P584</f>
        <v>0</v>
      </c>
    </row>
    <row r="585" spans="1:7" x14ac:dyDescent="0.25">
      <c r="A585" t="str">
        <f>RAW_GAMES!A585</f>
        <v>25/26</v>
      </c>
      <c r="B585" s="3">
        <f>RAW_GAMES!B585</f>
        <v>46040</v>
      </c>
      <c r="C585" t="str">
        <f>RAW_GAMES!E585</f>
        <v>TRI</v>
      </c>
      <c r="D585" s="7">
        <f>RAW_GAMES!O585</f>
        <v>1</v>
      </c>
      <c r="E585">
        <f>RAW_GAMES!N585</f>
        <v>1</v>
      </c>
      <c r="F585" s="7">
        <f>RAW_GAMES!Q585</f>
        <v>2</v>
      </c>
      <c r="G585">
        <f>RAW_GAMES!P585</f>
        <v>0</v>
      </c>
    </row>
    <row r="586" spans="1:7" x14ac:dyDescent="0.25">
      <c r="A586" t="str">
        <f>RAW_GAMES!A586</f>
        <v>25/26</v>
      </c>
      <c r="B586" s="3">
        <f>RAW_GAMES!B586</f>
        <v>46040</v>
      </c>
      <c r="C586" t="str">
        <f>RAW_GAMES!E586</f>
        <v>KOM</v>
      </c>
      <c r="D586" s="7">
        <f>RAW_GAMES!O586</f>
        <v>3</v>
      </c>
      <c r="E586">
        <f>RAW_GAMES!N586</f>
        <v>2</v>
      </c>
      <c r="F586" s="7">
        <f>RAW_GAMES!Q586</f>
        <v>4</v>
      </c>
      <c r="G586">
        <f>RAW_GAMES!P586</f>
        <v>0</v>
      </c>
    </row>
    <row r="587" spans="1:7" x14ac:dyDescent="0.25">
      <c r="A587" t="str">
        <f>RAW_GAMES!A587</f>
        <v>25/26</v>
      </c>
      <c r="B587" s="3">
        <f>RAW_GAMES!B587</f>
        <v>46040</v>
      </c>
      <c r="C587" t="str">
        <f>RAW_GAMES!E587</f>
        <v>CEB</v>
      </c>
      <c r="D587" s="7">
        <f>RAW_GAMES!O587</f>
        <v>4</v>
      </c>
      <c r="E587">
        <f>RAW_GAMES!N587</f>
        <v>0</v>
      </c>
      <c r="F587" s="7">
        <f>RAW_GAMES!Q587</f>
        <v>2</v>
      </c>
      <c r="G587">
        <f>RAW_GAMES!P587</f>
        <v>2</v>
      </c>
    </row>
    <row r="588" spans="1:7" x14ac:dyDescent="0.25">
      <c r="A588" t="str">
        <f>RAW_GAMES!A588</f>
        <v>25/26</v>
      </c>
      <c r="B588" s="3">
        <f>RAW_GAMES!B588</f>
        <v>46040</v>
      </c>
      <c r="C588" t="str">
        <f>RAW_GAMES!E588</f>
        <v>KLA</v>
      </c>
      <c r="D588" s="7">
        <f>RAW_GAMES!O588</f>
        <v>5</v>
      </c>
      <c r="E588">
        <f>RAW_GAMES!N588</f>
        <v>1</v>
      </c>
      <c r="F588" s="7">
        <f>RAW_GAMES!Q588</f>
        <v>4</v>
      </c>
      <c r="G588">
        <f>RAW_GAMES!P588</f>
        <v>0</v>
      </c>
    </row>
    <row r="589" spans="1:7" x14ac:dyDescent="0.25">
      <c r="A589" t="str">
        <f>RAW_GAMES!A589</f>
        <v>25/26</v>
      </c>
      <c r="B589" s="3">
        <f>RAW_GAMES!B589</f>
        <v>46040</v>
      </c>
      <c r="C589" t="str">
        <f>RAW_GAMES!E589</f>
        <v>SPA</v>
      </c>
      <c r="D589" s="7">
        <f>RAW_GAMES!O589</f>
        <v>6</v>
      </c>
      <c r="E589">
        <f>RAW_GAMES!N589</f>
        <v>0</v>
      </c>
      <c r="F589" s="7">
        <f>RAW_GAMES!Q589</f>
        <v>9</v>
      </c>
      <c r="G589">
        <f>RAW_GAMES!P589</f>
        <v>2</v>
      </c>
    </row>
    <row r="590" spans="1:7" x14ac:dyDescent="0.25">
      <c r="A590" t="str">
        <f>RAW_GAMES!A590</f>
        <v>25/26</v>
      </c>
      <c r="B590" s="3">
        <f>RAW_GAMES!B590</f>
        <v>46040</v>
      </c>
      <c r="C590" t="str">
        <f>RAW_GAMES!E590</f>
        <v>KVA</v>
      </c>
      <c r="D590" s="7">
        <f>RAW_GAMES!O590</f>
        <v>9</v>
      </c>
      <c r="E590">
        <f>RAW_GAMES!N590</f>
        <v>2</v>
      </c>
      <c r="F590" s="7">
        <f>RAW_GAMES!Q590</f>
        <v>6</v>
      </c>
      <c r="G590">
        <f>RAW_GAMES!P590</f>
        <v>0</v>
      </c>
    </row>
    <row r="591" spans="1:7" x14ac:dyDescent="0.25">
      <c r="A591" t="str">
        <f>RAW_GAMES!A591</f>
        <v>25/26</v>
      </c>
      <c r="B591" s="3">
        <f>RAW_GAMES!B591</f>
        <v>46040</v>
      </c>
      <c r="C591" t="str">
        <f>RAW_GAMES!E591</f>
        <v>LIB</v>
      </c>
      <c r="D591" s="7">
        <f>RAW_GAMES!O591</f>
        <v>5</v>
      </c>
      <c r="E591">
        <f>RAW_GAMES!N591</f>
        <v>0</v>
      </c>
      <c r="F591" s="7">
        <f>RAW_GAMES!Q591</f>
        <v>1</v>
      </c>
      <c r="G591">
        <f>RAW_GAMES!P591</f>
        <v>0</v>
      </c>
    </row>
    <row r="592" spans="1:7" x14ac:dyDescent="0.25">
      <c r="A592" t="str">
        <f>RAW_GAMES!A592</f>
        <v>25/26</v>
      </c>
      <c r="B592" s="3">
        <f>RAW_GAMES!B592</f>
        <v>46040</v>
      </c>
      <c r="C592" t="str">
        <f>RAW_GAMES!E592</f>
        <v>LIT</v>
      </c>
      <c r="D592" s="7">
        <f>RAW_GAMES!O592</f>
        <v>1</v>
      </c>
      <c r="E592">
        <f>RAW_GAMES!N592</f>
        <v>0</v>
      </c>
      <c r="F592" s="7">
        <f>RAW_GAMES!Q592</f>
        <v>5</v>
      </c>
      <c r="G592">
        <f>RAW_GAMES!P592</f>
        <v>0</v>
      </c>
    </row>
    <row r="593" spans="1:7" x14ac:dyDescent="0.25">
      <c r="A593" t="str">
        <f>RAW_GAMES!A593</f>
        <v>25/26</v>
      </c>
      <c r="B593" s="3">
        <f>RAW_GAMES!B593</f>
        <v>46040</v>
      </c>
      <c r="C593" t="str">
        <f>RAW_GAMES!E593</f>
        <v>MBL</v>
      </c>
      <c r="D593" s="7">
        <f>RAW_GAMES!O593</f>
        <v>2</v>
      </c>
      <c r="E593">
        <f>RAW_GAMES!N593</f>
        <v>0</v>
      </c>
      <c r="F593" s="7">
        <f>RAW_GAMES!Q593</f>
        <v>1</v>
      </c>
      <c r="G593">
        <f>RAW_GAMES!P593</f>
        <v>1</v>
      </c>
    </row>
    <row r="594" spans="1:7" x14ac:dyDescent="0.25">
      <c r="A594" t="str">
        <f>RAW_GAMES!A594</f>
        <v>25/26</v>
      </c>
      <c r="B594" s="3">
        <f>RAW_GAMES!B594</f>
        <v>46040</v>
      </c>
      <c r="C594" t="str">
        <f>RAW_GAMES!E594</f>
        <v>MHK</v>
      </c>
      <c r="D594" s="7">
        <f>RAW_GAMES!O594</f>
        <v>0</v>
      </c>
      <c r="E594">
        <f>RAW_GAMES!N594</f>
        <v>0</v>
      </c>
      <c r="F594" s="7">
        <f>RAW_GAMES!Q594</f>
        <v>3</v>
      </c>
      <c r="G594">
        <f>RAW_GAMES!P594</f>
        <v>1</v>
      </c>
    </row>
    <row r="595" spans="1:7" x14ac:dyDescent="0.25">
      <c r="A595" t="str">
        <f>RAW_GAMES!A595</f>
        <v>25/26</v>
      </c>
      <c r="B595" s="3">
        <f>RAW_GAMES!B595</f>
        <v>46040</v>
      </c>
      <c r="C595" t="str">
        <f>RAW_GAMES!E595</f>
        <v>OLO</v>
      </c>
      <c r="D595" s="7">
        <f>RAW_GAMES!O595</f>
        <v>4</v>
      </c>
      <c r="E595">
        <f>RAW_GAMES!N595</f>
        <v>0</v>
      </c>
      <c r="F595" s="7">
        <f>RAW_GAMES!Q595</f>
        <v>5</v>
      </c>
      <c r="G595">
        <f>RAW_GAMES!P595</f>
        <v>1</v>
      </c>
    </row>
    <row r="596" spans="1:7" x14ac:dyDescent="0.25">
      <c r="A596" t="str">
        <f>RAW_GAMES!A596</f>
        <v>25/26</v>
      </c>
      <c r="B596" s="3">
        <f>RAW_GAMES!B596</f>
        <v>46040</v>
      </c>
      <c r="C596" t="str">
        <f>RAW_GAMES!E596</f>
        <v>PLZ</v>
      </c>
      <c r="D596" s="7">
        <f>RAW_GAMES!O596</f>
        <v>3</v>
      </c>
      <c r="E596">
        <f>RAW_GAMES!N596</f>
        <v>1</v>
      </c>
      <c r="F596" s="7">
        <f>RAW_GAMES!Q596</f>
        <v>0</v>
      </c>
      <c r="G596">
        <f>RAW_GAMES!P596</f>
        <v>0</v>
      </c>
    </row>
    <row r="597" spans="1:7" x14ac:dyDescent="0.25">
      <c r="A597" t="str">
        <f>RAW_GAMES!A597</f>
        <v>25/26</v>
      </c>
      <c r="B597" s="3">
        <f>RAW_GAMES!B597</f>
        <v>46040</v>
      </c>
      <c r="C597" t="str">
        <f>RAW_GAMES!E597</f>
        <v>VIT</v>
      </c>
      <c r="D597" s="7">
        <f>RAW_GAMES!O597</f>
        <v>4</v>
      </c>
      <c r="E597">
        <f>RAW_GAMES!N597</f>
        <v>0</v>
      </c>
      <c r="F597" s="7">
        <f>RAW_GAMES!Q597</f>
        <v>3</v>
      </c>
      <c r="G597">
        <f>RAW_GAMES!P597</f>
        <v>2</v>
      </c>
    </row>
    <row r="598" spans="1:7" x14ac:dyDescent="0.25">
      <c r="A598" t="str">
        <f>RAW_GAMES!A598</f>
        <v>25/26</v>
      </c>
      <c r="B598" s="3">
        <f>RAW_GAMES!B598</f>
        <v>46042</v>
      </c>
      <c r="C598" t="str">
        <f>RAW_GAMES!E598</f>
        <v>TRI</v>
      </c>
      <c r="D598" s="7">
        <f>RAW_GAMES!O598</f>
        <v>3</v>
      </c>
      <c r="E598">
        <f>RAW_GAMES!N598</f>
        <v>0</v>
      </c>
      <c r="F598" s="7">
        <f>RAW_GAMES!Q598</f>
        <v>3</v>
      </c>
      <c r="G598">
        <f>RAW_GAMES!P598</f>
        <v>0</v>
      </c>
    </row>
    <row r="599" spans="1:7" x14ac:dyDescent="0.25">
      <c r="A599" t="str">
        <f>RAW_GAMES!A599</f>
        <v>25/26</v>
      </c>
      <c r="B599" s="3">
        <f>RAW_GAMES!B599</f>
        <v>46042</v>
      </c>
      <c r="C599" t="str">
        <f>RAW_GAMES!E599</f>
        <v>SPA</v>
      </c>
      <c r="D599" s="7">
        <f>RAW_GAMES!O599</f>
        <v>2</v>
      </c>
      <c r="E599">
        <f>RAW_GAMES!N599</f>
        <v>0</v>
      </c>
      <c r="F599" s="7">
        <f>RAW_GAMES!Q599</f>
        <v>3</v>
      </c>
      <c r="G599">
        <f>RAW_GAMES!P599</f>
        <v>0</v>
      </c>
    </row>
    <row r="600" spans="1:7" x14ac:dyDescent="0.25">
      <c r="A600" t="str">
        <f>RAW_GAMES!A600</f>
        <v>25/26</v>
      </c>
      <c r="B600" s="3">
        <f>RAW_GAMES!B600</f>
        <v>46042</v>
      </c>
      <c r="C600" t="str">
        <f>RAW_GAMES!E600</f>
        <v>MHK</v>
      </c>
      <c r="D600" s="7">
        <f>RAW_GAMES!O600</f>
        <v>3</v>
      </c>
      <c r="E600">
        <f>RAW_GAMES!N600</f>
        <v>0</v>
      </c>
      <c r="F600" s="7">
        <f>RAW_GAMES!Q600</f>
        <v>2</v>
      </c>
      <c r="G600">
        <f>RAW_GAMES!P600</f>
        <v>0</v>
      </c>
    </row>
    <row r="601" spans="1:7" x14ac:dyDescent="0.25">
      <c r="A601" t="str">
        <f>RAW_GAMES!A601</f>
        <v>25/26</v>
      </c>
      <c r="B601" s="3">
        <f>RAW_GAMES!B601</f>
        <v>46042</v>
      </c>
      <c r="C601" t="str">
        <f>RAW_GAMES!E601</f>
        <v>PLZ</v>
      </c>
      <c r="D601" s="7">
        <f>RAW_GAMES!O601</f>
        <v>3</v>
      </c>
      <c r="E601">
        <f>RAW_GAMES!N601</f>
        <v>0</v>
      </c>
      <c r="F601" s="7">
        <f>RAW_GAMES!Q601</f>
        <v>3</v>
      </c>
      <c r="G601">
        <f>RAW_GAMES!P601</f>
        <v>0</v>
      </c>
    </row>
    <row r="602" spans="1:7" x14ac:dyDescent="0.25">
      <c r="A602" t="str">
        <f>RAW_GAMES!A602</f>
        <v>25/26</v>
      </c>
      <c r="B602" s="3">
        <f>RAW_GAMES!B602</f>
        <v>46043</v>
      </c>
      <c r="C602" t="str">
        <f>RAW_GAMES!E602</f>
        <v>PCE</v>
      </c>
      <c r="D602" s="7">
        <f>RAW_GAMES!O602</f>
        <v>5</v>
      </c>
      <c r="E602">
        <f>RAW_GAMES!N602</f>
        <v>2</v>
      </c>
      <c r="F602" s="7">
        <f>RAW_GAMES!Q602</f>
        <v>2</v>
      </c>
      <c r="G602">
        <f>RAW_GAMES!P602</f>
        <v>0</v>
      </c>
    </row>
    <row r="603" spans="1:7" x14ac:dyDescent="0.25">
      <c r="A603" t="str">
        <f>RAW_GAMES!A603</f>
        <v>25/26</v>
      </c>
      <c r="B603" s="3">
        <f>RAW_GAMES!B603</f>
        <v>46043</v>
      </c>
      <c r="C603" t="str">
        <f>RAW_GAMES!E603</f>
        <v>KOM</v>
      </c>
      <c r="D603" s="7">
        <f>RAW_GAMES!O603</f>
        <v>2</v>
      </c>
      <c r="E603">
        <f>RAW_GAMES!N603</f>
        <v>0</v>
      </c>
      <c r="F603" s="7">
        <f>RAW_GAMES!Q603</f>
        <v>5</v>
      </c>
      <c r="G603">
        <f>RAW_GAMES!P603</f>
        <v>2</v>
      </c>
    </row>
    <row r="604" spans="1:7" x14ac:dyDescent="0.25">
      <c r="A604" t="str">
        <f>RAW_GAMES!A604</f>
        <v>25/26</v>
      </c>
      <c r="B604" s="3">
        <f>RAW_GAMES!B604</f>
        <v>46045</v>
      </c>
      <c r="C604" t="str">
        <f>RAW_GAMES!E604</f>
        <v>PCE</v>
      </c>
      <c r="D604" s="7">
        <f>RAW_GAMES!O604</f>
        <v>3</v>
      </c>
      <c r="E604">
        <f>RAW_GAMES!N604</f>
        <v>1</v>
      </c>
      <c r="F604" s="7">
        <f>RAW_GAMES!Q604</f>
        <v>7</v>
      </c>
      <c r="G604">
        <f>RAW_GAMES!P604</f>
        <v>1</v>
      </c>
    </row>
    <row r="605" spans="1:7" x14ac:dyDescent="0.25">
      <c r="A605" t="str">
        <f>RAW_GAMES!A605</f>
        <v>25/26</v>
      </c>
      <c r="B605" s="3">
        <f>RAW_GAMES!B605</f>
        <v>46045</v>
      </c>
      <c r="C605" t="str">
        <f>RAW_GAMES!E605</f>
        <v>KOM</v>
      </c>
      <c r="D605" s="7">
        <f>RAW_GAMES!O605</f>
        <v>2</v>
      </c>
      <c r="E605">
        <f>RAW_GAMES!N605</f>
        <v>0</v>
      </c>
      <c r="F605" s="7">
        <f>RAW_GAMES!Q605</f>
        <v>2</v>
      </c>
      <c r="G605">
        <f>RAW_GAMES!P605</f>
        <v>0</v>
      </c>
    </row>
    <row r="606" spans="1:7" x14ac:dyDescent="0.25">
      <c r="A606" t="str">
        <f>RAW_GAMES!A606</f>
        <v>25/26</v>
      </c>
      <c r="B606" s="3">
        <f>RAW_GAMES!B606</f>
        <v>46045</v>
      </c>
      <c r="C606" t="str">
        <f>RAW_GAMES!E606</f>
        <v>CEB</v>
      </c>
      <c r="D606" s="7">
        <f>RAW_GAMES!O606</f>
        <v>1</v>
      </c>
      <c r="E606">
        <f>RAW_GAMES!N606</f>
        <v>0</v>
      </c>
      <c r="F606" s="7">
        <f>RAW_GAMES!Q606</f>
        <v>3</v>
      </c>
      <c r="G606">
        <f>RAW_GAMES!P606</f>
        <v>0</v>
      </c>
    </row>
    <row r="607" spans="1:7" x14ac:dyDescent="0.25">
      <c r="A607" t="str">
        <f>RAW_GAMES!A607</f>
        <v>25/26</v>
      </c>
      <c r="B607" s="3">
        <f>RAW_GAMES!B607</f>
        <v>46045</v>
      </c>
      <c r="C607" t="str">
        <f>RAW_GAMES!E607</f>
        <v>KLA</v>
      </c>
      <c r="D607" s="7">
        <f>RAW_GAMES!O607</f>
        <v>3</v>
      </c>
      <c r="E607">
        <f>RAW_GAMES!N607</f>
        <v>0</v>
      </c>
      <c r="F607" s="7">
        <f>RAW_GAMES!Q607</f>
        <v>1</v>
      </c>
      <c r="G607">
        <f>RAW_GAMES!P607</f>
        <v>0</v>
      </c>
    </row>
    <row r="608" spans="1:7" x14ac:dyDescent="0.25">
      <c r="A608" t="str">
        <f>RAW_GAMES!A608</f>
        <v>25/26</v>
      </c>
      <c r="B608" s="3">
        <f>RAW_GAMES!B608</f>
        <v>46045</v>
      </c>
      <c r="C608" t="str">
        <f>RAW_GAMES!E608</f>
        <v>KVA</v>
      </c>
      <c r="D608" s="7">
        <f>RAW_GAMES!O608</f>
        <v>6</v>
      </c>
      <c r="E608">
        <f>RAW_GAMES!N608</f>
        <v>0</v>
      </c>
      <c r="F608" s="7">
        <f>RAW_GAMES!Q608</f>
        <v>3</v>
      </c>
      <c r="G608">
        <f>RAW_GAMES!P608</f>
        <v>0</v>
      </c>
    </row>
    <row r="609" spans="1:7" x14ac:dyDescent="0.25">
      <c r="A609" t="str">
        <f>RAW_GAMES!A609</f>
        <v>25/26</v>
      </c>
      <c r="B609" s="3">
        <f>RAW_GAMES!B609</f>
        <v>46045</v>
      </c>
      <c r="C609" t="str">
        <f>RAW_GAMES!E609</f>
        <v>LIB</v>
      </c>
      <c r="D609" s="7">
        <f>RAW_GAMES!O609</f>
        <v>2</v>
      </c>
      <c r="E609">
        <f>RAW_GAMES!N609</f>
        <v>0</v>
      </c>
      <c r="F609" s="7">
        <f>RAW_GAMES!Q609</f>
        <v>2</v>
      </c>
      <c r="G609">
        <f>RAW_GAMES!P609</f>
        <v>0</v>
      </c>
    </row>
    <row r="610" spans="1:7" x14ac:dyDescent="0.25">
      <c r="A610" t="str">
        <f>RAW_GAMES!A610</f>
        <v>25/26</v>
      </c>
      <c r="B610" s="3">
        <f>RAW_GAMES!B610</f>
        <v>46045</v>
      </c>
      <c r="C610" t="str">
        <f>RAW_GAMES!E610</f>
        <v>MBL</v>
      </c>
      <c r="D610" s="7">
        <f>RAW_GAMES!O610</f>
        <v>5</v>
      </c>
      <c r="E610">
        <f>RAW_GAMES!N610</f>
        <v>0</v>
      </c>
      <c r="F610" s="7">
        <f>RAW_GAMES!Q610</f>
        <v>5</v>
      </c>
      <c r="G610">
        <f>RAW_GAMES!P610</f>
        <v>1</v>
      </c>
    </row>
    <row r="611" spans="1:7" x14ac:dyDescent="0.25">
      <c r="A611" t="str">
        <f>RAW_GAMES!A611</f>
        <v>25/26</v>
      </c>
      <c r="B611" s="3">
        <f>RAW_GAMES!B611</f>
        <v>46045</v>
      </c>
      <c r="C611" t="str">
        <f>RAW_GAMES!E611</f>
        <v>MHK</v>
      </c>
      <c r="D611" s="7">
        <f>RAW_GAMES!O611</f>
        <v>3</v>
      </c>
      <c r="E611">
        <f>RAW_GAMES!N611</f>
        <v>0</v>
      </c>
      <c r="F611" s="7">
        <f>RAW_GAMES!Q611</f>
        <v>6</v>
      </c>
      <c r="G611">
        <f>RAW_GAMES!P611</f>
        <v>0</v>
      </c>
    </row>
    <row r="612" spans="1:7" x14ac:dyDescent="0.25">
      <c r="A612" t="str">
        <f>RAW_GAMES!A612</f>
        <v>25/26</v>
      </c>
      <c r="B612" s="3">
        <f>RAW_GAMES!B612</f>
        <v>46045</v>
      </c>
      <c r="C612" t="str">
        <f>RAW_GAMES!E612</f>
        <v>OLO</v>
      </c>
      <c r="D612" s="7">
        <f>RAW_GAMES!O612</f>
        <v>7</v>
      </c>
      <c r="E612">
        <f>RAW_GAMES!N612</f>
        <v>1</v>
      </c>
      <c r="F612" s="7">
        <f>RAW_GAMES!Q612</f>
        <v>3</v>
      </c>
      <c r="G612">
        <f>RAW_GAMES!P612</f>
        <v>1</v>
      </c>
    </row>
    <row r="613" spans="1:7" x14ac:dyDescent="0.25">
      <c r="A613" t="str">
        <f>RAW_GAMES!A613</f>
        <v>25/26</v>
      </c>
      <c r="B613" s="3">
        <f>RAW_GAMES!B613</f>
        <v>46045</v>
      </c>
      <c r="C613" t="str">
        <f>RAW_GAMES!E613</f>
        <v>VIT</v>
      </c>
      <c r="D613" s="7">
        <f>RAW_GAMES!O613</f>
        <v>5</v>
      </c>
      <c r="E613">
        <f>RAW_GAMES!N613</f>
        <v>1</v>
      </c>
      <c r="F613" s="7">
        <f>RAW_GAMES!Q613</f>
        <v>5</v>
      </c>
      <c r="G613">
        <f>RAW_GAMES!P613</f>
        <v>0</v>
      </c>
    </row>
    <row r="614" spans="1:7" x14ac:dyDescent="0.25">
      <c r="A614" t="str">
        <f>RAW_GAMES!A614</f>
        <v>25/26</v>
      </c>
      <c r="B614" s="3">
        <f>RAW_GAMES!B614</f>
        <v>46047</v>
      </c>
      <c r="C614" t="str">
        <f>RAW_GAMES!E614</f>
        <v>PCE</v>
      </c>
      <c r="D614" s="7">
        <f>RAW_GAMES!O614</f>
        <v>7</v>
      </c>
      <c r="E614">
        <f>RAW_GAMES!N614</f>
        <v>1</v>
      </c>
      <c r="F614" s="7">
        <f>RAW_GAMES!Q614</f>
        <v>2</v>
      </c>
      <c r="G614">
        <f>RAW_GAMES!P614</f>
        <v>2</v>
      </c>
    </row>
    <row r="615" spans="1:7" x14ac:dyDescent="0.25">
      <c r="A615" t="str">
        <f>RAW_GAMES!A615</f>
        <v>25/26</v>
      </c>
      <c r="B615" s="3">
        <f>RAW_GAMES!B615</f>
        <v>46047</v>
      </c>
      <c r="C615" t="str">
        <f>RAW_GAMES!E615</f>
        <v>TRI</v>
      </c>
      <c r="D615" s="7">
        <f>RAW_GAMES!O615</f>
        <v>7</v>
      </c>
      <c r="E615">
        <f>RAW_GAMES!N615</f>
        <v>0</v>
      </c>
      <c r="F615" s="7">
        <f>RAW_GAMES!Q615</f>
        <v>4</v>
      </c>
      <c r="G615">
        <f>RAW_GAMES!P615</f>
        <v>0</v>
      </c>
    </row>
    <row r="616" spans="1:7" x14ac:dyDescent="0.25">
      <c r="A616" t="str">
        <f>RAW_GAMES!A616</f>
        <v>25/26</v>
      </c>
      <c r="B616" s="3">
        <f>RAW_GAMES!B616</f>
        <v>46047</v>
      </c>
      <c r="C616" t="str">
        <f>RAW_GAMES!E616</f>
        <v>KOM</v>
      </c>
      <c r="D616" s="7">
        <f>RAW_GAMES!O616</f>
        <v>5</v>
      </c>
      <c r="E616">
        <f>RAW_GAMES!N616</f>
        <v>0</v>
      </c>
      <c r="F616" s="7">
        <f>RAW_GAMES!Q616</f>
        <v>5</v>
      </c>
      <c r="G616">
        <f>RAW_GAMES!P616</f>
        <v>1</v>
      </c>
    </row>
    <row r="617" spans="1:7" x14ac:dyDescent="0.25">
      <c r="A617" t="str">
        <f>RAW_GAMES!A617</f>
        <v>25/26</v>
      </c>
      <c r="B617" s="3">
        <f>RAW_GAMES!B617</f>
        <v>46047</v>
      </c>
      <c r="C617" t="str">
        <f>RAW_GAMES!E617</f>
        <v>CEB</v>
      </c>
      <c r="D617" s="7">
        <f>RAW_GAMES!O617</f>
        <v>4</v>
      </c>
      <c r="E617">
        <f>RAW_GAMES!N617</f>
        <v>0</v>
      </c>
      <c r="F617" s="7">
        <f>RAW_GAMES!Q617</f>
        <v>7</v>
      </c>
      <c r="G617">
        <f>RAW_GAMES!P617</f>
        <v>0</v>
      </c>
    </row>
    <row r="618" spans="1:7" x14ac:dyDescent="0.25">
      <c r="A618" t="str">
        <f>RAW_GAMES!A618</f>
        <v>25/26</v>
      </c>
      <c r="B618" s="3">
        <f>RAW_GAMES!B618</f>
        <v>46047</v>
      </c>
      <c r="C618" t="str">
        <f>RAW_GAMES!E618</f>
        <v>KLA</v>
      </c>
      <c r="D618" s="7">
        <f>RAW_GAMES!O618</f>
        <v>5</v>
      </c>
      <c r="E618">
        <f>RAW_GAMES!N618</f>
        <v>0</v>
      </c>
      <c r="F618" s="7">
        <f>RAW_GAMES!Q618</f>
        <v>3</v>
      </c>
      <c r="G618">
        <f>RAW_GAMES!P618</f>
        <v>0</v>
      </c>
    </row>
    <row r="619" spans="1:7" x14ac:dyDescent="0.25">
      <c r="A619" t="str">
        <f>RAW_GAMES!A619</f>
        <v>25/26</v>
      </c>
      <c r="B619" s="3">
        <f>RAW_GAMES!B619</f>
        <v>46047</v>
      </c>
      <c r="C619" t="str">
        <f>RAW_GAMES!E619</f>
        <v>KVA</v>
      </c>
      <c r="D619" s="7">
        <f>RAW_GAMES!O619</f>
        <v>4</v>
      </c>
      <c r="E619">
        <f>RAW_GAMES!N619</f>
        <v>2</v>
      </c>
      <c r="F619" s="7">
        <f>RAW_GAMES!Q619</f>
        <v>3</v>
      </c>
      <c r="G619">
        <f>RAW_GAMES!P619</f>
        <v>0</v>
      </c>
    </row>
    <row r="620" spans="1:7" x14ac:dyDescent="0.25">
      <c r="A620" t="str">
        <f>RAW_GAMES!A620</f>
        <v>25/26</v>
      </c>
      <c r="B620" s="3">
        <f>RAW_GAMES!B620</f>
        <v>46047</v>
      </c>
      <c r="C620" t="str">
        <f>RAW_GAMES!E620</f>
        <v>LIB</v>
      </c>
      <c r="D620" s="7">
        <f>RAW_GAMES!O620</f>
        <v>3</v>
      </c>
      <c r="E620">
        <f>RAW_GAMES!N620</f>
        <v>0</v>
      </c>
      <c r="F620" s="7">
        <f>RAW_GAMES!Q620</f>
        <v>5</v>
      </c>
      <c r="G620">
        <f>RAW_GAMES!P620</f>
        <v>0</v>
      </c>
    </row>
    <row r="621" spans="1:7" x14ac:dyDescent="0.25">
      <c r="A621" t="str">
        <f>RAW_GAMES!A621</f>
        <v>25/26</v>
      </c>
      <c r="B621" s="3">
        <f>RAW_GAMES!B621</f>
        <v>46047</v>
      </c>
      <c r="C621" t="str">
        <f>RAW_GAMES!E621</f>
        <v>LIT</v>
      </c>
      <c r="D621" s="7">
        <f>RAW_GAMES!O621</f>
        <v>4</v>
      </c>
      <c r="E621">
        <f>RAW_GAMES!N621</f>
        <v>2</v>
      </c>
      <c r="F621" s="7">
        <f>RAW_GAMES!Q621</f>
        <v>3</v>
      </c>
      <c r="G621">
        <f>RAW_GAMES!P621</f>
        <v>2</v>
      </c>
    </row>
    <row r="622" spans="1:7" x14ac:dyDescent="0.25">
      <c r="A622" t="str">
        <f>RAW_GAMES!A622</f>
        <v>25/26</v>
      </c>
      <c r="B622" s="3">
        <f>RAW_GAMES!B622</f>
        <v>46047</v>
      </c>
      <c r="C622" t="str">
        <f>RAW_GAMES!E622</f>
        <v>MBL</v>
      </c>
      <c r="D622" s="7">
        <f>RAW_GAMES!O622</f>
        <v>3</v>
      </c>
      <c r="E622">
        <f>RAW_GAMES!N622</f>
        <v>0</v>
      </c>
      <c r="F622" s="7">
        <f>RAW_GAMES!Q622</f>
        <v>4</v>
      </c>
      <c r="G622">
        <f>RAW_GAMES!P622</f>
        <v>2</v>
      </c>
    </row>
    <row r="623" spans="1:7" x14ac:dyDescent="0.25">
      <c r="A623" t="str">
        <f>RAW_GAMES!A623</f>
        <v>25/26</v>
      </c>
      <c r="B623" s="3">
        <f>RAW_GAMES!B623</f>
        <v>46047</v>
      </c>
      <c r="C623" t="str">
        <f>RAW_GAMES!E623</f>
        <v>MHK</v>
      </c>
      <c r="D623" s="7">
        <f>RAW_GAMES!O623</f>
        <v>5</v>
      </c>
      <c r="E623">
        <f>RAW_GAMES!N623</f>
        <v>1</v>
      </c>
      <c r="F623" s="7">
        <f>RAW_GAMES!Q623</f>
        <v>5</v>
      </c>
      <c r="G623">
        <f>RAW_GAMES!P623</f>
        <v>0</v>
      </c>
    </row>
    <row r="624" spans="1:7" x14ac:dyDescent="0.25">
      <c r="A624" t="str">
        <f>RAW_GAMES!A624</f>
        <v>25/26</v>
      </c>
      <c r="B624" s="3">
        <f>RAW_GAMES!B624</f>
        <v>46047</v>
      </c>
      <c r="C624" t="str">
        <f>RAW_GAMES!E624</f>
        <v>OLO</v>
      </c>
      <c r="D624" s="7">
        <f>RAW_GAMES!O624</f>
        <v>3</v>
      </c>
      <c r="E624">
        <f>RAW_GAMES!N624</f>
        <v>2</v>
      </c>
      <c r="F624" s="7">
        <f>RAW_GAMES!Q624</f>
        <v>4</v>
      </c>
      <c r="G624">
        <f>RAW_GAMES!P624</f>
        <v>2</v>
      </c>
    </row>
    <row r="625" spans="1:7" x14ac:dyDescent="0.25">
      <c r="A625" t="str">
        <f>RAW_GAMES!A625</f>
        <v>25/26</v>
      </c>
      <c r="B625" s="3">
        <f>RAW_GAMES!B625</f>
        <v>46047</v>
      </c>
      <c r="C625" t="str">
        <f>RAW_GAMES!E625</f>
        <v>PLZ</v>
      </c>
      <c r="D625" s="7">
        <f>RAW_GAMES!O625</f>
        <v>2</v>
      </c>
      <c r="E625">
        <f>RAW_GAMES!N625</f>
        <v>2</v>
      </c>
      <c r="F625" s="7">
        <f>RAW_GAMES!Q625</f>
        <v>7</v>
      </c>
      <c r="G625">
        <f>RAW_GAMES!P625</f>
        <v>1</v>
      </c>
    </row>
    <row r="626" spans="1:7" x14ac:dyDescent="0.25">
      <c r="A626" t="str">
        <f>RAW_GAMES!A626</f>
        <v>25/26</v>
      </c>
      <c r="B626" s="3">
        <f>RAW_GAMES!B626</f>
        <v>46048</v>
      </c>
      <c r="C626" t="str">
        <f>RAW_GAMES!E626</f>
        <v>SPA</v>
      </c>
      <c r="D626" s="7">
        <f>RAW_GAMES!O626</f>
        <v>3</v>
      </c>
      <c r="E626">
        <f>RAW_GAMES!N626</f>
        <v>1</v>
      </c>
      <c r="F626" s="7">
        <f>RAW_GAMES!Q626</f>
        <v>2</v>
      </c>
      <c r="G626">
        <f>RAW_GAMES!P626</f>
        <v>0</v>
      </c>
    </row>
    <row r="627" spans="1:7" x14ac:dyDescent="0.25">
      <c r="A627" t="str">
        <f>RAW_GAMES!A627</f>
        <v>25/26</v>
      </c>
      <c r="B627" s="3">
        <f>RAW_GAMES!B627</f>
        <v>46048</v>
      </c>
      <c r="C627" t="str">
        <f>RAW_GAMES!E627</f>
        <v>OLO</v>
      </c>
      <c r="D627" s="7">
        <f>RAW_GAMES!O627</f>
        <v>2</v>
      </c>
      <c r="E627">
        <f>RAW_GAMES!N627</f>
        <v>0</v>
      </c>
      <c r="F627" s="7">
        <f>RAW_GAMES!Q627</f>
        <v>3</v>
      </c>
      <c r="G627">
        <f>RAW_GAMES!P627</f>
        <v>1</v>
      </c>
    </row>
    <row r="628" spans="1:7" x14ac:dyDescent="0.25">
      <c r="A628" t="str">
        <f>RAW_GAMES!A628</f>
        <v>25/26</v>
      </c>
      <c r="B628" s="3">
        <f>RAW_GAMES!B628</f>
        <v>46049</v>
      </c>
      <c r="C628" t="str">
        <f>RAW_GAMES!E628</f>
        <v>PCE</v>
      </c>
      <c r="D628" s="7">
        <f>RAW_GAMES!O628</f>
        <v>2</v>
      </c>
      <c r="E628">
        <f>RAW_GAMES!N628</f>
        <v>0</v>
      </c>
      <c r="F628" s="7">
        <f>RAW_GAMES!Q628</f>
        <v>1</v>
      </c>
      <c r="G628">
        <f>RAW_GAMES!P628</f>
        <v>0</v>
      </c>
    </row>
    <row r="629" spans="1:7" x14ac:dyDescent="0.25">
      <c r="A629" t="str">
        <f>RAW_GAMES!A629</f>
        <v>25/26</v>
      </c>
      <c r="B629" s="3">
        <f>RAW_GAMES!B629</f>
        <v>46049</v>
      </c>
      <c r="C629" t="str">
        <f>RAW_GAMES!E629</f>
        <v>TRI</v>
      </c>
      <c r="D629" s="7">
        <f>RAW_GAMES!O629</f>
        <v>3</v>
      </c>
      <c r="E629">
        <f>RAW_GAMES!N629</f>
        <v>0</v>
      </c>
      <c r="F629" s="7">
        <f>RAW_GAMES!Q629</f>
        <v>2</v>
      </c>
      <c r="G629">
        <f>RAW_GAMES!P629</f>
        <v>0</v>
      </c>
    </row>
    <row r="630" spans="1:7" x14ac:dyDescent="0.25">
      <c r="A630" t="str">
        <f>RAW_GAMES!A630</f>
        <v>25/26</v>
      </c>
      <c r="B630" s="3">
        <f>RAW_GAMES!B630</f>
        <v>46049</v>
      </c>
      <c r="C630" t="str">
        <f>RAW_GAMES!E630</f>
        <v>KOM</v>
      </c>
      <c r="D630" s="7">
        <f>RAW_GAMES!O630</f>
        <v>7</v>
      </c>
      <c r="E630">
        <f>RAW_GAMES!N630</f>
        <v>0</v>
      </c>
      <c r="F630" s="7">
        <f>RAW_GAMES!Q630</f>
        <v>10</v>
      </c>
      <c r="G630">
        <f>RAW_GAMES!P630</f>
        <v>2</v>
      </c>
    </row>
    <row r="631" spans="1:7" x14ac:dyDescent="0.25">
      <c r="A631" t="str">
        <f>RAW_GAMES!A631</f>
        <v>25/26</v>
      </c>
      <c r="B631" s="3">
        <f>RAW_GAMES!B631</f>
        <v>46049</v>
      </c>
      <c r="C631" t="str">
        <f>RAW_GAMES!E631</f>
        <v>CEB</v>
      </c>
      <c r="D631" s="7">
        <f>RAW_GAMES!O631</f>
        <v>0</v>
      </c>
      <c r="E631">
        <f>RAW_GAMES!N631</f>
        <v>0</v>
      </c>
      <c r="F631" s="7">
        <f>RAW_GAMES!Q631</f>
        <v>4</v>
      </c>
      <c r="G631">
        <f>RAW_GAMES!P631</f>
        <v>1</v>
      </c>
    </row>
    <row r="632" spans="1:7" x14ac:dyDescent="0.25">
      <c r="A632" t="str">
        <f>RAW_GAMES!A632</f>
        <v>25/26</v>
      </c>
      <c r="B632" s="3">
        <f>RAW_GAMES!B632</f>
        <v>46049</v>
      </c>
      <c r="C632" t="str">
        <f>RAW_GAMES!E632</f>
        <v>KLA</v>
      </c>
      <c r="D632" s="7">
        <f>RAW_GAMES!O632</f>
        <v>1</v>
      </c>
      <c r="E632">
        <f>RAW_GAMES!N632</f>
        <v>0</v>
      </c>
      <c r="F632" s="7">
        <f>RAW_GAMES!Q632</f>
        <v>2</v>
      </c>
      <c r="G632">
        <f>RAW_GAMES!P632</f>
        <v>0</v>
      </c>
    </row>
    <row r="633" spans="1:7" x14ac:dyDescent="0.25">
      <c r="A633" t="str">
        <f>RAW_GAMES!A633</f>
        <v>25/26</v>
      </c>
      <c r="B633" s="3">
        <f>RAW_GAMES!B633</f>
        <v>46049</v>
      </c>
      <c r="C633" t="str">
        <f>RAW_GAMES!E633</f>
        <v>KVA</v>
      </c>
      <c r="D633" s="7">
        <f>RAW_GAMES!O633</f>
        <v>4</v>
      </c>
      <c r="E633">
        <f>RAW_GAMES!N633</f>
        <v>1</v>
      </c>
      <c r="F633" s="7">
        <f>RAW_GAMES!Q633</f>
        <v>0</v>
      </c>
      <c r="G633">
        <f>RAW_GAMES!P633</f>
        <v>0</v>
      </c>
    </row>
    <row r="634" spans="1:7" x14ac:dyDescent="0.25">
      <c r="A634" t="str">
        <f>RAW_GAMES!A634</f>
        <v>25/26</v>
      </c>
      <c r="B634" s="3">
        <f>RAW_GAMES!B634</f>
        <v>46049</v>
      </c>
      <c r="C634" t="str">
        <f>RAW_GAMES!E634</f>
        <v>LIB</v>
      </c>
      <c r="D634" s="7">
        <f>RAW_GAMES!O634</f>
        <v>4</v>
      </c>
      <c r="E634">
        <f>RAW_GAMES!N634</f>
        <v>3</v>
      </c>
      <c r="F634" s="7">
        <f>RAW_GAMES!Q634</f>
        <v>3</v>
      </c>
      <c r="G634">
        <f>RAW_GAMES!P634</f>
        <v>1</v>
      </c>
    </row>
    <row r="635" spans="1:7" x14ac:dyDescent="0.25">
      <c r="A635" t="str">
        <f>RAW_GAMES!A635</f>
        <v>25/26</v>
      </c>
      <c r="B635" s="3">
        <f>RAW_GAMES!B635</f>
        <v>46049</v>
      </c>
      <c r="C635" t="str">
        <f>RAW_GAMES!E635</f>
        <v>LIT</v>
      </c>
      <c r="D635" s="7">
        <f>RAW_GAMES!O635</f>
        <v>2</v>
      </c>
      <c r="E635">
        <f>RAW_GAMES!N635</f>
        <v>0</v>
      </c>
      <c r="F635" s="7">
        <f>RAW_GAMES!Q635</f>
        <v>3</v>
      </c>
      <c r="G635">
        <f>RAW_GAMES!P635</f>
        <v>0</v>
      </c>
    </row>
    <row r="636" spans="1:7" x14ac:dyDescent="0.25">
      <c r="A636" t="str">
        <f>RAW_GAMES!A636</f>
        <v>25/26</v>
      </c>
      <c r="B636" s="3">
        <f>RAW_GAMES!B636</f>
        <v>46049</v>
      </c>
      <c r="C636" t="str">
        <f>RAW_GAMES!E636</f>
        <v>MBL</v>
      </c>
      <c r="D636" s="7">
        <f>RAW_GAMES!O636</f>
        <v>3</v>
      </c>
      <c r="E636">
        <f>RAW_GAMES!N636</f>
        <v>0</v>
      </c>
      <c r="F636" s="7">
        <f>RAW_GAMES!Q636</f>
        <v>2</v>
      </c>
      <c r="G636">
        <f>RAW_GAMES!P636</f>
        <v>0</v>
      </c>
    </row>
    <row r="637" spans="1:7" x14ac:dyDescent="0.25">
      <c r="A637" t="str">
        <f>RAW_GAMES!A637</f>
        <v>25/26</v>
      </c>
      <c r="B637" s="3">
        <f>RAW_GAMES!B637</f>
        <v>46049</v>
      </c>
      <c r="C637" t="str">
        <f>RAW_GAMES!E637</f>
        <v>MHK</v>
      </c>
      <c r="D637" s="7">
        <f>RAW_GAMES!O637</f>
        <v>2</v>
      </c>
      <c r="E637">
        <f>RAW_GAMES!N637</f>
        <v>0</v>
      </c>
      <c r="F637" s="7">
        <f>RAW_GAMES!Q637</f>
        <v>3</v>
      </c>
      <c r="G637">
        <f>RAW_GAMES!P637</f>
        <v>0</v>
      </c>
    </row>
    <row r="638" spans="1:7" x14ac:dyDescent="0.25">
      <c r="A638" t="str">
        <f>RAW_GAMES!A638</f>
        <v>25/26</v>
      </c>
      <c r="B638" s="3">
        <f>RAW_GAMES!B638</f>
        <v>46049</v>
      </c>
      <c r="C638" t="str">
        <f>RAW_GAMES!E638</f>
        <v>PLZ</v>
      </c>
      <c r="D638" s="7">
        <f>RAW_GAMES!O638</f>
        <v>10</v>
      </c>
      <c r="E638">
        <f>RAW_GAMES!N638</f>
        <v>2</v>
      </c>
      <c r="F638" s="7">
        <f>RAW_GAMES!Q638</f>
        <v>7</v>
      </c>
      <c r="G638">
        <f>RAW_GAMES!P638</f>
        <v>0</v>
      </c>
    </row>
    <row r="639" spans="1:7" x14ac:dyDescent="0.25">
      <c r="A639" t="str">
        <f>RAW_GAMES!A639</f>
        <v>25/26</v>
      </c>
      <c r="B639" s="3">
        <f>RAW_GAMES!B639</f>
        <v>46049</v>
      </c>
      <c r="C639" t="str">
        <f>RAW_GAMES!E639</f>
        <v>VIT</v>
      </c>
      <c r="D639" s="7">
        <f>RAW_GAMES!O639</f>
        <v>3</v>
      </c>
      <c r="E639">
        <f>RAW_GAMES!N639</f>
        <v>1</v>
      </c>
      <c r="F639" s="7">
        <f>RAW_GAMES!Q639</f>
        <v>4</v>
      </c>
      <c r="G639">
        <f>RAW_GAMES!P639</f>
        <v>3</v>
      </c>
    </row>
    <row r="640" spans="1:7" x14ac:dyDescent="0.25">
      <c r="A640" t="str">
        <f>RAW_GAMES!A640</f>
        <v>25/26</v>
      </c>
      <c r="B640" s="3">
        <f>RAW_GAMES!B640</f>
        <v>46051</v>
      </c>
      <c r="C640" t="str">
        <f>RAW_GAMES!E640</f>
        <v>PCE</v>
      </c>
      <c r="D640" s="7">
        <f>RAW_GAMES!O640</f>
        <v>6</v>
      </c>
      <c r="E640">
        <f>RAW_GAMES!N640</f>
        <v>1</v>
      </c>
      <c r="F640" s="7">
        <f>RAW_GAMES!Q640</f>
        <v>6</v>
      </c>
      <c r="G640">
        <f>RAW_GAMES!P640</f>
        <v>1</v>
      </c>
    </row>
    <row r="641" spans="1:7" x14ac:dyDescent="0.25">
      <c r="A641" t="str">
        <f>RAW_GAMES!A641</f>
        <v>25/26</v>
      </c>
      <c r="B641" s="3">
        <f>RAW_GAMES!B641</f>
        <v>46051</v>
      </c>
      <c r="C641" t="str">
        <f>RAW_GAMES!E641</f>
        <v>TRI</v>
      </c>
      <c r="D641" s="7">
        <f>RAW_GAMES!O641</f>
        <v>6</v>
      </c>
      <c r="E641">
        <f>RAW_GAMES!N641</f>
        <v>1</v>
      </c>
      <c r="F641" s="7">
        <f>RAW_GAMES!Q641</f>
        <v>6</v>
      </c>
      <c r="G641">
        <f>RAW_GAMES!P641</f>
        <v>1</v>
      </c>
    </row>
    <row r="642" spans="1:7" x14ac:dyDescent="0.25">
      <c r="A642" t="str">
        <f>RAW_GAMES!A642</f>
        <v>25/26</v>
      </c>
      <c r="B642" s="3">
        <f>RAW_GAMES!B642</f>
        <v>46051</v>
      </c>
      <c r="C642" t="str">
        <f>RAW_GAMES!E642</f>
        <v>SPA</v>
      </c>
      <c r="D642" s="7">
        <f>RAW_GAMES!O642</f>
        <v>3</v>
      </c>
      <c r="E642">
        <f>RAW_GAMES!N642</f>
        <v>2</v>
      </c>
      <c r="F642" s="7">
        <f>RAW_GAMES!Q642</f>
        <v>4</v>
      </c>
      <c r="G642">
        <f>RAW_GAMES!P642</f>
        <v>1</v>
      </c>
    </row>
    <row r="643" spans="1:7" x14ac:dyDescent="0.25">
      <c r="A643" t="str">
        <f>RAW_GAMES!A643</f>
        <v>25/26</v>
      </c>
      <c r="B643" s="3">
        <f>RAW_GAMES!B643</f>
        <v>46051</v>
      </c>
      <c r="C643" t="str">
        <f>RAW_GAMES!E643</f>
        <v>KLA</v>
      </c>
      <c r="D643" s="7">
        <f>RAW_GAMES!O643</f>
        <v>0</v>
      </c>
      <c r="E643">
        <f>RAW_GAMES!N643</f>
        <v>0</v>
      </c>
      <c r="F643" s="7">
        <f>RAW_GAMES!Q643</f>
        <v>1</v>
      </c>
      <c r="G643">
        <f>RAW_GAMES!P643</f>
        <v>0</v>
      </c>
    </row>
    <row r="644" spans="1:7" x14ac:dyDescent="0.25">
      <c r="A644" t="str">
        <f>RAW_GAMES!A644</f>
        <v>25/26</v>
      </c>
      <c r="B644" s="3">
        <f>RAW_GAMES!B644</f>
        <v>46051</v>
      </c>
      <c r="C644" t="str">
        <f>RAW_GAMES!E644</f>
        <v>KVA</v>
      </c>
      <c r="D644" s="7">
        <f>RAW_GAMES!O644</f>
        <v>4</v>
      </c>
      <c r="E644">
        <f>RAW_GAMES!N644</f>
        <v>1</v>
      </c>
      <c r="F644" s="7">
        <f>RAW_GAMES!Q644</f>
        <v>5</v>
      </c>
      <c r="G644">
        <f>RAW_GAMES!P644</f>
        <v>1</v>
      </c>
    </row>
    <row r="645" spans="1:7" x14ac:dyDescent="0.25">
      <c r="A645" t="str">
        <f>RAW_GAMES!A645</f>
        <v>25/26</v>
      </c>
      <c r="B645" s="3">
        <f>RAW_GAMES!B645</f>
        <v>46051</v>
      </c>
      <c r="C645" t="str">
        <f>RAW_GAMES!E645</f>
        <v>LIB</v>
      </c>
      <c r="D645" s="7">
        <f>RAW_GAMES!O645</f>
        <v>5</v>
      </c>
      <c r="E645">
        <f>RAW_GAMES!N645</f>
        <v>1</v>
      </c>
      <c r="F645" s="7">
        <f>RAW_GAMES!Q645</f>
        <v>4</v>
      </c>
      <c r="G645">
        <f>RAW_GAMES!P645</f>
        <v>1</v>
      </c>
    </row>
    <row r="646" spans="1:7" x14ac:dyDescent="0.25">
      <c r="A646" t="str">
        <f>RAW_GAMES!A646</f>
        <v>25/26</v>
      </c>
      <c r="B646" s="3">
        <f>RAW_GAMES!B646</f>
        <v>46051</v>
      </c>
      <c r="C646" t="str">
        <f>RAW_GAMES!E646</f>
        <v>LIT</v>
      </c>
      <c r="D646" s="7">
        <f>RAW_GAMES!O646</f>
        <v>4</v>
      </c>
      <c r="E646">
        <f>RAW_GAMES!N646</f>
        <v>1</v>
      </c>
      <c r="F646" s="7">
        <f>RAW_GAMES!Q646</f>
        <v>1</v>
      </c>
      <c r="G646">
        <f>RAW_GAMES!P646</f>
        <v>1</v>
      </c>
    </row>
    <row r="647" spans="1:7" x14ac:dyDescent="0.25">
      <c r="A647" t="str">
        <f>RAW_GAMES!A647</f>
        <v>25/26</v>
      </c>
      <c r="B647" s="3">
        <f>RAW_GAMES!B647</f>
        <v>46051</v>
      </c>
      <c r="C647" t="str">
        <f>RAW_GAMES!E647</f>
        <v>MBL</v>
      </c>
      <c r="D647" s="7">
        <f>RAW_GAMES!O647</f>
        <v>4</v>
      </c>
      <c r="E647">
        <f>RAW_GAMES!N647</f>
        <v>1</v>
      </c>
      <c r="F647" s="7">
        <f>RAW_GAMES!Q647</f>
        <v>3</v>
      </c>
      <c r="G647">
        <f>RAW_GAMES!P647</f>
        <v>2</v>
      </c>
    </row>
    <row r="648" spans="1:7" x14ac:dyDescent="0.25">
      <c r="A648" t="str">
        <f>RAW_GAMES!A648</f>
        <v>25/26</v>
      </c>
      <c r="B648" s="3">
        <f>RAW_GAMES!B648</f>
        <v>46051</v>
      </c>
      <c r="C648" t="str">
        <f>RAW_GAMES!E648</f>
        <v>MHK</v>
      </c>
      <c r="D648" s="7">
        <f>RAW_GAMES!O648</f>
        <v>1</v>
      </c>
      <c r="E648">
        <f>RAW_GAMES!N648</f>
        <v>1</v>
      </c>
      <c r="F648" s="7">
        <f>RAW_GAMES!Q648</f>
        <v>4</v>
      </c>
      <c r="G648">
        <f>RAW_GAMES!P648</f>
        <v>1</v>
      </c>
    </row>
    <row r="649" spans="1:7" x14ac:dyDescent="0.25">
      <c r="A649" t="str">
        <f>RAW_GAMES!A649</f>
        <v>25/26</v>
      </c>
      <c r="B649" s="3">
        <f>RAW_GAMES!B649</f>
        <v>46051</v>
      </c>
      <c r="C649" t="str">
        <f>RAW_GAMES!E649</f>
        <v>PLZ</v>
      </c>
      <c r="D649" s="7">
        <f>RAW_GAMES!O649</f>
        <v>1</v>
      </c>
      <c r="E649">
        <f>RAW_GAMES!N649</f>
        <v>0</v>
      </c>
      <c r="F649" s="7">
        <f>RAW_GAMES!Q649</f>
        <v>0</v>
      </c>
      <c r="G649">
        <f>RAW_GAMES!P649</f>
        <v>0</v>
      </c>
    </row>
    <row r="650" spans="1:7" x14ac:dyDescent="0.25">
      <c r="A650" t="str">
        <f>RAW_GAMES!A650</f>
        <v>25/26</v>
      </c>
      <c r="B650" s="3">
        <f>RAW_GAMES!B650</f>
        <v>46052</v>
      </c>
      <c r="C650" t="str">
        <f>RAW_GAMES!E650</f>
        <v>KOM</v>
      </c>
      <c r="D650" s="7">
        <f>RAW_GAMES!O650</f>
        <v>6</v>
      </c>
      <c r="E650">
        <f>RAW_GAMES!N650</f>
        <v>1</v>
      </c>
      <c r="F650" s="7">
        <f>RAW_GAMES!Q650</f>
        <v>7</v>
      </c>
      <c r="G650">
        <f>RAW_GAMES!P650</f>
        <v>2</v>
      </c>
    </row>
    <row r="651" spans="1:7" x14ac:dyDescent="0.25">
      <c r="A651" t="str">
        <f>RAW_GAMES!A651</f>
        <v>25/26</v>
      </c>
      <c r="B651" s="3">
        <f>RAW_GAMES!B651</f>
        <v>46052</v>
      </c>
      <c r="C651" t="str">
        <f>RAW_GAMES!E651</f>
        <v>CEB</v>
      </c>
      <c r="D651" s="7">
        <f>RAW_GAMES!O651</f>
        <v>7</v>
      </c>
      <c r="E651">
        <f>RAW_GAMES!N651</f>
        <v>2</v>
      </c>
      <c r="F651" s="7">
        <f>RAW_GAMES!Q651</f>
        <v>6</v>
      </c>
      <c r="G651">
        <f>RAW_GAMES!P651</f>
        <v>1</v>
      </c>
    </row>
    <row r="652" spans="1:7" x14ac:dyDescent="0.25">
      <c r="A652" t="str">
        <f>RAW_GAMES!A652</f>
        <v>25/26</v>
      </c>
      <c r="B652" s="3">
        <f>RAW_GAMES!B652</f>
        <v>46052</v>
      </c>
      <c r="C652" t="str">
        <f>RAW_GAMES!E652</f>
        <v>KVA</v>
      </c>
      <c r="D652" s="7">
        <f>RAW_GAMES!O652</f>
        <v>3</v>
      </c>
      <c r="E652">
        <f>RAW_GAMES!N652</f>
        <v>1</v>
      </c>
      <c r="F652" s="7">
        <f>RAW_GAMES!Q652</f>
        <v>4</v>
      </c>
      <c r="G652">
        <f>RAW_GAMES!P652</f>
        <v>0</v>
      </c>
    </row>
    <row r="653" spans="1:7" x14ac:dyDescent="0.25">
      <c r="A653" t="str">
        <f>RAW_GAMES!A653</f>
        <v>25/26</v>
      </c>
      <c r="B653" s="3">
        <f>RAW_GAMES!B653</f>
        <v>46052</v>
      </c>
      <c r="C653" t="str">
        <f>RAW_GAMES!E653</f>
        <v>LIB</v>
      </c>
      <c r="D653" s="7">
        <f>RAW_GAMES!O653</f>
        <v>4</v>
      </c>
      <c r="E653">
        <f>RAW_GAMES!N653</f>
        <v>0</v>
      </c>
      <c r="F653" s="7">
        <f>RAW_GAMES!Q653</f>
        <v>3</v>
      </c>
      <c r="G653">
        <f>RAW_GAMES!P653</f>
        <v>1</v>
      </c>
    </row>
    <row r="654" spans="1:7" x14ac:dyDescent="0.25">
      <c r="A654" t="str">
        <f>RAW_GAMES!A654</f>
        <v>25/26</v>
      </c>
      <c r="B654" s="3">
        <f>RAW_GAMES!B654</f>
        <v>46054</v>
      </c>
      <c r="C654" t="str">
        <f>RAW_GAMES!E654</f>
        <v>SPA</v>
      </c>
      <c r="D654" s="7">
        <f>RAW_GAMES!O654</f>
        <v>6</v>
      </c>
      <c r="E654">
        <f>RAW_GAMES!N654</f>
        <v>2</v>
      </c>
      <c r="F654" s="7">
        <f>RAW_GAMES!Q654</f>
        <v>5</v>
      </c>
      <c r="G654">
        <f>RAW_GAMES!P654</f>
        <v>1</v>
      </c>
    </row>
    <row r="655" spans="1:7" x14ac:dyDescent="0.25">
      <c r="A655" t="str">
        <f>RAW_GAMES!A655</f>
        <v>25/26</v>
      </c>
      <c r="B655" s="3">
        <f>RAW_GAMES!B655</f>
        <v>46054</v>
      </c>
      <c r="C655" t="str">
        <f>RAW_GAMES!E655</f>
        <v>CEB</v>
      </c>
      <c r="D655" s="7">
        <f>RAW_GAMES!O655</f>
        <v>5</v>
      </c>
      <c r="E655">
        <f>RAW_GAMES!N655</f>
        <v>1</v>
      </c>
      <c r="F655" s="7">
        <f>RAW_GAMES!Q655</f>
        <v>6</v>
      </c>
      <c r="G655">
        <f>RAW_GAMES!P655</f>
        <v>2</v>
      </c>
    </row>
    <row r="656" spans="1:7" x14ac:dyDescent="0.25">
      <c r="A656" t="str">
        <f>RAW_GAMES!A656</f>
        <v>25/26</v>
      </c>
      <c r="B656" s="3">
        <f>RAW_GAMES!B656</f>
        <v>46055</v>
      </c>
      <c r="C656" t="str">
        <f>RAW_GAMES!E656</f>
        <v>SPA</v>
      </c>
      <c r="D656" s="7">
        <f>RAW_GAMES!O656</f>
        <v>3</v>
      </c>
      <c r="E656">
        <f>RAW_GAMES!N656</f>
        <v>0</v>
      </c>
      <c r="F656" s="7">
        <f>RAW_GAMES!Q656</f>
        <v>9</v>
      </c>
      <c r="G656">
        <f>RAW_GAMES!P656</f>
        <v>2</v>
      </c>
    </row>
    <row r="657" spans="1:7" x14ac:dyDescent="0.25">
      <c r="A657" t="str">
        <f>RAW_GAMES!A657</f>
        <v>25/26</v>
      </c>
      <c r="B657" s="3">
        <f>RAW_GAMES!B657</f>
        <v>46055</v>
      </c>
      <c r="C657" t="str">
        <f>RAW_GAMES!E657</f>
        <v>PLZ</v>
      </c>
      <c r="D657" s="7">
        <f>RAW_GAMES!O657</f>
        <v>9</v>
      </c>
      <c r="E657">
        <f>RAW_GAMES!N657</f>
        <v>2</v>
      </c>
      <c r="F657" s="7">
        <f>RAW_GAMES!Q657</f>
        <v>3</v>
      </c>
      <c r="G657">
        <f>RAW_GAMES!P657</f>
        <v>0</v>
      </c>
    </row>
    <row r="658" spans="1:7" x14ac:dyDescent="0.25">
      <c r="A658" t="str">
        <f>RAW_GAMES!A658</f>
        <v>25/26</v>
      </c>
      <c r="B658" s="3">
        <f>RAW_GAMES!B658</f>
        <v>46075</v>
      </c>
      <c r="C658" t="str">
        <f>RAW_GAMES!E658</f>
        <v>SPA</v>
      </c>
      <c r="D658" s="7">
        <f>RAW_GAMES!O658</f>
        <v>2</v>
      </c>
      <c r="E658">
        <f>RAW_GAMES!N658</f>
        <v>1</v>
      </c>
      <c r="F658" s="7">
        <f>RAW_GAMES!Q658</f>
        <v>4</v>
      </c>
      <c r="G658">
        <f>RAW_GAMES!P658</f>
        <v>1</v>
      </c>
    </row>
    <row r="659" spans="1:7" x14ac:dyDescent="0.25">
      <c r="A659" t="str">
        <f>RAW_GAMES!A659</f>
        <v>25/26</v>
      </c>
      <c r="B659" s="3">
        <f>RAW_GAMES!B659</f>
        <v>46075</v>
      </c>
      <c r="C659" t="str">
        <f>RAW_GAMES!E659</f>
        <v>MBL</v>
      </c>
      <c r="D659" s="7">
        <f>RAW_GAMES!O659</f>
        <v>4</v>
      </c>
      <c r="E659">
        <f>RAW_GAMES!N659</f>
        <v>1</v>
      </c>
      <c r="F659" s="7">
        <f>RAW_GAMES!Q659</f>
        <v>2</v>
      </c>
      <c r="G659">
        <f>RAW_GAMES!P659</f>
        <v>1</v>
      </c>
    </row>
    <row r="660" spans="1:7" x14ac:dyDescent="0.25">
      <c r="A660" t="str">
        <f>RAW_GAMES!A660</f>
        <v>25/26</v>
      </c>
      <c r="B660" s="3">
        <f>RAW_GAMES!B660</f>
        <v>46077</v>
      </c>
      <c r="C660" t="str">
        <f>RAW_GAMES!E660</f>
        <v>MBL</v>
      </c>
      <c r="D660" s="7">
        <f>RAW_GAMES!O660</f>
        <v>4</v>
      </c>
      <c r="E660">
        <f>RAW_GAMES!N660</f>
        <v>0</v>
      </c>
      <c r="F660" s="7">
        <f>RAW_GAMES!Q660</f>
        <v>2</v>
      </c>
      <c r="G660">
        <f>RAW_GAMES!P660</f>
        <v>0</v>
      </c>
    </row>
    <row r="661" spans="1:7" x14ac:dyDescent="0.25">
      <c r="A661" t="str">
        <f>RAW_GAMES!A661</f>
        <v>25/26</v>
      </c>
      <c r="B661" s="3">
        <f>RAW_GAMES!B661</f>
        <v>46077</v>
      </c>
      <c r="C661" t="str">
        <f>RAW_GAMES!E661</f>
        <v>OLO</v>
      </c>
      <c r="D661" s="7">
        <f>RAW_GAMES!O661</f>
        <v>2</v>
      </c>
      <c r="E661">
        <f>RAW_GAMES!N661</f>
        <v>0</v>
      </c>
      <c r="F661" s="7">
        <f>RAW_GAMES!Q661</f>
        <v>4</v>
      </c>
      <c r="G661">
        <f>RAW_GAMES!P661</f>
        <v>0</v>
      </c>
    </row>
    <row r="662" spans="1:7" x14ac:dyDescent="0.25">
      <c r="A662" t="str">
        <f>RAW_GAMES!A662</f>
        <v>25/26</v>
      </c>
      <c r="B662" s="3">
        <f>RAW_GAMES!B662</f>
        <v>46078</v>
      </c>
      <c r="C662" t="str">
        <f>RAW_GAMES!E662</f>
        <v>PCE</v>
      </c>
      <c r="D662" s="7">
        <f>RAW_GAMES!O662</f>
        <v>4</v>
      </c>
      <c r="E662">
        <f>RAW_GAMES!N662</f>
        <v>0</v>
      </c>
      <c r="F662" s="7">
        <f>RAW_GAMES!Q662</f>
        <v>4</v>
      </c>
      <c r="G662">
        <f>RAW_GAMES!P662</f>
        <v>0</v>
      </c>
    </row>
    <row r="663" spans="1:7" x14ac:dyDescent="0.25">
      <c r="A663" t="str">
        <f>RAW_GAMES!A663</f>
        <v>25/26</v>
      </c>
      <c r="B663" s="3">
        <f>RAW_GAMES!B663</f>
        <v>46078</v>
      </c>
      <c r="C663" t="str">
        <f>RAW_GAMES!E663</f>
        <v>TRI</v>
      </c>
      <c r="D663" s="7">
        <f>RAW_GAMES!O663</f>
        <v>3</v>
      </c>
      <c r="E663">
        <f>RAW_GAMES!N663</f>
        <v>1</v>
      </c>
      <c r="F663" s="7">
        <f>RAW_GAMES!Q663</f>
        <v>4</v>
      </c>
      <c r="G663">
        <f>RAW_GAMES!P663</f>
        <v>1</v>
      </c>
    </row>
    <row r="664" spans="1:7" x14ac:dyDescent="0.25">
      <c r="A664" t="str">
        <f>RAW_GAMES!A664</f>
        <v>25/26</v>
      </c>
      <c r="B664" s="3">
        <f>RAW_GAMES!B664</f>
        <v>46078</v>
      </c>
      <c r="C664" t="str">
        <f>RAW_GAMES!E664</f>
        <v>SPA</v>
      </c>
      <c r="D664" s="7">
        <f>RAW_GAMES!O664</f>
        <v>5</v>
      </c>
      <c r="E664">
        <f>RAW_GAMES!N664</f>
        <v>0</v>
      </c>
      <c r="F664" s="7">
        <f>RAW_GAMES!Q664</f>
        <v>8</v>
      </c>
      <c r="G664">
        <f>RAW_GAMES!P664</f>
        <v>1</v>
      </c>
    </row>
    <row r="665" spans="1:7" x14ac:dyDescent="0.25">
      <c r="A665" t="str">
        <f>RAW_GAMES!A665</f>
        <v>25/26</v>
      </c>
      <c r="B665" s="3">
        <f>RAW_GAMES!B665</f>
        <v>46078</v>
      </c>
      <c r="C665" t="str">
        <f>RAW_GAMES!E665</f>
        <v>KOM</v>
      </c>
      <c r="D665" s="7">
        <f>RAW_GAMES!O665</f>
        <v>4</v>
      </c>
      <c r="E665">
        <f>RAW_GAMES!N665</f>
        <v>0</v>
      </c>
      <c r="F665" s="7">
        <f>RAW_GAMES!Q665</f>
        <v>4</v>
      </c>
      <c r="G665">
        <f>RAW_GAMES!P665</f>
        <v>0</v>
      </c>
    </row>
    <row r="666" spans="1:7" x14ac:dyDescent="0.25">
      <c r="A666" t="str">
        <f>RAW_GAMES!A666</f>
        <v>25/26</v>
      </c>
      <c r="B666" s="3">
        <f>RAW_GAMES!B666</f>
        <v>46078</v>
      </c>
      <c r="C666" t="str">
        <f>RAW_GAMES!E666</f>
        <v>CEB</v>
      </c>
      <c r="D666" s="7">
        <f>RAW_GAMES!O666</f>
        <v>11</v>
      </c>
      <c r="E666">
        <f>RAW_GAMES!N666</f>
        <v>2</v>
      </c>
      <c r="F666" s="7">
        <f>RAW_GAMES!Q666</f>
        <v>4</v>
      </c>
      <c r="G666">
        <f>RAW_GAMES!P666</f>
        <v>1</v>
      </c>
    </row>
    <row r="667" spans="1:7" x14ac:dyDescent="0.25">
      <c r="A667" t="str">
        <f>RAW_GAMES!A667</f>
        <v>25/26</v>
      </c>
      <c r="B667" s="3">
        <f>RAW_GAMES!B667</f>
        <v>46078</v>
      </c>
      <c r="C667" t="str">
        <f>RAW_GAMES!E667</f>
        <v>KLA</v>
      </c>
      <c r="D667" s="7">
        <f>RAW_GAMES!O667</f>
        <v>4</v>
      </c>
      <c r="E667">
        <f>RAW_GAMES!N667</f>
        <v>1</v>
      </c>
      <c r="F667" s="7">
        <f>RAW_GAMES!Q667</f>
        <v>3</v>
      </c>
      <c r="G667">
        <f>RAW_GAMES!P667</f>
        <v>1</v>
      </c>
    </row>
    <row r="668" spans="1:7" x14ac:dyDescent="0.25">
      <c r="A668" t="str">
        <f>RAW_GAMES!A668</f>
        <v>25/26</v>
      </c>
      <c r="B668" s="3">
        <f>RAW_GAMES!B668</f>
        <v>46078</v>
      </c>
      <c r="C668" t="str">
        <f>RAW_GAMES!E668</f>
        <v>KVA</v>
      </c>
      <c r="D668" s="7">
        <f>RAW_GAMES!O668</f>
        <v>1</v>
      </c>
      <c r="E668">
        <f>RAW_GAMES!N668</f>
        <v>0</v>
      </c>
      <c r="F668" s="7">
        <f>RAW_GAMES!Q668</f>
        <v>3</v>
      </c>
      <c r="G668">
        <f>RAW_GAMES!P668</f>
        <v>0</v>
      </c>
    </row>
    <row r="669" spans="1:7" x14ac:dyDescent="0.25">
      <c r="A669" t="str">
        <f>RAW_GAMES!A669</f>
        <v>25/26</v>
      </c>
      <c r="B669" s="3">
        <f>RAW_GAMES!B669</f>
        <v>46078</v>
      </c>
      <c r="C669" t="str">
        <f>RAW_GAMES!E669</f>
        <v>LIB</v>
      </c>
      <c r="D669" s="7">
        <f>RAW_GAMES!O669</f>
        <v>8</v>
      </c>
      <c r="E669">
        <f>RAW_GAMES!N669</f>
        <v>1</v>
      </c>
      <c r="F669" s="7">
        <f>RAW_GAMES!Q669</f>
        <v>5</v>
      </c>
      <c r="G669">
        <f>RAW_GAMES!P669</f>
        <v>0</v>
      </c>
    </row>
    <row r="670" spans="1:7" x14ac:dyDescent="0.25">
      <c r="A670" t="str">
        <f>RAW_GAMES!A670</f>
        <v>25/26</v>
      </c>
      <c r="B670" s="3">
        <f>RAW_GAMES!B670</f>
        <v>46078</v>
      </c>
      <c r="C670" t="str">
        <f>RAW_GAMES!E670</f>
        <v>LIT</v>
      </c>
      <c r="D670" s="7">
        <f>RAW_GAMES!O670</f>
        <v>4</v>
      </c>
      <c r="E670">
        <f>RAW_GAMES!N670</f>
        <v>1</v>
      </c>
      <c r="F670" s="7">
        <f>RAW_GAMES!Q670</f>
        <v>11</v>
      </c>
      <c r="G670">
        <f>RAW_GAMES!P670</f>
        <v>2</v>
      </c>
    </row>
    <row r="671" spans="1:7" x14ac:dyDescent="0.25">
      <c r="A671" t="str">
        <f>RAW_GAMES!A671</f>
        <v>25/26</v>
      </c>
      <c r="B671" s="3">
        <f>RAW_GAMES!B671</f>
        <v>46078</v>
      </c>
      <c r="C671" t="str">
        <f>RAW_GAMES!E671</f>
        <v>MHK</v>
      </c>
      <c r="D671" s="7">
        <f>RAW_GAMES!O671</f>
        <v>5</v>
      </c>
      <c r="E671">
        <f>RAW_GAMES!N671</f>
        <v>1</v>
      </c>
      <c r="F671" s="7">
        <f>RAW_GAMES!Q671</f>
        <v>6</v>
      </c>
      <c r="G671">
        <f>RAW_GAMES!P671</f>
        <v>0</v>
      </c>
    </row>
    <row r="672" spans="1:7" x14ac:dyDescent="0.25">
      <c r="A672" t="str">
        <f>RAW_GAMES!A672</f>
        <v>25/26</v>
      </c>
      <c r="B672" s="3">
        <f>RAW_GAMES!B672</f>
        <v>46078</v>
      </c>
      <c r="C672" t="str">
        <f>RAW_GAMES!E672</f>
        <v>PLZ</v>
      </c>
      <c r="D672" s="7">
        <f>RAW_GAMES!O672</f>
        <v>3</v>
      </c>
      <c r="E672">
        <f>RAW_GAMES!N672</f>
        <v>0</v>
      </c>
      <c r="F672" s="7">
        <f>RAW_GAMES!Q672</f>
        <v>1</v>
      </c>
      <c r="G672">
        <f>RAW_GAMES!P672</f>
        <v>0</v>
      </c>
    </row>
    <row r="673" spans="1:7" x14ac:dyDescent="0.25">
      <c r="A673" t="str">
        <f>RAW_GAMES!A673</f>
        <v>25/26</v>
      </c>
      <c r="B673" s="3">
        <f>RAW_GAMES!B673</f>
        <v>46078</v>
      </c>
      <c r="C673" t="str">
        <f>RAW_GAMES!E673</f>
        <v>VIT</v>
      </c>
      <c r="D673" s="7">
        <f>RAW_GAMES!O673</f>
        <v>6</v>
      </c>
      <c r="E673">
        <f>RAW_GAMES!N673</f>
        <v>0</v>
      </c>
      <c r="F673" s="7">
        <f>RAW_GAMES!Q673</f>
        <v>5</v>
      </c>
      <c r="G673">
        <f>RAW_GAMES!P673</f>
        <v>1</v>
      </c>
    </row>
    <row r="674" spans="1:7" x14ac:dyDescent="0.25">
      <c r="A674" t="str">
        <f>RAW_GAMES!A674</f>
        <v>25/26</v>
      </c>
      <c r="B674" s="3">
        <f>RAW_GAMES!B674</f>
        <v>46080</v>
      </c>
      <c r="C674" t="str">
        <f>RAW_GAMES!E674</f>
        <v>PCE</v>
      </c>
      <c r="D674" s="7">
        <f>RAW_GAMES!O674</f>
        <v>5</v>
      </c>
      <c r="E674">
        <f>RAW_GAMES!N674</f>
        <v>2</v>
      </c>
      <c r="F674" s="7">
        <f>RAW_GAMES!Q674</f>
        <v>4</v>
      </c>
      <c r="G674">
        <f>RAW_GAMES!P674</f>
        <v>1</v>
      </c>
    </row>
    <row r="675" spans="1:7" x14ac:dyDescent="0.25">
      <c r="A675" t="str">
        <f>RAW_GAMES!A675</f>
        <v>25/26</v>
      </c>
      <c r="B675" s="3">
        <f>RAW_GAMES!B675</f>
        <v>46080</v>
      </c>
      <c r="C675" t="str">
        <f>RAW_GAMES!E675</f>
        <v>TRI</v>
      </c>
      <c r="D675" s="7">
        <f>RAW_GAMES!O675</f>
        <v>3</v>
      </c>
      <c r="E675">
        <f>RAW_GAMES!N675</f>
        <v>0</v>
      </c>
      <c r="F675" s="7">
        <f>RAW_GAMES!Q675</f>
        <v>3</v>
      </c>
      <c r="G675">
        <f>RAW_GAMES!P675</f>
        <v>0</v>
      </c>
    </row>
    <row r="676" spans="1:7" x14ac:dyDescent="0.25">
      <c r="A676" t="str">
        <f>RAW_GAMES!A676</f>
        <v>25/26</v>
      </c>
      <c r="B676" s="3">
        <f>RAW_GAMES!B676</f>
        <v>46080</v>
      </c>
      <c r="C676" t="str">
        <f>RAW_GAMES!E676</f>
        <v>SPA</v>
      </c>
      <c r="D676" s="7">
        <f>RAW_GAMES!O676</f>
        <v>2</v>
      </c>
      <c r="E676">
        <f>RAW_GAMES!N676</f>
        <v>1</v>
      </c>
      <c r="F676" s="7">
        <f>RAW_GAMES!Q676</f>
        <v>3</v>
      </c>
      <c r="G676">
        <f>RAW_GAMES!P676</f>
        <v>0</v>
      </c>
    </row>
    <row r="677" spans="1:7" x14ac:dyDescent="0.25">
      <c r="A677" t="str">
        <f>RAW_GAMES!A677</f>
        <v>25/26</v>
      </c>
      <c r="B677" s="3">
        <f>RAW_GAMES!B677</f>
        <v>46080</v>
      </c>
      <c r="C677" t="str">
        <f>RAW_GAMES!E677</f>
        <v>KOM</v>
      </c>
      <c r="D677" s="7">
        <f>RAW_GAMES!O677</f>
        <v>3</v>
      </c>
      <c r="E677">
        <f>RAW_GAMES!N677</f>
        <v>0</v>
      </c>
      <c r="F677" s="7">
        <f>RAW_GAMES!Q677</f>
        <v>3</v>
      </c>
      <c r="G677">
        <f>RAW_GAMES!P677</f>
        <v>0</v>
      </c>
    </row>
    <row r="678" spans="1:7" x14ac:dyDescent="0.25">
      <c r="A678" t="str">
        <f>RAW_GAMES!A678</f>
        <v>25/26</v>
      </c>
      <c r="B678" s="3">
        <f>RAW_GAMES!B678</f>
        <v>46080</v>
      </c>
      <c r="C678" t="str">
        <f>RAW_GAMES!E678</f>
        <v>CEB</v>
      </c>
      <c r="D678" s="7">
        <f>RAW_GAMES!O678</f>
        <v>4</v>
      </c>
      <c r="E678">
        <f>RAW_GAMES!N678</f>
        <v>1</v>
      </c>
      <c r="F678" s="7">
        <f>RAW_GAMES!Q678</f>
        <v>4</v>
      </c>
      <c r="G678">
        <f>RAW_GAMES!P678</f>
        <v>2</v>
      </c>
    </row>
    <row r="679" spans="1:7" x14ac:dyDescent="0.25">
      <c r="A679" t="str">
        <f>RAW_GAMES!A679</f>
        <v>25/26</v>
      </c>
      <c r="B679" s="3">
        <f>RAW_GAMES!B679</f>
        <v>46080</v>
      </c>
      <c r="C679" t="str">
        <f>RAW_GAMES!E679</f>
        <v>KLA</v>
      </c>
      <c r="D679" s="7">
        <f>RAW_GAMES!O679</f>
        <v>2</v>
      </c>
      <c r="E679">
        <f>RAW_GAMES!N679</f>
        <v>0</v>
      </c>
      <c r="F679" s="7">
        <f>RAW_GAMES!Q679</f>
        <v>8</v>
      </c>
      <c r="G679">
        <f>RAW_GAMES!P679</f>
        <v>0</v>
      </c>
    </row>
    <row r="680" spans="1:7" x14ac:dyDescent="0.25">
      <c r="A680" t="str">
        <f>RAW_GAMES!A680</f>
        <v>25/26</v>
      </c>
      <c r="B680" s="3">
        <f>RAW_GAMES!B680</f>
        <v>46080</v>
      </c>
      <c r="C680" t="str">
        <f>RAW_GAMES!E680</f>
        <v>KVA</v>
      </c>
      <c r="D680" s="7">
        <f>RAW_GAMES!O680</f>
        <v>8</v>
      </c>
      <c r="E680">
        <f>RAW_GAMES!N680</f>
        <v>0</v>
      </c>
      <c r="F680" s="7">
        <f>RAW_GAMES!Q680</f>
        <v>2</v>
      </c>
      <c r="G680">
        <f>RAW_GAMES!P680</f>
        <v>0</v>
      </c>
    </row>
    <row r="681" spans="1:7" x14ac:dyDescent="0.25">
      <c r="A681" t="str">
        <f>RAW_GAMES!A681</f>
        <v>25/26</v>
      </c>
      <c r="B681" s="3">
        <f>RAW_GAMES!B681</f>
        <v>46080</v>
      </c>
      <c r="C681" t="str">
        <f>RAW_GAMES!E681</f>
        <v>LIB</v>
      </c>
      <c r="D681" s="7">
        <f>RAW_GAMES!O681</f>
        <v>4</v>
      </c>
      <c r="E681">
        <f>RAW_GAMES!N681</f>
        <v>1</v>
      </c>
      <c r="F681" s="7">
        <f>RAW_GAMES!Q681</f>
        <v>5</v>
      </c>
      <c r="G681">
        <f>RAW_GAMES!P681</f>
        <v>0</v>
      </c>
    </row>
    <row r="682" spans="1:7" x14ac:dyDescent="0.25">
      <c r="A682" t="str">
        <f>RAW_GAMES!A682</f>
        <v>25/26</v>
      </c>
      <c r="B682" s="3">
        <f>RAW_GAMES!B682</f>
        <v>46080</v>
      </c>
      <c r="C682" t="str">
        <f>RAW_GAMES!E682</f>
        <v>LIT</v>
      </c>
      <c r="D682" s="7">
        <f>RAW_GAMES!O682</f>
        <v>4</v>
      </c>
      <c r="E682">
        <f>RAW_GAMES!N682</f>
        <v>1</v>
      </c>
      <c r="F682" s="7">
        <f>RAW_GAMES!Q682</f>
        <v>5</v>
      </c>
      <c r="G682">
        <f>RAW_GAMES!P682</f>
        <v>2</v>
      </c>
    </row>
    <row r="683" spans="1:7" x14ac:dyDescent="0.25">
      <c r="A683" t="str">
        <f>RAW_GAMES!A683</f>
        <v>25/26</v>
      </c>
      <c r="B683" s="3">
        <f>RAW_GAMES!B683</f>
        <v>46080</v>
      </c>
      <c r="C683" t="str">
        <f>RAW_GAMES!E683</f>
        <v>MBL</v>
      </c>
      <c r="D683" s="7">
        <f>RAW_GAMES!O683</f>
        <v>5</v>
      </c>
      <c r="E683">
        <f>RAW_GAMES!N683</f>
        <v>0</v>
      </c>
      <c r="F683" s="7">
        <f>RAW_GAMES!Q683</f>
        <v>4</v>
      </c>
      <c r="G683">
        <f>RAW_GAMES!P683</f>
        <v>1</v>
      </c>
    </row>
    <row r="684" spans="1:7" x14ac:dyDescent="0.25">
      <c r="A684" t="str">
        <f>RAW_GAMES!A684</f>
        <v>25/26</v>
      </c>
      <c r="B684" s="3">
        <f>RAW_GAMES!B684</f>
        <v>46080</v>
      </c>
      <c r="C684" t="str">
        <f>RAW_GAMES!E684</f>
        <v>MHK</v>
      </c>
      <c r="D684" s="7">
        <f>RAW_GAMES!O684</f>
        <v>1</v>
      </c>
      <c r="E684">
        <f>RAW_GAMES!N684</f>
        <v>0</v>
      </c>
      <c r="F684" s="7">
        <f>RAW_GAMES!Q684</f>
        <v>4</v>
      </c>
      <c r="G684">
        <f>RAW_GAMES!P684</f>
        <v>1</v>
      </c>
    </row>
    <row r="685" spans="1:7" x14ac:dyDescent="0.25">
      <c r="A685" t="str">
        <f>RAW_GAMES!A685</f>
        <v>25/26</v>
      </c>
      <c r="B685" s="3">
        <f>RAW_GAMES!B685</f>
        <v>46080</v>
      </c>
      <c r="C685" t="str">
        <f>RAW_GAMES!E685</f>
        <v>OLO</v>
      </c>
      <c r="D685" s="7">
        <f>RAW_GAMES!O685</f>
        <v>4</v>
      </c>
      <c r="E685">
        <f>RAW_GAMES!N685</f>
        <v>1</v>
      </c>
      <c r="F685" s="7">
        <f>RAW_GAMES!Q685</f>
        <v>1</v>
      </c>
      <c r="G685">
        <f>RAW_GAMES!P685</f>
        <v>0</v>
      </c>
    </row>
    <row r="686" spans="1:7" x14ac:dyDescent="0.25">
      <c r="A686" t="str">
        <f>RAW_GAMES!A686</f>
        <v>25/26</v>
      </c>
      <c r="B686" s="3">
        <f>RAW_GAMES!B686</f>
        <v>46080</v>
      </c>
      <c r="C686" t="str">
        <f>RAW_GAMES!E686</f>
        <v>PLZ</v>
      </c>
      <c r="D686" s="7">
        <f>RAW_GAMES!O686</f>
        <v>3</v>
      </c>
      <c r="E686">
        <f>RAW_GAMES!N686</f>
        <v>0</v>
      </c>
      <c r="F686" s="7">
        <f>RAW_GAMES!Q686</f>
        <v>2</v>
      </c>
      <c r="G686">
        <f>RAW_GAMES!P686</f>
        <v>1</v>
      </c>
    </row>
    <row r="687" spans="1:7" x14ac:dyDescent="0.25">
      <c r="A687" t="str">
        <f>RAW_GAMES!A687</f>
        <v>25/26</v>
      </c>
      <c r="B687" s="3">
        <f>RAW_GAMES!B687</f>
        <v>46080</v>
      </c>
      <c r="C687" t="str">
        <f>RAW_GAMES!E687</f>
        <v>VIT</v>
      </c>
      <c r="D687" s="7">
        <f>RAW_GAMES!O687</f>
        <v>4</v>
      </c>
      <c r="E687">
        <f>RAW_GAMES!N687</f>
        <v>2</v>
      </c>
      <c r="F687" s="7">
        <f>RAW_GAMES!Q687</f>
        <v>4</v>
      </c>
      <c r="G687">
        <f>RAW_GAMES!P687</f>
        <v>1</v>
      </c>
    </row>
    <row r="688" spans="1:7" x14ac:dyDescent="0.25">
      <c r="A688" t="str">
        <f>RAW_GAMES!A688</f>
        <v>25/26</v>
      </c>
      <c r="B688" s="3">
        <f>RAW_GAMES!B688</f>
        <v>46082</v>
      </c>
      <c r="C688" t="str">
        <f>RAW_GAMES!E688</f>
        <v>PCE</v>
      </c>
      <c r="D688" s="7">
        <f>RAW_GAMES!O688</f>
        <v>2</v>
      </c>
      <c r="E688">
        <f>RAW_GAMES!N688</f>
        <v>1</v>
      </c>
      <c r="F688" s="7">
        <f>RAW_GAMES!Q688</f>
        <v>3</v>
      </c>
      <c r="G688">
        <f>RAW_GAMES!P688</f>
        <v>1</v>
      </c>
    </row>
    <row r="689" spans="1:7" x14ac:dyDescent="0.25">
      <c r="A689" t="str">
        <f>RAW_GAMES!A689</f>
        <v>25/26</v>
      </c>
      <c r="B689" s="3">
        <f>RAW_GAMES!B689</f>
        <v>46082</v>
      </c>
      <c r="C689" t="str">
        <f>RAW_GAMES!E689</f>
        <v>TRI</v>
      </c>
      <c r="D689" s="7">
        <f>RAW_GAMES!O689</f>
        <v>5</v>
      </c>
      <c r="E689">
        <f>RAW_GAMES!N689</f>
        <v>2</v>
      </c>
      <c r="F689" s="7">
        <f>RAW_GAMES!Q689</f>
        <v>7</v>
      </c>
      <c r="G689">
        <f>RAW_GAMES!P689</f>
        <v>2</v>
      </c>
    </row>
    <row r="690" spans="1:7" x14ac:dyDescent="0.25">
      <c r="A690" t="str">
        <f>RAW_GAMES!A690</f>
        <v>25/26</v>
      </c>
      <c r="B690" s="3">
        <f>RAW_GAMES!B690</f>
        <v>46082</v>
      </c>
      <c r="C690" t="str">
        <f>RAW_GAMES!E690</f>
        <v>SPA</v>
      </c>
      <c r="D690" s="7">
        <f>RAW_GAMES!O690</f>
        <v>8</v>
      </c>
      <c r="E690">
        <f>RAW_GAMES!N690</f>
        <v>2</v>
      </c>
      <c r="F690" s="7">
        <f>RAW_GAMES!Q690</f>
        <v>8</v>
      </c>
      <c r="G690">
        <f>RAW_GAMES!P690</f>
        <v>1</v>
      </c>
    </row>
    <row r="691" spans="1:7" x14ac:dyDescent="0.25">
      <c r="A691" t="str">
        <f>RAW_GAMES!A691</f>
        <v>25/26</v>
      </c>
      <c r="B691" s="3">
        <f>RAW_GAMES!B691</f>
        <v>46082</v>
      </c>
      <c r="C691" t="str">
        <f>RAW_GAMES!E691</f>
        <v>KOM</v>
      </c>
      <c r="D691" s="7">
        <f>RAW_GAMES!O691</f>
        <v>4</v>
      </c>
      <c r="E691">
        <f>RAW_GAMES!N691</f>
        <v>0</v>
      </c>
      <c r="F691" s="7">
        <f>RAW_GAMES!Q691</f>
        <v>3</v>
      </c>
      <c r="G691">
        <f>RAW_GAMES!P691</f>
        <v>1</v>
      </c>
    </row>
    <row r="692" spans="1:7" x14ac:dyDescent="0.25">
      <c r="A692" t="str">
        <f>RAW_GAMES!A692</f>
        <v>25/26</v>
      </c>
      <c r="B692" s="3">
        <f>RAW_GAMES!B692</f>
        <v>46082</v>
      </c>
      <c r="C692" t="str">
        <f>RAW_GAMES!E692</f>
        <v>CEB</v>
      </c>
      <c r="D692" s="7">
        <f>RAW_GAMES!O692</f>
        <v>6</v>
      </c>
      <c r="E692">
        <f>RAW_GAMES!N692</f>
        <v>2</v>
      </c>
      <c r="F692" s="7">
        <f>RAW_GAMES!Q692</f>
        <v>1</v>
      </c>
      <c r="G692">
        <f>RAW_GAMES!P692</f>
        <v>0</v>
      </c>
    </row>
    <row r="693" spans="1:7" x14ac:dyDescent="0.25">
      <c r="A693" t="str">
        <f>RAW_GAMES!A693</f>
        <v>25/26</v>
      </c>
      <c r="B693" s="3">
        <f>RAW_GAMES!B693</f>
        <v>46082</v>
      </c>
      <c r="C693" t="str">
        <f>RAW_GAMES!E693</f>
        <v>KLA</v>
      </c>
      <c r="D693" s="7">
        <f>RAW_GAMES!O693</f>
        <v>3</v>
      </c>
      <c r="E693">
        <f>RAW_GAMES!N693</f>
        <v>1</v>
      </c>
      <c r="F693" s="7">
        <f>RAW_GAMES!Q693</f>
        <v>4</v>
      </c>
      <c r="G693">
        <f>RAW_GAMES!P693</f>
        <v>0</v>
      </c>
    </row>
    <row r="694" spans="1:7" x14ac:dyDescent="0.25">
      <c r="A694" t="str">
        <f>RAW_GAMES!A694</f>
        <v>25/26</v>
      </c>
      <c r="B694" s="3">
        <f>RAW_GAMES!B694</f>
        <v>46082</v>
      </c>
      <c r="C694" t="str">
        <f>RAW_GAMES!E694</f>
        <v>KVA</v>
      </c>
      <c r="D694" s="7">
        <f>RAW_GAMES!O694</f>
        <v>3</v>
      </c>
      <c r="E694">
        <f>RAW_GAMES!N694</f>
        <v>1</v>
      </c>
      <c r="F694" s="7">
        <f>RAW_GAMES!Q694</f>
        <v>2</v>
      </c>
      <c r="G694">
        <f>RAW_GAMES!P694</f>
        <v>1</v>
      </c>
    </row>
    <row r="695" spans="1:7" x14ac:dyDescent="0.25">
      <c r="A695" t="str">
        <f>RAW_GAMES!A695</f>
        <v>25/26</v>
      </c>
      <c r="B695" s="3">
        <f>RAW_GAMES!B695</f>
        <v>46082</v>
      </c>
      <c r="C695" t="str">
        <f>RAW_GAMES!E695</f>
        <v>LIB</v>
      </c>
      <c r="D695" s="7">
        <f>RAW_GAMES!O695</f>
        <v>4</v>
      </c>
      <c r="E695">
        <f>RAW_GAMES!N695</f>
        <v>1</v>
      </c>
      <c r="F695" s="7">
        <f>RAW_GAMES!Q695</f>
        <v>4</v>
      </c>
      <c r="G695">
        <f>RAW_GAMES!P695</f>
        <v>3</v>
      </c>
    </row>
    <row r="696" spans="1:7" x14ac:dyDescent="0.25">
      <c r="A696" t="str">
        <f>RAW_GAMES!A696</f>
        <v>25/26</v>
      </c>
      <c r="B696" s="3">
        <f>RAW_GAMES!B696</f>
        <v>46082</v>
      </c>
      <c r="C696" t="str">
        <f>RAW_GAMES!E696</f>
        <v>LIT</v>
      </c>
      <c r="D696" s="7">
        <f>RAW_GAMES!O696</f>
        <v>4</v>
      </c>
      <c r="E696">
        <f>RAW_GAMES!N696</f>
        <v>1</v>
      </c>
      <c r="F696" s="7">
        <f>RAW_GAMES!Q696</f>
        <v>5</v>
      </c>
      <c r="G696">
        <f>RAW_GAMES!P696</f>
        <v>0</v>
      </c>
    </row>
    <row r="697" spans="1:7" x14ac:dyDescent="0.25">
      <c r="A697" t="str">
        <f>RAW_GAMES!A697</f>
        <v>25/26</v>
      </c>
      <c r="B697" s="3">
        <f>RAW_GAMES!B697</f>
        <v>46082</v>
      </c>
      <c r="C697" t="str">
        <f>RAW_GAMES!E697</f>
        <v>MBL</v>
      </c>
      <c r="D697" s="7">
        <f>RAW_GAMES!O697</f>
        <v>1</v>
      </c>
      <c r="E697">
        <f>RAW_GAMES!N697</f>
        <v>0</v>
      </c>
      <c r="F697" s="7">
        <f>RAW_GAMES!Q697</f>
        <v>6</v>
      </c>
      <c r="G697">
        <f>RAW_GAMES!P697</f>
        <v>2</v>
      </c>
    </row>
    <row r="698" spans="1:7" x14ac:dyDescent="0.25">
      <c r="A698" t="str">
        <f>RAW_GAMES!A698</f>
        <v>25/26</v>
      </c>
      <c r="B698" s="3">
        <f>RAW_GAMES!B698</f>
        <v>46082</v>
      </c>
      <c r="C698" t="str">
        <f>RAW_GAMES!E698</f>
        <v>MHK</v>
      </c>
      <c r="D698" s="7">
        <f>RAW_GAMES!O698</f>
        <v>8</v>
      </c>
      <c r="E698">
        <f>RAW_GAMES!N698</f>
        <v>1</v>
      </c>
      <c r="F698" s="7">
        <f>RAW_GAMES!Q698</f>
        <v>8</v>
      </c>
      <c r="G698">
        <f>RAW_GAMES!P698</f>
        <v>2</v>
      </c>
    </row>
    <row r="699" spans="1:7" x14ac:dyDescent="0.25">
      <c r="A699" t="str">
        <f>RAW_GAMES!A699</f>
        <v>25/26</v>
      </c>
      <c r="B699" s="3">
        <f>RAW_GAMES!B699</f>
        <v>46082</v>
      </c>
      <c r="C699" t="str">
        <f>RAW_GAMES!E699</f>
        <v>OLO</v>
      </c>
      <c r="D699" s="7">
        <f>RAW_GAMES!O699</f>
        <v>4</v>
      </c>
      <c r="E699">
        <f>RAW_GAMES!N699</f>
        <v>3</v>
      </c>
      <c r="F699" s="7">
        <f>RAW_GAMES!Q699</f>
        <v>4</v>
      </c>
      <c r="G699">
        <f>RAW_GAMES!P699</f>
        <v>1</v>
      </c>
    </row>
    <row r="700" spans="1:7" x14ac:dyDescent="0.25">
      <c r="A700" t="str">
        <f>RAW_GAMES!A700</f>
        <v>25/26</v>
      </c>
      <c r="B700" s="3">
        <f>RAW_GAMES!B700</f>
        <v>46082</v>
      </c>
      <c r="C700" t="str">
        <f>RAW_GAMES!E700</f>
        <v>PLZ</v>
      </c>
      <c r="D700" s="7">
        <f>RAW_GAMES!O700</f>
        <v>5</v>
      </c>
      <c r="E700">
        <f>RAW_GAMES!N700</f>
        <v>0</v>
      </c>
      <c r="F700" s="7">
        <f>RAW_GAMES!Q700</f>
        <v>4</v>
      </c>
      <c r="G700">
        <f>RAW_GAMES!P700</f>
        <v>1</v>
      </c>
    </row>
    <row r="701" spans="1:7" x14ac:dyDescent="0.25">
      <c r="A701" t="str">
        <f>RAW_GAMES!A701</f>
        <v>25/26</v>
      </c>
      <c r="B701" s="3">
        <f>RAW_GAMES!B701</f>
        <v>46082</v>
      </c>
      <c r="C701" t="str">
        <f>RAW_GAMES!E701</f>
        <v>VIT</v>
      </c>
      <c r="D701" s="7">
        <f>RAW_GAMES!O701</f>
        <v>7</v>
      </c>
      <c r="E701">
        <f>RAW_GAMES!N701</f>
        <v>2</v>
      </c>
      <c r="F701" s="7">
        <f>RAW_GAMES!Q701</f>
        <v>5</v>
      </c>
      <c r="G701">
        <f>RAW_GAMES!P701</f>
        <v>2</v>
      </c>
    </row>
    <row r="702" spans="1:7" x14ac:dyDescent="0.25">
      <c r="A702" t="str">
        <f>RAW_GAMES!A702</f>
        <v>25/26</v>
      </c>
      <c r="B702" s="3">
        <f>RAW_GAMES!B702</f>
        <v>46085</v>
      </c>
      <c r="C702" t="str">
        <f>RAW_GAMES!E702</f>
        <v>PCE</v>
      </c>
      <c r="D702" s="7">
        <f>RAW_GAMES!O702</f>
        <v>2</v>
      </c>
      <c r="E702">
        <f>RAW_GAMES!N702</f>
        <v>0</v>
      </c>
      <c r="F702" s="7">
        <f>RAW_GAMES!Q702</f>
        <v>2</v>
      </c>
      <c r="G702">
        <f>RAW_GAMES!P702</f>
        <v>0</v>
      </c>
    </row>
    <row r="703" spans="1:7" x14ac:dyDescent="0.25">
      <c r="A703" t="str">
        <f>RAW_GAMES!A703</f>
        <v>25/26</v>
      </c>
      <c r="B703" s="3">
        <f>RAW_GAMES!B703</f>
        <v>46085</v>
      </c>
      <c r="C703" t="str">
        <f>RAW_GAMES!E703</f>
        <v>TRI</v>
      </c>
      <c r="D703" s="7">
        <f>RAW_GAMES!O703</f>
        <v>5</v>
      </c>
      <c r="E703">
        <f>RAW_GAMES!N703</f>
        <v>2</v>
      </c>
      <c r="F703" s="7">
        <f>RAW_GAMES!Q703</f>
        <v>2</v>
      </c>
      <c r="G703">
        <f>RAW_GAMES!P703</f>
        <v>0</v>
      </c>
    </row>
    <row r="704" spans="1:7" x14ac:dyDescent="0.25">
      <c r="A704" t="str">
        <f>RAW_GAMES!A704</f>
        <v>25/26</v>
      </c>
      <c r="B704" s="3">
        <f>RAW_GAMES!B704</f>
        <v>46085</v>
      </c>
      <c r="C704" t="str">
        <f>RAW_GAMES!E704</f>
        <v>SPA</v>
      </c>
      <c r="D704" s="7">
        <f>RAW_GAMES!O704</f>
        <v>6</v>
      </c>
      <c r="E704">
        <f>RAW_GAMES!N704</f>
        <v>3</v>
      </c>
      <c r="F704" s="7">
        <f>RAW_GAMES!Q704</f>
        <v>2</v>
      </c>
      <c r="G704">
        <f>RAW_GAMES!P704</f>
        <v>1</v>
      </c>
    </row>
    <row r="705" spans="1:7" x14ac:dyDescent="0.25">
      <c r="A705" t="str">
        <f>RAW_GAMES!A705</f>
        <v>25/26</v>
      </c>
      <c r="B705" s="3">
        <f>RAW_GAMES!B705</f>
        <v>46085</v>
      </c>
      <c r="C705" t="str">
        <f>RAW_GAMES!E705</f>
        <v>KOM</v>
      </c>
      <c r="D705" s="7">
        <f>RAW_GAMES!O705</f>
        <v>6</v>
      </c>
      <c r="E705">
        <f>RAW_GAMES!N705</f>
        <v>0</v>
      </c>
      <c r="F705" s="7">
        <f>RAW_GAMES!Q705</f>
        <v>6</v>
      </c>
      <c r="G705">
        <f>RAW_GAMES!P705</f>
        <v>2</v>
      </c>
    </row>
    <row r="706" spans="1:7" x14ac:dyDescent="0.25">
      <c r="A706" t="str">
        <f>RAW_GAMES!A706</f>
        <v>25/26</v>
      </c>
      <c r="B706" s="3">
        <f>RAW_GAMES!B706</f>
        <v>46085</v>
      </c>
      <c r="C706" t="str">
        <f>RAW_GAMES!E706</f>
        <v>CEB</v>
      </c>
      <c r="D706" s="7">
        <f>RAW_GAMES!O706</f>
        <v>2</v>
      </c>
      <c r="E706">
        <f>RAW_GAMES!N706</f>
        <v>0</v>
      </c>
      <c r="F706" s="7">
        <f>RAW_GAMES!Q706</f>
        <v>3</v>
      </c>
      <c r="G706">
        <f>RAW_GAMES!P706</f>
        <v>0</v>
      </c>
    </row>
    <row r="707" spans="1:7" x14ac:dyDescent="0.25">
      <c r="A707" t="str">
        <f>RAW_GAMES!A707</f>
        <v>25/26</v>
      </c>
      <c r="B707" s="3">
        <f>RAW_GAMES!B707</f>
        <v>46085</v>
      </c>
      <c r="C707" t="str">
        <f>RAW_GAMES!E707</f>
        <v>KLA</v>
      </c>
      <c r="D707" s="7">
        <f>RAW_GAMES!O707</f>
        <v>2</v>
      </c>
      <c r="E707">
        <f>RAW_GAMES!N707</f>
        <v>1</v>
      </c>
      <c r="F707" s="7">
        <f>RAW_GAMES!Q707</f>
        <v>6</v>
      </c>
      <c r="G707">
        <f>RAW_GAMES!P707</f>
        <v>3</v>
      </c>
    </row>
    <row r="708" spans="1:7" x14ac:dyDescent="0.25">
      <c r="A708" t="str">
        <f>RAW_GAMES!A708</f>
        <v>25/26</v>
      </c>
      <c r="B708" s="3">
        <f>RAW_GAMES!B708</f>
        <v>46085</v>
      </c>
      <c r="C708" t="str">
        <f>RAW_GAMES!E708</f>
        <v>KVA</v>
      </c>
      <c r="D708" s="7">
        <f>RAW_GAMES!O708</f>
        <v>6</v>
      </c>
      <c r="E708">
        <f>RAW_GAMES!N708</f>
        <v>2</v>
      </c>
      <c r="F708" s="7">
        <f>RAW_GAMES!Q708</f>
        <v>6</v>
      </c>
      <c r="G708">
        <f>RAW_GAMES!P708</f>
        <v>0</v>
      </c>
    </row>
    <row r="709" spans="1:7" x14ac:dyDescent="0.25">
      <c r="A709" t="str">
        <f>RAW_GAMES!A709</f>
        <v>25/26</v>
      </c>
      <c r="B709" s="3">
        <f>RAW_GAMES!B709</f>
        <v>46085</v>
      </c>
      <c r="C709" t="str">
        <f>RAW_GAMES!E709</f>
        <v>LIB</v>
      </c>
      <c r="D709" s="7">
        <f>RAW_GAMES!O709</f>
        <v>4</v>
      </c>
      <c r="E709">
        <f>RAW_GAMES!N709</f>
        <v>1</v>
      </c>
      <c r="F709" s="7">
        <f>RAW_GAMES!Q709</f>
        <v>3</v>
      </c>
      <c r="G709">
        <f>RAW_GAMES!P709</f>
        <v>0</v>
      </c>
    </row>
    <row r="710" spans="1:7" x14ac:dyDescent="0.25">
      <c r="A710" t="str">
        <f>RAW_GAMES!A710</f>
        <v>25/26</v>
      </c>
      <c r="B710" s="3">
        <f>RAW_GAMES!B710</f>
        <v>46085</v>
      </c>
      <c r="C710" t="str">
        <f>RAW_GAMES!E710</f>
        <v>LIT</v>
      </c>
      <c r="D710" s="7">
        <f>RAW_GAMES!O710</f>
        <v>2</v>
      </c>
      <c r="E710">
        <f>RAW_GAMES!N710</f>
        <v>0</v>
      </c>
      <c r="F710" s="7">
        <f>RAW_GAMES!Q710</f>
        <v>5</v>
      </c>
      <c r="G710">
        <f>RAW_GAMES!P710</f>
        <v>2</v>
      </c>
    </row>
    <row r="711" spans="1:7" x14ac:dyDescent="0.25">
      <c r="A711" t="str">
        <f>RAW_GAMES!A711</f>
        <v>25/26</v>
      </c>
      <c r="B711" s="3">
        <f>RAW_GAMES!B711</f>
        <v>46085</v>
      </c>
      <c r="C711" t="str">
        <f>RAW_GAMES!E711</f>
        <v>MBL</v>
      </c>
      <c r="D711" s="7">
        <f>RAW_GAMES!O711</f>
        <v>2</v>
      </c>
      <c r="E711">
        <f>RAW_GAMES!N711</f>
        <v>0</v>
      </c>
      <c r="F711" s="7">
        <f>RAW_GAMES!Q711</f>
        <v>5</v>
      </c>
      <c r="G711">
        <f>RAW_GAMES!P711</f>
        <v>1</v>
      </c>
    </row>
    <row r="712" spans="1:7" x14ac:dyDescent="0.25">
      <c r="A712" t="str">
        <f>RAW_GAMES!A712</f>
        <v>25/26</v>
      </c>
      <c r="B712" s="3">
        <f>RAW_GAMES!B712</f>
        <v>46085</v>
      </c>
      <c r="C712" t="str">
        <f>RAW_GAMES!E712</f>
        <v>MHK</v>
      </c>
      <c r="D712" s="7">
        <f>RAW_GAMES!O712</f>
        <v>3</v>
      </c>
      <c r="E712">
        <f>RAW_GAMES!N712</f>
        <v>0</v>
      </c>
      <c r="F712" s="7">
        <f>RAW_GAMES!Q712</f>
        <v>4</v>
      </c>
      <c r="G712">
        <f>RAW_GAMES!P712</f>
        <v>1</v>
      </c>
    </row>
    <row r="713" spans="1:7" x14ac:dyDescent="0.25">
      <c r="A713" t="str">
        <f>RAW_GAMES!A713</f>
        <v>25/26</v>
      </c>
      <c r="B713" s="3">
        <f>RAW_GAMES!B713</f>
        <v>46085</v>
      </c>
      <c r="C713" t="str">
        <f>RAW_GAMES!E713</f>
        <v>OLO</v>
      </c>
      <c r="D713" s="7">
        <f>RAW_GAMES!O713</f>
        <v>3</v>
      </c>
      <c r="E713">
        <f>RAW_GAMES!N713</f>
        <v>0</v>
      </c>
      <c r="F713" s="7">
        <f>RAW_GAMES!Q713</f>
        <v>2</v>
      </c>
      <c r="G713">
        <f>RAW_GAMES!P713</f>
        <v>0</v>
      </c>
    </row>
    <row r="714" spans="1:7" x14ac:dyDescent="0.25">
      <c r="A714" t="str">
        <f>RAW_GAMES!A714</f>
        <v>25/26</v>
      </c>
      <c r="B714" s="3">
        <f>RAW_GAMES!B714</f>
        <v>46085</v>
      </c>
      <c r="C714" t="str">
        <f>RAW_GAMES!E714</f>
        <v>PLZ</v>
      </c>
      <c r="D714" s="7">
        <f>RAW_GAMES!O714</f>
        <v>5</v>
      </c>
      <c r="E714">
        <f>RAW_GAMES!N714</f>
        <v>1</v>
      </c>
      <c r="F714" s="7">
        <f>RAW_GAMES!Q714</f>
        <v>2</v>
      </c>
      <c r="G714">
        <f>RAW_GAMES!P714</f>
        <v>0</v>
      </c>
    </row>
    <row r="715" spans="1:7" x14ac:dyDescent="0.25">
      <c r="A715" t="str">
        <f>RAW_GAMES!A715</f>
        <v>25/26</v>
      </c>
      <c r="B715" s="3">
        <f>RAW_GAMES!B715</f>
        <v>46085</v>
      </c>
      <c r="C715" t="str">
        <f>RAW_GAMES!E715</f>
        <v>VIT</v>
      </c>
      <c r="D715" s="7">
        <f>RAW_GAMES!O715</f>
        <v>2</v>
      </c>
      <c r="E715">
        <f>RAW_GAMES!N715</f>
        <v>0</v>
      </c>
      <c r="F715" s="7">
        <f>RAW_GAMES!Q715</f>
        <v>2</v>
      </c>
      <c r="G715">
        <f>RAW_GAMES!P715</f>
        <v>0</v>
      </c>
    </row>
    <row r="716" spans="1:7" x14ac:dyDescent="0.25">
      <c r="A716" t="str">
        <f>RAW_GAMES!A716</f>
        <v>25/26</v>
      </c>
      <c r="B716" s="3">
        <f>RAW_GAMES!B716</f>
        <v>46087</v>
      </c>
      <c r="C716" t="str">
        <f>RAW_GAMES!E716</f>
        <v>PCE</v>
      </c>
      <c r="D716" s="7">
        <f>RAW_GAMES!O716</f>
        <v>11</v>
      </c>
      <c r="E716">
        <f>RAW_GAMES!N716</f>
        <v>0</v>
      </c>
      <c r="F716" s="7">
        <f>RAW_GAMES!Q716</f>
        <v>10</v>
      </c>
      <c r="G716">
        <f>RAW_GAMES!P716</f>
        <v>0</v>
      </c>
    </row>
    <row r="717" spans="1:7" x14ac:dyDescent="0.25">
      <c r="A717" t="str">
        <f>RAW_GAMES!A717</f>
        <v>25/26</v>
      </c>
      <c r="B717" s="3">
        <f>RAW_GAMES!B717</f>
        <v>46087</v>
      </c>
      <c r="C717" t="str">
        <f>RAW_GAMES!E717</f>
        <v>TRI</v>
      </c>
      <c r="D717" s="7">
        <f>RAW_GAMES!O717</f>
        <v>4</v>
      </c>
      <c r="E717">
        <f>RAW_GAMES!N717</f>
        <v>1</v>
      </c>
      <c r="F717" s="7">
        <f>RAW_GAMES!Q717</f>
        <v>3</v>
      </c>
      <c r="G717">
        <f>RAW_GAMES!P717</f>
        <v>0</v>
      </c>
    </row>
    <row r="718" spans="1:7" x14ac:dyDescent="0.25">
      <c r="A718" t="str">
        <f>RAW_GAMES!A718</f>
        <v>25/26</v>
      </c>
      <c r="B718" s="3">
        <f>RAW_GAMES!B718</f>
        <v>46087</v>
      </c>
      <c r="C718" t="str">
        <f>RAW_GAMES!E718</f>
        <v>SPA</v>
      </c>
      <c r="D718" s="7">
        <f>RAW_GAMES!O718</f>
        <v>10</v>
      </c>
      <c r="E718">
        <f>RAW_GAMES!N718</f>
        <v>0</v>
      </c>
      <c r="F718" s="7">
        <f>RAW_GAMES!Q718</f>
        <v>11</v>
      </c>
      <c r="G718">
        <f>RAW_GAMES!P718</f>
        <v>0</v>
      </c>
    </row>
    <row r="719" spans="1:7" x14ac:dyDescent="0.25">
      <c r="A719" t="str">
        <f>RAW_GAMES!A719</f>
        <v>25/26</v>
      </c>
      <c r="B719" s="3">
        <f>RAW_GAMES!B719</f>
        <v>46087</v>
      </c>
      <c r="C719" t="str">
        <f>RAW_GAMES!E719</f>
        <v>KOM</v>
      </c>
      <c r="D719" s="7">
        <f>RAW_GAMES!O719</f>
        <v>2</v>
      </c>
      <c r="E719">
        <f>RAW_GAMES!N719</f>
        <v>1</v>
      </c>
      <c r="F719" s="7">
        <f>RAW_GAMES!Q719</f>
        <v>2</v>
      </c>
      <c r="G719">
        <f>RAW_GAMES!P719</f>
        <v>0</v>
      </c>
    </row>
    <row r="720" spans="1:7" x14ac:dyDescent="0.25">
      <c r="A720" t="str">
        <f>RAW_GAMES!A720</f>
        <v>25/26</v>
      </c>
      <c r="B720" s="3">
        <f>RAW_GAMES!B720</f>
        <v>46087</v>
      </c>
      <c r="C720" t="str">
        <f>RAW_GAMES!E720</f>
        <v>CEB</v>
      </c>
      <c r="D720" s="7">
        <f>RAW_GAMES!O720</f>
        <v>5</v>
      </c>
      <c r="E720">
        <f>RAW_GAMES!N720</f>
        <v>1</v>
      </c>
      <c r="F720" s="7">
        <f>RAW_GAMES!Q720</f>
        <v>6</v>
      </c>
      <c r="G720">
        <f>RAW_GAMES!P720</f>
        <v>2</v>
      </c>
    </row>
    <row r="721" spans="1:7" x14ac:dyDescent="0.25">
      <c r="A721" t="str">
        <f>RAW_GAMES!A721</f>
        <v>25/26</v>
      </c>
      <c r="B721" s="3">
        <f>RAW_GAMES!B721</f>
        <v>46087</v>
      </c>
      <c r="C721" t="str">
        <f>RAW_GAMES!E721</f>
        <v>KLA</v>
      </c>
      <c r="D721" s="7">
        <f>RAW_GAMES!O721</f>
        <v>5</v>
      </c>
      <c r="E721">
        <f>RAW_GAMES!N721</f>
        <v>0</v>
      </c>
      <c r="F721" s="7">
        <f>RAW_GAMES!Q721</f>
        <v>2</v>
      </c>
      <c r="G721">
        <f>RAW_GAMES!P721</f>
        <v>1</v>
      </c>
    </row>
    <row r="722" spans="1:7" x14ac:dyDescent="0.25">
      <c r="A722" t="str">
        <f>RAW_GAMES!A722</f>
        <v>25/26</v>
      </c>
      <c r="B722" s="3">
        <f>RAW_GAMES!B722</f>
        <v>46087</v>
      </c>
      <c r="C722" t="str">
        <f>RAW_GAMES!E722</f>
        <v>KVA</v>
      </c>
      <c r="D722" s="7">
        <f>RAW_GAMES!O722</f>
        <v>3</v>
      </c>
      <c r="E722">
        <f>RAW_GAMES!N722</f>
        <v>0</v>
      </c>
      <c r="F722" s="7">
        <f>RAW_GAMES!Q722</f>
        <v>4</v>
      </c>
      <c r="G722">
        <f>RAW_GAMES!P722</f>
        <v>1</v>
      </c>
    </row>
    <row r="723" spans="1:7" x14ac:dyDescent="0.25">
      <c r="A723" t="str">
        <f>RAW_GAMES!A723</f>
        <v>25/26</v>
      </c>
      <c r="B723" s="3">
        <f>RAW_GAMES!B723</f>
        <v>46087</v>
      </c>
      <c r="C723" t="str">
        <f>RAW_GAMES!E723</f>
        <v>LIB</v>
      </c>
      <c r="D723" s="7">
        <f>RAW_GAMES!O723</f>
        <v>6</v>
      </c>
      <c r="E723">
        <f>RAW_GAMES!N723</f>
        <v>2</v>
      </c>
      <c r="F723" s="7">
        <f>RAW_GAMES!Q723</f>
        <v>5</v>
      </c>
      <c r="G723">
        <f>RAW_GAMES!P723</f>
        <v>1</v>
      </c>
    </row>
    <row r="724" spans="1:7" x14ac:dyDescent="0.25">
      <c r="A724" t="str">
        <f>RAW_GAMES!A724</f>
        <v>25/26</v>
      </c>
      <c r="B724" s="3">
        <f>RAW_GAMES!B724</f>
        <v>46087</v>
      </c>
      <c r="C724" t="str">
        <f>RAW_GAMES!E724</f>
        <v>LIT</v>
      </c>
      <c r="D724" s="7">
        <f>RAW_GAMES!O724</f>
        <v>2</v>
      </c>
      <c r="E724">
        <f>RAW_GAMES!N724</f>
        <v>1</v>
      </c>
      <c r="F724" s="7">
        <f>RAW_GAMES!Q724</f>
        <v>5</v>
      </c>
      <c r="G724">
        <f>RAW_GAMES!P724</f>
        <v>0</v>
      </c>
    </row>
    <row r="725" spans="1:7" x14ac:dyDescent="0.25">
      <c r="A725" t="str">
        <f>RAW_GAMES!A725</f>
        <v>25/26</v>
      </c>
      <c r="B725" s="3">
        <f>RAW_GAMES!B725</f>
        <v>46087</v>
      </c>
      <c r="C725" t="str">
        <f>RAW_GAMES!E725</f>
        <v>MBL</v>
      </c>
      <c r="D725" s="7">
        <f>RAW_GAMES!O725</f>
        <v>4</v>
      </c>
      <c r="E725">
        <f>RAW_GAMES!N725</f>
        <v>0</v>
      </c>
      <c r="F725" s="7">
        <f>RAW_GAMES!Q725</f>
        <v>2</v>
      </c>
      <c r="G725">
        <f>RAW_GAMES!P725</f>
        <v>0</v>
      </c>
    </row>
    <row r="726" spans="1:7" x14ac:dyDescent="0.25">
      <c r="A726" t="str">
        <f>RAW_GAMES!A726</f>
        <v>25/26</v>
      </c>
      <c r="B726" s="3">
        <f>RAW_GAMES!B726</f>
        <v>46087</v>
      </c>
      <c r="C726" t="str">
        <f>RAW_GAMES!E726</f>
        <v>MHK</v>
      </c>
      <c r="D726" s="7">
        <f>RAW_GAMES!O726</f>
        <v>2</v>
      </c>
      <c r="E726">
        <f>RAW_GAMES!N726</f>
        <v>0</v>
      </c>
      <c r="F726" s="7">
        <f>RAW_GAMES!Q726</f>
        <v>4</v>
      </c>
      <c r="G726">
        <f>RAW_GAMES!P726</f>
        <v>0</v>
      </c>
    </row>
    <row r="727" spans="1:7" x14ac:dyDescent="0.25">
      <c r="A727" t="str">
        <f>RAW_GAMES!A727</f>
        <v>25/26</v>
      </c>
      <c r="B727" s="3">
        <f>RAW_GAMES!B727</f>
        <v>46087</v>
      </c>
      <c r="C727" t="str">
        <f>RAW_GAMES!E727</f>
        <v>OLO</v>
      </c>
      <c r="D727" s="7">
        <f>RAW_GAMES!O727</f>
        <v>2</v>
      </c>
      <c r="E727">
        <f>RAW_GAMES!N727</f>
        <v>0</v>
      </c>
      <c r="F727" s="7">
        <f>RAW_GAMES!Q727</f>
        <v>2</v>
      </c>
      <c r="G727">
        <f>RAW_GAMES!P727</f>
        <v>1</v>
      </c>
    </row>
    <row r="728" spans="1:7" x14ac:dyDescent="0.25">
      <c r="A728" t="str">
        <f>RAW_GAMES!A728</f>
        <v>25/26</v>
      </c>
      <c r="B728" s="3">
        <f>RAW_GAMES!B728</f>
        <v>46087</v>
      </c>
      <c r="C728" t="str">
        <f>RAW_GAMES!E728</f>
        <v>PLZ</v>
      </c>
      <c r="D728" s="7">
        <f>RAW_GAMES!O728</f>
        <v>4</v>
      </c>
      <c r="E728">
        <f>RAW_GAMES!N728</f>
        <v>0</v>
      </c>
      <c r="F728" s="7">
        <f>RAW_GAMES!Q728</f>
        <v>4</v>
      </c>
      <c r="G728">
        <f>RAW_GAMES!P728</f>
        <v>0</v>
      </c>
    </row>
    <row r="729" spans="1:7" x14ac:dyDescent="0.25">
      <c r="A729" t="str">
        <f>RAW_GAMES!A729</f>
        <v>25/26</v>
      </c>
      <c r="B729" s="3">
        <f>RAW_GAMES!B729</f>
        <v>46087</v>
      </c>
      <c r="C729" t="str">
        <f>RAW_GAMES!E729</f>
        <v>VIT</v>
      </c>
      <c r="D729" s="7">
        <f>RAW_GAMES!O729</f>
        <v>4</v>
      </c>
      <c r="E729">
        <f>RAW_GAMES!N729</f>
        <v>0</v>
      </c>
      <c r="F729" s="7">
        <f>RAW_GAMES!Q729</f>
        <v>4</v>
      </c>
      <c r="G729">
        <f>RAW_GAMES!P729</f>
        <v>0</v>
      </c>
    </row>
    <row r="730" spans="1:7" x14ac:dyDescent="0.25">
      <c r="A730" t="str">
        <f>RAW_GAMES!A730</f>
        <v>26/27</v>
      </c>
      <c r="B730" s="3">
        <f ca="1">RAW_GAMES!B730</f>
        <v>46160</v>
      </c>
      <c r="C730" t="str">
        <f>RAW_GAMES!E730</f>
        <v>PCE</v>
      </c>
      <c r="D730" s="7">
        <f>RAW_GAMES!O730</f>
        <v>0</v>
      </c>
      <c r="E730">
        <f>RAW_GAMES!N730</f>
        <v>0</v>
      </c>
      <c r="F730" s="7">
        <f>RAW_GAMES!Q730</f>
        <v>0</v>
      </c>
      <c r="G730">
        <f>RAW_GAMES!P730</f>
        <v>0</v>
      </c>
    </row>
    <row r="731" spans="1:7" x14ac:dyDescent="0.25">
      <c r="A731" t="str">
        <f>RAW_GAMES!A731</f>
        <v>26/27</v>
      </c>
      <c r="B731" s="3">
        <f ca="1">RAW_GAMES!B731</f>
        <v>46160</v>
      </c>
      <c r="C731" t="str">
        <f>RAW_GAMES!E731</f>
        <v>KOM</v>
      </c>
      <c r="D731" s="7">
        <f>RAW_GAMES!O731</f>
        <v>0</v>
      </c>
      <c r="E731">
        <f>RAW_GAMES!N731</f>
        <v>0</v>
      </c>
      <c r="F731" s="7">
        <f>RAW_GAMES!Q731</f>
        <v>0</v>
      </c>
      <c r="G731">
        <f>RAW_GAMES!P731</f>
        <v>0</v>
      </c>
    </row>
    <row r="732" spans="1:7" x14ac:dyDescent="0.25">
      <c r="B732" s="3"/>
      <c r="D732" s="7"/>
      <c r="F732" s="7"/>
    </row>
    <row r="733" spans="1:7" x14ac:dyDescent="0.25">
      <c r="B733" s="3"/>
      <c r="D733" s="7"/>
      <c r="F733" s="7"/>
    </row>
    <row r="734" spans="1:7" x14ac:dyDescent="0.25">
      <c r="B734" s="3"/>
      <c r="D734" s="7"/>
      <c r="F734" s="7"/>
    </row>
    <row r="735" spans="1:7" x14ac:dyDescent="0.25">
      <c r="B735" s="3"/>
      <c r="D735" s="7"/>
      <c r="F735" s="7"/>
    </row>
    <row r="736" spans="1:7" x14ac:dyDescent="0.25">
      <c r="B736" s="3"/>
      <c r="D736" s="7"/>
      <c r="F736" s="7"/>
    </row>
    <row r="737" spans="2:6" x14ac:dyDescent="0.25">
      <c r="B737" s="3"/>
      <c r="D737" s="7"/>
      <c r="F737" s="7"/>
    </row>
    <row r="738" spans="2:6" x14ac:dyDescent="0.25">
      <c r="B738" s="3"/>
      <c r="D738" s="7"/>
      <c r="F738" s="7"/>
    </row>
    <row r="739" spans="2:6" x14ac:dyDescent="0.25">
      <c r="B739" s="3"/>
      <c r="D739" s="7"/>
      <c r="F739" s="7"/>
    </row>
    <row r="740" spans="2:6" x14ac:dyDescent="0.25">
      <c r="B740" s="3"/>
      <c r="D740" s="7"/>
      <c r="F740" s="7"/>
    </row>
    <row r="741" spans="2:6" x14ac:dyDescent="0.25">
      <c r="B741" s="3"/>
      <c r="D741" s="7"/>
      <c r="F741" s="7"/>
    </row>
    <row r="742" spans="2:6" x14ac:dyDescent="0.25">
      <c r="B742" s="3"/>
      <c r="D742" s="7"/>
      <c r="F742" s="7"/>
    </row>
    <row r="743" spans="2:6" x14ac:dyDescent="0.25">
      <c r="B743" s="3"/>
      <c r="D743" s="7"/>
      <c r="F743" s="7"/>
    </row>
    <row r="744" spans="2:6" x14ac:dyDescent="0.25">
      <c r="B744" s="3"/>
      <c r="D744" s="7"/>
      <c r="F744" s="7"/>
    </row>
    <row r="745" spans="2:6" x14ac:dyDescent="0.25">
      <c r="B745" s="3"/>
      <c r="D745" s="7"/>
      <c r="F745" s="7"/>
    </row>
    <row r="746" spans="2:6" x14ac:dyDescent="0.25">
      <c r="B746" s="3"/>
      <c r="D746" s="7"/>
      <c r="F746" s="7"/>
    </row>
    <row r="747" spans="2:6" x14ac:dyDescent="0.25">
      <c r="B747" s="3"/>
      <c r="D747" s="7"/>
      <c r="F747" s="7"/>
    </row>
    <row r="748" spans="2:6" x14ac:dyDescent="0.25">
      <c r="B748" s="3"/>
      <c r="D748" s="7"/>
      <c r="F748" s="7"/>
    </row>
    <row r="749" spans="2:6" x14ac:dyDescent="0.25">
      <c r="B749" s="3"/>
      <c r="D749" s="7"/>
      <c r="F749" s="7"/>
    </row>
    <row r="750" spans="2:6" x14ac:dyDescent="0.25">
      <c r="B750" s="3"/>
      <c r="D750" s="7"/>
      <c r="F750" s="7"/>
    </row>
    <row r="751" spans="2:6" x14ac:dyDescent="0.25">
      <c r="B751" s="3"/>
      <c r="D751" s="7"/>
      <c r="F751" s="7"/>
    </row>
    <row r="752" spans="2:6" x14ac:dyDescent="0.25">
      <c r="B752" s="3"/>
      <c r="D752" s="7"/>
      <c r="F752" s="7"/>
    </row>
    <row r="753" spans="2:6" x14ac:dyDescent="0.25">
      <c r="B753" s="3"/>
      <c r="D753" s="7"/>
      <c r="F753" s="7"/>
    </row>
    <row r="754" spans="2:6" x14ac:dyDescent="0.25">
      <c r="B754" s="3"/>
      <c r="D754" s="7"/>
      <c r="F754" s="7"/>
    </row>
    <row r="755" spans="2:6" x14ac:dyDescent="0.25">
      <c r="B755" s="3"/>
      <c r="D755" s="7"/>
      <c r="F755" s="7"/>
    </row>
    <row r="756" spans="2:6" x14ac:dyDescent="0.25">
      <c r="B756" s="3"/>
      <c r="D756" s="7"/>
      <c r="F756" s="7"/>
    </row>
    <row r="757" spans="2:6" x14ac:dyDescent="0.25">
      <c r="B757" s="3"/>
      <c r="D757" s="7"/>
      <c r="F757" s="7"/>
    </row>
    <row r="758" spans="2:6" x14ac:dyDescent="0.25">
      <c r="B758" s="3"/>
      <c r="D758" s="7"/>
      <c r="F758" s="7"/>
    </row>
    <row r="759" spans="2:6" x14ac:dyDescent="0.25">
      <c r="B759" s="3"/>
      <c r="D759" s="7"/>
      <c r="F759" s="7"/>
    </row>
    <row r="760" spans="2:6" x14ac:dyDescent="0.25">
      <c r="B760" s="3"/>
      <c r="D760" s="7"/>
      <c r="F760" s="7"/>
    </row>
    <row r="761" spans="2:6" x14ac:dyDescent="0.25">
      <c r="B761" s="3"/>
      <c r="D761" s="7"/>
      <c r="F761" s="7"/>
    </row>
    <row r="762" spans="2:6" x14ac:dyDescent="0.25">
      <c r="B762" s="3"/>
      <c r="D762" s="7"/>
      <c r="F762" s="7"/>
    </row>
  </sheetData>
  <pageMargins left="0.7" right="0.7" top="0.78740157499999996" bottom="0.78740157499999996" header="0.3" footer="0.3"/>
  <headerFooter>
    <oddFooter>&amp;C_x000D_&amp;1#&amp;"Aptos"&amp;8&amp;K000000 INTERNAL</oddFooter>
  </headerFooter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2B40-EB5C-483D-9D39-3B2EB3B753F3}">
  <sheetPr>
    <tabColor rgb="FF92D050"/>
  </sheetPr>
  <dimension ref="A1:D1"/>
  <sheetViews>
    <sheetView workbookViewId="0">
      <selection activeCell="N19" sqref="N19"/>
    </sheetView>
  </sheetViews>
  <sheetFormatPr defaultRowHeight="15" x14ac:dyDescent="0.25"/>
  <cols>
    <col min="4" max="4" width="11.28515625" bestFit="1" customWidth="1"/>
  </cols>
  <sheetData>
    <row r="1" spans="1:4" x14ac:dyDescent="0.25">
      <c r="A1" t="s">
        <v>49</v>
      </c>
      <c r="B1" t="s">
        <v>50</v>
      </c>
      <c r="C1" t="s">
        <v>51</v>
      </c>
      <c r="D1" t="s">
        <v>52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04A1-5248-4FDE-91F9-1E2D20CEF7D4}">
  <sheetPr>
    <tabColor rgb="FF00B0F0"/>
  </sheetPr>
  <dimension ref="A1:D1"/>
  <sheetViews>
    <sheetView workbookViewId="0">
      <selection activeCell="K26" sqref="K26"/>
    </sheetView>
  </sheetViews>
  <sheetFormatPr defaultRowHeight="15" x14ac:dyDescent="0.25"/>
  <sheetData>
    <row r="1" spans="1:4" ht="18.75" x14ac:dyDescent="0.3">
      <c r="A1" s="1" t="s">
        <v>3</v>
      </c>
      <c r="B1" s="1" t="s">
        <v>2</v>
      </c>
      <c r="C1" s="1" t="s">
        <v>27</v>
      </c>
      <c r="D1" s="1" t="s">
        <v>28</v>
      </c>
    </row>
  </sheetData>
  <pageMargins left="0.7" right="0.7" top="0.78740157499999996" bottom="0.78740157499999996" header="0.3" footer="0.3"/>
  <headerFooter>
    <oddFooter>&amp;C_x000D_&amp;1#&amp;"Aptos"&amp;8&amp;K000000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44FA-4222-429B-AE38-D292A61ECD5D}">
  <sheetPr>
    <tabColor rgb="FF00B0F0"/>
  </sheetPr>
  <dimension ref="A1:E1"/>
  <sheetViews>
    <sheetView workbookViewId="0">
      <selection activeCell="H14" sqref="H14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3.42578125" bestFit="1" customWidth="1"/>
    <col min="4" max="4" width="10.7109375" bestFit="1" customWidth="1"/>
    <col min="5" max="5" width="9.7109375" bestFit="1" customWidth="1"/>
  </cols>
  <sheetData>
    <row r="1" spans="1:5" ht="18.75" x14ac:dyDescent="0.3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</row>
  </sheetData>
  <pageMargins left="0.7" right="0.7" top="0.78740157499999996" bottom="0.78740157499999996" header="0.3" footer="0.3"/>
  <headerFooter>
    <oddFooter>&amp;C_x000D_&amp;1#&amp;"Aptos"&amp;8&amp;K000000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DFE4-5ABF-42D1-B718-7EE3B7833557}">
  <sheetPr>
    <tabColor rgb="FF00B0F0"/>
  </sheetPr>
  <dimension ref="A1:D1"/>
  <sheetViews>
    <sheetView workbookViewId="0">
      <selection sqref="A1:D1"/>
    </sheetView>
  </sheetViews>
  <sheetFormatPr defaultRowHeight="15" x14ac:dyDescent="0.25"/>
  <sheetData>
    <row r="1" spans="1:4" ht="18.75" x14ac:dyDescent="0.3">
      <c r="A1" s="1" t="s">
        <v>1</v>
      </c>
      <c r="B1" s="1" t="s">
        <v>3</v>
      </c>
      <c r="C1" s="1" t="s">
        <v>22</v>
      </c>
      <c r="D1" s="1" t="s">
        <v>23</v>
      </c>
    </row>
  </sheetData>
  <pageMargins left="0.7" right="0.7" top="0.78740157499999996" bottom="0.78740157499999996" header="0.3" footer="0.3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16</vt:i4>
      </vt:variant>
    </vt:vector>
  </HeadingPairs>
  <TitlesOfParts>
    <vt:vector size="16" baseType="lpstr">
      <vt:lpstr>PARAMETRY</vt:lpstr>
      <vt:lpstr>SERIE_INPUT</vt:lpstr>
      <vt:lpstr>PREDIKCE_ZAPASU</vt:lpstr>
      <vt:lpstr>MODEL_INPUT_PO</vt:lpstr>
      <vt:lpstr>MODEL_INPUT</vt:lpstr>
      <vt:lpstr>CALC_TEAMS_SEASON</vt:lpstr>
      <vt:lpstr>CALC_GAMES_BASE</vt:lpstr>
      <vt:lpstr>CALC_GOALIES</vt:lpstr>
      <vt:lpstr>CALC_GOALIES_FORM</vt:lpstr>
      <vt:lpstr>RAW_GAMES</vt:lpstr>
      <vt:lpstr>RAW_GOALIES_GAMES</vt:lpstr>
      <vt:lpstr>RAW_PP_PK</vt:lpstr>
      <vt:lpstr>CALC_FORM</vt:lpstr>
      <vt:lpstr>RAW_TEAMS</vt:lpstr>
      <vt:lpstr>RAW_SEASONS</vt:lpstr>
      <vt:lpstr>RAW_CONTEXT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Jirmann, Jakub</dc:creator>
  <cp:lastModifiedBy>Jirmann, Jakub</cp:lastModifiedBy>
  <dcterms:created xsi:type="dcterms:W3CDTF">2026-04-25T19:00:41Z</dcterms:created>
  <dcterms:modified xsi:type="dcterms:W3CDTF">2026-05-18T09:57:26Z</dcterms:modified>
</cp:coreProperties>
</file>